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amp\www\github\SAS\php code libraries\"/>
    </mc:Choice>
  </mc:AlternateContent>
  <bookViews>
    <workbookView xWindow="0" yWindow="0" windowWidth="20490" windowHeight="9045" tabRatio="673"/>
  </bookViews>
  <sheets>
    <sheet name="Membership protocol" sheetId="7" r:id="rId1"/>
    <sheet name="validateTextNum" sheetId="13" r:id="rId2"/>
    <sheet name="PRP" sheetId="10" r:id="rId3"/>
    <sheet name="SummaryGenv1" sheetId="12" r:id="rId4"/>
    <sheet name="Edit table" sheetId="16" r:id="rId5"/>
    <sheet name="tableGenerator" sheetId="14" r:id="rId6"/>
    <sheet name="fieldcreatorv2" sheetId="5" r:id="rId7"/>
    <sheet name="sqlcreate" sheetId="2" state="hidden" r:id="rId8"/>
    <sheet name="unique_id" sheetId="9" r:id="rId9"/>
    <sheet name="sessioncreator" sheetId="8" r:id="rId10"/>
    <sheet name="fieldcreatorv1" sheetId="3" state="hidden" r:id="rId11"/>
    <sheet name="ajaxinsertandclose" sheetId="1" state="hidden" r:id="rId12"/>
  </sheets>
  <definedNames>
    <definedName name="_xlnm._FilterDatabase" localSheetId="4" hidden="1">'Edit table'!$A$113:$A$1458</definedName>
    <definedName name="_xlnm._FilterDatabase" localSheetId="6" hidden="1">fieldcreatorv2!$A$117:$B$1021</definedName>
    <definedName name="_xlnm._FilterDatabase" localSheetId="9" hidden="1">sessioncreator!$A$117:$B$562</definedName>
    <definedName name="_xlnm._FilterDatabase" localSheetId="3" hidden="1">SummaryGenv1!$B$111:$B$205</definedName>
    <definedName name="_xlnm._FilterDatabase" localSheetId="5" hidden="1">tableGenerator!$B$115:$B$338</definedName>
    <definedName name="_xlnm._FilterDatabase" localSheetId="8" hidden="1">unique_id!$A$117:$B$779</definedName>
  </definedNames>
  <calcPr calcId="152511"/>
</workbook>
</file>

<file path=xl/calcChain.xml><?xml version="1.0" encoding="utf-8"?>
<calcChain xmlns="http://schemas.openxmlformats.org/spreadsheetml/2006/main">
  <c r="AK18" i="5" l="1"/>
  <c r="AK21" i="5"/>
  <c r="AK22" i="5"/>
  <c r="AK25" i="5"/>
  <c r="AK29" i="5"/>
  <c r="AK35" i="5"/>
  <c r="AK36" i="5"/>
  <c r="AK37" i="5"/>
  <c r="AK38" i="5"/>
  <c r="AK39" i="5"/>
  <c r="AK40" i="5"/>
  <c r="AK41" i="5"/>
  <c r="AK42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1" i="5"/>
  <c r="AK92" i="5"/>
  <c r="AK93" i="5"/>
  <c r="AK94" i="5"/>
  <c r="AK95" i="5"/>
  <c r="AK96" i="5"/>
  <c r="AK97" i="5"/>
  <c r="AK98" i="5"/>
  <c r="AK99" i="5"/>
  <c r="AK100" i="5"/>
  <c r="AK101" i="5"/>
  <c r="AK102" i="5"/>
  <c r="AK103" i="5"/>
  <c r="AK104" i="5"/>
  <c r="AK105" i="5"/>
  <c r="AK106" i="5"/>
  <c r="AK107" i="5"/>
  <c r="AK108" i="5"/>
  <c r="AK109" i="5"/>
  <c r="AK110" i="5"/>
  <c r="AK111" i="5"/>
  <c r="AK112" i="5"/>
  <c r="AK113" i="5"/>
  <c r="AK114" i="5"/>
  <c r="AK15" i="5"/>
  <c r="AN20" i="5"/>
  <c r="AN21" i="5"/>
  <c r="AN22" i="5"/>
  <c r="AN23" i="5"/>
  <c r="AK23" i="5" s="1"/>
  <c r="AN24" i="5"/>
  <c r="AK24" i="5" s="1"/>
  <c r="AN25" i="5"/>
  <c r="AN26" i="5"/>
  <c r="AK26" i="5" s="1"/>
  <c r="AN27" i="5"/>
  <c r="AK27" i="5" s="1"/>
  <c r="AN28" i="5"/>
  <c r="AN29" i="5"/>
  <c r="AN30" i="5"/>
  <c r="AN31" i="5"/>
  <c r="AN32" i="5"/>
  <c r="AN33" i="5"/>
  <c r="AN34" i="5"/>
  <c r="AN35" i="5"/>
  <c r="AN36" i="5"/>
  <c r="AN37" i="5"/>
  <c r="AN38" i="5"/>
  <c r="AN39" i="5"/>
  <c r="AN40" i="5"/>
  <c r="AN41" i="5"/>
  <c r="AN42" i="5"/>
  <c r="AN43" i="5"/>
  <c r="AN44" i="5"/>
  <c r="AN45" i="5"/>
  <c r="AN46" i="5"/>
  <c r="AN47" i="5"/>
  <c r="AN48" i="5"/>
  <c r="AN49" i="5"/>
  <c r="AN50" i="5"/>
  <c r="AN51" i="5"/>
  <c r="AN52" i="5"/>
  <c r="AN53" i="5"/>
  <c r="AN54" i="5"/>
  <c r="AN55" i="5"/>
  <c r="AN56" i="5"/>
  <c r="AN57" i="5"/>
  <c r="AN58" i="5"/>
  <c r="AN59" i="5"/>
  <c r="AN60" i="5"/>
  <c r="AN61" i="5"/>
  <c r="AN62" i="5"/>
  <c r="AN63" i="5"/>
  <c r="AN64" i="5"/>
  <c r="AN65" i="5"/>
  <c r="AN66" i="5"/>
  <c r="AN67" i="5"/>
  <c r="AN68" i="5"/>
  <c r="AN69" i="5"/>
  <c r="AN70" i="5"/>
  <c r="AN71" i="5"/>
  <c r="AN72" i="5"/>
  <c r="AN73" i="5"/>
  <c r="AN74" i="5"/>
  <c r="AN75" i="5"/>
  <c r="AN76" i="5"/>
  <c r="AN77" i="5"/>
  <c r="AN78" i="5"/>
  <c r="AN79" i="5"/>
  <c r="AN80" i="5"/>
  <c r="AN81" i="5"/>
  <c r="AN82" i="5"/>
  <c r="AN83" i="5"/>
  <c r="AN84" i="5"/>
  <c r="AN85" i="5"/>
  <c r="AN86" i="5"/>
  <c r="AN87" i="5"/>
  <c r="AN88" i="5"/>
  <c r="AN89" i="5"/>
  <c r="AN90" i="5"/>
  <c r="AN91" i="5"/>
  <c r="AN92" i="5"/>
  <c r="AN93" i="5"/>
  <c r="AN94" i="5"/>
  <c r="AN95" i="5"/>
  <c r="AN96" i="5"/>
  <c r="AN97" i="5"/>
  <c r="AN98" i="5"/>
  <c r="AN99" i="5"/>
  <c r="AN100" i="5"/>
  <c r="AN101" i="5"/>
  <c r="AN102" i="5"/>
  <c r="AN103" i="5"/>
  <c r="AN104" i="5"/>
  <c r="AN105" i="5"/>
  <c r="AN106" i="5"/>
  <c r="AN107" i="5"/>
  <c r="AN108" i="5"/>
  <c r="AN109" i="5"/>
  <c r="AN110" i="5"/>
  <c r="AN111" i="5"/>
  <c r="AN112" i="5"/>
  <c r="AN113" i="5"/>
  <c r="AN114" i="5"/>
  <c r="AN15" i="5"/>
  <c r="AN16" i="5"/>
  <c r="AN17" i="5"/>
  <c r="AN18" i="5"/>
  <c r="AN19" i="5"/>
  <c r="AM19" i="5"/>
  <c r="CH18" i="5"/>
  <c r="CH20" i="5"/>
  <c r="CH21" i="5"/>
  <c r="CH22" i="5"/>
  <c r="CH23" i="5"/>
  <c r="CH24" i="5"/>
  <c r="CH25" i="5"/>
  <c r="CH26" i="5"/>
  <c r="CH27" i="5"/>
  <c r="CH28" i="5"/>
  <c r="CH29" i="5"/>
  <c r="CH30" i="5"/>
  <c r="CH31" i="5"/>
  <c r="CH32" i="5"/>
  <c r="CH33" i="5"/>
  <c r="CH34" i="5"/>
  <c r="CH35" i="5"/>
  <c r="CH36" i="5"/>
  <c r="CH37" i="5"/>
  <c r="CH38" i="5"/>
  <c r="CH39" i="5"/>
  <c r="CH40" i="5"/>
  <c r="CH41" i="5"/>
  <c r="CH42" i="5"/>
  <c r="CH43" i="5"/>
  <c r="CH44" i="5"/>
  <c r="CH45" i="5"/>
  <c r="CH46" i="5"/>
  <c r="CH47" i="5"/>
  <c r="CH48" i="5"/>
  <c r="CH49" i="5"/>
  <c r="CH50" i="5"/>
  <c r="CH51" i="5"/>
  <c r="CH52" i="5"/>
  <c r="CH53" i="5"/>
  <c r="CH54" i="5"/>
  <c r="CH55" i="5"/>
  <c r="CH56" i="5"/>
  <c r="CH57" i="5"/>
  <c r="CH58" i="5"/>
  <c r="CH59" i="5"/>
  <c r="CH60" i="5"/>
  <c r="CH61" i="5"/>
  <c r="CH62" i="5"/>
  <c r="CH63" i="5"/>
  <c r="CH64" i="5"/>
  <c r="CH65" i="5"/>
  <c r="CH66" i="5"/>
  <c r="CH67" i="5"/>
  <c r="CH68" i="5"/>
  <c r="CH69" i="5"/>
  <c r="CH70" i="5"/>
  <c r="CH71" i="5"/>
  <c r="CH72" i="5"/>
  <c r="CH73" i="5"/>
  <c r="CH74" i="5"/>
  <c r="CH75" i="5"/>
  <c r="CH76" i="5"/>
  <c r="CH77" i="5"/>
  <c r="CH78" i="5"/>
  <c r="CH79" i="5"/>
  <c r="CH80" i="5"/>
  <c r="CH81" i="5"/>
  <c r="CH82" i="5"/>
  <c r="CH83" i="5"/>
  <c r="CH84" i="5"/>
  <c r="CH85" i="5"/>
  <c r="CH86" i="5"/>
  <c r="CH87" i="5"/>
  <c r="CH88" i="5"/>
  <c r="CH89" i="5"/>
  <c r="CH90" i="5"/>
  <c r="CH91" i="5"/>
  <c r="CH92" i="5"/>
  <c r="CH93" i="5"/>
  <c r="CH94" i="5"/>
  <c r="CH95" i="5"/>
  <c r="CH96" i="5"/>
  <c r="CH97" i="5"/>
  <c r="CH98" i="5"/>
  <c r="CH99" i="5"/>
  <c r="CH100" i="5"/>
  <c r="CH101" i="5"/>
  <c r="CH102" i="5"/>
  <c r="CH103" i="5"/>
  <c r="CH104" i="5"/>
  <c r="CH105" i="5"/>
  <c r="CH106" i="5"/>
  <c r="CH107" i="5"/>
  <c r="CH108" i="5"/>
  <c r="CH109" i="5"/>
  <c r="CH110" i="5"/>
  <c r="CH111" i="5"/>
  <c r="CH112" i="5"/>
  <c r="CH113" i="5"/>
  <c r="CH114" i="5"/>
  <c r="CH19" i="5"/>
  <c r="CI18" i="5"/>
  <c r="CI20" i="5"/>
  <c r="CI21" i="5"/>
  <c r="CI22" i="5"/>
  <c r="CI23" i="5"/>
  <c r="CI24" i="5"/>
  <c r="CI25" i="5"/>
  <c r="CI26" i="5"/>
  <c r="CI27" i="5"/>
  <c r="CI28" i="5"/>
  <c r="CI29" i="5"/>
  <c r="CI30" i="5"/>
  <c r="CI31" i="5"/>
  <c r="CI32" i="5"/>
  <c r="CI33" i="5"/>
  <c r="CI34" i="5"/>
  <c r="CI35" i="5"/>
  <c r="CI36" i="5"/>
  <c r="CI37" i="5"/>
  <c r="CI38" i="5"/>
  <c r="CI39" i="5"/>
  <c r="CI40" i="5"/>
  <c r="CI41" i="5"/>
  <c r="CI42" i="5"/>
  <c r="CI43" i="5"/>
  <c r="CI44" i="5"/>
  <c r="CI45" i="5"/>
  <c r="CI46" i="5"/>
  <c r="CI47" i="5"/>
  <c r="CI48" i="5"/>
  <c r="CI49" i="5"/>
  <c r="CI50" i="5"/>
  <c r="CI51" i="5"/>
  <c r="CI52" i="5"/>
  <c r="CI53" i="5"/>
  <c r="CI54" i="5"/>
  <c r="CI55" i="5"/>
  <c r="CI56" i="5"/>
  <c r="CI57" i="5"/>
  <c r="CI58" i="5"/>
  <c r="CI59" i="5"/>
  <c r="CI60" i="5"/>
  <c r="CI61" i="5"/>
  <c r="CI62" i="5"/>
  <c r="CI63" i="5"/>
  <c r="CI64" i="5"/>
  <c r="CI65" i="5"/>
  <c r="CI66" i="5"/>
  <c r="CI67" i="5"/>
  <c r="CI68" i="5"/>
  <c r="CI69" i="5"/>
  <c r="CI70" i="5"/>
  <c r="CI71" i="5"/>
  <c r="CI72" i="5"/>
  <c r="CI73" i="5"/>
  <c r="CI74" i="5"/>
  <c r="CI75" i="5"/>
  <c r="CI76" i="5"/>
  <c r="CI77" i="5"/>
  <c r="CI78" i="5"/>
  <c r="CI79" i="5"/>
  <c r="CI80" i="5"/>
  <c r="CI81" i="5"/>
  <c r="CI82" i="5"/>
  <c r="CI83" i="5"/>
  <c r="CI84" i="5"/>
  <c r="CI85" i="5"/>
  <c r="CI86" i="5"/>
  <c r="CI87" i="5"/>
  <c r="CI88" i="5"/>
  <c r="CI89" i="5"/>
  <c r="CI90" i="5"/>
  <c r="CI91" i="5"/>
  <c r="CI92" i="5"/>
  <c r="CI93" i="5"/>
  <c r="CI94" i="5"/>
  <c r="CI95" i="5"/>
  <c r="CI96" i="5"/>
  <c r="CI97" i="5"/>
  <c r="CI98" i="5"/>
  <c r="CI99" i="5"/>
  <c r="CI100" i="5"/>
  <c r="CI101" i="5"/>
  <c r="CI102" i="5"/>
  <c r="CI103" i="5"/>
  <c r="CI104" i="5"/>
  <c r="CI105" i="5"/>
  <c r="CI106" i="5"/>
  <c r="CI107" i="5"/>
  <c r="CI108" i="5"/>
  <c r="CI109" i="5"/>
  <c r="CI110" i="5"/>
  <c r="CI111" i="5"/>
  <c r="CI112" i="5"/>
  <c r="CI113" i="5"/>
  <c r="CI114" i="5"/>
  <c r="CI19" i="5"/>
  <c r="B721" i="5"/>
  <c r="DF114" i="5"/>
  <c r="DE114" i="5"/>
  <c r="DF113" i="5"/>
  <c r="B643" i="5" s="1"/>
  <c r="DE113" i="5"/>
  <c r="DF112" i="5"/>
  <c r="DE112" i="5"/>
  <c r="DF111" i="5"/>
  <c r="DE111" i="5"/>
  <c r="DF110" i="5"/>
  <c r="DE110" i="5"/>
  <c r="DF109" i="5"/>
  <c r="DE109" i="5"/>
  <c r="DF108" i="5"/>
  <c r="DE108" i="5"/>
  <c r="DF107" i="5"/>
  <c r="DE107" i="5"/>
  <c r="DF106" i="5"/>
  <c r="B642" i="5" s="1"/>
  <c r="DE106" i="5"/>
  <c r="DF105" i="5"/>
  <c r="DE105" i="5"/>
  <c r="DF104" i="5"/>
  <c r="DE104" i="5"/>
  <c r="DF103" i="5"/>
  <c r="DE103" i="5"/>
  <c r="DF102" i="5"/>
  <c r="DE102" i="5"/>
  <c r="DF101" i="5"/>
  <c r="DE101" i="5"/>
  <c r="DF100" i="5"/>
  <c r="DE100" i="5"/>
  <c r="DF99" i="5"/>
  <c r="B641" i="5" s="1"/>
  <c r="DE99" i="5"/>
  <c r="DF98" i="5"/>
  <c r="DE98" i="5"/>
  <c r="DF97" i="5"/>
  <c r="DE97" i="5"/>
  <c r="DF96" i="5"/>
  <c r="DE96" i="5"/>
  <c r="DF95" i="5"/>
  <c r="DE95" i="5"/>
  <c r="DF94" i="5"/>
  <c r="DE94" i="5"/>
  <c r="DF93" i="5"/>
  <c r="DE93" i="5"/>
  <c r="DF92" i="5"/>
  <c r="DE92" i="5"/>
  <c r="DF91" i="5"/>
  <c r="DE91" i="5"/>
  <c r="DF90" i="5"/>
  <c r="DE90" i="5"/>
  <c r="DF89" i="5"/>
  <c r="DE89" i="5"/>
  <c r="DF88" i="5"/>
  <c r="DE88" i="5"/>
  <c r="DF87" i="5"/>
  <c r="DE87" i="5"/>
  <c r="DF86" i="5"/>
  <c r="DE86" i="5"/>
  <c r="DF85" i="5"/>
  <c r="DE85" i="5"/>
  <c r="DF84" i="5"/>
  <c r="DE84" i="5"/>
  <c r="DF83" i="5"/>
  <c r="DE83" i="5"/>
  <c r="DF82" i="5"/>
  <c r="DE82" i="5"/>
  <c r="DF81" i="5"/>
  <c r="DE81" i="5"/>
  <c r="DF80" i="5"/>
  <c r="DE80" i="5"/>
  <c r="DF79" i="5"/>
  <c r="DE79" i="5"/>
  <c r="DF78" i="5"/>
  <c r="B638" i="5" s="1"/>
  <c r="DE78" i="5"/>
  <c r="DF77" i="5"/>
  <c r="DE77" i="5"/>
  <c r="DF76" i="5"/>
  <c r="DE76" i="5"/>
  <c r="DF75" i="5"/>
  <c r="DE75" i="5"/>
  <c r="DF74" i="5"/>
  <c r="DE74" i="5"/>
  <c r="DF73" i="5"/>
  <c r="DE73" i="5"/>
  <c r="DF72" i="5"/>
  <c r="DE72" i="5"/>
  <c r="DF71" i="5"/>
  <c r="B637" i="5" s="1"/>
  <c r="DE71" i="5"/>
  <c r="DF70" i="5"/>
  <c r="DE70" i="5"/>
  <c r="DF69" i="5"/>
  <c r="DE69" i="5"/>
  <c r="DF68" i="5"/>
  <c r="DE68" i="5"/>
  <c r="DF67" i="5"/>
  <c r="DE67" i="5"/>
  <c r="DF66" i="5"/>
  <c r="DE66" i="5"/>
  <c r="DF65" i="5"/>
  <c r="DE65" i="5"/>
  <c r="DF64" i="5"/>
  <c r="B636" i="5" s="1"/>
  <c r="DE64" i="5"/>
  <c r="DF63" i="5"/>
  <c r="DE63" i="5"/>
  <c r="DF62" i="5"/>
  <c r="DE62" i="5"/>
  <c r="DF61" i="5"/>
  <c r="DE61" i="5"/>
  <c r="DF60" i="5"/>
  <c r="DE60" i="5"/>
  <c r="DF59" i="5"/>
  <c r="DE59" i="5"/>
  <c r="DF58" i="5"/>
  <c r="DE58" i="5"/>
  <c r="DF57" i="5"/>
  <c r="B635" i="5" s="1"/>
  <c r="DE57" i="5"/>
  <c r="DF56" i="5"/>
  <c r="DE56" i="5"/>
  <c r="DF55" i="5"/>
  <c r="DE55" i="5"/>
  <c r="DF54" i="5"/>
  <c r="DE54" i="5"/>
  <c r="DF53" i="5"/>
  <c r="DE53" i="5"/>
  <c r="DF52" i="5"/>
  <c r="DE52" i="5"/>
  <c r="DF51" i="5"/>
  <c r="DE51" i="5"/>
  <c r="DF50" i="5"/>
  <c r="B634" i="5" s="1"/>
  <c r="DE50" i="5"/>
  <c r="DF49" i="5"/>
  <c r="DE49" i="5"/>
  <c r="DF48" i="5"/>
  <c r="DE48" i="5"/>
  <c r="DF47" i="5"/>
  <c r="DE47" i="5"/>
  <c r="DF46" i="5"/>
  <c r="DE46" i="5"/>
  <c r="DF45" i="5"/>
  <c r="DE45" i="5"/>
  <c r="DF44" i="5"/>
  <c r="DE44" i="5"/>
  <c r="DF43" i="5"/>
  <c r="B633" i="5" s="1"/>
  <c r="DE43" i="5"/>
  <c r="DF42" i="5"/>
  <c r="DE42" i="5"/>
  <c r="DF41" i="5"/>
  <c r="DE41" i="5"/>
  <c r="DF40" i="5"/>
  <c r="DE40" i="5"/>
  <c r="DF39" i="5"/>
  <c r="DE39" i="5"/>
  <c r="DF38" i="5"/>
  <c r="DE38" i="5"/>
  <c r="DF35" i="5"/>
  <c r="DE35" i="5"/>
  <c r="DF34" i="5"/>
  <c r="DE34" i="5"/>
  <c r="DF28" i="5"/>
  <c r="DE28" i="5"/>
  <c r="DF23" i="5"/>
  <c r="DE23" i="5"/>
  <c r="DF22" i="5"/>
  <c r="DE22" i="5"/>
  <c r="DF18" i="5"/>
  <c r="DE18" i="5"/>
  <c r="B640" i="5"/>
  <c r="A608" i="16"/>
  <c r="A136" i="16"/>
  <c r="B190" i="5"/>
  <c r="B178" i="5"/>
  <c r="B177" i="5"/>
  <c r="B966" i="5"/>
  <c r="B965" i="5"/>
  <c r="B149" i="5"/>
  <c r="AB943" i="16"/>
  <c r="BX47" i="5"/>
  <c r="BX46" i="5"/>
  <c r="BX45" i="5"/>
  <c r="BX44" i="5"/>
  <c r="BX43" i="5"/>
  <c r="BX42" i="5"/>
  <c r="BX41" i="5"/>
  <c r="BX40" i="5"/>
  <c r="BX39" i="5"/>
  <c r="BX38" i="5"/>
  <c r="BX37" i="5"/>
  <c r="BX36" i="5"/>
  <c r="BX35" i="5"/>
  <c r="BX34" i="5"/>
  <c r="BX33" i="5"/>
  <c r="BX32" i="5"/>
  <c r="BX31" i="5"/>
  <c r="BX30" i="5"/>
  <c r="BX29" i="5"/>
  <c r="BX28" i="5"/>
  <c r="BX27" i="5"/>
  <c r="BX26" i="5"/>
  <c r="BX25" i="5"/>
  <c r="BX24" i="5"/>
  <c r="BX23" i="5"/>
  <c r="BX22" i="5"/>
  <c r="BX21" i="5"/>
  <c r="BX20" i="5"/>
  <c r="BX19" i="5"/>
  <c r="BX49" i="5"/>
  <c r="BX50" i="5"/>
  <c r="BX51" i="5"/>
  <c r="BX52" i="5"/>
  <c r="BX53" i="5"/>
  <c r="BX54" i="5"/>
  <c r="BX55" i="5"/>
  <c r="BX56" i="5"/>
  <c r="BX57" i="5"/>
  <c r="BX58" i="5"/>
  <c r="BX59" i="5"/>
  <c r="BX60" i="5"/>
  <c r="BX61" i="5"/>
  <c r="BX62" i="5"/>
  <c r="BX63" i="5"/>
  <c r="BX64" i="5"/>
  <c r="BX65" i="5"/>
  <c r="BX66" i="5"/>
  <c r="BX67" i="5"/>
  <c r="BX68" i="5"/>
  <c r="BX69" i="5"/>
  <c r="BX70" i="5"/>
  <c r="BX71" i="5"/>
  <c r="BX72" i="5"/>
  <c r="BX73" i="5"/>
  <c r="BX74" i="5"/>
  <c r="BX75" i="5"/>
  <c r="BX76" i="5"/>
  <c r="BX77" i="5"/>
  <c r="BX78" i="5"/>
  <c r="BX79" i="5"/>
  <c r="BX80" i="5"/>
  <c r="BX81" i="5"/>
  <c r="BX82" i="5"/>
  <c r="BX83" i="5"/>
  <c r="BX84" i="5"/>
  <c r="BX85" i="5"/>
  <c r="BX86" i="5"/>
  <c r="BX87" i="5"/>
  <c r="BX88" i="5"/>
  <c r="BX89" i="5"/>
  <c r="BX90" i="5"/>
  <c r="BX91" i="5"/>
  <c r="BX92" i="5"/>
  <c r="BX93" i="5"/>
  <c r="BX94" i="5"/>
  <c r="BX95" i="5"/>
  <c r="BX96" i="5"/>
  <c r="BX97" i="5"/>
  <c r="BX98" i="5"/>
  <c r="BX99" i="5"/>
  <c r="BX100" i="5"/>
  <c r="BX101" i="5"/>
  <c r="BX102" i="5"/>
  <c r="BX103" i="5"/>
  <c r="BX104" i="5"/>
  <c r="BX105" i="5"/>
  <c r="BX106" i="5"/>
  <c r="BX107" i="5"/>
  <c r="BX108" i="5"/>
  <c r="BX109" i="5"/>
  <c r="BX110" i="5"/>
  <c r="BX111" i="5"/>
  <c r="BX112" i="5"/>
  <c r="BX113" i="5"/>
  <c r="BX114" i="5"/>
  <c r="BX48" i="5"/>
  <c r="A1250" i="16"/>
  <c r="A1248" i="16"/>
  <c r="A1247" i="16"/>
  <c r="AF46" i="16"/>
  <c r="AF47" i="16"/>
  <c r="AF48" i="16"/>
  <c r="AF49" i="16"/>
  <c r="AF50" i="16"/>
  <c r="AF51" i="16"/>
  <c r="AF52" i="16"/>
  <c r="AF53" i="16"/>
  <c r="AF54" i="16"/>
  <c r="AF55" i="16"/>
  <c r="AF56" i="16"/>
  <c r="AF57" i="16"/>
  <c r="AF58" i="16"/>
  <c r="AF59" i="16"/>
  <c r="AF60" i="16"/>
  <c r="AF61" i="16"/>
  <c r="AF62" i="16"/>
  <c r="AF63" i="16"/>
  <c r="AF64" i="16"/>
  <c r="AF65" i="16"/>
  <c r="AF66" i="16"/>
  <c r="AF67" i="16"/>
  <c r="AF68" i="16"/>
  <c r="AF69" i="16"/>
  <c r="AF70" i="16"/>
  <c r="AF71" i="16"/>
  <c r="AF72" i="16"/>
  <c r="AF73" i="16"/>
  <c r="AF74" i="16"/>
  <c r="AF75" i="16"/>
  <c r="AF76" i="16"/>
  <c r="AF77" i="16"/>
  <c r="AF78" i="16"/>
  <c r="AF79" i="16"/>
  <c r="AF80" i="16"/>
  <c r="AF81" i="16"/>
  <c r="AF82" i="16"/>
  <c r="AF83" i="16"/>
  <c r="AF84" i="16"/>
  <c r="AF85" i="16"/>
  <c r="AF86" i="16"/>
  <c r="AF87" i="16"/>
  <c r="AF88" i="16"/>
  <c r="AF89" i="16"/>
  <c r="AF90" i="16"/>
  <c r="AF91" i="16"/>
  <c r="AF92" i="16"/>
  <c r="AF93" i="16"/>
  <c r="AF94" i="16"/>
  <c r="AF95" i="16"/>
  <c r="AF96" i="16"/>
  <c r="AF97" i="16"/>
  <c r="AF98" i="16"/>
  <c r="AF99" i="16"/>
  <c r="AF100" i="16"/>
  <c r="AF101" i="16"/>
  <c r="AF102" i="16"/>
  <c r="AF103" i="16"/>
  <c r="AF104" i="16"/>
  <c r="AF105" i="16"/>
  <c r="AF106" i="16"/>
  <c r="AF107" i="16"/>
  <c r="AF108" i="16"/>
  <c r="AF109" i="16"/>
  <c r="AC50" i="16"/>
  <c r="AC51" i="16"/>
  <c r="AC52" i="16"/>
  <c r="AC53" i="16"/>
  <c r="AC54" i="16"/>
  <c r="AC56" i="16"/>
  <c r="AC57" i="16"/>
  <c r="AC58" i="16"/>
  <c r="AC60" i="16"/>
  <c r="AC61" i="16"/>
  <c r="AC62" i="16"/>
  <c r="AC63" i="16"/>
  <c r="AC64" i="16"/>
  <c r="AC69" i="16"/>
  <c r="AC71" i="16"/>
  <c r="AC72" i="16"/>
  <c r="AC73" i="16"/>
  <c r="AC74" i="16"/>
  <c r="AC75" i="16"/>
  <c r="AC76" i="16"/>
  <c r="AC77" i="16"/>
  <c r="AC78" i="16"/>
  <c r="AC79" i="16"/>
  <c r="AC80" i="16"/>
  <c r="AC81" i="16"/>
  <c r="AC82" i="16"/>
  <c r="AC83" i="16"/>
  <c r="AC84" i="16"/>
  <c r="AC85" i="16"/>
  <c r="AC86" i="16"/>
  <c r="AC87" i="16"/>
  <c r="AC88" i="16"/>
  <c r="AC89" i="16"/>
  <c r="AC90" i="16"/>
  <c r="AC91" i="16"/>
  <c r="AC92" i="16"/>
  <c r="AC93" i="16"/>
  <c r="AC94" i="16"/>
  <c r="AC95" i="16"/>
  <c r="AC96" i="16"/>
  <c r="AC97" i="16"/>
  <c r="AC98" i="16"/>
  <c r="AC99" i="16"/>
  <c r="AC100" i="16"/>
  <c r="AC101" i="16"/>
  <c r="AC102" i="16"/>
  <c r="AC103" i="16"/>
  <c r="AC104" i="16"/>
  <c r="AC105" i="16"/>
  <c r="AC106" i="16"/>
  <c r="AC107" i="16"/>
  <c r="AC108" i="16"/>
  <c r="AC109" i="16"/>
  <c r="AC110" i="16"/>
  <c r="AC14" i="16"/>
  <c r="AC15" i="16"/>
  <c r="AC16" i="16"/>
  <c r="AC17" i="16"/>
  <c r="AC18" i="16"/>
  <c r="AC25" i="16"/>
  <c r="AC26" i="16"/>
  <c r="AC27" i="16"/>
  <c r="AC28" i="16"/>
  <c r="AC29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3" i="16"/>
  <c r="AC44" i="16"/>
  <c r="AC45" i="16"/>
  <c r="AC46" i="16"/>
  <c r="AC47" i="16"/>
  <c r="AC48" i="16"/>
  <c r="AC11" i="16"/>
  <c r="S11" i="16"/>
  <c r="S12" i="16"/>
  <c r="S13" i="16"/>
  <c r="S14" i="16"/>
  <c r="S17" i="16"/>
  <c r="S18" i="16"/>
  <c r="S19" i="16"/>
  <c r="S20" i="16"/>
  <c r="S21" i="16"/>
  <c r="S27" i="16"/>
  <c r="S28" i="16"/>
  <c r="S29" i="16"/>
  <c r="S30" i="16"/>
  <c r="S31" i="16"/>
  <c r="S36" i="16"/>
  <c r="S37" i="16"/>
  <c r="S42" i="16"/>
  <c r="S43" i="16"/>
  <c r="S44" i="16"/>
  <c r="S45" i="16"/>
  <c r="S46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22" i="16"/>
  <c r="W110" i="16"/>
  <c r="W109" i="16" s="1"/>
  <c r="W108" i="16" s="1"/>
  <c r="W107" i="16" s="1"/>
  <c r="W106" i="16" s="1"/>
  <c r="W105" i="16" s="1"/>
  <c r="W104" i="16" s="1"/>
  <c r="W103" i="16" s="1"/>
  <c r="W102" i="16" s="1"/>
  <c r="W101" i="16" s="1"/>
  <c r="W100" i="16" s="1"/>
  <c r="W99" i="16" s="1"/>
  <c r="W98" i="16" s="1"/>
  <c r="W97" i="16" s="1"/>
  <c r="W96" i="16" s="1"/>
  <c r="W95" i="16" s="1"/>
  <c r="W94" i="16" s="1"/>
  <c r="W93" i="16" s="1"/>
  <c r="W92" i="16" s="1"/>
  <c r="W91" i="16" s="1"/>
  <c r="W90" i="16" s="1"/>
  <c r="W89" i="16" s="1"/>
  <c r="W88" i="16" s="1"/>
  <c r="W87" i="16" s="1"/>
  <c r="W86" i="16" s="1"/>
  <c r="W85" i="16" s="1"/>
  <c r="W84" i="16" s="1"/>
  <c r="W83" i="16" s="1"/>
  <c r="W82" i="16" s="1"/>
  <c r="W81" i="16" s="1"/>
  <c r="W80" i="16" s="1"/>
  <c r="W79" i="16" s="1"/>
  <c r="W78" i="16" s="1"/>
  <c r="W77" i="16" s="1"/>
  <c r="W76" i="16" s="1"/>
  <c r="W75" i="16" s="1"/>
  <c r="W74" i="16" s="1"/>
  <c r="W73" i="16" s="1"/>
  <c r="W72" i="16" s="1"/>
  <c r="W71" i="16" s="1"/>
  <c r="W70" i="16" s="1"/>
  <c r="W69" i="16" s="1"/>
  <c r="W68" i="16" s="1"/>
  <c r="W67" i="16" s="1"/>
  <c r="W66" i="16" s="1"/>
  <c r="W65" i="16" s="1"/>
  <c r="W64" i="16" s="1"/>
  <c r="W63" i="16" s="1"/>
  <c r="W62" i="16" s="1"/>
  <c r="W61" i="16" s="1"/>
  <c r="W60" i="16" s="1"/>
  <c r="W59" i="16" s="1"/>
  <c r="W58" i="16" s="1"/>
  <c r="W57" i="16" s="1"/>
  <c r="W56" i="16" s="1"/>
  <c r="W55" i="16" s="1"/>
  <c r="W54" i="16" s="1"/>
  <c r="W53" i="16" s="1"/>
  <c r="W52" i="16" s="1"/>
  <c r="W51" i="16" s="1"/>
  <c r="W50" i="16" s="1"/>
  <c r="W49" i="16" s="1"/>
  <c r="W48" i="16" s="1"/>
  <c r="W47" i="16" s="1"/>
  <c r="W46" i="16" s="1"/>
  <c r="W45" i="16" s="1"/>
  <c r="W44" i="16" s="1"/>
  <c r="W43" i="16" s="1"/>
  <c r="W42" i="16" s="1"/>
  <c r="W41" i="16" s="1"/>
  <c r="W40" i="16" s="1"/>
  <c r="W39" i="16" s="1"/>
  <c r="W38" i="16" s="1"/>
  <c r="W37" i="16" s="1"/>
  <c r="W36" i="16" s="1"/>
  <c r="W35" i="16" s="1"/>
  <c r="W34" i="16" s="1"/>
  <c r="W33" i="16" s="1"/>
  <c r="W32" i="16" s="1"/>
  <c r="W31" i="16" s="1"/>
  <c r="W30" i="16" s="1"/>
  <c r="W29" i="16" s="1"/>
  <c r="W28" i="16" s="1"/>
  <c r="W27" i="16" s="1"/>
  <c r="W26" i="16" s="1"/>
  <c r="W25" i="16" s="1"/>
  <c r="W24" i="16" s="1"/>
  <c r="W23" i="16" s="1"/>
  <c r="W22" i="16" s="1"/>
  <c r="W21" i="16" s="1"/>
  <c r="W20" i="16" s="1"/>
  <c r="W19" i="16" s="1"/>
  <c r="W18" i="16" s="1"/>
  <c r="W17" i="16" s="1"/>
  <c r="W16" i="16" s="1"/>
  <c r="W15" i="16" s="1"/>
  <c r="W14" i="16" s="1"/>
  <c r="Q11" i="16"/>
  <c r="U11" i="16"/>
  <c r="T11" i="16" s="1"/>
  <c r="A726" i="16" s="1"/>
  <c r="U12" i="16"/>
  <c r="T12" i="16" s="1"/>
  <c r="A727" i="16" s="1"/>
  <c r="U15" i="16"/>
  <c r="T15" i="16" s="1"/>
  <c r="A730" i="16" s="1"/>
  <c r="U16" i="16"/>
  <c r="T16" i="16" s="1"/>
  <c r="A731" i="16" s="1"/>
  <c r="U17" i="16"/>
  <c r="T17" i="16" s="1"/>
  <c r="A732" i="16" s="1"/>
  <c r="U19" i="16"/>
  <c r="T19" i="16" s="1"/>
  <c r="A734" i="16" s="1"/>
  <c r="U20" i="16"/>
  <c r="T20" i="16" s="1"/>
  <c r="A735" i="16" s="1"/>
  <c r="U21" i="16"/>
  <c r="T21" i="16" s="1"/>
  <c r="A736" i="16" s="1"/>
  <c r="U23" i="16"/>
  <c r="T23" i="16" s="1"/>
  <c r="A738" i="16" s="1"/>
  <c r="U25" i="16"/>
  <c r="T25" i="16" s="1"/>
  <c r="A740" i="16" s="1"/>
  <c r="U26" i="16"/>
  <c r="T26" i="16" s="1"/>
  <c r="A741" i="16" s="1"/>
  <c r="U27" i="16"/>
  <c r="T27" i="16" s="1"/>
  <c r="A742" i="16" s="1"/>
  <c r="U28" i="16"/>
  <c r="T28" i="16" s="1"/>
  <c r="A743" i="16" s="1"/>
  <c r="U29" i="16"/>
  <c r="T29" i="16" s="1"/>
  <c r="A744" i="16" s="1"/>
  <c r="U31" i="16"/>
  <c r="T31" i="16" s="1"/>
  <c r="A746" i="16" s="1"/>
  <c r="U32" i="16"/>
  <c r="T32" i="16" s="1"/>
  <c r="A747" i="16" s="1"/>
  <c r="U33" i="16"/>
  <c r="T33" i="16" s="1"/>
  <c r="A748" i="16" s="1"/>
  <c r="U34" i="16"/>
  <c r="T34" i="16" s="1"/>
  <c r="A749" i="16" s="1"/>
  <c r="U35" i="16"/>
  <c r="U36" i="16"/>
  <c r="U37" i="16"/>
  <c r="T37" i="16" s="1"/>
  <c r="A752" i="16" s="1"/>
  <c r="U38" i="16"/>
  <c r="T38" i="16" s="1"/>
  <c r="A753" i="16" s="1"/>
  <c r="U39" i="16"/>
  <c r="T39" i="16" s="1"/>
  <c r="A754" i="16" s="1"/>
  <c r="U40" i="16"/>
  <c r="T40" i="16" s="1"/>
  <c r="A755" i="16" s="1"/>
  <c r="U41" i="16"/>
  <c r="T41" i="16" s="1"/>
  <c r="A756" i="16" s="1"/>
  <c r="U42" i="16"/>
  <c r="T42" i="16" s="1"/>
  <c r="A757" i="16" s="1"/>
  <c r="U43" i="16"/>
  <c r="U44" i="16"/>
  <c r="U45" i="16"/>
  <c r="T45" i="16" s="1"/>
  <c r="A760" i="16" s="1"/>
  <c r="U46" i="16"/>
  <c r="T46" i="16" s="1"/>
  <c r="A761" i="16" s="1"/>
  <c r="U47" i="16"/>
  <c r="T47" i="16" s="1"/>
  <c r="A762" i="16" s="1"/>
  <c r="U48" i="16"/>
  <c r="T48" i="16" s="1"/>
  <c r="A763" i="16" s="1"/>
  <c r="U49" i="16"/>
  <c r="T49" i="16" s="1"/>
  <c r="A764" i="16" s="1"/>
  <c r="U50" i="16"/>
  <c r="U51" i="16"/>
  <c r="T51" i="16" s="1"/>
  <c r="A766" i="16" s="1"/>
  <c r="U52" i="16"/>
  <c r="T52" i="16" s="1"/>
  <c r="A767" i="16" s="1"/>
  <c r="U53" i="16"/>
  <c r="T53" i="16" s="1"/>
  <c r="A768" i="16" s="1"/>
  <c r="U54" i="16"/>
  <c r="T54" i="16" s="1"/>
  <c r="A769" i="16" s="1"/>
  <c r="U55" i="16"/>
  <c r="T55" i="16" s="1"/>
  <c r="A770" i="16" s="1"/>
  <c r="U56" i="16"/>
  <c r="U57" i="16"/>
  <c r="T57" i="16" s="1"/>
  <c r="A772" i="16" s="1"/>
  <c r="U58" i="16"/>
  <c r="T58" i="16" s="1"/>
  <c r="A773" i="16" s="1"/>
  <c r="U59" i="16"/>
  <c r="T59" i="16" s="1"/>
  <c r="A774" i="16" s="1"/>
  <c r="U60" i="16"/>
  <c r="T60" i="16" s="1"/>
  <c r="A775" i="16" s="1"/>
  <c r="U61" i="16"/>
  <c r="T61" i="16" s="1"/>
  <c r="A776" i="16" s="1"/>
  <c r="U62" i="16"/>
  <c r="T62" i="16" s="1"/>
  <c r="A777" i="16" s="1"/>
  <c r="U63" i="16"/>
  <c r="U64" i="16"/>
  <c r="T64" i="16" s="1"/>
  <c r="A779" i="16" s="1"/>
  <c r="U65" i="16"/>
  <c r="T65" i="16" s="1"/>
  <c r="A780" i="16" s="1"/>
  <c r="U66" i="16"/>
  <c r="T66" i="16" s="1"/>
  <c r="A781" i="16" s="1"/>
  <c r="U67" i="16"/>
  <c r="T67" i="16" s="1"/>
  <c r="A782" i="16" s="1"/>
  <c r="U68" i="16"/>
  <c r="T68" i="16" s="1"/>
  <c r="A783" i="16" s="1"/>
  <c r="U69" i="16"/>
  <c r="U70" i="16"/>
  <c r="T70" i="16" s="1"/>
  <c r="A785" i="16" s="1"/>
  <c r="U71" i="16"/>
  <c r="U72" i="16"/>
  <c r="T72" i="16" s="1"/>
  <c r="A787" i="16" s="1"/>
  <c r="U73" i="16"/>
  <c r="T73" i="16" s="1"/>
  <c r="A788" i="16" s="1"/>
  <c r="U74" i="16"/>
  <c r="T74" i="16" s="1"/>
  <c r="A789" i="16" s="1"/>
  <c r="U75" i="16"/>
  <c r="T75" i="16" s="1"/>
  <c r="A790" i="16" s="1"/>
  <c r="U76" i="16"/>
  <c r="T76" i="16" s="1"/>
  <c r="A791" i="16" s="1"/>
  <c r="U77" i="16"/>
  <c r="T77" i="16" s="1"/>
  <c r="A792" i="16" s="1"/>
  <c r="U78" i="16"/>
  <c r="T78" i="16" s="1"/>
  <c r="A793" i="16" s="1"/>
  <c r="U79" i="16"/>
  <c r="T79" i="16" s="1"/>
  <c r="A794" i="16" s="1"/>
  <c r="U80" i="16"/>
  <c r="T80" i="16" s="1"/>
  <c r="A795" i="16" s="1"/>
  <c r="U81" i="16"/>
  <c r="T81" i="16" s="1"/>
  <c r="A796" i="16" s="1"/>
  <c r="U82" i="16"/>
  <c r="T82" i="16" s="1"/>
  <c r="A797" i="16" s="1"/>
  <c r="U83" i="16"/>
  <c r="T83" i="16" s="1"/>
  <c r="A798" i="16" s="1"/>
  <c r="U84" i="16"/>
  <c r="T84" i="16" s="1"/>
  <c r="A799" i="16" s="1"/>
  <c r="U85" i="16"/>
  <c r="T85" i="16" s="1"/>
  <c r="A800" i="16" s="1"/>
  <c r="U86" i="16"/>
  <c r="T86" i="16" s="1"/>
  <c r="A801" i="16" s="1"/>
  <c r="U87" i="16"/>
  <c r="T87" i="16" s="1"/>
  <c r="A802" i="16" s="1"/>
  <c r="U88" i="16"/>
  <c r="T88" i="16" s="1"/>
  <c r="A803" i="16" s="1"/>
  <c r="U89" i="16"/>
  <c r="T89" i="16" s="1"/>
  <c r="A804" i="16" s="1"/>
  <c r="U90" i="16"/>
  <c r="T90" i="16" s="1"/>
  <c r="A805" i="16" s="1"/>
  <c r="U91" i="16"/>
  <c r="T91" i="16" s="1"/>
  <c r="A806" i="16" s="1"/>
  <c r="U92" i="16"/>
  <c r="T92" i="16" s="1"/>
  <c r="A807" i="16" s="1"/>
  <c r="U93" i="16"/>
  <c r="T93" i="16" s="1"/>
  <c r="A808" i="16" s="1"/>
  <c r="U94" i="16"/>
  <c r="T94" i="16" s="1"/>
  <c r="A809" i="16" s="1"/>
  <c r="U95" i="16"/>
  <c r="T95" i="16" s="1"/>
  <c r="A810" i="16" s="1"/>
  <c r="U96" i="16"/>
  <c r="T96" i="16" s="1"/>
  <c r="A811" i="16" s="1"/>
  <c r="U97" i="16"/>
  <c r="T97" i="16" s="1"/>
  <c r="A812" i="16" s="1"/>
  <c r="U98" i="16"/>
  <c r="T98" i="16" s="1"/>
  <c r="A813" i="16" s="1"/>
  <c r="U99" i="16"/>
  <c r="T99" i="16" s="1"/>
  <c r="A814" i="16" s="1"/>
  <c r="U100" i="16"/>
  <c r="T100" i="16" s="1"/>
  <c r="A815" i="16" s="1"/>
  <c r="U101" i="16"/>
  <c r="T101" i="16" s="1"/>
  <c r="A816" i="16" s="1"/>
  <c r="U102" i="16"/>
  <c r="T102" i="16" s="1"/>
  <c r="A817" i="16" s="1"/>
  <c r="U103" i="16"/>
  <c r="T103" i="16" s="1"/>
  <c r="A818" i="16" s="1"/>
  <c r="U104" i="16"/>
  <c r="T104" i="16" s="1"/>
  <c r="A819" i="16" s="1"/>
  <c r="U105" i="16"/>
  <c r="T105" i="16" s="1"/>
  <c r="A820" i="16" s="1"/>
  <c r="U106" i="16"/>
  <c r="T106" i="16" s="1"/>
  <c r="A821" i="16" s="1"/>
  <c r="U107" i="16"/>
  <c r="T107" i="16" s="1"/>
  <c r="A822" i="16" s="1"/>
  <c r="U108" i="16"/>
  <c r="T108" i="16" s="1"/>
  <c r="A823" i="16" s="1"/>
  <c r="U109" i="16"/>
  <c r="T109" i="16" s="1"/>
  <c r="A824" i="16" s="1"/>
  <c r="U110" i="16"/>
  <c r="T110" i="16" s="1"/>
  <c r="A825" i="16" s="1"/>
  <c r="J11" i="16"/>
  <c r="J14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7" i="16"/>
  <c r="J58" i="16"/>
  <c r="J59" i="16"/>
  <c r="J60" i="16"/>
  <c r="J61" i="16"/>
  <c r="J62" i="16"/>
  <c r="J64" i="16"/>
  <c r="J65" i="16"/>
  <c r="J66" i="16"/>
  <c r="J67" i="16"/>
  <c r="J68" i="16"/>
  <c r="J70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110" i="16"/>
  <c r="I11" i="16"/>
  <c r="I14" i="16"/>
  <c r="I16" i="16"/>
  <c r="I19" i="16"/>
  <c r="I20" i="16"/>
  <c r="I21" i="16"/>
  <c r="I23" i="16"/>
  <c r="I25" i="16"/>
  <c r="I27" i="16"/>
  <c r="I28" i="16"/>
  <c r="I32" i="16"/>
  <c r="I33" i="16"/>
  <c r="I34" i="16"/>
  <c r="I37" i="16"/>
  <c r="I38" i="16"/>
  <c r="I39" i="16"/>
  <c r="I40" i="16"/>
  <c r="I41" i="16"/>
  <c r="I45" i="16"/>
  <c r="I46" i="16"/>
  <c r="I47" i="16"/>
  <c r="I48" i="16"/>
  <c r="I49" i="16"/>
  <c r="I51" i="16"/>
  <c r="I53" i="16"/>
  <c r="I55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P11" i="16"/>
  <c r="P14" i="16"/>
  <c r="P15" i="16"/>
  <c r="P16" i="16"/>
  <c r="P17" i="16"/>
  <c r="P18" i="16"/>
  <c r="P26" i="16"/>
  <c r="P27" i="16"/>
  <c r="P28" i="16"/>
  <c r="P29" i="16"/>
  <c r="P30" i="16"/>
  <c r="P31" i="16"/>
  <c r="P36" i="16"/>
  <c r="P37" i="16"/>
  <c r="P44" i="16"/>
  <c r="P45" i="16"/>
  <c r="P46" i="16"/>
  <c r="P47" i="16"/>
  <c r="P48" i="16"/>
  <c r="P50" i="16"/>
  <c r="P51" i="16"/>
  <c r="P52" i="16"/>
  <c r="P53" i="16"/>
  <c r="P54" i="16"/>
  <c r="P56" i="16"/>
  <c r="P57" i="16"/>
  <c r="P58" i="16"/>
  <c r="P60" i="16"/>
  <c r="P61" i="16"/>
  <c r="P62" i="16"/>
  <c r="P63" i="16"/>
  <c r="P64" i="16"/>
  <c r="P69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9" i="16"/>
  <c r="K50" i="16"/>
  <c r="K52" i="16"/>
  <c r="K54" i="16"/>
  <c r="K55" i="16"/>
  <c r="K56" i="16"/>
  <c r="K57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" i="16"/>
  <c r="K14" i="16"/>
  <c r="O37" i="16"/>
  <c r="O38" i="16"/>
  <c r="O39" i="16"/>
  <c r="O40" i="16"/>
  <c r="O41" i="16"/>
  <c r="O42" i="16"/>
  <c r="O43" i="16"/>
  <c r="O47" i="16"/>
  <c r="O48" i="16"/>
  <c r="O49" i="16"/>
  <c r="O50" i="16"/>
  <c r="O51" i="16"/>
  <c r="O52" i="16"/>
  <c r="O53" i="16"/>
  <c r="O54" i="16"/>
  <c r="O55" i="16"/>
  <c r="O58" i="16"/>
  <c r="O59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" i="16"/>
  <c r="O14" i="16"/>
  <c r="G11" i="16"/>
  <c r="A249" i="16" s="1"/>
  <c r="G12" i="16"/>
  <c r="A250" i="16" s="1"/>
  <c r="G13" i="16"/>
  <c r="A251" i="16" s="1"/>
  <c r="G14" i="16"/>
  <c r="A252" i="16" s="1"/>
  <c r="G15" i="16"/>
  <c r="A253" i="16" s="1"/>
  <c r="G16" i="16"/>
  <c r="A254" i="16" s="1"/>
  <c r="G17" i="16"/>
  <c r="A255" i="16" s="1"/>
  <c r="G19" i="16"/>
  <c r="A257" i="16" s="1"/>
  <c r="G20" i="16"/>
  <c r="A258" i="16" s="1"/>
  <c r="G21" i="16"/>
  <c r="A259" i="16" s="1"/>
  <c r="G23" i="16"/>
  <c r="A261" i="16" s="1"/>
  <c r="G25" i="16"/>
  <c r="A263" i="16" s="1"/>
  <c r="G26" i="16"/>
  <c r="A264" i="16" s="1"/>
  <c r="G27" i="16"/>
  <c r="A265" i="16" s="1"/>
  <c r="G28" i="16"/>
  <c r="A266" i="16" s="1"/>
  <c r="G29" i="16"/>
  <c r="A267" i="16" s="1"/>
  <c r="G31" i="16"/>
  <c r="A269" i="16" s="1"/>
  <c r="G32" i="16"/>
  <c r="A270" i="16" s="1"/>
  <c r="G33" i="16"/>
  <c r="A271" i="16" s="1"/>
  <c r="G34" i="16"/>
  <c r="A272" i="16" s="1"/>
  <c r="G37" i="16"/>
  <c r="A275" i="16" s="1"/>
  <c r="G38" i="16"/>
  <c r="A276" i="16" s="1"/>
  <c r="G39" i="16"/>
  <c r="A277" i="16" s="1"/>
  <c r="G40" i="16"/>
  <c r="A278" i="16" s="1"/>
  <c r="G41" i="16"/>
  <c r="A279" i="16" s="1"/>
  <c r="G42" i="16"/>
  <c r="A280" i="16" s="1"/>
  <c r="G45" i="16"/>
  <c r="A283" i="16" s="1"/>
  <c r="G46" i="16"/>
  <c r="A284" i="16" s="1"/>
  <c r="G47" i="16"/>
  <c r="A285" i="16" s="1"/>
  <c r="G48" i="16"/>
  <c r="A286" i="16" s="1"/>
  <c r="G49" i="16"/>
  <c r="A287" i="16" s="1"/>
  <c r="G51" i="16"/>
  <c r="A289" i="16" s="1"/>
  <c r="G52" i="16"/>
  <c r="A290" i="16" s="1"/>
  <c r="G53" i="16"/>
  <c r="A291" i="16" s="1"/>
  <c r="G54" i="16"/>
  <c r="A292" i="16" s="1"/>
  <c r="G55" i="16"/>
  <c r="A293" i="16" s="1"/>
  <c r="G57" i="16"/>
  <c r="A295" i="16" s="1"/>
  <c r="G58" i="16"/>
  <c r="A296" i="16" s="1"/>
  <c r="G59" i="16"/>
  <c r="A297" i="16" s="1"/>
  <c r="G60" i="16"/>
  <c r="A298" i="16" s="1"/>
  <c r="G61" i="16"/>
  <c r="A299" i="16" s="1"/>
  <c r="G62" i="16"/>
  <c r="A300" i="16" s="1"/>
  <c r="G64" i="16"/>
  <c r="A302" i="16" s="1"/>
  <c r="G65" i="16"/>
  <c r="A303" i="16" s="1"/>
  <c r="G66" i="16"/>
  <c r="A304" i="16" s="1"/>
  <c r="G67" i="16"/>
  <c r="A305" i="16" s="1"/>
  <c r="G68" i="16"/>
  <c r="A306" i="16" s="1"/>
  <c r="G70" i="16"/>
  <c r="A308" i="16" s="1"/>
  <c r="G72" i="16"/>
  <c r="A310" i="16" s="1"/>
  <c r="G73" i="16"/>
  <c r="A311" i="16" s="1"/>
  <c r="G74" i="16"/>
  <c r="A312" i="16" s="1"/>
  <c r="G75" i="16"/>
  <c r="A313" i="16" s="1"/>
  <c r="G76" i="16"/>
  <c r="A314" i="16" s="1"/>
  <c r="G77" i="16"/>
  <c r="A315" i="16" s="1"/>
  <c r="G78" i="16"/>
  <c r="A316" i="16" s="1"/>
  <c r="G79" i="16"/>
  <c r="A317" i="16" s="1"/>
  <c r="G80" i="16"/>
  <c r="A318" i="16" s="1"/>
  <c r="G81" i="16"/>
  <c r="A319" i="16" s="1"/>
  <c r="G82" i="16"/>
  <c r="A320" i="16" s="1"/>
  <c r="G83" i="16"/>
  <c r="A321" i="16" s="1"/>
  <c r="G84" i="16"/>
  <c r="A322" i="16" s="1"/>
  <c r="G85" i="16"/>
  <c r="A323" i="16" s="1"/>
  <c r="G86" i="16"/>
  <c r="A324" i="16" s="1"/>
  <c r="G87" i="16"/>
  <c r="A325" i="16" s="1"/>
  <c r="G88" i="16"/>
  <c r="A326" i="16" s="1"/>
  <c r="G89" i="16"/>
  <c r="A327" i="16" s="1"/>
  <c r="G90" i="16"/>
  <c r="A328" i="16" s="1"/>
  <c r="G91" i="16"/>
  <c r="A329" i="16" s="1"/>
  <c r="G92" i="16"/>
  <c r="A330" i="16" s="1"/>
  <c r="G93" i="16"/>
  <c r="A331" i="16" s="1"/>
  <c r="G94" i="16"/>
  <c r="A332" i="16" s="1"/>
  <c r="G95" i="16"/>
  <c r="A333" i="16" s="1"/>
  <c r="G96" i="16"/>
  <c r="A334" i="16" s="1"/>
  <c r="G97" i="16"/>
  <c r="A335" i="16" s="1"/>
  <c r="G98" i="16"/>
  <c r="A336" i="16" s="1"/>
  <c r="G99" i="16"/>
  <c r="A337" i="16" s="1"/>
  <c r="G100" i="16"/>
  <c r="A338" i="16" s="1"/>
  <c r="G101" i="16"/>
  <c r="A339" i="16" s="1"/>
  <c r="G102" i="16"/>
  <c r="A340" i="16" s="1"/>
  <c r="G103" i="16"/>
  <c r="A341" i="16" s="1"/>
  <c r="G104" i="16"/>
  <c r="A342" i="16" s="1"/>
  <c r="G105" i="16"/>
  <c r="A343" i="16" s="1"/>
  <c r="G106" i="16"/>
  <c r="A344" i="16" s="1"/>
  <c r="G107" i="16"/>
  <c r="A345" i="16" s="1"/>
  <c r="G108" i="16"/>
  <c r="A346" i="16" s="1"/>
  <c r="G109" i="16"/>
  <c r="A347" i="16" s="1"/>
  <c r="G110" i="16"/>
  <c r="A348" i="16" s="1"/>
  <c r="DB48" i="5"/>
  <c r="DB47" i="5"/>
  <c r="DB46" i="5"/>
  <c r="DB45" i="5"/>
  <c r="DB44" i="5"/>
  <c r="DB43" i="5"/>
  <c r="DB42" i="5"/>
  <c r="DB41" i="5"/>
  <c r="DB40" i="5"/>
  <c r="DB39" i="5"/>
  <c r="B639" i="5" l="1"/>
  <c r="B866" i="5"/>
  <c r="B864" i="5"/>
  <c r="B862" i="5"/>
  <c r="B860" i="5"/>
  <c r="B858" i="5"/>
  <c r="B867" i="5"/>
  <c r="B865" i="5"/>
  <c r="B863" i="5"/>
  <c r="B861" i="5"/>
  <c r="B859" i="5"/>
  <c r="B857" i="5"/>
  <c r="Y109" i="16"/>
  <c r="Y107" i="16"/>
  <c r="Y105" i="16"/>
  <c r="Y103" i="16"/>
  <c r="Y101" i="16"/>
  <c r="Y99" i="16"/>
  <c r="Y97" i="16"/>
  <c r="Y95" i="16"/>
  <c r="Y93" i="16"/>
  <c r="Y91" i="16"/>
  <c r="Y89" i="16"/>
  <c r="Y87" i="16"/>
  <c r="Y85" i="16"/>
  <c r="Y83" i="16"/>
  <c r="Y81" i="16"/>
  <c r="Y79" i="16"/>
  <c r="Y77" i="16"/>
  <c r="Y75" i="16"/>
  <c r="Y73" i="16"/>
  <c r="Y67" i="16"/>
  <c r="Y65" i="16"/>
  <c r="Y61" i="16"/>
  <c r="Y59" i="16"/>
  <c r="Y57" i="16"/>
  <c r="Y53" i="16"/>
  <c r="Y51" i="16"/>
  <c r="Y47" i="16"/>
  <c r="Y45" i="16"/>
  <c r="Y41" i="16"/>
  <c r="Y39" i="16"/>
  <c r="Y37" i="16"/>
  <c r="Y33" i="16"/>
  <c r="Y31" i="16"/>
  <c r="Y110" i="16"/>
  <c r="Y108" i="16"/>
  <c r="Y106" i="16"/>
  <c r="Y104" i="16"/>
  <c r="Y102" i="16"/>
  <c r="Y100" i="16"/>
  <c r="Y98" i="16"/>
  <c r="Y96" i="16"/>
  <c r="Y94" i="16"/>
  <c r="Y92" i="16"/>
  <c r="Y90" i="16"/>
  <c r="Y88" i="16"/>
  <c r="Y86" i="16"/>
  <c r="Y84" i="16"/>
  <c r="Y82" i="16"/>
  <c r="Y80" i="16"/>
  <c r="Y78" i="16"/>
  <c r="Y76" i="16"/>
  <c r="Y74" i="16"/>
  <c r="Y72" i="16"/>
  <c r="Y66" i="16"/>
  <c r="Y64" i="16"/>
  <c r="Y60" i="16"/>
  <c r="Y58" i="16"/>
  <c r="Y54" i="16"/>
  <c r="Y52" i="16"/>
  <c r="Y48" i="16"/>
  <c r="Y46" i="16"/>
  <c r="Y40" i="16"/>
  <c r="Y38" i="16"/>
  <c r="Y32" i="16"/>
  <c r="X14" i="16"/>
  <c r="X109" i="16"/>
  <c r="X107" i="16"/>
  <c r="X105" i="16"/>
  <c r="X103" i="16"/>
  <c r="X101" i="16"/>
  <c r="X99" i="16"/>
  <c r="X97" i="16"/>
  <c r="X95" i="16"/>
  <c r="X93" i="16"/>
  <c r="X91" i="16"/>
  <c r="X89" i="16"/>
  <c r="X87" i="16"/>
  <c r="X85" i="16"/>
  <c r="X83" i="16"/>
  <c r="X81" i="16"/>
  <c r="X79" i="16"/>
  <c r="X77" i="16"/>
  <c r="X75" i="16"/>
  <c r="X73" i="16"/>
  <c r="X71" i="16"/>
  <c r="X69" i="16"/>
  <c r="X67" i="16"/>
  <c r="X65" i="16"/>
  <c r="X63" i="16"/>
  <c r="X61" i="16"/>
  <c r="X59" i="16"/>
  <c r="X57" i="16"/>
  <c r="X55" i="16"/>
  <c r="X53" i="16"/>
  <c r="X51" i="16"/>
  <c r="X49" i="16"/>
  <c r="X47" i="16"/>
  <c r="X45" i="16"/>
  <c r="X43" i="16"/>
  <c r="X41" i="16"/>
  <c r="X39" i="16"/>
  <c r="X37" i="16"/>
  <c r="X35" i="16"/>
  <c r="X33" i="16"/>
  <c r="X31" i="16"/>
  <c r="X29" i="16"/>
  <c r="X23" i="16"/>
  <c r="X110" i="16"/>
  <c r="X108" i="16"/>
  <c r="X106" i="16"/>
  <c r="X104" i="16"/>
  <c r="X102" i="16"/>
  <c r="X100" i="16"/>
  <c r="X98" i="16"/>
  <c r="X96" i="16"/>
  <c r="X94" i="16"/>
  <c r="X92" i="16"/>
  <c r="X90" i="16"/>
  <c r="X88" i="16"/>
  <c r="X86" i="16"/>
  <c r="X84" i="16"/>
  <c r="X82" i="16"/>
  <c r="X80" i="16"/>
  <c r="X78" i="16"/>
  <c r="X76" i="16"/>
  <c r="X74" i="16"/>
  <c r="X72" i="16"/>
  <c r="X70" i="16"/>
  <c r="X68" i="16"/>
  <c r="X66" i="16"/>
  <c r="X64" i="16"/>
  <c r="X62" i="16"/>
  <c r="X60" i="16"/>
  <c r="X58" i="16"/>
  <c r="X56" i="16"/>
  <c r="X54" i="16"/>
  <c r="X52" i="16"/>
  <c r="X50" i="16"/>
  <c r="X48" i="16"/>
  <c r="X46" i="16"/>
  <c r="X44" i="16"/>
  <c r="X42" i="16"/>
  <c r="X40" i="16"/>
  <c r="X38" i="16"/>
  <c r="X36" i="16"/>
  <c r="X34" i="16"/>
  <c r="X32" i="16"/>
  <c r="X30" i="16"/>
  <c r="X28" i="16"/>
  <c r="X27" i="16" s="1"/>
  <c r="X26" i="16" s="1"/>
  <c r="X25" i="16" s="1"/>
  <c r="X24" i="16"/>
  <c r="X22" i="16"/>
  <c r="X21" i="16" s="1"/>
  <c r="X20" i="16" s="1"/>
  <c r="X19" i="16" s="1"/>
  <c r="X18" i="16" s="1"/>
  <c r="X17" i="16" s="1"/>
  <c r="X16" i="16" s="1"/>
  <c r="X15" i="16" s="1"/>
  <c r="L11" i="16"/>
  <c r="L1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AX670" i="5"/>
  <c r="DD24" i="5"/>
  <c r="DD25" i="5"/>
  <c r="DD26" i="5"/>
  <c r="DD27" i="5"/>
  <c r="DD28" i="5"/>
  <c r="DD29" i="5"/>
  <c r="DD30" i="5"/>
  <c r="DD31" i="5"/>
  <c r="DD32" i="5"/>
  <c r="DD33" i="5"/>
  <c r="DD34" i="5"/>
  <c r="DD35" i="5"/>
  <c r="DD36" i="5"/>
  <c r="DD37" i="5"/>
  <c r="DD38" i="5"/>
  <c r="DD39" i="5"/>
  <c r="DD40" i="5"/>
  <c r="DD41" i="5"/>
  <c r="DD42" i="5"/>
  <c r="DD43" i="5"/>
  <c r="DD44" i="5"/>
  <c r="DD45" i="5"/>
  <c r="DD46" i="5"/>
  <c r="DD47" i="5"/>
  <c r="DD48" i="5"/>
  <c r="DD49" i="5"/>
  <c r="DD50" i="5"/>
  <c r="DD51" i="5"/>
  <c r="DD52" i="5"/>
  <c r="DD53" i="5"/>
  <c r="DD54" i="5"/>
  <c r="DD55" i="5"/>
  <c r="DD56" i="5"/>
  <c r="DD57" i="5"/>
  <c r="DD58" i="5"/>
  <c r="DD59" i="5"/>
  <c r="DD60" i="5"/>
  <c r="DD61" i="5"/>
  <c r="DD62" i="5"/>
  <c r="DD63" i="5"/>
  <c r="DD64" i="5"/>
  <c r="DD65" i="5"/>
  <c r="DD66" i="5"/>
  <c r="DD67" i="5"/>
  <c r="DD68" i="5"/>
  <c r="DD69" i="5"/>
  <c r="DD70" i="5"/>
  <c r="DD71" i="5"/>
  <c r="DD72" i="5"/>
  <c r="DD73" i="5"/>
  <c r="DD74" i="5"/>
  <c r="DD75" i="5"/>
  <c r="DD76" i="5"/>
  <c r="DD77" i="5"/>
  <c r="DD78" i="5"/>
  <c r="DD79" i="5"/>
  <c r="DD80" i="5"/>
  <c r="DD81" i="5"/>
  <c r="DD82" i="5"/>
  <c r="DD83" i="5"/>
  <c r="DD84" i="5"/>
  <c r="DD85" i="5"/>
  <c r="DD86" i="5"/>
  <c r="DD87" i="5"/>
  <c r="DD88" i="5"/>
  <c r="DD89" i="5"/>
  <c r="DD90" i="5"/>
  <c r="DD91" i="5"/>
  <c r="DD92" i="5"/>
  <c r="DD93" i="5"/>
  <c r="DD94" i="5"/>
  <c r="DD95" i="5"/>
  <c r="DD96" i="5"/>
  <c r="DD97" i="5"/>
  <c r="DD98" i="5"/>
  <c r="DD99" i="5"/>
  <c r="DD100" i="5"/>
  <c r="DD101" i="5"/>
  <c r="DD102" i="5"/>
  <c r="DD103" i="5"/>
  <c r="DD104" i="5"/>
  <c r="DD105" i="5"/>
  <c r="DD106" i="5"/>
  <c r="DD107" i="5"/>
  <c r="DD108" i="5"/>
  <c r="DD109" i="5"/>
  <c r="DD110" i="5"/>
  <c r="DD111" i="5"/>
  <c r="DD112" i="5"/>
  <c r="DD113" i="5"/>
  <c r="DD114" i="5"/>
  <c r="DD15" i="5"/>
  <c r="DD18" i="5"/>
  <c r="DD19" i="5"/>
  <c r="DD20" i="5"/>
  <c r="DD21" i="5"/>
  <c r="DD22" i="5"/>
  <c r="DD23" i="5"/>
  <c r="A602" i="16"/>
  <c r="A247" i="16"/>
  <c r="A246" i="16"/>
  <c r="A244" i="16"/>
  <c r="A571" i="16" s="1"/>
  <c r="A243" i="16"/>
  <c r="A570" i="16" s="1"/>
  <c r="B238" i="5"/>
  <c r="B237" i="5"/>
  <c r="B220" i="5"/>
  <c r="B218" i="5"/>
  <c r="B219" i="5"/>
  <c r="B217" i="5"/>
  <c r="B213" i="5"/>
  <c r="E25" i="8"/>
  <c r="E24" i="8"/>
  <c r="E23" i="8"/>
  <c r="E22" i="8"/>
  <c r="E17" i="8"/>
  <c r="B556" i="8"/>
  <c r="B548" i="8"/>
  <c r="B547" i="8"/>
  <c r="B338" i="14"/>
  <c r="CP114" i="5"/>
  <c r="CP35" i="5"/>
  <c r="CP34" i="5"/>
  <c r="CP31" i="5"/>
  <c r="CP30" i="5"/>
  <c r="CP29" i="5"/>
  <c r="CP27" i="5"/>
  <c r="CP25" i="5"/>
  <c r="CX114" i="5"/>
  <c r="CX44" i="5"/>
  <c r="CX45" i="5"/>
  <c r="CX46" i="5"/>
  <c r="CX47" i="5"/>
  <c r="CX48" i="5"/>
  <c r="CX49" i="5"/>
  <c r="CX50" i="5"/>
  <c r="CX51" i="5"/>
  <c r="CX52" i="5"/>
  <c r="CX53" i="5"/>
  <c r="CX54" i="5"/>
  <c r="CX55" i="5"/>
  <c r="CX56" i="5"/>
  <c r="CX57" i="5"/>
  <c r="CX58" i="5"/>
  <c r="CX59" i="5"/>
  <c r="CX60" i="5"/>
  <c r="CX61" i="5"/>
  <c r="CX62" i="5"/>
  <c r="CX63" i="5"/>
  <c r="CX64" i="5"/>
  <c r="CX65" i="5"/>
  <c r="CX66" i="5"/>
  <c r="CX68" i="5"/>
  <c r="CX69" i="5"/>
  <c r="CX70" i="5"/>
  <c r="CX71" i="5"/>
  <c r="CX72" i="5"/>
  <c r="CX73" i="5"/>
  <c r="CX74" i="5"/>
  <c r="CX75" i="5"/>
  <c r="CX76" i="5"/>
  <c r="CX77" i="5"/>
  <c r="CX78" i="5"/>
  <c r="CX79" i="5"/>
  <c r="CX80" i="5"/>
  <c r="CX81" i="5"/>
  <c r="CX82" i="5"/>
  <c r="CX83" i="5"/>
  <c r="CX84" i="5"/>
  <c r="CX85" i="5"/>
  <c r="CX86" i="5"/>
  <c r="CX87" i="5"/>
  <c r="CX88" i="5"/>
  <c r="CX89" i="5"/>
  <c r="CX90" i="5"/>
  <c r="CX91" i="5"/>
  <c r="CX92" i="5"/>
  <c r="CX93" i="5"/>
  <c r="CX94" i="5"/>
  <c r="CX95" i="5"/>
  <c r="CX96" i="5"/>
  <c r="CX97" i="5"/>
  <c r="CX98" i="5"/>
  <c r="CX99" i="5"/>
  <c r="CX100" i="5"/>
  <c r="CX101" i="5"/>
  <c r="CX102" i="5"/>
  <c r="CX103" i="5"/>
  <c r="CX104" i="5"/>
  <c r="CX105" i="5"/>
  <c r="CX106" i="5"/>
  <c r="CX107" i="5"/>
  <c r="CX108" i="5"/>
  <c r="CX109" i="5"/>
  <c r="CX110" i="5"/>
  <c r="CX111" i="5"/>
  <c r="CX112" i="5"/>
  <c r="CX113" i="5"/>
  <c r="CX34" i="5"/>
  <c r="CX35" i="5"/>
  <c r="CX36" i="5"/>
  <c r="CX37" i="5"/>
  <c r="CX38" i="5"/>
  <c r="CX39" i="5"/>
  <c r="CX40" i="5"/>
  <c r="CX41" i="5"/>
  <c r="CX42" i="5"/>
  <c r="CX43" i="5"/>
  <c r="B4" i="14"/>
  <c r="D5" i="14"/>
  <c r="Q29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30" i="14"/>
  <c r="Q12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B987" i="5"/>
  <c r="B986" i="5"/>
  <c r="B581" i="8"/>
  <c r="B580" i="8"/>
  <c r="B599" i="8"/>
  <c r="B598" i="8"/>
  <c r="B590" i="8"/>
  <c r="B591" i="8"/>
  <c r="B592" i="8"/>
  <c r="B593" i="8"/>
  <c r="B594" i="8"/>
  <c r="B595" i="8"/>
  <c r="B596" i="8"/>
  <c r="B597" i="8"/>
  <c r="A589" i="8"/>
  <c r="A590" i="8" s="1"/>
  <c r="A591" i="8" s="1"/>
  <c r="A592" i="8" s="1"/>
  <c r="A593" i="8" s="1"/>
  <c r="A594" i="8" s="1"/>
  <c r="A595" i="8" s="1"/>
  <c r="A596" i="8" s="1"/>
  <c r="A597" i="8" s="1"/>
  <c r="A598" i="8" s="1"/>
  <c r="B589" i="8"/>
  <c r="B588" i="8"/>
  <c r="B586" i="8"/>
  <c r="B585" i="8"/>
  <c r="A568" i="8"/>
  <c r="A569" i="8" s="1"/>
  <c r="A570" i="8" s="1"/>
  <c r="A571" i="8" s="1"/>
  <c r="A572" i="8" s="1"/>
  <c r="A573" i="8" s="1"/>
  <c r="A574" i="8" s="1"/>
  <c r="A575" i="8" s="1"/>
  <c r="A576" i="8" s="1"/>
  <c r="A577" i="8" s="1"/>
  <c r="DB114" i="5"/>
  <c r="DC114" i="5" s="1"/>
  <c r="DB38" i="5"/>
  <c r="DB37" i="5"/>
  <c r="DB36" i="5"/>
  <c r="DB35" i="5"/>
  <c r="DB34" i="5"/>
  <c r="DB33" i="5"/>
  <c r="DB32" i="5"/>
  <c r="DB31" i="5"/>
  <c r="DB30" i="5"/>
  <c r="DB29" i="5"/>
  <c r="DB28" i="5"/>
  <c r="DB27" i="5"/>
  <c r="DB26" i="5"/>
  <c r="DB25" i="5"/>
  <c r="DB24" i="5"/>
  <c r="DB23" i="5"/>
  <c r="DB22" i="5"/>
  <c r="DB21" i="5"/>
  <c r="DB20" i="5"/>
  <c r="DB19" i="5"/>
  <c r="DB18" i="5"/>
  <c r="DA40" i="5"/>
  <c r="DA41" i="5"/>
  <c r="DA42" i="5"/>
  <c r="DA43" i="5"/>
  <c r="DA44" i="5"/>
  <c r="DA45" i="5"/>
  <c r="DA46" i="5"/>
  <c r="DA47" i="5"/>
  <c r="DA48" i="5"/>
  <c r="DA49" i="5"/>
  <c r="DA50" i="5"/>
  <c r="DA51" i="5"/>
  <c r="DA52" i="5"/>
  <c r="DA53" i="5"/>
  <c r="DA54" i="5"/>
  <c r="DA55" i="5"/>
  <c r="DA56" i="5"/>
  <c r="DA57" i="5"/>
  <c r="DA58" i="5"/>
  <c r="DA59" i="5"/>
  <c r="DA60" i="5"/>
  <c r="DA61" i="5"/>
  <c r="DA62" i="5"/>
  <c r="DA63" i="5"/>
  <c r="DA64" i="5"/>
  <c r="DA65" i="5"/>
  <c r="DA66" i="5"/>
  <c r="DA67" i="5"/>
  <c r="DA68" i="5"/>
  <c r="DA69" i="5"/>
  <c r="DA70" i="5"/>
  <c r="DA71" i="5"/>
  <c r="DC71" i="5"/>
  <c r="DA72" i="5"/>
  <c r="DC72" i="5"/>
  <c r="DA73" i="5"/>
  <c r="DC73" i="5"/>
  <c r="DA74" i="5"/>
  <c r="DC74" i="5"/>
  <c r="DA75" i="5"/>
  <c r="DC75" i="5"/>
  <c r="DA76" i="5"/>
  <c r="DC76" i="5"/>
  <c r="DA77" i="5"/>
  <c r="DC77" i="5"/>
  <c r="DA78" i="5"/>
  <c r="DC78" i="5"/>
  <c r="DA79" i="5"/>
  <c r="DC79" i="5"/>
  <c r="DA80" i="5"/>
  <c r="DC80" i="5"/>
  <c r="DA81" i="5"/>
  <c r="DC81" i="5"/>
  <c r="DA82" i="5"/>
  <c r="DC82" i="5"/>
  <c r="DA83" i="5"/>
  <c r="DC83" i="5"/>
  <c r="DA84" i="5"/>
  <c r="DC84" i="5"/>
  <c r="DA85" i="5"/>
  <c r="DC85" i="5"/>
  <c r="DA86" i="5"/>
  <c r="DC86" i="5"/>
  <c r="DA87" i="5"/>
  <c r="DC87" i="5"/>
  <c r="DA88" i="5"/>
  <c r="DC88" i="5"/>
  <c r="DA89" i="5"/>
  <c r="DC89" i="5"/>
  <c r="DA90" i="5"/>
  <c r="DC90" i="5"/>
  <c r="DA91" i="5"/>
  <c r="DC91" i="5"/>
  <c r="DA92" i="5"/>
  <c r="DC92" i="5"/>
  <c r="DA93" i="5"/>
  <c r="DC93" i="5"/>
  <c r="DA94" i="5"/>
  <c r="DC94" i="5"/>
  <c r="DA95" i="5"/>
  <c r="DC95" i="5"/>
  <c r="DA96" i="5"/>
  <c r="DC96" i="5"/>
  <c r="DA97" i="5"/>
  <c r="DC97" i="5"/>
  <c r="DA98" i="5"/>
  <c r="DC98" i="5"/>
  <c r="DA99" i="5"/>
  <c r="DC99" i="5"/>
  <c r="DA100" i="5"/>
  <c r="DC100" i="5"/>
  <c r="DA101" i="5"/>
  <c r="DC101" i="5"/>
  <c r="DA102" i="5"/>
  <c r="DC102" i="5"/>
  <c r="DA103" i="5"/>
  <c r="DC103" i="5"/>
  <c r="DA104" i="5"/>
  <c r="DC104" i="5"/>
  <c r="DA105" i="5"/>
  <c r="DC105" i="5"/>
  <c r="DA106" i="5"/>
  <c r="DC106" i="5"/>
  <c r="DA107" i="5"/>
  <c r="DC107" i="5"/>
  <c r="DA108" i="5"/>
  <c r="DC108" i="5"/>
  <c r="DA109" i="5"/>
  <c r="DC109" i="5"/>
  <c r="DA110" i="5"/>
  <c r="DC110" i="5"/>
  <c r="DA111" i="5"/>
  <c r="DC111" i="5"/>
  <c r="DA112" i="5"/>
  <c r="DC112" i="5"/>
  <c r="DA113" i="5"/>
  <c r="DC113" i="5"/>
  <c r="DA114" i="5"/>
  <c r="DA39" i="5"/>
  <c r="DA38" i="5"/>
  <c r="DA37" i="5"/>
  <c r="DA36" i="5"/>
  <c r="DA35" i="5"/>
  <c r="DA34" i="5"/>
  <c r="DA33" i="5"/>
  <c r="DA32" i="5"/>
  <c r="DA31" i="5"/>
  <c r="DA30" i="5"/>
  <c r="DA29" i="5"/>
  <c r="DA28" i="5"/>
  <c r="DA27" i="5"/>
  <c r="DA26" i="5"/>
  <c r="DA25" i="5"/>
  <c r="DA24" i="5"/>
  <c r="DA23" i="5"/>
  <c r="DA22" i="5"/>
  <c r="DA21" i="5"/>
  <c r="DA20" i="5"/>
  <c r="DA19" i="5"/>
  <c r="DA18" i="5"/>
  <c r="B214" i="5"/>
  <c r="B215" i="5"/>
  <c r="B216" i="5"/>
  <c r="B212" i="5"/>
  <c r="R111" i="14" l="1"/>
  <c r="BB16" i="8"/>
  <c r="BB15" i="8"/>
  <c r="BB5" i="8"/>
  <c r="B597" i="5"/>
  <c r="A598" i="16" s="1"/>
  <c r="B596" i="5"/>
  <c r="A597" i="16" s="1"/>
  <c r="B447" i="8"/>
  <c r="B446" i="8"/>
  <c r="B123" i="8"/>
  <c r="B122" i="8"/>
  <c r="BK18" i="5"/>
  <c r="BK27" i="5"/>
  <c r="BK29" i="5"/>
  <c r="BK30" i="5"/>
  <c r="BK31" i="5"/>
  <c r="BK32" i="5"/>
  <c r="BK33" i="5"/>
  <c r="BK34" i="5"/>
  <c r="BK35" i="5"/>
  <c r="BK36" i="5"/>
  <c r="BK37" i="5"/>
  <c r="BK38" i="5"/>
  <c r="BK39" i="5"/>
  <c r="BK40" i="5"/>
  <c r="BK41" i="5"/>
  <c r="BK42" i="5"/>
  <c r="BK43" i="5"/>
  <c r="BK44" i="5"/>
  <c r="BK45" i="5"/>
  <c r="BK46" i="5"/>
  <c r="BK47" i="5"/>
  <c r="BK48" i="5"/>
  <c r="BK49" i="5"/>
  <c r="BK50" i="5"/>
  <c r="BK51" i="5"/>
  <c r="BK52" i="5"/>
  <c r="BK53" i="5"/>
  <c r="BK54" i="5"/>
  <c r="BK55" i="5"/>
  <c r="BK56" i="5"/>
  <c r="BK57" i="5"/>
  <c r="BK58" i="5"/>
  <c r="BK59" i="5"/>
  <c r="BK60" i="5"/>
  <c r="BK61" i="5"/>
  <c r="BK62" i="5"/>
  <c r="BK63" i="5"/>
  <c r="BK64" i="5"/>
  <c r="BK65" i="5"/>
  <c r="BK66" i="5"/>
  <c r="BK67" i="5"/>
  <c r="BK68" i="5"/>
  <c r="BK69" i="5"/>
  <c r="BK70" i="5"/>
  <c r="BK71" i="5"/>
  <c r="BK72" i="5"/>
  <c r="BK73" i="5"/>
  <c r="BK74" i="5"/>
  <c r="BK75" i="5"/>
  <c r="BK76" i="5"/>
  <c r="BK77" i="5"/>
  <c r="BK78" i="5"/>
  <c r="BK79" i="5"/>
  <c r="BK80" i="5"/>
  <c r="BK81" i="5"/>
  <c r="BK82" i="5"/>
  <c r="BK83" i="5"/>
  <c r="BK84" i="5"/>
  <c r="BK85" i="5"/>
  <c r="BK86" i="5"/>
  <c r="BK87" i="5"/>
  <c r="BK88" i="5"/>
  <c r="BK89" i="5"/>
  <c r="BK90" i="5"/>
  <c r="BK91" i="5"/>
  <c r="BK92" i="5"/>
  <c r="BK93" i="5"/>
  <c r="BK94" i="5"/>
  <c r="BK95" i="5"/>
  <c r="BK96" i="5"/>
  <c r="BK97" i="5"/>
  <c r="BK98" i="5"/>
  <c r="BK99" i="5"/>
  <c r="BK100" i="5"/>
  <c r="BK101" i="5"/>
  <c r="BK102" i="5"/>
  <c r="BK103" i="5"/>
  <c r="BK104" i="5"/>
  <c r="BK105" i="5"/>
  <c r="BK106" i="5"/>
  <c r="BK107" i="5"/>
  <c r="BK108" i="5"/>
  <c r="BK109" i="5"/>
  <c r="BK110" i="5"/>
  <c r="BK111" i="5"/>
  <c r="BK112" i="5"/>
  <c r="BK113" i="5"/>
  <c r="BK114" i="5"/>
  <c r="B448" i="5"/>
  <c r="L8" i="5"/>
  <c r="L6" i="5"/>
  <c r="L12" i="13"/>
  <c r="L13" i="13"/>
  <c r="L14" i="13"/>
  <c r="L15" i="13"/>
  <c r="L17" i="13"/>
  <c r="L18" i="13"/>
  <c r="L19" i="13"/>
  <c r="L20" i="13"/>
  <c r="L22" i="13"/>
  <c r="L23" i="13"/>
  <c r="L24" i="13"/>
  <c r="L27" i="13"/>
  <c r="L28" i="13"/>
  <c r="L29" i="13"/>
  <c r="L30" i="13"/>
  <c r="L31" i="13"/>
  <c r="L32" i="13"/>
  <c r="L33" i="13"/>
  <c r="L34" i="13"/>
  <c r="L36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L68" i="13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90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08" i="13"/>
  <c r="L109" i="13"/>
  <c r="L110" i="13"/>
  <c r="L111" i="13"/>
  <c r="L16" i="13"/>
  <c r="J111" i="14"/>
  <c r="W111" i="14" s="1"/>
  <c r="K111" i="14"/>
  <c r="N111" i="14" s="1"/>
  <c r="L111" i="14"/>
  <c r="J37" i="14"/>
  <c r="W37" i="14" s="1"/>
  <c r="K37" i="14"/>
  <c r="N37" i="14" s="1"/>
  <c r="L37" i="14"/>
  <c r="J38" i="14"/>
  <c r="W38" i="14" s="1"/>
  <c r="K38" i="14"/>
  <c r="N38" i="14" s="1"/>
  <c r="L38" i="14"/>
  <c r="J39" i="14"/>
  <c r="W39" i="14" s="1"/>
  <c r="K39" i="14"/>
  <c r="N39" i="14" s="1"/>
  <c r="L39" i="14"/>
  <c r="J40" i="14"/>
  <c r="W40" i="14" s="1"/>
  <c r="K40" i="14"/>
  <c r="N40" i="14" s="1"/>
  <c r="L40" i="14"/>
  <c r="J41" i="14"/>
  <c r="W41" i="14" s="1"/>
  <c r="K41" i="14"/>
  <c r="N41" i="14" s="1"/>
  <c r="L41" i="14"/>
  <c r="J42" i="14"/>
  <c r="W42" i="14" s="1"/>
  <c r="K42" i="14"/>
  <c r="N42" i="14" s="1"/>
  <c r="L42" i="14"/>
  <c r="J43" i="14"/>
  <c r="W43" i="14" s="1"/>
  <c r="K43" i="14"/>
  <c r="N43" i="14" s="1"/>
  <c r="L43" i="14"/>
  <c r="J44" i="14"/>
  <c r="W44" i="14" s="1"/>
  <c r="K44" i="14"/>
  <c r="N44" i="14" s="1"/>
  <c r="L44" i="14"/>
  <c r="J45" i="14"/>
  <c r="K45" i="14"/>
  <c r="N45" i="14" s="1"/>
  <c r="L45" i="14"/>
  <c r="J46" i="14"/>
  <c r="K46" i="14"/>
  <c r="N46" i="14" s="1"/>
  <c r="L46" i="14"/>
  <c r="J47" i="14"/>
  <c r="K47" i="14"/>
  <c r="N47" i="14" s="1"/>
  <c r="L47" i="14"/>
  <c r="J48" i="14"/>
  <c r="K48" i="14"/>
  <c r="N48" i="14" s="1"/>
  <c r="L48" i="14"/>
  <c r="J49" i="14"/>
  <c r="K49" i="14"/>
  <c r="N49" i="14" s="1"/>
  <c r="L49" i="14"/>
  <c r="J50" i="14"/>
  <c r="K50" i="14"/>
  <c r="N50" i="14" s="1"/>
  <c r="L50" i="14"/>
  <c r="J51" i="14"/>
  <c r="K51" i="14"/>
  <c r="N51" i="14" s="1"/>
  <c r="L51" i="14"/>
  <c r="J52" i="14"/>
  <c r="K52" i="14"/>
  <c r="N52" i="14" s="1"/>
  <c r="L52" i="14"/>
  <c r="J53" i="14"/>
  <c r="K53" i="14"/>
  <c r="N53" i="14" s="1"/>
  <c r="L53" i="14"/>
  <c r="J54" i="14"/>
  <c r="K54" i="14"/>
  <c r="N54" i="14" s="1"/>
  <c r="L54" i="14"/>
  <c r="J55" i="14"/>
  <c r="K55" i="14"/>
  <c r="N55" i="14" s="1"/>
  <c r="L55" i="14"/>
  <c r="J56" i="14"/>
  <c r="K56" i="14"/>
  <c r="N56" i="14" s="1"/>
  <c r="L56" i="14"/>
  <c r="J57" i="14"/>
  <c r="K57" i="14"/>
  <c r="N57" i="14" s="1"/>
  <c r="L57" i="14"/>
  <c r="J58" i="14"/>
  <c r="K58" i="14"/>
  <c r="N58" i="14" s="1"/>
  <c r="L58" i="14"/>
  <c r="J59" i="14"/>
  <c r="K59" i="14"/>
  <c r="N59" i="14" s="1"/>
  <c r="L59" i="14"/>
  <c r="J60" i="14"/>
  <c r="K60" i="14"/>
  <c r="N60" i="14" s="1"/>
  <c r="L60" i="14"/>
  <c r="J61" i="14"/>
  <c r="K61" i="14"/>
  <c r="N61" i="14" s="1"/>
  <c r="L61" i="14"/>
  <c r="J62" i="14"/>
  <c r="K62" i="14"/>
  <c r="N62" i="14" s="1"/>
  <c r="L62" i="14"/>
  <c r="J63" i="14"/>
  <c r="K63" i="14"/>
  <c r="N63" i="14" s="1"/>
  <c r="L63" i="14"/>
  <c r="J64" i="14"/>
  <c r="K64" i="14"/>
  <c r="N64" i="14" s="1"/>
  <c r="L64" i="14"/>
  <c r="J65" i="14"/>
  <c r="K65" i="14"/>
  <c r="N65" i="14" s="1"/>
  <c r="L65" i="14"/>
  <c r="J66" i="14"/>
  <c r="K66" i="14"/>
  <c r="N66" i="14" s="1"/>
  <c r="L66" i="14"/>
  <c r="J67" i="14"/>
  <c r="K67" i="14"/>
  <c r="N67" i="14" s="1"/>
  <c r="L67" i="14"/>
  <c r="J68" i="14"/>
  <c r="K68" i="14"/>
  <c r="N68" i="14" s="1"/>
  <c r="L68" i="14"/>
  <c r="J69" i="14"/>
  <c r="K69" i="14"/>
  <c r="N69" i="14" s="1"/>
  <c r="L69" i="14"/>
  <c r="J70" i="14"/>
  <c r="K70" i="14"/>
  <c r="N70" i="14" s="1"/>
  <c r="L70" i="14"/>
  <c r="J71" i="14"/>
  <c r="K71" i="14"/>
  <c r="N71" i="14" s="1"/>
  <c r="L71" i="14"/>
  <c r="J72" i="14"/>
  <c r="K72" i="14"/>
  <c r="N72" i="14" s="1"/>
  <c r="L72" i="14"/>
  <c r="J73" i="14"/>
  <c r="K73" i="14"/>
  <c r="N73" i="14" s="1"/>
  <c r="L73" i="14"/>
  <c r="J74" i="14"/>
  <c r="K74" i="14"/>
  <c r="N74" i="14" s="1"/>
  <c r="L74" i="14"/>
  <c r="J75" i="14"/>
  <c r="K75" i="14"/>
  <c r="N75" i="14" s="1"/>
  <c r="L75" i="14"/>
  <c r="J76" i="14"/>
  <c r="K76" i="14"/>
  <c r="N76" i="14" s="1"/>
  <c r="L76" i="14"/>
  <c r="J77" i="14"/>
  <c r="K77" i="14"/>
  <c r="N77" i="14" s="1"/>
  <c r="L77" i="14"/>
  <c r="J78" i="14"/>
  <c r="K78" i="14"/>
  <c r="N78" i="14" s="1"/>
  <c r="L78" i="14"/>
  <c r="J79" i="14"/>
  <c r="K79" i="14"/>
  <c r="N79" i="14" s="1"/>
  <c r="L79" i="14"/>
  <c r="J80" i="14"/>
  <c r="K80" i="14"/>
  <c r="N80" i="14" s="1"/>
  <c r="L80" i="14"/>
  <c r="J81" i="14"/>
  <c r="K81" i="14"/>
  <c r="N81" i="14" s="1"/>
  <c r="L81" i="14"/>
  <c r="J82" i="14"/>
  <c r="K82" i="14"/>
  <c r="N82" i="14" s="1"/>
  <c r="L82" i="14"/>
  <c r="J83" i="14"/>
  <c r="K83" i="14"/>
  <c r="N83" i="14" s="1"/>
  <c r="L83" i="14"/>
  <c r="J84" i="14"/>
  <c r="K84" i="14"/>
  <c r="N84" i="14" s="1"/>
  <c r="L84" i="14"/>
  <c r="J85" i="14"/>
  <c r="K85" i="14"/>
  <c r="N85" i="14" s="1"/>
  <c r="L85" i="14"/>
  <c r="J86" i="14"/>
  <c r="K86" i="14"/>
  <c r="N86" i="14" s="1"/>
  <c r="L86" i="14"/>
  <c r="J87" i="14"/>
  <c r="K87" i="14"/>
  <c r="N87" i="14" s="1"/>
  <c r="L87" i="14"/>
  <c r="J88" i="14"/>
  <c r="K88" i="14"/>
  <c r="N88" i="14" s="1"/>
  <c r="L88" i="14"/>
  <c r="J89" i="14"/>
  <c r="K89" i="14"/>
  <c r="N89" i="14" s="1"/>
  <c r="L89" i="14"/>
  <c r="J90" i="14"/>
  <c r="K90" i="14"/>
  <c r="N90" i="14" s="1"/>
  <c r="L90" i="14"/>
  <c r="J91" i="14"/>
  <c r="K91" i="14"/>
  <c r="N91" i="14" s="1"/>
  <c r="L91" i="14"/>
  <c r="J92" i="14"/>
  <c r="K92" i="14"/>
  <c r="N92" i="14" s="1"/>
  <c r="L92" i="14"/>
  <c r="J93" i="14"/>
  <c r="K93" i="14"/>
  <c r="N93" i="14" s="1"/>
  <c r="L93" i="14"/>
  <c r="J94" i="14"/>
  <c r="K94" i="14"/>
  <c r="N94" i="14" s="1"/>
  <c r="L94" i="14"/>
  <c r="J95" i="14"/>
  <c r="K95" i="14"/>
  <c r="N95" i="14" s="1"/>
  <c r="L95" i="14"/>
  <c r="J96" i="14"/>
  <c r="K96" i="14"/>
  <c r="N96" i="14" s="1"/>
  <c r="L96" i="14"/>
  <c r="J97" i="14"/>
  <c r="K97" i="14"/>
  <c r="N97" i="14" s="1"/>
  <c r="L97" i="14"/>
  <c r="J98" i="14"/>
  <c r="K98" i="14"/>
  <c r="N98" i="14" s="1"/>
  <c r="L98" i="14"/>
  <c r="J99" i="14"/>
  <c r="K99" i="14"/>
  <c r="N99" i="14" s="1"/>
  <c r="L99" i="14"/>
  <c r="J100" i="14"/>
  <c r="K100" i="14"/>
  <c r="N100" i="14" s="1"/>
  <c r="L100" i="14"/>
  <c r="J101" i="14"/>
  <c r="K101" i="14"/>
  <c r="N101" i="14" s="1"/>
  <c r="L101" i="14"/>
  <c r="J102" i="14"/>
  <c r="K102" i="14"/>
  <c r="N102" i="14" s="1"/>
  <c r="L102" i="14"/>
  <c r="J103" i="14"/>
  <c r="K103" i="14"/>
  <c r="N103" i="14" s="1"/>
  <c r="L103" i="14"/>
  <c r="J104" i="14"/>
  <c r="K104" i="14"/>
  <c r="N104" i="14" s="1"/>
  <c r="L104" i="14"/>
  <c r="J105" i="14"/>
  <c r="K105" i="14"/>
  <c r="N105" i="14" s="1"/>
  <c r="L105" i="14"/>
  <c r="J106" i="14"/>
  <c r="K106" i="14"/>
  <c r="N106" i="14" s="1"/>
  <c r="L106" i="14"/>
  <c r="J107" i="14"/>
  <c r="K107" i="14"/>
  <c r="N107" i="14" s="1"/>
  <c r="L107" i="14"/>
  <c r="J108" i="14"/>
  <c r="K108" i="14"/>
  <c r="N108" i="14" s="1"/>
  <c r="L108" i="14"/>
  <c r="J109" i="14"/>
  <c r="K109" i="14"/>
  <c r="N109" i="14" s="1"/>
  <c r="L109" i="14"/>
  <c r="J110" i="14"/>
  <c r="K110" i="14"/>
  <c r="N110" i="14" s="1"/>
  <c r="L110" i="14"/>
  <c r="J36" i="14"/>
  <c r="W36" i="14" s="1"/>
  <c r="K36" i="14"/>
  <c r="N36" i="14" s="1"/>
  <c r="L36" i="14"/>
  <c r="J15" i="14"/>
  <c r="W15" i="14" s="1"/>
  <c r="J24" i="14"/>
  <c r="W24" i="14" s="1"/>
  <c r="J26" i="14"/>
  <c r="W26" i="14" s="1"/>
  <c r="J27" i="14"/>
  <c r="W27" i="14" s="1"/>
  <c r="J28" i="14"/>
  <c r="W28" i="14" s="1"/>
  <c r="J29" i="14"/>
  <c r="W29" i="14" s="1"/>
  <c r="J30" i="14"/>
  <c r="W30" i="14" s="1"/>
  <c r="J31" i="14"/>
  <c r="W31" i="14" s="1"/>
  <c r="J32" i="14"/>
  <c r="W32" i="14" s="1"/>
  <c r="J33" i="14"/>
  <c r="J34" i="14"/>
  <c r="J35" i="14"/>
  <c r="W35" i="14" s="1"/>
  <c r="L12" i="14"/>
  <c r="L13" i="14"/>
  <c r="L14" i="14"/>
  <c r="L15" i="14"/>
  <c r="L26" i="14"/>
  <c r="L27" i="14"/>
  <c r="L28" i="14"/>
  <c r="L29" i="14"/>
  <c r="L30" i="14"/>
  <c r="L31" i="14"/>
  <c r="L32" i="14"/>
  <c r="L33" i="14"/>
  <c r="L34" i="14"/>
  <c r="L35" i="14"/>
  <c r="K35" i="14"/>
  <c r="N35" i="14" s="1"/>
  <c r="K34" i="14"/>
  <c r="N34" i="14" s="1"/>
  <c r="K33" i="14"/>
  <c r="N33" i="14" s="1"/>
  <c r="K32" i="14"/>
  <c r="N32" i="14" s="1"/>
  <c r="K31" i="14"/>
  <c r="N31" i="14" s="1"/>
  <c r="K30" i="14"/>
  <c r="N30" i="14" s="1"/>
  <c r="K29" i="14"/>
  <c r="N29" i="14" s="1"/>
  <c r="K28" i="14"/>
  <c r="N28" i="14" s="1"/>
  <c r="K27" i="14"/>
  <c r="N27" i="14" s="1"/>
  <c r="K26" i="14"/>
  <c r="N26" i="14" s="1"/>
  <c r="K25" i="14"/>
  <c r="N25" i="14" s="1"/>
  <c r="K24" i="14"/>
  <c r="N24" i="14" s="1"/>
  <c r="K23" i="14"/>
  <c r="N23" i="14" s="1"/>
  <c r="K22" i="14"/>
  <c r="N22" i="14" s="1"/>
  <c r="K21" i="14"/>
  <c r="N21" i="14" s="1"/>
  <c r="K20" i="14"/>
  <c r="N20" i="14" s="1"/>
  <c r="K19" i="14"/>
  <c r="N19" i="14" s="1"/>
  <c r="K18" i="14"/>
  <c r="N18" i="14" s="1"/>
  <c r="K12" i="14"/>
  <c r="N12" i="14" s="1"/>
  <c r="K13" i="14"/>
  <c r="N13" i="14" s="1"/>
  <c r="K14" i="14"/>
  <c r="N14" i="14" s="1"/>
  <c r="K15" i="14"/>
  <c r="N15" i="14" s="1"/>
  <c r="K16" i="14"/>
  <c r="N16" i="14" s="1"/>
  <c r="K17" i="14"/>
  <c r="M17" i="14" s="1"/>
  <c r="CD41" i="5"/>
  <c r="CD55" i="5"/>
  <c r="CD65" i="5"/>
  <c r="CD66" i="5"/>
  <c r="CD71" i="5"/>
  <c r="CD72" i="5"/>
  <c r="CD74" i="5"/>
  <c r="CD77" i="5"/>
  <c r="CD78" i="5"/>
  <c r="CD79" i="5"/>
  <c r="CD80" i="5"/>
  <c r="CD81" i="5"/>
  <c r="CD82" i="5"/>
  <c r="CD83" i="5"/>
  <c r="CD84" i="5"/>
  <c r="CD85" i="5"/>
  <c r="CD86" i="5"/>
  <c r="CD87" i="5"/>
  <c r="CD88" i="5"/>
  <c r="CD89" i="5"/>
  <c r="CD90" i="5"/>
  <c r="CD91" i="5"/>
  <c r="CD92" i="5"/>
  <c r="CD93" i="5"/>
  <c r="CD94" i="5"/>
  <c r="CD95" i="5"/>
  <c r="CD96" i="5"/>
  <c r="CD97" i="5"/>
  <c r="CD98" i="5"/>
  <c r="CD99" i="5"/>
  <c r="CD100" i="5"/>
  <c r="CD101" i="5"/>
  <c r="CD102" i="5"/>
  <c r="CD103" i="5"/>
  <c r="CD104" i="5"/>
  <c r="CD105" i="5"/>
  <c r="CD106" i="5"/>
  <c r="CD107" i="5"/>
  <c r="CD108" i="5"/>
  <c r="CD109" i="5"/>
  <c r="CD110" i="5"/>
  <c r="CD111" i="5"/>
  <c r="CD112" i="5"/>
  <c r="CD113" i="5"/>
  <c r="CD18" i="5"/>
  <c r="M35" i="14" l="1"/>
  <c r="M33" i="14"/>
  <c r="M31" i="14"/>
  <c r="M29" i="14"/>
  <c r="M27" i="14"/>
  <c r="M13" i="14"/>
  <c r="O13" i="14" s="1"/>
  <c r="M34" i="14"/>
  <c r="M32" i="14"/>
  <c r="O32" i="14" s="1"/>
  <c r="M30" i="14"/>
  <c r="M28" i="14"/>
  <c r="O28" i="14" s="1"/>
  <c r="U111" i="14"/>
  <c r="V111" i="14" s="1"/>
  <c r="T111" i="14"/>
  <c r="R110" i="14"/>
  <c r="T110" i="14" s="1"/>
  <c r="S111" i="14"/>
  <c r="R109" i="14"/>
  <c r="T109" i="14" s="1"/>
  <c r="M12" i="14"/>
  <c r="O12" i="14" s="1"/>
  <c r="O35" i="14"/>
  <c r="O33" i="14"/>
  <c r="O31" i="14"/>
  <c r="O29" i="14"/>
  <c r="O27" i="14"/>
  <c r="O34" i="14"/>
  <c r="O30" i="14"/>
  <c r="M18" i="14"/>
  <c r="N17" i="14"/>
  <c r="M15" i="14"/>
  <c r="O15" i="14" s="1"/>
  <c r="M16" i="14"/>
  <c r="M14" i="14"/>
  <c r="O14" i="14" s="1"/>
  <c r="M25" i="14"/>
  <c r="M23" i="14"/>
  <c r="M21" i="14"/>
  <c r="M19" i="14"/>
  <c r="M26" i="14"/>
  <c r="O26" i="14" s="1"/>
  <c r="M24" i="14"/>
  <c r="M22" i="14"/>
  <c r="M20" i="14"/>
  <c r="M111" i="14"/>
  <c r="O111" i="14" s="1"/>
  <c r="M109" i="14"/>
  <c r="O109" i="14" s="1"/>
  <c r="M107" i="14"/>
  <c r="O107" i="14" s="1"/>
  <c r="M105" i="14"/>
  <c r="O105" i="14" s="1"/>
  <c r="M103" i="14"/>
  <c r="O103" i="14" s="1"/>
  <c r="M101" i="14"/>
  <c r="O101" i="14" s="1"/>
  <c r="M99" i="14"/>
  <c r="O99" i="14" s="1"/>
  <c r="M97" i="14"/>
  <c r="O97" i="14" s="1"/>
  <c r="M95" i="14"/>
  <c r="O95" i="14" s="1"/>
  <c r="M93" i="14"/>
  <c r="O93" i="14" s="1"/>
  <c r="M91" i="14"/>
  <c r="O91" i="14" s="1"/>
  <c r="M89" i="14"/>
  <c r="O89" i="14" s="1"/>
  <c r="M87" i="14"/>
  <c r="O87" i="14" s="1"/>
  <c r="M85" i="14"/>
  <c r="O85" i="14" s="1"/>
  <c r="M83" i="14"/>
  <c r="O83" i="14" s="1"/>
  <c r="M81" i="14"/>
  <c r="O81" i="14" s="1"/>
  <c r="M79" i="14"/>
  <c r="O79" i="14" s="1"/>
  <c r="M77" i="14"/>
  <c r="O77" i="14" s="1"/>
  <c r="M75" i="14"/>
  <c r="O75" i="14" s="1"/>
  <c r="M73" i="14"/>
  <c r="O73" i="14" s="1"/>
  <c r="M71" i="14"/>
  <c r="O71" i="14" s="1"/>
  <c r="M69" i="14"/>
  <c r="O69" i="14" s="1"/>
  <c r="M67" i="14"/>
  <c r="O67" i="14" s="1"/>
  <c r="M65" i="14"/>
  <c r="O65" i="14" s="1"/>
  <c r="M63" i="14"/>
  <c r="O63" i="14" s="1"/>
  <c r="M61" i="14"/>
  <c r="O61" i="14" s="1"/>
  <c r="M59" i="14"/>
  <c r="O59" i="14" s="1"/>
  <c r="M57" i="14"/>
  <c r="O57" i="14" s="1"/>
  <c r="M55" i="14"/>
  <c r="O55" i="14" s="1"/>
  <c r="M53" i="14"/>
  <c r="O53" i="14" s="1"/>
  <c r="M51" i="14"/>
  <c r="O51" i="14" s="1"/>
  <c r="M49" i="14"/>
  <c r="O49" i="14" s="1"/>
  <c r="M47" i="14"/>
  <c r="O47" i="14" s="1"/>
  <c r="M45" i="14"/>
  <c r="O45" i="14" s="1"/>
  <c r="M43" i="14"/>
  <c r="O43" i="14" s="1"/>
  <c r="M41" i="14"/>
  <c r="O41" i="14" s="1"/>
  <c r="M39" i="14"/>
  <c r="O39" i="14" s="1"/>
  <c r="M37" i="14"/>
  <c r="O37" i="14" s="1"/>
  <c r="M110" i="14"/>
  <c r="O110" i="14" s="1"/>
  <c r="M108" i="14"/>
  <c r="O108" i="14" s="1"/>
  <c r="M106" i="14"/>
  <c r="O106" i="14" s="1"/>
  <c r="M104" i="14"/>
  <c r="O104" i="14" s="1"/>
  <c r="M102" i="14"/>
  <c r="O102" i="14" s="1"/>
  <c r="M100" i="14"/>
  <c r="O100" i="14" s="1"/>
  <c r="M98" i="14"/>
  <c r="O98" i="14" s="1"/>
  <c r="M96" i="14"/>
  <c r="O96" i="14" s="1"/>
  <c r="M94" i="14"/>
  <c r="O94" i="14" s="1"/>
  <c r="M92" i="14"/>
  <c r="O92" i="14" s="1"/>
  <c r="M90" i="14"/>
  <c r="O90" i="14" s="1"/>
  <c r="M88" i="14"/>
  <c r="O88" i="14" s="1"/>
  <c r="M86" i="14"/>
  <c r="O86" i="14" s="1"/>
  <c r="M84" i="14"/>
  <c r="O84" i="14" s="1"/>
  <c r="M82" i="14"/>
  <c r="O82" i="14" s="1"/>
  <c r="M80" i="14"/>
  <c r="O80" i="14" s="1"/>
  <c r="M78" i="14"/>
  <c r="O78" i="14" s="1"/>
  <c r="M76" i="14"/>
  <c r="O76" i="14" s="1"/>
  <c r="M74" i="14"/>
  <c r="O74" i="14" s="1"/>
  <c r="M72" i="14"/>
  <c r="O72" i="14" s="1"/>
  <c r="M70" i="14"/>
  <c r="O70" i="14" s="1"/>
  <c r="M68" i="14"/>
  <c r="O68" i="14" s="1"/>
  <c r="M66" i="14"/>
  <c r="O66" i="14" s="1"/>
  <c r="M64" i="14"/>
  <c r="O64" i="14" s="1"/>
  <c r="M62" i="14"/>
  <c r="O62" i="14" s="1"/>
  <c r="M60" i="14"/>
  <c r="O60" i="14" s="1"/>
  <c r="M58" i="14"/>
  <c r="O58" i="14" s="1"/>
  <c r="M56" i="14"/>
  <c r="O56" i="14" s="1"/>
  <c r="M54" i="14"/>
  <c r="O54" i="14" s="1"/>
  <c r="M52" i="14"/>
  <c r="O52" i="14" s="1"/>
  <c r="M50" i="14"/>
  <c r="O50" i="14" s="1"/>
  <c r="M48" i="14"/>
  <c r="O48" i="14" s="1"/>
  <c r="M46" i="14"/>
  <c r="O46" i="14" s="1"/>
  <c r="M44" i="14"/>
  <c r="O44" i="14" s="1"/>
  <c r="M42" i="14"/>
  <c r="O42" i="14" s="1"/>
  <c r="M40" i="14"/>
  <c r="O40" i="14" s="1"/>
  <c r="M38" i="14"/>
  <c r="O38" i="14" s="1"/>
  <c r="M36" i="14"/>
  <c r="O36" i="14" s="1"/>
  <c r="B255" i="5"/>
  <c r="B254" i="5"/>
  <c r="B766" i="5"/>
  <c r="B765" i="5"/>
  <c r="B267" i="5"/>
  <c r="B266" i="5"/>
  <c r="B226" i="14"/>
  <c r="B720" i="5"/>
  <c r="B719" i="5"/>
  <c r="C15" i="5"/>
  <c r="C15" i="9"/>
  <c r="B227" i="14"/>
  <c r="L21" i="7"/>
  <c r="L20" i="7"/>
  <c r="J21" i="7"/>
  <c r="B898" i="5"/>
  <c r="J108" i="12"/>
  <c r="I9" i="12"/>
  <c r="I10" i="12"/>
  <c r="I11" i="12"/>
  <c r="I12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F19" i="12"/>
  <c r="F20" i="12"/>
  <c r="F16" i="12"/>
  <c r="F17" i="12"/>
  <c r="F18" i="12"/>
  <c r="F10" i="12"/>
  <c r="F11" i="12"/>
  <c r="F12" i="12"/>
  <c r="F13" i="12"/>
  <c r="F14" i="12"/>
  <c r="F15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9" i="12"/>
  <c r="G12" i="12"/>
  <c r="S12" i="12" s="1"/>
  <c r="G13" i="12"/>
  <c r="S13" i="12" s="1"/>
  <c r="G14" i="12"/>
  <c r="S14" i="12" s="1"/>
  <c r="G15" i="12"/>
  <c r="S15" i="12" s="1"/>
  <c r="G16" i="12"/>
  <c r="S16" i="12" s="1"/>
  <c r="G17" i="12"/>
  <c r="S17" i="12" s="1"/>
  <c r="G18" i="12"/>
  <c r="S18" i="12" s="1"/>
  <c r="G19" i="12"/>
  <c r="G20" i="12"/>
  <c r="S20" i="12" s="1"/>
  <c r="G21" i="12"/>
  <c r="G22" i="12"/>
  <c r="S22" i="12" s="1"/>
  <c r="G23" i="12"/>
  <c r="G24" i="12"/>
  <c r="S24" i="12" s="1"/>
  <c r="G25" i="12"/>
  <c r="G26" i="12"/>
  <c r="S26" i="12" s="1"/>
  <c r="G27" i="12"/>
  <c r="G28" i="12"/>
  <c r="S28" i="12" s="1"/>
  <c r="G29" i="12"/>
  <c r="G30" i="12"/>
  <c r="S30" i="12" s="1"/>
  <c r="G31" i="12"/>
  <c r="G32" i="12"/>
  <c r="S32" i="12" s="1"/>
  <c r="G33" i="12"/>
  <c r="G34" i="12"/>
  <c r="S34" i="12" s="1"/>
  <c r="G35" i="12"/>
  <c r="G36" i="12"/>
  <c r="S36" i="12" s="1"/>
  <c r="G37" i="12"/>
  <c r="G38" i="12"/>
  <c r="S38" i="12" s="1"/>
  <c r="G39" i="12"/>
  <c r="G40" i="12"/>
  <c r="S40" i="12" s="1"/>
  <c r="G41" i="12"/>
  <c r="G42" i="12"/>
  <c r="S42" i="12" s="1"/>
  <c r="G43" i="12"/>
  <c r="G44" i="12"/>
  <c r="S44" i="12" s="1"/>
  <c r="G45" i="12"/>
  <c r="G46" i="12"/>
  <c r="S46" i="12" s="1"/>
  <c r="G47" i="12"/>
  <c r="G48" i="12"/>
  <c r="S48" i="12" s="1"/>
  <c r="G49" i="12"/>
  <c r="G50" i="12"/>
  <c r="S50" i="12" s="1"/>
  <c r="G51" i="12"/>
  <c r="G52" i="12"/>
  <c r="S52" i="12" s="1"/>
  <c r="G53" i="12"/>
  <c r="G54" i="12"/>
  <c r="S54" i="12" s="1"/>
  <c r="G55" i="12"/>
  <c r="G56" i="12"/>
  <c r="S56" i="12" s="1"/>
  <c r="G57" i="12"/>
  <c r="G58" i="12"/>
  <c r="S58" i="12" s="1"/>
  <c r="G59" i="12"/>
  <c r="G60" i="12"/>
  <c r="S60" i="12" s="1"/>
  <c r="G61" i="12"/>
  <c r="G62" i="12"/>
  <c r="S62" i="12" s="1"/>
  <c r="G63" i="12"/>
  <c r="G64" i="12"/>
  <c r="S64" i="12" s="1"/>
  <c r="G65" i="12"/>
  <c r="G66" i="12"/>
  <c r="S66" i="12" s="1"/>
  <c r="G67" i="12"/>
  <c r="G68" i="12"/>
  <c r="S68" i="12" s="1"/>
  <c r="G69" i="12"/>
  <c r="G70" i="12"/>
  <c r="S70" i="12" s="1"/>
  <c r="G71" i="12"/>
  <c r="G72" i="12"/>
  <c r="S72" i="12" s="1"/>
  <c r="G73" i="12"/>
  <c r="G74" i="12"/>
  <c r="S74" i="12" s="1"/>
  <c r="G75" i="12"/>
  <c r="G76" i="12"/>
  <c r="S76" i="12" s="1"/>
  <c r="G77" i="12"/>
  <c r="G78" i="12"/>
  <c r="S78" i="12" s="1"/>
  <c r="G79" i="12"/>
  <c r="G80" i="12"/>
  <c r="S80" i="12" s="1"/>
  <c r="G81" i="12"/>
  <c r="G82" i="12"/>
  <c r="S82" i="12" s="1"/>
  <c r="G83" i="12"/>
  <c r="G84" i="12"/>
  <c r="S84" i="12" s="1"/>
  <c r="G85" i="12"/>
  <c r="G86" i="12"/>
  <c r="S86" i="12" s="1"/>
  <c r="G87" i="12"/>
  <c r="G88" i="12"/>
  <c r="S88" i="12" s="1"/>
  <c r="G89" i="12"/>
  <c r="G90" i="12"/>
  <c r="S90" i="12" s="1"/>
  <c r="G91" i="12"/>
  <c r="G92" i="12"/>
  <c r="S92" i="12" s="1"/>
  <c r="G93" i="12"/>
  <c r="G94" i="12"/>
  <c r="S94" i="12" s="1"/>
  <c r="G95" i="12"/>
  <c r="G96" i="12"/>
  <c r="S96" i="12" s="1"/>
  <c r="G97" i="12"/>
  <c r="G98" i="12"/>
  <c r="S98" i="12" s="1"/>
  <c r="G99" i="12"/>
  <c r="G100" i="12"/>
  <c r="S100" i="12" s="1"/>
  <c r="G101" i="12"/>
  <c r="G102" i="12"/>
  <c r="S102" i="12" s="1"/>
  <c r="G103" i="12"/>
  <c r="G104" i="12"/>
  <c r="S104" i="12" s="1"/>
  <c r="G105" i="12"/>
  <c r="G106" i="12"/>
  <c r="S106" i="12" s="1"/>
  <c r="G107" i="12"/>
  <c r="G108" i="12"/>
  <c r="S108" i="12" s="1"/>
  <c r="G9" i="12"/>
  <c r="S9" i="12" s="1"/>
  <c r="CP43" i="5"/>
  <c r="CP42" i="5"/>
  <c r="CP41" i="5"/>
  <c r="CP40" i="5"/>
  <c r="CP39" i="5"/>
  <c r="CP38" i="5"/>
  <c r="CP37" i="5"/>
  <c r="CP36" i="5"/>
  <c r="CP15" i="5"/>
  <c r="CP16" i="5"/>
  <c r="CP17" i="5"/>
  <c r="CP18" i="5"/>
  <c r="CP19" i="5"/>
  <c r="CP20" i="5"/>
  <c r="CP21" i="5"/>
  <c r="CP22" i="5"/>
  <c r="CP23" i="5"/>
  <c r="AM16" i="8"/>
  <c r="AM15" i="8"/>
  <c r="CX15" i="5"/>
  <c r="CX19" i="5"/>
  <c r="CX20" i="5"/>
  <c r="CX21" i="5"/>
  <c r="CX22" i="5"/>
  <c r="CX23" i="5"/>
  <c r="CX25" i="5"/>
  <c r="CX27" i="5"/>
  <c r="CX28" i="5"/>
  <c r="CX29" i="5"/>
  <c r="CX30" i="5"/>
  <c r="CX31" i="5"/>
  <c r="B301" i="5"/>
  <c r="B153" i="8"/>
  <c r="C5" i="13"/>
  <c r="B291" i="5"/>
  <c r="A121" i="16" s="1"/>
  <c r="B150" i="5"/>
  <c r="Z113" i="5"/>
  <c r="Z112" i="5"/>
  <c r="Z111" i="5"/>
  <c r="Z110" i="5"/>
  <c r="Z109" i="5"/>
  <c r="Z108" i="5"/>
  <c r="Z107" i="5"/>
  <c r="Z106" i="5"/>
  <c r="Z105" i="5"/>
  <c r="Z104" i="5"/>
  <c r="Z103" i="5"/>
  <c r="Z102" i="5"/>
  <c r="Z101" i="5"/>
  <c r="Z100" i="5"/>
  <c r="Z99" i="5"/>
  <c r="Z98" i="5"/>
  <c r="Z97" i="5"/>
  <c r="Z96" i="5"/>
  <c r="Z95" i="5"/>
  <c r="Z94" i="5"/>
  <c r="Z93" i="5"/>
  <c r="Z92" i="5"/>
  <c r="Z91" i="5"/>
  <c r="Z90" i="5"/>
  <c r="Z89" i="5"/>
  <c r="Z88" i="5"/>
  <c r="Z87" i="5"/>
  <c r="Z86" i="5"/>
  <c r="Z85" i="5"/>
  <c r="Z84" i="5"/>
  <c r="Z83" i="5"/>
  <c r="Z82" i="5"/>
  <c r="Z81" i="5"/>
  <c r="Z80" i="5"/>
  <c r="Z79" i="5"/>
  <c r="Z78" i="5"/>
  <c r="Z77" i="5"/>
  <c r="Z76" i="5"/>
  <c r="Z75" i="5"/>
  <c r="Z74" i="5"/>
  <c r="Z73" i="5"/>
  <c r="Z72" i="5"/>
  <c r="Z71" i="5"/>
  <c r="Z70" i="5"/>
  <c r="Z69" i="5"/>
  <c r="Z68" i="5"/>
  <c r="Z67" i="5"/>
  <c r="Z66" i="5"/>
  <c r="Z65" i="5"/>
  <c r="Z64" i="5"/>
  <c r="Z63" i="5"/>
  <c r="Z62" i="5"/>
  <c r="Z61" i="5"/>
  <c r="Z60" i="5"/>
  <c r="Z59" i="5"/>
  <c r="Z58" i="5"/>
  <c r="Z57" i="5"/>
  <c r="Z56" i="5"/>
  <c r="Z55" i="5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DA114" i="9"/>
  <c r="DA35" i="9"/>
  <c r="DA34" i="9"/>
  <c r="DA33" i="9"/>
  <c r="DA32" i="9"/>
  <c r="DA31" i="9"/>
  <c r="DA30" i="9"/>
  <c r="DA29" i="9"/>
  <c r="DA28" i="9"/>
  <c r="DA27" i="9"/>
  <c r="DA26" i="9"/>
  <c r="DA25" i="9"/>
  <c r="DA24" i="9"/>
  <c r="DA23" i="9"/>
  <c r="DA22" i="9"/>
  <c r="DA20" i="9"/>
  <c r="DA19" i="9"/>
  <c r="DA18" i="9"/>
  <c r="DA17" i="9"/>
  <c r="DA15" i="9"/>
  <c r="BP18" i="5"/>
  <c r="AY15" i="5"/>
  <c r="AZ15" i="5" s="1"/>
  <c r="AY18" i="5"/>
  <c r="AZ18" i="5" s="1"/>
  <c r="AY114" i="5"/>
  <c r="AZ114" i="5" s="1"/>
  <c r="AY35" i="5"/>
  <c r="AY34" i="5"/>
  <c r="AY33" i="5"/>
  <c r="AY32" i="5"/>
  <c r="AY31" i="5"/>
  <c r="AY30" i="5"/>
  <c r="AY29" i="5"/>
  <c r="AY28" i="5"/>
  <c r="AY27" i="5"/>
  <c r="AY26" i="5"/>
  <c r="AY25" i="5"/>
  <c r="AY24" i="5"/>
  <c r="AY23" i="5"/>
  <c r="AY22" i="5"/>
  <c r="AY21" i="5"/>
  <c r="AY20" i="5"/>
  <c r="AY19" i="5"/>
  <c r="BQ18" i="5"/>
  <c r="BL18" i="5"/>
  <c r="BO18" i="5"/>
  <c r="BO15" i="5"/>
  <c r="BM76" i="5"/>
  <c r="BM77" i="5"/>
  <c r="BM78" i="5"/>
  <c r="BM79" i="5"/>
  <c r="BM80" i="5"/>
  <c r="BM81" i="5"/>
  <c r="BM82" i="5"/>
  <c r="BM83" i="5"/>
  <c r="BM84" i="5"/>
  <c r="BM85" i="5"/>
  <c r="BM86" i="5"/>
  <c r="BM87" i="5"/>
  <c r="BM88" i="5"/>
  <c r="BM89" i="5"/>
  <c r="BM90" i="5"/>
  <c r="BM91" i="5"/>
  <c r="BM92" i="5"/>
  <c r="BM93" i="5"/>
  <c r="BM94" i="5"/>
  <c r="BM95" i="5"/>
  <c r="BM96" i="5"/>
  <c r="BM97" i="5"/>
  <c r="BM98" i="5"/>
  <c r="BM99" i="5"/>
  <c r="BM100" i="5"/>
  <c r="BM101" i="5"/>
  <c r="BM102" i="5"/>
  <c r="BM103" i="5"/>
  <c r="BM104" i="5"/>
  <c r="BM105" i="5"/>
  <c r="BM106" i="5"/>
  <c r="BM107" i="5"/>
  <c r="BM108" i="5"/>
  <c r="BM109" i="5"/>
  <c r="BM110" i="5"/>
  <c r="BM111" i="5"/>
  <c r="BM112" i="5"/>
  <c r="BM113" i="5"/>
  <c r="BM114" i="5"/>
  <c r="AQ15" i="5"/>
  <c r="AQ18" i="5"/>
  <c r="AQ20" i="5"/>
  <c r="AQ21" i="5"/>
  <c r="AQ22" i="5"/>
  <c r="AQ23" i="5"/>
  <c r="AQ24" i="5"/>
  <c r="AQ25" i="5"/>
  <c r="AQ26" i="5"/>
  <c r="AQ27" i="5"/>
  <c r="AQ28" i="5"/>
  <c r="AQ29" i="5"/>
  <c r="AQ30" i="5"/>
  <c r="AQ35" i="5"/>
  <c r="AQ36" i="5"/>
  <c r="AQ37" i="5"/>
  <c r="AQ38" i="5"/>
  <c r="AQ39" i="5"/>
  <c r="AQ40" i="5"/>
  <c r="AQ41" i="5"/>
  <c r="AQ42" i="5"/>
  <c r="AQ43" i="5"/>
  <c r="AQ44" i="5"/>
  <c r="AQ45" i="5"/>
  <c r="AQ46" i="5"/>
  <c r="AQ47" i="5"/>
  <c r="AQ48" i="5"/>
  <c r="AQ49" i="5"/>
  <c r="AQ50" i="5"/>
  <c r="AQ51" i="5"/>
  <c r="AQ52" i="5"/>
  <c r="AQ53" i="5"/>
  <c r="AQ54" i="5"/>
  <c r="AQ55" i="5"/>
  <c r="AQ56" i="5"/>
  <c r="AQ57" i="5"/>
  <c r="AQ58" i="5"/>
  <c r="AQ59" i="5"/>
  <c r="AQ60" i="5"/>
  <c r="AQ61" i="5"/>
  <c r="AQ62" i="5"/>
  <c r="AQ63" i="5"/>
  <c r="AQ64" i="5"/>
  <c r="AQ65" i="5"/>
  <c r="AQ66" i="5"/>
  <c r="AQ67" i="5"/>
  <c r="AQ68" i="5"/>
  <c r="AQ69" i="5"/>
  <c r="AQ70" i="5"/>
  <c r="AQ71" i="5"/>
  <c r="AQ72" i="5"/>
  <c r="AQ73" i="5"/>
  <c r="AQ74" i="5"/>
  <c r="AQ75" i="5"/>
  <c r="AQ76" i="5"/>
  <c r="AQ77" i="5"/>
  <c r="AQ78" i="5"/>
  <c r="AQ79" i="5"/>
  <c r="AQ80" i="5"/>
  <c r="AQ81" i="5"/>
  <c r="AQ82" i="5"/>
  <c r="AQ83" i="5"/>
  <c r="AQ84" i="5"/>
  <c r="AQ85" i="5"/>
  <c r="AQ86" i="5"/>
  <c r="AQ87" i="5"/>
  <c r="AQ88" i="5"/>
  <c r="AQ89" i="5"/>
  <c r="AQ90" i="5"/>
  <c r="AQ91" i="5"/>
  <c r="AQ92" i="5"/>
  <c r="AQ93" i="5"/>
  <c r="AQ94" i="5"/>
  <c r="AQ95" i="5"/>
  <c r="AQ96" i="5"/>
  <c r="AQ97" i="5"/>
  <c r="AQ98" i="5"/>
  <c r="AQ99" i="5"/>
  <c r="AQ100" i="5"/>
  <c r="AQ101" i="5"/>
  <c r="AQ102" i="5"/>
  <c r="AQ103" i="5"/>
  <c r="AQ104" i="5"/>
  <c r="AQ105" i="5"/>
  <c r="AQ106" i="5"/>
  <c r="AQ107" i="5"/>
  <c r="AQ108" i="5"/>
  <c r="AQ109" i="5"/>
  <c r="AQ110" i="5"/>
  <c r="AQ111" i="5"/>
  <c r="AQ112" i="5"/>
  <c r="AQ113" i="5"/>
  <c r="AQ114" i="5"/>
  <c r="AQ19" i="5"/>
  <c r="BM18" i="5"/>
  <c r="BI27" i="9"/>
  <c r="BD27" i="9"/>
  <c r="DH27" i="9"/>
  <c r="BX27" i="9"/>
  <c r="BG27" i="9"/>
  <c r="BE27" i="9"/>
  <c r="E27" i="9"/>
  <c r="K23" i="8"/>
  <c r="BC18" i="8"/>
  <c r="H12" i="13"/>
  <c r="H15" i="13"/>
  <c r="Z27" i="5"/>
  <c r="B111" i="13"/>
  <c r="I111" i="13" s="1"/>
  <c r="B110" i="13"/>
  <c r="I110" i="13" s="1"/>
  <c r="B109" i="13"/>
  <c r="I109" i="13" s="1"/>
  <c r="B108" i="13"/>
  <c r="G108" i="13" s="1"/>
  <c r="B107" i="13"/>
  <c r="I107" i="13" s="1"/>
  <c r="B106" i="13"/>
  <c r="G106" i="13" s="1"/>
  <c r="B105" i="13"/>
  <c r="I105" i="13" s="1"/>
  <c r="B104" i="13"/>
  <c r="G104" i="13" s="1"/>
  <c r="B103" i="13"/>
  <c r="I103" i="13" s="1"/>
  <c r="B102" i="13"/>
  <c r="G102" i="13" s="1"/>
  <c r="B101" i="13"/>
  <c r="I101" i="13" s="1"/>
  <c r="B100" i="13"/>
  <c r="G100" i="13" s="1"/>
  <c r="B99" i="13"/>
  <c r="I99" i="13" s="1"/>
  <c r="B98" i="13"/>
  <c r="G98" i="13" s="1"/>
  <c r="B97" i="13"/>
  <c r="I97" i="13" s="1"/>
  <c r="B96" i="13"/>
  <c r="G96" i="13" s="1"/>
  <c r="B95" i="13"/>
  <c r="I95" i="13" s="1"/>
  <c r="B94" i="13"/>
  <c r="G94" i="13" s="1"/>
  <c r="B93" i="13"/>
  <c r="I93" i="13" s="1"/>
  <c r="B92" i="13"/>
  <c r="G92" i="13" s="1"/>
  <c r="B91" i="13"/>
  <c r="I91" i="13" s="1"/>
  <c r="B90" i="13"/>
  <c r="G90" i="13" s="1"/>
  <c r="B89" i="13"/>
  <c r="I89" i="13" s="1"/>
  <c r="B88" i="13"/>
  <c r="G88" i="13" s="1"/>
  <c r="B87" i="13"/>
  <c r="I87" i="13" s="1"/>
  <c r="B86" i="13"/>
  <c r="G86" i="13" s="1"/>
  <c r="B85" i="13"/>
  <c r="I85" i="13" s="1"/>
  <c r="B84" i="13"/>
  <c r="G84" i="13" s="1"/>
  <c r="B83" i="13"/>
  <c r="I83" i="13" s="1"/>
  <c r="B82" i="13"/>
  <c r="G82" i="13" s="1"/>
  <c r="B81" i="13"/>
  <c r="I81" i="13" s="1"/>
  <c r="B80" i="13"/>
  <c r="G80" i="13" s="1"/>
  <c r="B79" i="13"/>
  <c r="I79" i="13" s="1"/>
  <c r="B78" i="13"/>
  <c r="G78" i="13" s="1"/>
  <c r="B77" i="13"/>
  <c r="I77" i="13" s="1"/>
  <c r="B76" i="13"/>
  <c r="G76" i="13" s="1"/>
  <c r="B75" i="13"/>
  <c r="I75" i="13" s="1"/>
  <c r="B74" i="13"/>
  <c r="G74" i="13" s="1"/>
  <c r="B73" i="13"/>
  <c r="I73" i="13" s="1"/>
  <c r="B72" i="13"/>
  <c r="G72" i="13" s="1"/>
  <c r="B71" i="13"/>
  <c r="I71" i="13" s="1"/>
  <c r="B70" i="13"/>
  <c r="G70" i="13" s="1"/>
  <c r="B69" i="13"/>
  <c r="I69" i="13" s="1"/>
  <c r="B68" i="13"/>
  <c r="G68" i="13" s="1"/>
  <c r="B67" i="13"/>
  <c r="I67" i="13" s="1"/>
  <c r="B66" i="13"/>
  <c r="G66" i="13" s="1"/>
  <c r="B65" i="13"/>
  <c r="I65" i="13" s="1"/>
  <c r="B64" i="13"/>
  <c r="G64" i="13" s="1"/>
  <c r="B63" i="13"/>
  <c r="I63" i="13" s="1"/>
  <c r="B62" i="13"/>
  <c r="G62" i="13" s="1"/>
  <c r="B61" i="13"/>
  <c r="I61" i="13" s="1"/>
  <c r="B60" i="13"/>
  <c r="G60" i="13" s="1"/>
  <c r="B59" i="13"/>
  <c r="I59" i="13" s="1"/>
  <c r="B58" i="13"/>
  <c r="G58" i="13" s="1"/>
  <c r="B57" i="13"/>
  <c r="I57" i="13" s="1"/>
  <c r="B56" i="13"/>
  <c r="G56" i="13" s="1"/>
  <c r="B55" i="13"/>
  <c r="I55" i="13" s="1"/>
  <c r="B54" i="13"/>
  <c r="G54" i="13" s="1"/>
  <c r="B53" i="13"/>
  <c r="I53" i="13" s="1"/>
  <c r="B52" i="13"/>
  <c r="G52" i="13" s="1"/>
  <c r="B51" i="13"/>
  <c r="I51" i="13" s="1"/>
  <c r="B50" i="13"/>
  <c r="G50" i="13" s="1"/>
  <c r="B49" i="13"/>
  <c r="I49" i="13" s="1"/>
  <c r="B48" i="13"/>
  <c r="G48" i="13" s="1"/>
  <c r="B47" i="13"/>
  <c r="I47" i="13" s="1"/>
  <c r="B46" i="13"/>
  <c r="G46" i="13" s="1"/>
  <c r="B45" i="13"/>
  <c r="I45" i="13" s="1"/>
  <c r="B44" i="13"/>
  <c r="G44" i="13" s="1"/>
  <c r="B43" i="13"/>
  <c r="I43" i="13" s="1"/>
  <c r="B42" i="13"/>
  <c r="G42" i="13" s="1"/>
  <c r="B41" i="13"/>
  <c r="I41" i="13" s="1"/>
  <c r="B40" i="13"/>
  <c r="G40" i="13" s="1"/>
  <c r="B39" i="13"/>
  <c r="I39" i="13" s="1"/>
  <c r="B38" i="13"/>
  <c r="G38" i="13" s="1"/>
  <c r="B37" i="13"/>
  <c r="I37" i="13" s="1"/>
  <c r="B36" i="13"/>
  <c r="G36" i="13" s="1"/>
  <c r="B35" i="13"/>
  <c r="I35" i="13" s="1"/>
  <c r="B34" i="13"/>
  <c r="G34" i="13" s="1"/>
  <c r="B33" i="13"/>
  <c r="I33" i="13" s="1"/>
  <c r="B32" i="13"/>
  <c r="G32" i="13" s="1"/>
  <c r="B31" i="13"/>
  <c r="I31" i="13" s="1"/>
  <c r="B30" i="13"/>
  <c r="G30" i="13" s="1"/>
  <c r="B29" i="13"/>
  <c r="I29" i="13" s="1"/>
  <c r="B28" i="13"/>
  <c r="G28" i="13" s="1"/>
  <c r="B27" i="13"/>
  <c r="I27" i="13" s="1"/>
  <c r="B26" i="13"/>
  <c r="G26" i="13" s="1"/>
  <c r="B25" i="13"/>
  <c r="I25" i="13" s="1"/>
  <c r="B24" i="13"/>
  <c r="G24" i="13" s="1"/>
  <c r="A191" i="13" s="1"/>
  <c r="B23" i="13"/>
  <c r="I23" i="13" s="1"/>
  <c r="B22" i="13"/>
  <c r="I22" i="13" s="1"/>
  <c r="B21" i="13"/>
  <c r="I21" i="13" s="1"/>
  <c r="B20" i="13"/>
  <c r="I20" i="13" s="1"/>
  <c r="B19" i="13"/>
  <c r="I19" i="13" s="1"/>
  <c r="B18" i="13"/>
  <c r="I18" i="13" s="1"/>
  <c r="B17" i="13"/>
  <c r="I17" i="13" s="1"/>
  <c r="B16" i="13"/>
  <c r="B15" i="13"/>
  <c r="I15" i="13" s="1"/>
  <c r="B12" i="13"/>
  <c r="I12" i="13" s="1"/>
  <c r="B161" i="12"/>
  <c r="A31" i="16"/>
  <c r="A30" i="16"/>
  <c r="A29" i="16"/>
  <c r="A28" i="16"/>
  <c r="J28" i="16" s="1"/>
  <c r="A27" i="16"/>
  <c r="J27" i="16" s="1"/>
  <c r="A26" i="16"/>
  <c r="A25" i="16"/>
  <c r="J25" i="16" s="1"/>
  <c r="A24" i="16"/>
  <c r="A23" i="16"/>
  <c r="J23" i="16" s="1"/>
  <c r="A15" i="16"/>
  <c r="A16" i="16"/>
  <c r="J16" i="16" s="1"/>
  <c r="A18" i="16"/>
  <c r="A19" i="16"/>
  <c r="A20" i="16"/>
  <c r="A21" i="16"/>
  <c r="A22" i="16"/>
  <c r="BX18" i="5"/>
  <c r="A14" i="16" s="1"/>
  <c r="J30" i="16" l="1"/>
  <c r="I31" i="16"/>
  <c r="J31" i="16"/>
  <c r="CH15" i="5"/>
  <c r="CI15" i="5"/>
  <c r="I29" i="16"/>
  <c r="J29" i="16"/>
  <c r="I26" i="16"/>
  <c r="J26" i="16"/>
  <c r="AC19" i="16"/>
  <c r="P19" i="16"/>
  <c r="J21" i="16"/>
  <c r="P21" i="16"/>
  <c r="AC21" i="16"/>
  <c r="J22" i="16"/>
  <c r="AC22" i="16"/>
  <c r="P22" i="16"/>
  <c r="J20" i="16"/>
  <c r="AC20" i="16"/>
  <c r="P20" i="16"/>
  <c r="DE15" i="5"/>
  <c r="DF15" i="5"/>
  <c r="J19" i="16"/>
  <c r="K19" i="16"/>
  <c r="J18" i="16"/>
  <c r="U18" i="16"/>
  <c r="T18" i="16" s="1"/>
  <c r="A733" i="16" s="1"/>
  <c r="I18" i="16"/>
  <c r="J24" i="16"/>
  <c r="U24" i="16"/>
  <c r="T24" i="16" s="1"/>
  <c r="A739" i="16" s="1"/>
  <c r="I24" i="16"/>
  <c r="Y24" i="16"/>
  <c r="Y23" i="16" s="1"/>
  <c r="I30" i="16"/>
  <c r="U30" i="16"/>
  <c r="T30" i="16" s="1"/>
  <c r="A745" i="16" s="1"/>
  <c r="Y30" i="16"/>
  <c r="Y29" i="16" s="1"/>
  <c r="Y28" i="16" s="1"/>
  <c r="Y27" i="16" s="1"/>
  <c r="Y26" i="16" s="1"/>
  <c r="Y25" i="16" s="1"/>
  <c r="Z25" i="16" s="1"/>
  <c r="DB15" i="5"/>
  <c r="A578" i="16"/>
  <c r="B149" i="9"/>
  <c r="J15" i="16"/>
  <c r="I15" i="16"/>
  <c r="Z14" i="16"/>
  <c r="Z21" i="16"/>
  <c r="Z19" i="16"/>
  <c r="AC23" i="16"/>
  <c r="Z27" i="16"/>
  <c r="Z29" i="16"/>
  <c r="Z31" i="16"/>
  <c r="Z18" i="16"/>
  <c r="AC24" i="16"/>
  <c r="Z28" i="16"/>
  <c r="Z30" i="16"/>
  <c r="Z23" i="16"/>
  <c r="S23" i="16"/>
  <c r="S25" i="16"/>
  <c r="Z24" i="16"/>
  <c r="S24" i="16"/>
  <c r="S16" i="16"/>
  <c r="Y22" i="16"/>
  <c r="Y21" i="16" s="1"/>
  <c r="Y20" i="16" s="1"/>
  <c r="Y19" i="16" s="1"/>
  <c r="Y18" i="16" s="1"/>
  <c r="Y17" i="16" s="1"/>
  <c r="Y16" i="16" s="1"/>
  <c r="Z22" i="16"/>
  <c r="S15" i="16"/>
  <c r="S26" i="16"/>
  <c r="Z26" i="16"/>
  <c r="U22" i="16"/>
  <c r="M20" i="16"/>
  <c r="M18" i="16"/>
  <c r="M15" i="16"/>
  <c r="M26" i="16"/>
  <c r="M28" i="16"/>
  <c r="M30" i="16"/>
  <c r="M14" i="16"/>
  <c r="M21" i="16"/>
  <c r="M19" i="16"/>
  <c r="M16" i="16"/>
  <c r="M27" i="16"/>
  <c r="M29" i="16"/>
  <c r="M31" i="16"/>
  <c r="T22" i="16"/>
  <c r="A737" i="16" s="1"/>
  <c r="M22" i="16"/>
  <c r="I22" i="16"/>
  <c r="P23" i="16"/>
  <c r="M23" i="16"/>
  <c r="P25" i="16"/>
  <c r="M25" i="16"/>
  <c r="M24" i="16"/>
  <c r="P24" i="16"/>
  <c r="H22" i="16"/>
  <c r="A462" i="16" s="1"/>
  <c r="D22" i="16"/>
  <c r="A151" i="16" s="1"/>
  <c r="E20" i="16"/>
  <c r="H20" i="16"/>
  <c r="A460" i="16" s="1"/>
  <c r="D20" i="16"/>
  <c r="A149" i="16" s="1"/>
  <c r="E18" i="16"/>
  <c r="H18" i="16"/>
  <c r="A458" i="16" s="1"/>
  <c r="D18" i="16"/>
  <c r="A147" i="16" s="1"/>
  <c r="K15" i="16"/>
  <c r="H15" i="16"/>
  <c r="A455" i="16" s="1"/>
  <c r="D15" i="16"/>
  <c r="A144" i="16" s="1"/>
  <c r="E24" i="16"/>
  <c r="H24" i="16"/>
  <c r="D24" i="16"/>
  <c r="A153" i="16" s="1"/>
  <c r="E26" i="16"/>
  <c r="H26" i="16"/>
  <c r="A466" i="16" s="1"/>
  <c r="D26" i="16"/>
  <c r="A155" i="16" s="1"/>
  <c r="E28" i="16"/>
  <c r="H28" i="16"/>
  <c r="A468" i="16" s="1"/>
  <c r="D28" i="16"/>
  <c r="A157" i="16" s="1"/>
  <c r="E30" i="16"/>
  <c r="H30" i="16"/>
  <c r="A470" i="16" s="1"/>
  <c r="D30" i="16"/>
  <c r="A159" i="16" s="1"/>
  <c r="E14" i="16"/>
  <c r="H14" i="16"/>
  <c r="A454" i="16" s="1"/>
  <c r="D14" i="16"/>
  <c r="A143" i="16" s="1"/>
  <c r="E21" i="16"/>
  <c r="H21" i="16"/>
  <c r="A461" i="16" s="1"/>
  <c r="D21" i="16"/>
  <c r="A150" i="16" s="1"/>
  <c r="E19" i="16"/>
  <c r="H19" i="16"/>
  <c r="A459" i="16" s="1"/>
  <c r="D19" i="16"/>
  <c r="A148" i="16" s="1"/>
  <c r="E16" i="16"/>
  <c r="H16" i="16"/>
  <c r="A456" i="16" s="1"/>
  <c r="D16" i="16"/>
  <c r="A145" i="16" s="1"/>
  <c r="E23" i="16"/>
  <c r="H23" i="16"/>
  <c r="A463" i="16" s="1"/>
  <c r="D23" i="16"/>
  <c r="A152" i="16" s="1"/>
  <c r="E25" i="16"/>
  <c r="H25" i="16"/>
  <c r="A465" i="16" s="1"/>
  <c r="D25" i="16"/>
  <c r="A154" i="16" s="1"/>
  <c r="E27" i="16"/>
  <c r="H27" i="16"/>
  <c r="A467" i="16" s="1"/>
  <c r="D27" i="16"/>
  <c r="E29" i="16"/>
  <c r="H29" i="16"/>
  <c r="A469" i="16" s="1"/>
  <c r="D29" i="16"/>
  <c r="A158" i="16" s="1"/>
  <c r="E31" i="16"/>
  <c r="H31" i="16"/>
  <c r="A471" i="16" s="1"/>
  <c r="D31" i="16"/>
  <c r="A160" i="16" s="1"/>
  <c r="E22" i="16"/>
  <c r="G22" i="16"/>
  <c r="E15" i="16"/>
  <c r="A156" i="16"/>
  <c r="A464" i="16"/>
  <c r="B111" i="14"/>
  <c r="A110" i="16"/>
  <c r="BM15" i="5"/>
  <c r="U110" i="14"/>
  <c r="V110" i="14" s="1"/>
  <c r="U109" i="14"/>
  <c r="V109" i="14" s="1"/>
  <c r="R108" i="14"/>
  <c r="S109" i="14"/>
  <c r="S110" i="14"/>
  <c r="B148" i="8"/>
  <c r="B952" i="5"/>
  <c r="BK15" i="5"/>
  <c r="DA15" i="5"/>
  <c r="B22" i="12"/>
  <c r="B24" i="12"/>
  <c r="M24" i="12" s="1"/>
  <c r="B26" i="12"/>
  <c r="M26" i="12" s="1"/>
  <c r="B28" i="12"/>
  <c r="M28" i="12" s="1"/>
  <c r="B108" i="12"/>
  <c r="O108" i="12" s="1"/>
  <c r="CZ114" i="5"/>
  <c r="BK28" i="5"/>
  <c r="J25" i="14"/>
  <c r="W25" i="14" s="1"/>
  <c r="BK20" i="5"/>
  <c r="J17" i="14"/>
  <c r="W17" i="14" s="1"/>
  <c r="B12" i="12"/>
  <c r="M12" i="12" s="1"/>
  <c r="B23" i="12"/>
  <c r="B25" i="12"/>
  <c r="M25" i="12" s="1"/>
  <c r="B27" i="12"/>
  <c r="M27" i="12" s="1"/>
  <c r="CZ33" i="5"/>
  <c r="B29" i="12"/>
  <c r="M29" i="12" s="1"/>
  <c r="CZ35" i="5"/>
  <c r="BK26" i="5"/>
  <c r="J23" i="14"/>
  <c r="W23" i="14" s="1"/>
  <c r="BK23" i="5"/>
  <c r="J20" i="14"/>
  <c r="W20" i="14" s="1"/>
  <c r="BK21" i="5"/>
  <c r="J18" i="14"/>
  <c r="W18" i="14" s="1"/>
  <c r="B21" i="12"/>
  <c r="R21" i="12" s="1"/>
  <c r="B20" i="12"/>
  <c r="Q20" i="12" s="1"/>
  <c r="B19" i="12"/>
  <c r="M19" i="12" s="1"/>
  <c r="J22" i="14"/>
  <c r="W22" i="14" s="1"/>
  <c r="BK25" i="5"/>
  <c r="J19" i="14"/>
  <c r="W19" i="14" s="1"/>
  <c r="BK22" i="5"/>
  <c r="B16" i="12"/>
  <c r="M16" i="12" s="1"/>
  <c r="B16" i="14"/>
  <c r="G16" i="14" s="1"/>
  <c r="BK19" i="5"/>
  <c r="J16" i="14"/>
  <c r="BK24" i="5"/>
  <c r="J21" i="14"/>
  <c r="W21" i="14" s="1"/>
  <c r="B18" i="12"/>
  <c r="M18" i="12" s="1"/>
  <c r="B17" i="12"/>
  <c r="M17" i="12" s="1"/>
  <c r="B14" i="12"/>
  <c r="CD15" i="5"/>
  <c r="J12" i="14"/>
  <c r="W12" i="14" s="1"/>
  <c r="I16" i="13"/>
  <c r="L16" i="14"/>
  <c r="O16" i="14" s="1"/>
  <c r="B782" i="5"/>
  <c r="B780" i="5"/>
  <c r="B778" i="5"/>
  <c r="B781" i="5"/>
  <c r="B779" i="5"/>
  <c r="P9" i="12"/>
  <c r="P12" i="12"/>
  <c r="BX15" i="5"/>
  <c r="A11" i="16" s="1"/>
  <c r="B15" i="14"/>
  <c r="F111" i="14"/>
  <c r="AZ19" i="5"/>
  <c r="AZ20" i="5" s="1"/>
  <c r="AZ21" i="5" s="1"/>
  <c r="AZ22" i="5" s="1"/>
  <c r="AZ23" i="5" s="1"/>
  <c r="AZ24" i="5" s="1"/>
  <c r="AZ25" i="5" s="1"/>
  <c r="AZ26" i="5" s="1"/>
  <c r="AZ27" i="5" s="1"/>
  <c r="AZ28" i="5" s="1"/>
  <c r="AZ29" i="5" s="1"/>
  <c r="AZ30" i="5" s="1"/>
  <c r="AZ31" i="5" s="1"/>
  <c r="AZ32" i="5" s="1"/>
  <c r="B32" i="14"/>
  <c r="B30" i="14"/>
  <c r="B28" i="14"/>
  <c r="B26" i="14"/>
  <c r="B24" i="14"/>
  <c r="B22" i="14"/>
  <c r="B20" i="14"/>
  <c r="B31" i="14"/>
  <c r="B29" i="14"/>
  <c r="B27" i="14"/>
  <c r="B25" i="14"/>
  <c r="B23" i="14"/>
  <c r="B21" i="14"/>
  <c r="B19" i="14"/>
  <c r="B17" i="14"/>
  <c r="R19" i="12"/>
  <c r="R107" i="12"/>
  <c r="R105" i="12"/>
  <c r="R103" i="12"/>
  <c r="R101" i="12"/>
  <c r="R99" i="12"/>
  <c r="R97" i="12"/>
  <c r="R95" i="12"/>
  <c r="R93" i="12"/>
  <c r="R91" i="12"/>
  <c r="R89" i="12"/>
  <c r="R87" i="12"/>
  <c r="R85" i="12"/>
  <c r="R83" i="12"/>
  <c r="R81" i="12"/>
  <c r="R79" i="12"/>
  <c r="R77" i="12"/>
  <c r="R75" i="12"/>
  <c r="R73" i="12"/>
  <c r="R71" i="12"/>
  <c r="R69" i="12"/>
  <c r="R67" i="12"/>
  <c r="R61" i="12"/>
  <c r="R59" i="12"/>
  <c r="R55" i="12"/>
  <c r="R51" i="12"/>
  <c r="R49" i="12"/>
  <c r="R45" i="12"/>
  <c r="R43" i="12"/>
  <c r="R29" i="12"/>
  <c r="R27" i="12"/>
  <c r="R25" i="12"/>
  <c r="R23" i="12"/>
  <c r="R18" i="12"/>
  <c r="R9" i="12"/>
  <c r="S107" i="12"/>
  <c r="S105" i="12"/>
  <c r="S103" i="12"/>
  <c r="S101" i="12"/>
  <c r="S99" i="12"/>
  <c r="S97" i="12"/>
  <c r="S95" i="12"/>
  <c r="S93" i="12"/>
  <c r="S91" i="12"/>
  <c r="S89" i="12"/>
  <c r="S87" i="12"/>
  <c r="S85" i="12"/>
  <c r="S83" i="12"/>
  <c r="S81" i="12"/>
  <c r="S79" i="12"/>
  <c r="S77" i="12"/>
  <c r="S75" i="12"/>
  <c r="S73" i="12"/>
  <c r="S71" i="12"/>
  <c r="S69" i="12"/>
  <c r="S67" i="12"/>
  <c r="S65" i="12"/>
  <c r="S63" i="12"/>
  <c r="S61" i="12"/>
  <c r="S59" i="12"/>
  <c r="S57" i="12"/>
  <c r="S55" i="12"/>
  <c r="S53" i="12"/>
  <c r="S51" i="12"/>
  <c r="S49" i="12"/>
  <c r="S47" i="12"/>
  <c r="S45" i="12"/>
  <c r="S43" i="12"/>
  <c r="S41" i="12"/>
  <c r="S39" i="12"/>
  <c r="S37" i="12"/>
  <c r="S35" i="12"/>
  <c r="S33" i="12"/>
  <c r="S31" i="12"/>
  <c r="S29" i="12"/>
  <c r="S27" i="12"/>
  <c r="S25" i="12"/>
  <c r="S23" i="12"/>
  <c r="S21" i="12"/>
  <c r="S19" i="12"/>
  <c r="R108" i="12"/>
  <c r="R106" i="12"/>
  <c r="R104" i="12"/>
  <c r="R102" i="12"/>
  <c r="R100" i="12"/>
  <c r="R98" i="12"/>
  <c r="R96" i="12"/>
  <c r="R94" i="12"/>
  <c r="R92" i="12"/>
  <c r="R90" i="12"/>
  <c r="R88" i="12"/>
  <c r="R86" i="12"/>
  <c r="R84" i="12"/>
  <c r="R82" i="12"/>
  <c r="R80" i="12"/>
  <c r="R78" i="12"/>
  <c r="R76" i="12"/>
  <c r="R74" i="12"/>
  <c r="R72" i="12"/>
  <c r="R70" i="12"/>
  <c r="R62" i="12"/>
  <c r="R60" i="12"/>
  <c r="R56" i="12"/>
  <c r="R54" i="12"/>
  <c r="R52" i="12"/>
  <c r="R50" i="12"/>
  <c r="R48" i="12"/>
  <c r="R46" i="12"/>
  <c r="R44" i="12"/>
  <c r="R42" i="12"/>
  <c r="R28" i="12"/>
  <c r="R26" i="12"/>
  <c r="R24" i="12"/>
  <c r="R22" i="12"/>
  <c r="R20" i="12"/>
  <c r="R12" i="12"/>
  <c r="R17" i="12"/>
  <c r="Q14" i="12"/>
  <c r="R16" i="12"/>
  <c r="R14" i="12"/>
  <c r="AQ31" i="5"/>
  <c r="K111" i="13"/>
  <c r="K109" i="13"/>
  <c r="K107" i="13"/>
  <c r="K105" i="13"/>
  <c r="K103" i="13"/>
  <c r="K101" i="13"/>
  <c r="K99" i="13"/>
  <c r="K97" i="13"/>
  <c r="K95" i="13"/>
  <c r="K93" i="13"/>
  <c r="K91" i="13"/>
  <c r="K89" i="13"/>
  <c r="K87" i="13"/>
  <c r="K85" i="13"/>
  <c r="K83" i="13"/>
  <c r="K81" i="13"/>
  <c r="K79" i="13"/>
  <c r="K77" i="13"/>
  <c r="K75" i="13"/>
  <c r="K73" i="13"/>
  <c r="K71" i="13"/>
  <c r="K69" i="13"/>
  <c r="K67" i="13"/>
  <c r="K65" i="13"/>
  <c r="K63" i="13"/>
  <c r="K61" i="13"/>
  <c r="K59" i="13"/>
  <c r="K57" i="13"/>
  <c r="K55" i="13"/>
  <c r="K53" i="13"/>
  <c r="K51" i="13"/>
  <c r="K49" i="13"/>
  <c r="K47" i="13"/>
  <c r="K45" i="13"/>
  <c r="K43" i="13"/>
  <c r="K41" i="13"/>
  <c r="K39" i="13"/>
  <c r="L39" i="13" s="1"/>
  <c r="K37" i="13"/>
  <c r="L37" i="13" s="1"/>
  <c r="K35" i="13"/>
  <c r="K33" i="13"/>
  <c r="K31" i="13"/>
  <c r="K29" i="13"/>
  <c r="K27" i="13"/>
  <c r="K25" i="13"/>
  <c r="K15" i="13"/>
  <c r="K16" i="13"/>
  <c r="K110" i="13"/>
  <c r="K108" i="13"/>
  <c r="K106" i="13"/>
  <c r="K104" i="13"/>
  <c r="K102" i="13"/>
  <c r="K100" i="13"/>
  <c r="K98" i="13"/>
  <c r="K96" i="13"/>
  <c r="K94" i="13"/>
  <c r="K92" i="13"/>
  <c r="K90" i="13"/>
  <c r="K88" i="13"/>
  <c r="K86" i="13"/>
  <c r="K84" i="13"/>
  <c r="K82" i="13"/>
  <c r="K80" i="13"/>
  <c r="K78" i="13"/>
  <c r="K76" i="13"/>
  <c r="K74" i="13"/>
  <c r="K72" i="13"/>
  <c r="K70" i="13"/>
  <c r="K68" i="13"/>
  <c r="K66" i="13"/>
  <c r="K64" i="13"/>
  <c r="K62" i="13"/>
  <c r="K60" i="13"/>
  <c r="K58" i="13"/>
  <c r="K56" i="13"/>
  <c r="K54" i="13"/>
  <c r="K52" i="13"/>
  <c r="K50" i="13"/>
  <c r="K48" i="13"/>
  <c r="K46" i="13"/>
  <c r="K44" i="13"/>
  <c r="K42" i="13"/>
  <c r="K40" i="13"/>
  <c r="L40" i="13" s="1"/>
  <c r="K38" i="13"/>
  <c r="L38" i="13" s="1"/>
  <c r="K36" i="13"/>
  <c r="K34" i="13"/>
  <c r="K32" i="13"/>
  <c r="K30" i="13"/>
  <c r="K28" i="13"/>
  <c r="K26" i="13"/>
  <c r="K24" i="13"/>
  <c r="K12" i="13"/>
  <c r="K23" i="13"/>
  <c r="K21" i="13"/>
  <c r="K22" i="13"/>
  <c r="K20" i="13"/>
  <c r="K19" i="13"/>
  <c r="K18" i="13"/>
  <c r="K17" i="13"/>
  <c r="B13" i="12"/>
  <c r="G110" i="13"/>
  <c r="J111" i="13"/>
  <c r="J109" i="13"/>
  <c r="J107" i="13"/>
  <c r="J105" i="13"/>
  <c r="J103" i="13"/>
  <c r="J101" i="13"/>
  <c r="J99" i="13"/>
  <c r="J97" i="13"/>
  <c r="J95" i="13"/>
  <c r="J93" i="13"/>
  <c r="J91" i="13"/>
  <c r="J89" i="13"/>
  <c r="J87" i="13"/>
  <c r="J85" i="13"/>
  <c r="J83" i="13"/>
  <c r="J81" i="13"/>
  <c r="J79" i="13"/>
  <c r="J77" i="13"/>
  <c r="J75" i="13"/>
  <c r="J73" i="13"/>
  <c r="J71" i="13"/>
  <c r="J69" i="13"/>
  <c r="J67" i="13"/>
  <c r="J65" i="13"/>
  <c r="J63" i="13"/>
  <c r="J61" i="13"/>
  <c r="J59" i="13"/>
  <c r="J57" i="13"/>
  <c r="J55" i="13"/>
  <c r="J53" i="13"/>
  <c r="J51" i="13"/>
  <c r="J49" i="13"/>
  <c r="J47" i="13"/>
  <c r="J45" i="13"/>
  <c r="J43" i="13"/>
  <c r="J41" i="13"/>
  <c r="J39" i="13"/>
  <c r="J37" i="13"/>
  <c r="J35" i="13"/>
  <c r="L35" i="13" s="1"/>
  <c r="J33" i="13"/>
  <c r="J31" i="13"/>
  <c r="J29" i="13"/>
  <c r="J27" i="13"/>
  <c r="J25" i="13"/>
  <c r="L25" i="13" s="1"/>
  <c r="J22" i="13"/>
  <c r="J20" i="13"/>
  <c r="J18" i="13"/>
  <c r="J16" i="13"/>
  <c r="J12" i="13"/>
  <c r="J24" i="13"/>
  <c r="J110" i="13"/>
  <c r="J108" i="13"/>
  <c r="J106" i="13"/>
  <c r="J104" i="13"/>
  <c r="J102" i="13"/>
  <c r="J100" i="13"/>
  <c r="J98" i="13"/>
  <c r="J96" i="13"/>
  <c r="J94" i="13"/>
  <c r="J92" i="13"/>
  <c r="J90" i="13"/>
  <c r="J88" i="13"/>
  <c r="J86" i="13"/>
  <c r="J84" i="13"/>
  <c r="J82" i="13"/>
  <c r="J80" i="13"/>
  <c r="J78" i="13"/>
  <c r="J76" i="13"/>
  <c r="J74" i="13"/>
  <c r="J72" i="13"/>
  <c r="J70" i="13"/>
  <c r="J68" i="13"/>
  <c r="J66" i="13"/>
  <c r="J64" i="13"/>
  <c r="J62" i="13"/>
  <c r="J60" i="13"/>
  <c r="J58" i="13"/>
  <c r="J56" i="13"/>
  <c r="J54" i="13"/>
  <c r="J52" i="13"/>
  <c r="J50" i="13"/>
  <c r="J48" i="13"/>
  <c r="J46" i="13"/>
  <c r="J44" i="13"/>
  <c r="J42" i="13"/>
  <c r="J40" i="13"/>
  <c r="J38" i="13"/>
  <c r="J36" i="13"/>
  <c r="J34" i="13"/>
  <c r="J32" i="13"/>
  <c r="J30" i="13"/>
  <c r="J28" i="13"/>
  <c r="J26" i="13"/>
  <c r="L26" i="13" s="1"/>
  <c r="J23" i="13"/>
  <c r="J21" i="13"/>
  <c r="J19" i="13"/>
  <c r="J17" i="13"/>
  <c r="J15" i="13"/>
  <c r="G111" i="13"/>
  <c r="G109" i="13"/>
  <c r="G107" i="13"/>
  <c r="G105" i="13"/>
  <c r="G103" i="13"/>
  <c r="G101" i="13"/>
  <c r="G99" i="13"/>
  <c r="G97" i="13"/>
  <c r="G95" i="13"/>
  <c r="G93" i="13"/>
  <c r="G91" i="13"/>
  <c r="G89" i="13"/>
  <c r="G87" i="13"/>
  <c r="G85" i="13"/>
  <c r="G83" i="13"/>
  <c r="G81" i="13"/>
  <c r="G79" i="13"/>
  <c r="G77" i="13"/>
  <c r="G75" i="13"/>
  <c r="G73" i="13"/>
  <c r="G71" i="13"/>
  <c r="G69" i="13"/>
  <c r="G67" i="13"/>
  <c r="G65" i="13"/>
  <c r="G63" i="13"/>
  <c r="G61" i="13"/>
  <c r="G59" i="13"/>
  <c r="G57" i="13"/>
  <c r="G55" i="13"/>
  <c r="G53" i="13"/>
  <c r="G51" i="13"/>
  <c r="G49" i="13"/>
  <c r="G47" i="13"/>
  <c r="G45" i="13"/>
  <c r="G43" i="13"/>
  <c r="G41" i="13"/>
  <c r="G39" i="13"/>
  <c r="G37" i="13"/>
  <c r="G35" i="13"/>
  <c r="G33" i="13"/>
  <c r="G31" i="13"/>
  <c r="G29" i="13"/>
  <c r="G27" i="13"/>
  <c r="G25" i="13"/>
  <c r="G22" i="13"/>
  <c r="G20" i="13"/>
  <c r="G18" i="13"/>
  <c r="G16" i="13"/>
  <c r="G12" i="13"/>
  <c r="I24" i="13"/>
  <c r="I108" i="13"/>
  <c r="I106" i="13"/>
  <c r="I104" i="13"/>
  <c r="I102" i="13"/>
  <c r="I100" i="13"/>
  <c r="I98" i="13"/>
  <c r="I96" i="13"/>
  <c r="I94" i="13"/>
  <c r="I92" i="13"/>
  <c r="I90" i="13"/>
  <c r="I88" i="13"/>
  <c r="I86" i="13"/>
  <c r="I84" i="13"/>
  <c r="I82" i="13"/>
  <c r="I80" i="13"/>
  <c r="I78" i="13"/>
  <c r="I76" i="13"/>
  <c r="I74" i="13"/>
  <c r="I72" i="13"/>
  <c r="I70" i="13"/>
  <c r="I68" i="13"/>
  <c r="I66" i="13"/>
  <c r="I64" i="13"/>
  <c r="I62" i="13"/>
  <c r="I60" i="13"/>
  <c r="I58" i="13"/>
  <c r="I56" i="13"/>
  <c r="I54" i="13"/>
  <c r="I52" i="13"/>
  <c r="I50" i="13"/>
  <c r="I48" i="13"/>
  <c r="I46" i="13"/>
  <c r="I44" i="13"/>
  <c r="I42" i="13"/>
  <c r="I40" i="13"/>
  <c r="I38" i="13"/>
  <c r="I36" i="13"/>
  <c r="I34" i="13"/>
  <c r="I32" i="13"/>
  <c r="I30" i="13"/>
  <c r="I28" i="13"/>
  <c r="I26" i="13"/>
  <c r="G23" i="13"/>
  <c r="A190" i="13" s="1"/>
  <c r="G21" i="13"/>
  <c r="G19" i="13"/>
  <c r="G17" i="13"/>
  <c r="G15" i="13"/>
  <c r="B663" i="5"/>
  <c r="Z18" i="5"/>
  <c r="Z19" i="5"/>
  <c r="Z20" i="5"/>
  <c r="Z21" i="5"/>
  <c r="Z22" i="5"/>
  <c r="Z23" i="5"/>
  <c r="Z24" i="5"/>
  <c r="Z25" i="5"/>
  <c r="F15" i="10"/>
  <c r="B22" i="10" s="1"/>
  <c r="D15" i="10"/>
  <c r="B21" i="10" s="1"/>
  <c r="C1" i="10"/>
  <c r="C2" i="10" s="1"/>
  <c r="C3" i="10" s="1"/>
  <c r="C4" i="10" s="1"/>
  <c r="B24" i="10"/>
  <c r="B27" i="10"/>
  <c r="B28" i="10"/>
  <c r="Z16" i="16" l="1"/>
  <c r="Y15" i="16"/>
  <c r="Z15" i="16" s="1"/>
  <c r="Z20" i="16"/>
  <c r="E12" i="12"/>
  <c r="Q25" i="12"/>
  <c r="L21" i="13"/>
  <c r="Z110" i="16"/>
  <c r="M110" i="16"/>
  <c r="M11" i="16"/>
  <c r="E110" i="16"/>
  <c r="H110" i="16"/>
  <c r="A550" i="16" s="1"/>
  <c r="D110" i="16"/>
  <c r="A239" i="16" s="1"/>
  <c r="E11" i="16"/>
  <c r="H11" i="16"/>
  <c r="A451" i="16" s="1"/>
  <c r="D11" i="16"/>
  <c r="A140" i="16" s="1"/>
  <c r="A260" i="16"/>
  <c r="Q28" i="12"/>
  <c r="L108" i="12"/>
  <c r="E28" i="12"/>
  <c r="P28" i="12" s="1"/>
  <c r="F29" i="16"/>
  <c r="A368" i="16" s="1"/>
  <c r="F25" i="16"/>
  <c r="A364" i="16" s="1"/>
  <c r="F14" i="16"/>
  <c r="A353" i="16" s="1"/>
  <c r="F30" i="16"/>
  <c r="A369" i="16" s="1"/>
  <c r="F28" i="16"/>
  <c r="A367" i="16" s="1"/>
  <c r="F26" i="16"/>
  <c r="A365" i="16" s="1"/>
  <c r="F24" i="16"/>
  <c r="F31" i="16"/>
  <c r="A370" i="16" s="1"/>
  <c r="F27" i="16"/>
  <c r="A366" i="16" s="1"/>
  <c r="F23" i="16"/>
  <c r="A362" i="16" s="1"/>
  <c r="F16" i="16"/>
  <c r="A355" i="16" s="1"/>
  <c r="F18" i="16"/>
  <c r="A357" i="16" s="1"/>
  <c r="F19" i="16"/>
  <c r="A358" i="16" s="1"/>
  <c r="F20" i="16"/>
  <c r="A359" i="16" s="1"/>
  <c r="F21" i="16"/>
  <c r="A360" i="16" s="1"/>
  <c r="F22" i="16"/>
  <c r="A361" i="16" s="1"/>
  <c r="B18" i="14"/>
  <c r="H18" i="14" s="1"/>
  <c r="I18" i="14" s="1"/>
  <c r="A17" i="16"/>
  <c r="F15" i="16"/>
  <c r="A354" i="16" s="1"/>
  <c r="Q24" i="12"/>
  <c r="Q19" i="12"/>
  <c r="Q29" i="12"/>
  <c r="E24" i="12"/>
  <c r="P24" i="12" s="1"/>
  <c r="R13" i="12"/>
  <c r="E13" i="12"/>
  <c r="J2" i="12" s="1"/>
  <c r="E14" i="12"/>
  <c r="P14" i="12" s="1"/>
  <c r="I14" i="12" s="1"/>
  <c r="M21" i="12"/>
  <c r="E21" i="12"/>
  <c r="P21" i="12" s="1"/>
  <c r="M23" i="12"/>
  <c r="E23" i="12"/>
  <c r="P23" i="12" s="1"/>
  <c r="M20" i="12"/>
  <c r="E20" i="12"/>
  <c r="P20" i="12" s="1"/>
  <c r="M22" i="12"/>
  <c r="E22" i="12"/>
  <c r="G15" i="14"/>
  <c r="W16" i="14"/>
  <c r="T108" i="14"/>
  <c r="U108" i="14"/>
  <c r="V108" i="14" s="1"/>
  <c r="R107" i="14"/>
  <c r="S108" i="14"/>
  <c r="E16" i="12"/>
  <c r="P16" i="12" s="1"/>
  <c r="H16" i="14"/>
  <c r="E19" i="12"/>
  <c r="P19" i="12" s="1"/>
  <c r="M14" i="12"/>
  <c r="Q17" i="12"/>
  <c r="Q22" i="12"/>
  <c r="Q23" i="12"/>
  <c r="I23" i="12" s="1"/>
  <c r="Q27" i="12"/>
  <c r="E18" i="12"/>
  <c r="P18" i="12" s="1"/>
  <c r="P22" i="12"/>
  <c r="E27" i="12"/>
  <c r="P27" i="12" s="1"/>
  <c r="Q18" i="12"/>
  <c r="Q21" i="12"/>
  <c r="I21" i="12" s="1"/>
  <c r="E17" i="12"/>
  <c r="P17" i="12" s="1"/>
  <c r="E25" i="12"/>
  <c r="P25" i="12" s="1"/>
  <c r="E29" i="12"/>
  <c r="P29" i="12" s="1"/>
  <c r="Q16" i="12"/>
  <c r="I16" i="12" s="1"/>
  <c r="Q12" i="12"/>
  <c r="Q26" i="12"/>
  <c r="Q108" i="12"/>
  <c r="M108" i="12"/>
  <c r="P23" i="14"/>
  <c r="E26" i="12"/>
  <c r="P26" i="12" s="1"/>
  <c r="E108" i="12"/>
  <c r="P108" i="12" s="1"/>
  <c r="P16" i="14"/>
  <c r="B15" i="12"/>
  <c r="B9" i="12"/>
  <c r="E9" i="12" s="1"/>
  <c r="CZ15" i="5"/>
  <c r="G27" i="14"/>
  <c r="P27" i="14"/>
  <c r="G31" i="14"/>
  <c r="P31" i="14"/>
  <c r="P28" i="14"/>
  <c r="P32" i="14"/>
  <c r="G111" i="14"/>
  <c r="P111" i="14"/>
  <c r="B333" i="14"/>
  <c r="G29" i="14"/>
  <c r="P29" i="14"/>
  <c r="P26" i="14"/>
  <c r="P30" i="14"/>
  <c r="H15" i="14"/>
  <c r="P15" i="14"/>
  <c r="L19" i="14"/>
  <c r="O19" i="14" s="1"/>
  <c r="P19" i="14"/>
  <c r="L20" i="14"/>
  <c r="O20" i="14" s="1"/>
  <c r="P20" i="14"/>
  <c r="L24" i="14"/>
  <c r="O24" i="14" s="1"/>
  <c r="P24" i="14"/>
  <c r="L17" i="14"/>
  <c r="O17" i="14" s="1"/>
  <c r="P17" i="14"/>
  <c r="L21" i="14"/>
  <c r="O21" i="14" s="1"/>
  <c r="P21" i="14"/>
  <c r="P25" i="14"/>
  <c r="L18" i="14"/>
  <c r="O18" i="14" s="1"/>
  <c r="P18" i="14"/>
  <c r="L22" i="14"/>
  <c r="O22" i="14" s="1"/>
  <c r="P22" i="14"/>
  <c r="G25" i="14"/>
  <c r="L25" i="14"/>
  <c r="O25" i="14" s="1"/>
  <c r="G23" i="14"/>
  <c r="L23" i="14"/>
  <c r="O23" i="14" s="1"/>
  <c r="M9" i="12"/>
  <c r="N9" i="12" s="1"/>
  <c r="O9" i="12" s="1"/>
  <c r="J9" i="12" s="1"/>
  <c r="P13" i="12"/>
  <c r="H111" i="14"/>
  <c r="I111" i="14" s="1"/>
  <c r="B12" i="14"/>
  <c r="P12" i="14" s="1"/>
  <c r="H28" i="14"/>
  <c r="I28" i="14" s="1"/>
  <c r="G28" i="14"/>
  <c r="H32" i="14"/>
  <c r="I32" i="14" s="1"/>
  <c r="G32" i="14"/>
  <c r="H26" i="14"/>
  <c r="I26" i="14" s="1"/>
  <c r="G26" i="14"/>
  <c r="H30" i="14"/>
  <c r="I30" i="14" s="1"/>
  <c r="G30" i="14"/>
  <c r="H22" i="14"/>
  <c r="I22" i="14" s="1"/>
  <c r="G22" i="14"/>
  <c r="H24" i="14"/>
  <c r="I24" i="14" s="1"/>
  <c r="G24" i="14"/>
  <c r="H19" i="14"/>
  <c r="I19" i="14" s="1"/>
  <c r="G19" i="14"/>
  <c r="H20" i="14"/>
  <c r="I20" i="14" s="1"/>
  <c r="G20" i="14"/>
  <c r="H17" i="14"/>
  <c r="I17" i="14" s="1"/>
  <c r="G17" i="14"/>
  <c r="H21" i="14"/>
  <c r="I21" i="14" s="1"/>
  <c r="G21" i="14"/>
  <c r="H23" i="14"/>
  <c r="I23" i="14" s="1"/>
  <c r="H27" i="14"/>
  <c r="I27" i="14" s="1"/>
  <c r="H31" i="14"/>
  <c r="I31" i="14" s="1"/>
  <c r="H25" i="14"/>
  <c r="I25" i="14" s="1"/>
  <c r="H29" i="14"/>
  <c r="I29" i="14" s="1"/>
  <c r="I19" i="12"/>
  <c r="I27" i="12"/>
  <c r="I22" i="12"/>
  <c r="I25" i="12"/>
  <c r="I29" i="12"/>
  <c r="I20" i="12"/>
  <c r="I24" i="12"/>
  <c r="I28" i="12"/>
  <c r="M13" i="12"/>
  <c r="Q13" i="12"/>
  <c r="AQ32" i="5"/>
  <c r="B628" i="5"/>
  <c r="B627" i="5"/>
  <c r="B625" i="5"/>
  <c r="M26" i="9"/>
  <c r="H10" i="9"/>
  <c r="J3" i="5"/>
  <c r="B624" i="5"/>
  <c r="B608" i="5"/>
  <c r="B604" i="5"/>
  <c r="B603" i="5"/>
  <c r="J1" i="5"/>
  <c r="B264" i="5" s="1"/>
  <c r="B142" i="5"/>
  <c r="B126" i="5"/>
  <c r="B124" i="5"/>
  <c r="B122" i="5"/>
  <c r="B123" i="5"/>
  <c r="C17" i="5"/>
  <c r="D17" i="5"/>
  <c r="E17" i="5"/>
  <c r="AK17" i="5" s="1"/>
  <c r="E16" i="5"/>
  <c r="AK16" i="5" s="1"/>
  <c r="C16" i="5"/>
  <c r="D16" i="5"/>
  <c r="CH16" i="5" l="1"/>
  <c r="CI16" i="5"/>
  <c r="CH17" i="5"/>
  <c r="CI17" i="5"/>
  <c r="DE16" i="5"/>
  <c r="DF16" i="5"/>
  <c r="DE17" i="5"/>
  <c r="DF17" i="5"/>
  <c r="A116" i="16"/>
  <c r="A568" i="16"/>
  <c r="AC12" i="16"/>
  <c r="K12" i="16"/>
  <c r="O12" i="16"/>
  <c r="U13" i="16"/>
  <c r="T13" i="16" s="1"/>
  <c r="A728" i="16" s="1"/>
  <c r="J12" i="16"/>
  <c r="I12" i="16"/>
  <c r="P12" i="16"/>
  <c r="U14" i="16"/>
  <c r="T14" i="16" s="1"/>
  <c r="A729" i="16" s="1"/>
  <c r="J13" i="16"/>
  <c r="I13" i="16"/>
  <c r="P13" i="16"/>
  <c r="O13" i="16"/>
  <c r="AC13" i="16"/>
  <c r="K13" i="16"/>
  <c r="W13" i="16"/>
  <c r="I17" i="16"/>
  <c r="J17" i="16"/>
  <c r="Z17" i="16"/>
  <c r="M17" i="16"/>
  <c r="E17" i="16"/>
  <c r="H17" i="16"/>
  <c r="D17" i="16"/>
  <c r="A146" i="16" s="1"/>
  <c r="A363" i="16"/>
  <c r="L12" i="16"/>
  <c r="DC39" i="5"/>
  <c r="DC42" i="5"/>
  <c r="DC45" i="5"/>
  <c r="DC47" i="5"/>
  <c r="DC49" i="5"/>
  <c r="DC51" i="5"/>
  <c r="DC53" i="5"/>
  <c r="DC55" i="5"/>
  <c r="DC57" i="5"/>
  <c r="DC59" i="5"/>
  <c r="DC61" i="5"/>
  <c r="DC63" i="5"/>
  <c r="DC65" i="5"/>
  <c r="DC67" i="5"/>
  <c r="DC69" i="5"/>
  <c r="DC40" i="5"/>
  <c r="DC41" i="5"/>
  <c r="DC43" i="5"/>
  <c r="DC44" i="5"/>
  <c r="DC46" i="5"/>
  <c r="DC48" i="5"/>
  <c r="DC50" i="5"/>
  <c r="DC52" i="5"/>
  <c r="DC54" i="5"/>
  <c r="DC56" i="5"/>
  <c r="DC58" i="5"/>
  <c r="DC60" i="5"/>
  <c r="DC62" i="5"/>
  <c r="DC64" i="5"/>
  <c r="DC66" i="5"/>
  <c r="DC68" i="5"/>
  <c r="DC70" i="5"/>
  <c r="DD17" i="5"/>
  <c r="L13" i="16"/>
  <c r="G18" i="14"/>
  <c r="Q13" i="14"/>
  <c r="DD16" i="5"/>
  <c r="F11" i="16"/>
  <c r="A350" i="16" s="1"/>
  <c r="A457" i="16"/>
  <c r="F110" i="16"/>
  <c r="A449" i="16" s="1"/>
  <c r="DB16" i="5"/>
  <c r="B229" i="14"/>
  <c r="DB17" i="5"/>
  <c r="Q15" i="14"/>
  <c r="Q14" i="14"/>
  <c r="I15" i="14"/>
  <c r="B127" i="14" s="1"/>
  <c r="I16" i="14"/>
  <c r="B128" i="14" s="1"/>
  <c r="T107" i="14"/>
  <c r="U107" i="14"/>
  <c r="V107" i="14" s="1"/>
  <c r="R106" i="14"/>
  <c r="S107" i="14"/>
  <c r="I18" i="12"/>
  <c r="B135" i="14"/>
  <c r="B136" i="14"/>
  <c r="I26" i="12"/>
  <c r="B118" i="12" s="1"/>
  <c r="DA16" i="5"/>
  <c r="DA17" i="5"/>
  <c r="I17" i="12"/>
  <c r="Q9" i="12"/>
  <c r="L9" i="12"/>
  <c r="G10" i="12"/>
  <c r="P10" i="12" s="1"/>
  <c r="G11" i="12"/>
  <c r="P11" i="12" s="1"/>
  <c r="BO16" i="5"/>
  <c r="BK16" i="5"/>
  <c r="BO17" i="5"/>
  <c r="BK17" i="5"/>
  <c r="E15" i="12"/>
  <c r="P15" i="12" s="1"/>
  <c r="R15" i="12"/>
  <c r="Q15" i="12"/>
  <c r="M15" i="12"/>
  <c r="I13" i="12"/>
  <c r="L6" i="12" s="1"/>
  <c r="B141" i="14"/>
  <c r="J13" i="14"/>
  <c r="W13" i="14" s="1"/>
  <c r="CD16" i="5"/>
  <c r="CD17" i="5"/>
  <c r="J14" i="14"/>
  <c r="W14" i="14" s="1"/>
  <c r="B143" i="14"/>
  <c r="B139" i="14"/>
  <c r="B142" i="14"/>
  <c r="B138" i="14"/>
  <c r="B144" i="14"/>
  <c r="B140" i="14"/>
  <c r="B223" i="14"/>
  <c r="B137" i="14"/>
  <c r="B134" i="14"/>
  <c r="G12" i="14"/>
  <c r="H12" i="14"/>
  <c r="I12" i="14" s="1"/>
  <c r="B133" i="14"/>
  <c r="B132" i="14"/>
  <c r="B131" i="14"/>
  <c r="B130" i="14"/>
  <c r="B129" i="14"/>
  <c r="B117" i="12"/>
  <c r="S11" i="12"/>
  <c r="CX18" i="5"/>
  <c r="CX17" i="5"/>
  <c r="CX16" i="5"/>
  <c r="AQ33" i="5"/>
  <c r="AZ33" i="5"/>
  <c r="AQ17" i="5"/>
  <c r="AY17" i="5"/>
  <c r="AZ17" i="5" s="1"/>
  <c r="AY16" i="5"/>
  <c r="AZ16" i="5" s="1"/>
  <c r="AQ16" i="5"/>
  <c r="BM17" i="5"/>
  <c r="J2" i="5"/>
  <c r="B626" i="5" s="1"/>
  <c r="B230" i="14" s="1"/>
  <c r="BM16" i="5"/>
  <c r="H13" i="13"/>
  <c r="BX16" i="5"/>
  <c r="B13" i="13"/>
  <c r="K13" i="13" s="1"/>
  <c r="B14" i="13"/>
  <c r="K14" i="13" s="1"/>
  <c r="H14" i="13"/>
  <c r="BX17" i="5"/>
  <c r="F42" i="7"/>
  <c r="B539" i="8"/>
  <c r="Z114" i="5"/>
  <c r="Z35" i="5"/>
  <c r="Z34" i="5"/>
  <c r="Z33" i="5"/>
  <c r="Z32" i="5"/>
  <c r="Z31" i="5"/>
  <c r="Z30" i="5"/>
  <c r="Z29" i="5"/>
  <c r="Z28" i="5"/>
  <c r="Z26" i="5"/>
  <c r="B263" i="5"/>
  <c r="J34" i="7"/>
  <c r="B819" i="5"/>
  <c r="N15" i="5"/>
  <c r="F9" i="2"/>
  <c r="B722" i="5" l="1"/>
  <c r="B723" i="5"/>
  <c r="A567" i="16"/>
  <c r="A569" i="16"/>
  <c r="A607" i="16"/>
  <c r="A135" i="16"/>
  <c r="DC17" i="5"/>
  <c r="DC31" i="5"/>
  <c r="DC23" i="5"/>
  <c r="DC19" i="5"/>
  <c r="A1458" i="16"/>
  <c r="DC25" i="5"/>
  <c r="DC15" i="5"/>
  <c r="DC21" i="5"/>
  <c r="DC26" i="5"/>
  <c r="DC18" i="5"/>
  <c r="DC20" i="5"/>
  <c r="DC22" i="5"/>
  <c r="DC24" i="5"/>
  <c r="DC16" i="5"/>
  <c r="DC29" i="5"/>
  <c r="DC32" i="5"/>
  <c r="DC30" i="5"/>
  <c r="DC28" i="5"/>
  <c r="DC27" i="5"/>
  <c r="R10" i="12"/>
  <c r="W12" i="16"/>
  <c r="Y14" i="16"/>
  <c r="X13" i="16"/>
  <c r="A1143" i="16"/>
  <c r="A1141" i="16"/>
  <c r="A1032" i="16"/>
  <c r="DC36" i="5"/>
  <c r="DC33" i="5"/>
  <c r="DC37" i="5"/>
  <c r="DC34" i="5"/>
  <c r="DC38" i="5"/>
  <c r="DC35" i="5"/>
  <c r="A551" i="16"/>
  <c r="A115" i="16"/>
  <c r="A1457" i="16" s="1"/>
  <c r="CZ17" i="5"/>
  <c r="A13" i="16"/>
  <c r="CZ16" i="5"/>
  <c r="A12" i="16"/>
  <c r="F17" i="16"/>
  <c r="A356" i="16" s="1"/>
  <c r="S10" i="12"/>
  <c r="R11" i="12"/>
  <c r="T106" i="14"/>
  <c r="U106" i="14"/>
  <c r="V106" i="14" s="1"/>
  <c r="R105" i="14"/>
  <c r="S106" i="14"/>
  <c r="I15" i="12"/>
  <c r="B116" i="12" s="1"/>
  <c r="B124" i="14"/>
  <c r="B116" i="14"/>
  <c r="B11" i="12"/>
  <c r="M11" i="12" s="1"/>
  <c r="B14" i="14"/>
  <c r="P14" i="14" s="1"/>
  <c r="B10" i="12"/>
  <c r="M10" i="12" s="1"/>
  <c r="B13" i="14"/>
  <c r="P13" i="14" s="1"/>
  <c r="B115" i="12"/>
  <c r="AQ34" i="5"/>
  <c r="AZ34" i="5"/>
  <c r="AZ35" i="5" s="1"/>
  <c r="I13" i="13"/>
  <c r="J13" i="13"/>
  <c r="G13" i="13"/>
  <c r="I14" i="13"/>
  <c r="J14" i="13"/>
  <c r="G14" i="13"/>
  <c r="E16" i="8"/>
  <c r="E18" i="8"/>
  <c r="E19" i="8"/>
  <c r="E20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15" i="8"/>
  <c r="W11" i="16" l="1"/>
  <c r="Y13" i="16"/>
  <c r="X12" i="16"/>
  <c r="Z12" i="16"/>
  <c r="Z13" i="16"/>
  <c r="M12" i="16"/>
  <c r="M13" i="16"/>
  <c r="E12" i="16"/>
  <c r="H12" i="16"/>
  <c r="A452" i="16" s="1"/>
  <c r="D12" i="16"/>
  <c r="A141" i="16" s="1"/>
  <c r="E13" i="16"/>
  <c r="H13" i="16"/>
  <c r="A453" i="16" s="1"/>
  <c r="D13" i="16"/>
  <c r="A142" i="16" s="1"/>
  <c r="T105" i="14"/>
  <c r="U105" i="14"/>
  <c r="V105" i="14" s="1"/>
  <c r="R104" i="14"/>
  <c r="S105" i="14"/>
  <c r="E10" i="12"/>
  <c r="E11" i="12"/>
  <c r="O11" i="12"/>
  <c r="J11" i="12" s="1"/>
  <c r="Q10" i="12"/>
  <c r="Q11" i="12"/>
  <c r="H13" i="14"/>
  <c r="I13" i="14" s="1"/>
  <c r="G13" i="14"/>
  <c r="H14" i="14"/>
  <c r="I14" i="14" s="1"/>
  <c r="G14" i="14"/>
  <c r="N10" i="12"/>
  <c r="N11" i="12" s="1"/>
  <c r="N12" i="12" s="1"/>
  <c r="R7" i="5"/>
  <c r="I10" i="5"/>
  <c r="K17" i="8"/>
  <c r="K12" i="8" s="1"/>
  <c r="B448" i="8" s="1"/>
  <c r="B583" i="8" s="1"/>
  <c r="E114" i="8"/>
  <c r="Z16" i="5"/>
  <c r="Z17" i="5"/>
  <c r="Z15" i="5"/>
  <c r="E15" i="9"/>
  <c r="E16" i="9"/>
  <c r="E17" i="9"/>
  <c r="E18" i="9"/>
  <c r="E19" i="9"/>
  <c r="E20" i="9"/>
  <c r="E21" i="9"/>
  <c r="E22" i="9"/>
  <c r="E23" i="9"/>
  <c r="E24" i="9"/>
  <c r="E26" i="9"/>
  <c r="E28" i="9"/>
  <c r="E29" i="9"/>
  <c r="E30" i="9"/>
  <c r="E31" i="9"/>
  <c r="E32" i="9"/>
  <c r="E33" i="9"/>
  <c r="E34" i="9"/>
  <c r="E35" i="9"/>
  <c r="E25" i="9"/>
  <c r="E114" i="9"/>
  <c r="H10" i="8"/>
  <c r="I10" i="9"/>
  <c r="B268" i="5"/>
  <c r="B124" i="8" s="1"/>
  <c r="L11" i="12" l="1"/>
  <c r="O10" i="12"/>
  <c r="X11" i="16"/>
  <c r="Y11" i="16"/>
  <c r="Y12" i="16"/>
  <c r="Z11" i="16"/>
  <c r="F13" i="16"/>
  <c r="A352" i="16" s="1"/>
  <c r="F12" i="16"/>
  <c r="A351" i="16" s="1"/>
  <c r="T104" i="14"/>
  <c r="U104" i="14"/>
  <c r="V104" i="14" s="1"/>
  <c r="R103" i="14"/>
  <c r="S104" i="14"/>
  <c r="B269" i="5"/>
  <c r="B767" i="5"/>
  <c r="B988" i="5" s="1"/>
  <c r="B126" i="14"/>
  <c r="B125" i="14"/>
  <c r="N13" i="12"/>
  <c r="O12" i="12"/>
  <c r="B124" i="9"/>
  <c r="B125" i="8"/>
  <c r="A245" i="16" s="1"/>
  <c r="B662" i="5"/>
  <c r="B661" i="5"/>
  <c r="B660" i="5"/>
  <c r="Q12" i="5"/>
  <c r="A623" i="5"/>
  <c r="A616" i="5"/>
  <c r="A617" i="5"/>
  <c r="A618" i="5"/>
  <c r="A619" i="5"/>
  <c r="A620" i="5"/>
  <c r="A621" i="5"/>
  <c r="A622" i="5"/>
  <c r="A610" i="5"/>
  <c r="A611" i="5"/>
  <c r="A612" i="5"/>
  <c r="A613" i="5"/>
  <c r="A614" i="5"/>
  <c r="A615" i="5"/>
  <c r="A609" i="5"/>
  <c r="Q11" i="5"/>
  <c r="M10" i="9"/>
  <c r="N3" i="9"/>
  <c r="M6" i="9"/>
  <c r="B358" i="8"/>
  <c r="B121" i="9"/>
  <c r="B782" i="9"/>
  <c r="A32" i="16"/>
  <c r="J32" i="16" s="1"/>
  <c r="A33" i="16"/>
  <c r="A34" i="16"/>
  <c r="A35" i="16"/>
  <c r="S35" i="16" s="1"/>
  <c r="A44" i="16"/>
  <c r="A45" i="16"/>
  <c r="A46" i="16"/>
  <c r="A47" i="16"/>
  <c r="S47" i="16" s="1"/>
  <c r="A48" i="16"/>
  <c r="K48" i="16" s="1"/>
  <c r="A49" i="16"/>
  <c r="A50" i="16"/>
  <c r="A51" i="16"/>
  <c r="K51" i="16" s="1"/>
  <c r="A52" i="16"/>
  <c r="I52" i="16" s="1"/>
  <c r="A53" i="16"/>
  <c r="K53" i="16" s="1"/>
  <c r="A54" i="16"/>
  <c r="I54" i="16" s="1"/>
  <c r="A55" i="16"/>
  <c r="A56" i="16"/>
  <c r="I56" i="16" s="1"/>
  <c r="A57" i="16"/>
  <c r="I57" i="16" s="1"/>
  <c r="A58" i="16"/>
  <c r="K58" i="16" s="1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I72" i="16" s="1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BA16" i="5"/>
  <c r="BA17" i="5"/>
  <c r="BA18" i="5"/>
  <c r="BA19" i="5" s="1"/>
  <c r="BA64" i="5"/>
  <c r="L60" i="16" s="1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5" i="5"/>
  <c r="B196" i="5"/>
  <c r="J12" i="12" l="1"/>
  <c r="L12" i="12"/>
  <c r="J10" i="12"/>
  <c r="L10" i="12"/>
  <c r="L15" i="16"/>
  <c r="DE19" i="5"/>
  <c r="DF19" i="5"/>
  <c r="P70" i="16"/>
  <c r="AC70" i="16"/>
  <c r="P68" i="16"/>
  <c r="AC68" i="16"/>
  <c r="P66" i="16"/>
  <c r="AC66" i="16"/>
  <c r="P67" i="16"/>
  <c r="AC67" i="16"/>
  <c r="P65" i="16"/>
  <c r="AC65" i="16"/>
  <c r="P59" i="16"/>
  <c r="AC59" i="16"/>
  <c r="G69" i="16"/>
  <c r="A307" i="16" s="1"/>
  <c r="G71" i="16"/>
  <c r="A309" i="16" s="1"/>
  <c r="J71" i="16"/>
  <c r="T71" i="16"/>
  <c r="A786" i="16" s="1"/>
  <c r="Y71" i="16"/>
  <c r="Y70" i="16" s="1"/>
  <c r="J69" i="16"/>
  <c r="Y69" i="16"/>
  <c r="Y68" i="16" s="1"/>
  <c r="T69" i="16"/>
  <c r="A784" i="16" s="1"/>
  <c r="J63" i="16"/>
  <c r="T63" i="16"/>
  <c r="A778" i="16" s="1"/>
  <c r="Y63" i="16"/>
  <c r="Y62" i="16" s="1"/>
  <c r="A1249" i="16"/>
  <c r="B967" i="5"/>
  <c r="P34" i="16"/>
  <c r="S34" i="16"/>
  <c r="P32" i="16"/>
  <c r="S32" i="16"/>
  <c r="P33" i="16"/>
  <c r="S33" i="16"/>
  <c r="P55" i="16"/>
  <c r="AC55" i="16"/>
  <c r="P49" i="16"/>
  <c r="AC49" i="16"/>
  <c r="J56" i="16"/>
  <c r="T56" i="16"/>
  <c r="A771" i="16" s="1"/>
  <c r="Y56" i="16"/>
  <c r="Y55" i="16" s="1"/>
  <c r="I50" i="16"/>
  <c r="T50" i="16"/>
  <c r="A765" i="16" s="1"/>
  <c r="Y50" i="16"/>
  <c r="Y49" i="16" s="1"/>
  <c r="P35" i="16"/>
  <c r="I35" i="16"/>
  <c r="T35" i="16"/>
  <c r="A750" i="16" s="1"/>
  <c r="I44" i="16"/>
  <c r="T44" i="16"/>
  <c r="A759" i="16" s="1"/>
  <c r="Y44" i="16"/>
  <c r="Z108" i="16"/>
  <c r="Z106" i="16"/>
  <c r="Z104" i="16"/>
  <c r="Z102" i="16"/>
  <c r="Z100" i="16"/>
  <c r="Z98" i="16"/>
  <c r="Z96" i="16"/>
  <c r="Z94" i="16"/>
  <c r="Z92" i="16"/>
  <c r="Z90" i="16"/>
  <c r="Z88" i="16"/>
  <c r="Z86" i="16"/>
  <c r="Z84" i="16"/>
  <c r="Z82" i="16"/>
  <c r="Z80" i="16"/>
  <c r="Z78" i="16"/>
  <c r="Z76" i="16"/>
  <c r="Z74" i="16"/>
  <c r="Z72" i="16"/>
  <c r="Z70" i="16"/>
  <c r="Z68" i="16"/>
  <c r="Z66" i="16"/>
  <c r="Z64" i="16"/>
  <c r="Z62" i="16"/>
  <c r="Z60" i="16"/>
  <c r="Z58" i="16"/>
  <c r="Z56" i="16"/>
  <c r="Z54" i="16"/>
  <c r="Z52" i="16"/>
  <c r="Z50" i="16"/>
  <c r="Z48" i="16"/>
  <c r="Z46" i="16"/>
  <c r="Z44" i="16"/>
  <c r="Z32" i="16"/>
  <c r="Z107" i="16"/>
  <c r="Z105" i="16"/>
  <c r="Z103" i="16"/>
  <c r="Z101" i="16"/>
  <c r="Z99" i="16"/>
  <c r="Z97" i="16"/>
  <c r="Z95" i="16"/>
  <c r="Z93" i="16"/>
  <c r="Z91" i="16"/>
  <c r="Z89" i="16"/>
  <c r="Z87" i="16"/>
  <c r="Z85" i="16"/>
  <c r="Z83" i="16"/>
  <c r="Z81" i="16"/>
  <c r="Z79" i="16"/>
  <c r="Z77" i="16"/>
  <c r="Z75" i="16"/>
  <c r="Z73" i="16"/>
  <c r="Z71" i="16"/>
  <c r="Z69" i="16"/>
  <c r="Z67" i="16"/>
  <c r="Z65" i="16"/>
  <c r="Z63" i="16"/>
  <c r="Z61" i="16"/>
  <c r="Z59" i="16"/>
  <c r="Z57" i="16"/>
  <c r="Z55" i="16"/>
  <c r="Z53" i="16"/>
  <c r="Z51" i="16"/>
  <c r="Z49" i="16"/>
  <c r="Z47" i="16"/>
  <c r="Z45" i="16"/>
  <c r="Z33" i="16"/>
  <c r="M108" i="16"/>
  <c r="M106" i="16"/>
  <c r="M104" i="16"/>
  <c r="M102" i="16"/>
  <c r="M100" i="16"/>
  <c r="M98" i="16"/>
  <c r="M96" i="16"/>
  <c r="M94" i="16"/>
  <c r="M92" i="16"/>
  <c r="M90" i="16"/>
  <c r="M88" i="16"/>
  <c r="M86" i="16"/>
  <c r="M84" i="16"/>
  <c r="M82" i="16"/>
  <c r="M80" i="16"/>
  <c r="M78" i="16"/>
  <c r="M76" i="16"/>
  <c r="M74" i="16"/>
  <c r="M72" i="16"/>
  <c r="M70" i="16"/>
  <c r="M68" i="16"/>
  <c r="M66" i="16"/>
  <c r="M64" i="16"/>
  <c r="M62" i="16"/>
  <c r="M60" i="16"/>
  <c r="M58" i="16"/>
  <c r="M56" i="16"/>
  <c r="M54" i="16"/>
  <c r="M52" i="16"/>
  <c r="M50" i="16"/>
  <c r="M48" i="16"/>
  <c r="M46" i="16"/>
  <c r="M44" i="16"/>
  <c r="M34" i="16"/>
  <c r="M32" i="16"/>
  <c r="M107" i="16"/>
  <c r="M105" i="16"/>
  <c r="M103" i="16"/>
  <c r="M101" i="16"/>
  <c r="M99" i="16"/>
  <c r="M97" i="16"/>
  <c r="M95" i="16"/>
  <c r="M93" i="16"/>
  <c r="M91" i="16"/>
  <c r="M89" i="16"/>
  <c r="M87" i="16"/>
  <c r="M85" i="16"/>
  <c r="M83" i="16"/>
  <c r="M81" i="16"/>
  <c r="M79" i="16"/>
  <c r="M77" i="16"/>
  <c r="M75" i="16"/>
  <c r="M73" i="16"/>
  <c r="M71" i="16"/>
  <c r="M69" i="16"/>
  <c r="M67" i="16"/>
  <c r="M65" i="16"/>
  <c r="M63" i="16"/>
  <c r="M61" i="16"/>
  <c r="M59" i="16"/>
  <c r="M57" i="16"/>
  <c r="M55" i="16"/>
  <c r="M53" i="16"/>
  <c r="M51" i="16"/>
  <c r="M49" i="16"/>
  <c r="M47" i="16"/>
  <c r="M45" i="16"/>
  <c r="M35" i="16"/>
  <c r="M33" i="16"/>
  <c r="E108" i="16"/>
  <c r="F108" i="16" s="1"/>
  <c r="A447" i="16" s="1"/>
  <c r="H108" i="16"/>
  <c r="A548" i="16" s="1"/>
  <c r="D108" i="16"/>
  <c r="A237" i="16" s="1"/>
  <c r="E106" i="16"/>
  <c r="F106" i="16" s="1"/>
  <c r="A445" i="16" s="1"/>
  <c r="H106" i="16"/>
  <c r="A546" i="16" s="1"/>
  <c r="D106" i="16"/>
  <c r="A235" i="16" s="1"/>
  <c r="E104" i="16"/>
  <c r="F104" i="16" s="1"/>
  <c r="A443" i="16" s="1"/>
  <c r="H104" i="16"/>
  <c r="A544" i="16" s="1"/>
  <c r="D104" i="16"/>
  <c r="A233" i="16" s="1"/>
  <c r="E102" i="16"/>
  <c r="F102" i="16" s="1"/>
  <c r="A441" i="16" s="1"/>
  <c r="H102" i="16"/>
  <c r="A542" i="16" s="1"/>
  <c r="D102" i="16"/>
  <c r="A231" i="16" s="1"/>
  <c r="E100" i="16"/>
  <c r="F100" i="16" s="1"/>
  <c r="A439" i="16" s="1"/>
  <c r="H100" i="16"/>
  <c r="A540" i="16" s="1"/>
  <c r="D100" i="16"/>
  <c r="A229" i="16" s="1"/>
  <c r="E98" i="16"/>
  <c r="F98" i="16" s="1"/>
  <c r="A437" i="16" s="1"/>
  <c r="H98" i="16"/>
  <c r="A538" i="16" s="1"/>
  <c r="D98" i="16"/>
  <c r="A227" i="16" s="1"/>
  <c r="E96" i="16"/>
  <c r="F96" i="16" s="1"/>
  <c r="A435" i="16" s="1"/>
  <c r="H96" i="16"/>
  <c r="A536" i="16" s="1"/>
  <c r="D96" i="16"/>
  <c r="A225" i="16" s="1"/>
  <c r="E94" i="16"/>
  <c r="F94" i="16" s="1"/>
  <c r="A433" i="16" s="1"/>
  <c r="H94" i="16"/>
  <c r="A534" i="16" s="1"/>
  <c r="D94" i="16"/>
  <c r="A223" i="16" s="1"/>
  <c r="E92" i="16"/>
  <c r="F92" i="16" s="1"/>
  <c r="A431" i="16" s="1"/>
  <c r="H92" i="16"/>
  <c r="A532" i="16" s="1"/>
  <c r="D92" i="16"/>
  <c r="A221" i="16" s="1"/>
  <c r="E90" i="16"/>
  <c r="F90" i="16" s="1"/>
  <c r="A429" i="16" s="1"/>
  <c r="H90" i="16"/>
  <c r="A530" i="16" s="1"/>
  <c r="D90" i="16"/>
  <c r="A219" i="16" s="1"/>
  <c r="E88" i="16"/>
  <c r="F88" i="16" s="1"/>
  <c r="A427" i="16" s="1"/>
  <c r="H88" i="16"/>
  <c r="A528" i="16" s="1"/>
  <c r="D88" i="16"/>
  <c r="A217" i="16" s="1"/>
  <c r="E86" i="16"/>
  <c r="F86" i="16" s="1"/>
  <c r="A425" i="16" s="1"/>
  <c r="H86" i="16"/>
  <c r="A526" i="16" s="1"/>
  <c r="D86" i="16"/>
  <c r="A215" i="16" s="1"/>
  <c r="E84" i="16"/>
  <c r="F84" i="16" s="1"/>
  <c r="A423" i="16" s="1"/>
  <c r="H84" i="16"/>
  <c r="A524" i="16" s="1"/>
  <c r="D84" i="16"/>
  <c r="A213" i="16" s="1"/>
  <c r="E82" i="16"/>
  <c r="F82" i="16" s="1"/>
  <c r="A421" i="16" s="1"/>
  <c r="H82" i="16"/>
  <c r="A522" i="16" s="1"/>
  <c r="D82" i="16"/>
  <c r="A211" i="16" s="1"/>
  <c r="E80" i="16"/>
  <c r="F80" i="16" s="1"/>
  <c r="A419" i="16" s="1"/>
  <c r="H80" i="16"/>
  <c r="A520" i="16" s="1"/>
  <c r="D80" i="16"/>
  <c r="A209" i="16" s="1"/>
  <c r="E78" i="16"/>
  <c r="F78" i="16" s="1"/>
  <c r="A417" i="16" s="1"/>
  <c r="H78" i="16"/>
  <c r="A518" i="16" s="1"/>
  <c r="D78" i="16"/>
  <c r="A207" i="16" s="1"/>
  <c r="E76" i="16"/>
  <c r="F76" i="16" s="1"/>
  <c r="A415" i="16" s="1"/>
  <c r="H76" i="16"/>
  <c r="A516" i="16" s="1"/>
  <c r="D76" i="16"/>
  <c r="A205" i="16" s="1"/>
  <c r="E74" i="16"/>
  <c r="F74" i="16" s="1"/>
  <c r="A413" i="16" s="1"/>
  <c r="H74" i="16"/>
  <c r="A514" i="16" s="1"/>
  <c r="D74" i="16"/>
  <c r="A203" i="16" s="1"/>
  <c r="E72" i="16"/>
  <c r="F72" i="16" s="1"/>
  <c r="A411" i="16" s="1"/>
  <c r="H72" i="16"/>
  <c r="A512" i="16" s="1"/>
  <c r="D72" i="16"/>
  <c r="A201" i="16" s="1"/>
  <c r="E70" i="16"/>
  <c r="F70" i="16" s="1"/>
  <c r="A409" i="16" s="1"/>
  <c r="H70" i="16"/>
  <c r="A510" i="16" s="1"/>
  <c r="D70" i="16"/>
  <c r="A199" i="16" s="1"/>
  <c r="E68" i="16"/>
  <c r="F68" i="16" s="1"/>
  <c r="A407" i="16" s="1"/>
  <c r="H68" i="16"/>
  <c r="A508" i="16" s="1"/>
  <c r="D68" i="16"/>
  <c r="A197" i="16" s="1"/>
  <c r="E66" i="16"/>
  <c r="F66" i="16" s="1"/>
  <c r="A405" i="16" s="1"/>
  <c r="H66" i="16"/>
  <c r="A506" i="16" s="1"/>
  <c r="D66" i="16"/>
  <c r="A195" i="16" s="1"/>
  <c r="E64" i="16"/>
  <c r="F64" i="16" s="1"/>
  <c r="A403" i="16" s="1"/>
  <c r="H64" i="16"/>
  <c r="A504" i="16" s="1"/>
  <c r="D64" i="16"/>
  <c r="A193" i="16" s="1"/>
  <c r="E62" i="16"/>
  <c r="F62" i="16" s="1"/>
  <c r="A401" i="16" s="1"/>
  <c r="H62" i="16"/>
  <c r="A502" i="16" s="1"/>
  <c r="D62" i="16"/>
  <c r="A191" i="16" s="1"/>
  <c r="E60" i="16"/>
  <c r="F60" i="16" s="1"/>
  <c r="A399" i="16" s="1"/>
  <c r="H60" i="16"/>
  <c r="A500" i="16" s="1"/>
  <c r="D60" i="16"/>
  <c r="A189" i="16" s="1"/>
  <c r="E58" i="16"/>
  <c r="F58" i="16" s="1"/>
  <c r="A397" i="16" s="1"/>
  <c r="H58" i="16"/>
  <c r="A498" i="16" s="1"/>
  <c r="D58" i="16"/>
  <c r="A187" i="16" s="1"/>
  <c r="E56" i="16"/>
  <c r="F56" i="16" s="1"/>
  <c r="A395" i="16" s="1"/>
  <c r="H56" i="16"/>
  <c r="A496" i="16" s="1"/>
  <c r="D56" i="16"/>
  <c r="A185" i="16" s="1"/>
  <c r="E54" i="16"/>
  <c r="F54" i="16" s="1"/>
  <c r="A393" i="16" s="1"/>
  <c r="H54" i="16"/>
  <c r="A494" i="16" s="1"/>
  <c r="D54" i="16"/>
  <c r="A183" i="16" s="1"/>
  <c r="E52" i="16"/>
  <c r="F52" i="16" s="1"/>
  <c r="A391" i="16" s="1"/>
  <c r="H52" i="16"/>
  <c r="A492" i="16" s="1"/>
  <c r="D52" i="16"/>
  <c r="A181" i="16" s="1"/>
  <c r="E50" i="16"/>
  <c r="F50" i="16" s="1"/>
  <c r="A389" i="16" s="1"/>
  <c r="H50" i="16"/>
  <c r="A490" i="16" s="1"/>
  <c r="D50" i="16"/>
  <c r="A179" i="16" s="1"/>
  <c r="E48" i="16"/>
  <c r="F48" i="16" s="1"/>
  <c r="A387" i="16" s="1"/>
  <c r="H48" i="16"/>
  <c r="A488" i="16" s="1"/>
  <c r="D48" i="16"/>
  <c r="A177" i="16" s="1"/>
  <c r="E46" i="16"/>
  <c r="F46" i="16" s="1"/>
  <c r="A385" i="16" s="1"/>
  <c r="H46" i="16"/>
  <c r="A486" i="16" s="1"/>
  <c r="D46" i="16"/>
  <c r="A175" i="16" s="1"/>
  <c r="E44" i="16"/>
  <c r="F44" i="16" s="1"/>
  <c r="A383" i="16" s="1"/>
  <c r="H44" i="16"/>
  <c r="A484" i="16" s="1"/>
  <c r="D44" i="16"/>
  <c r="A173" i="16" s="1"/>
  <c r="E34" i="16"/>
  <c r="H34" i="16"/>
  <c r="A474" i="16" s="1"/>
  <c r="D34" i="16"/>
  <c r="A163" i="16" s="1"/>
  <c r="E32" i="16"/>
  <c r="H32" i="16"/>
  <c r="A472" i="16" s="1"/>
  <c r="D32" i="16"/>
  <c r="A161" i="16" s="1"/>
  <c r="E107" i="16"/>
  <c r="F107" i="16" s="1"/>
  <c r="A446" i="16" s="1"/>
  <c r="H107" i="16"/>
  <c r="A547" i="16" s="1"/>
  <c r="D107" i="16"/>
  <c r="A236" i="16" s="1"/>
  <c r="E105" i="16"/>
  <c r="F105" i="16" s="1"/>
  <c r="A444" i="16" s="1"/>
  <c r="H105" i="16"/>
  <c r="A545" i="16" s="1"/>
  <c r="D105" i="16"/>
  <c r="A234" i="16" s="1"/>
  <c r="E103" i="16"/>
  <c r="F103" i="16" s="1"/>
  <c r="A442" i="16" s="1"/>
  <c r="H103" i="16"/>
  <c r="A543" i="16" s="1"/>
  <c r="D103" i="16"/>
  <c r="A232" i="16" s="1"/>
  <c r="E101" i="16"/>
  <c r="F101" i="16" s="1"/>
  <c r="A440" i="16" s="1"/>
  <c r="H101" i="16"/>
  <c r="A541" i="16" s="1"/>
  <c r="D101" i="16"/>
  <c r="A230" i="16" s="1"/>
  <c r="E99" i="16"/>
  <c r="F99" i="16" s="1"/>
  <c r="A438" i="16" s="1"/>
  <c r="H99" i="16"/>
  <c r="A539" i="16" s="1"/>
  <c r="D99" i="16"/>
  <c r="A228" i="16" s="1"/>
  <c r="E97" i="16"/>
  <c r="F97" i="16" s="1"/>
  <c r="A436" i="16" s="1"/>
  <c r="H97" i="16"/>
  <c r="A537" i="16" s="1"/>
  <c r="D97" i="16"/>
  <c r="A226" i="16" s="1"/>
  <c r="E95" i="16"/>
  <c r="F95" i="16" s="1"/>
  <c r="A434" i="16" s="1"/>
  <c r="H95" i="16"/>
  <c r="A535" i="16" s="1"/>
  <c r="D95" i="16"/>
  <c r="A224" i="16" s="1"/>
  <c r="E93" i="16"/>
  <c r="F93" i="16" s="1"/>
  <c r="A432" i="16" s="1"/>
  <c r="H93" i="16"/>
  <c r="A533" i="16" s="1"/>
  <c r="D93" i="16"/>
  <c r="A222" i="16" s="1"/>
  <c r="E91" i="16"/>
  <c r="F91" i="16" s="1"/>
  <c r="A430" i="16" s="1"/>
  <c r="H91" i="16"/>
  <c r="A531" i="16" s="1"/>
  <c r="D91" i="16"/>
  <c r="A220" i="16" s="1"/>
  <c r="E89" i="16"/>
  <c r="F89" i="16" s="1"/>
  <c r="A428" i="16" s="1"/>
  <c r="H89" i="16"/>
  <c r="A529" i="16" s="1"/>
  <c r="D89" i="16"/>
  <c r="A218" i="16" s="1"/>
  <c r="E87" i="16"/>
  <c r="F87" i="16" s="1"/>
  <c r="A426" i="16" s="1"/>
  <c r="H87" i="16"/>
  <c r="A527" i="16" s="1"/>
  <c r="D87" i="16"/>
  <c r="A216" i="16" s="1"/>
  <c r="E85" i="16"/>
  <c r="F85" i="16" s="1"/>
  <c r="A424" i="16" s="1"/>
  <c r="H85" i="16"/>
  <c r="A525" i="16" s="1"/>
  <c r="D85" i="16"/>
  <c r="A214" i="16" s="1"/>
  <c r="E83" i="16"/>
  <c r="F83" i="16" s="1"/>
  <c r="A422" i="16" s="1"/>
  <c r="H83" i="16"/>
  <c r="A523" i="16" s="1"/>
  <c r="D83" i="16"/>
  <c r="A212" i="16" s="1"/>
  <c r="E81" i="16"/>
  <c r="F81" i="16" s="1"/>
  <c r="A420" i="16" s="1"/>
  <c r="H81" i="16"/>
  <c r="A521" i="16" s="1"/>
  <c r="D81" i="16"/>
  <c r="A210" i="16" s="1"/>
  <c r="E79" i="16"/>
  <c r="F79" i="16" s="1"/>
  <c r="A418" i="16" s="1"/>
  <c r="H79" i="16"/>
  <c r="A519" i="16" s="1"/>
  <c r="D79" i="16"/>
  <c r="A208" i="16" s="1"/>
  <c r="E77" i="16"/>
  <c r="F77" i="16" s="1"/>
  <c r="A416" i="16" s="1"/>
  <c r="H77" i="16"/>
  <c r="A517" i="16" s="1"/>
  <c r="D77" i="16"/>
  <c r="A206" i="16" s="1"/>
  <c r="E75" i="16"/>
  <c r="F75" i="16" s="1"/>
  <c r="A414" i="16" s="1"/>
  <c r="H75" i="16"/>
  <c r="A515" i="16" s="1"/>
  <c r="D75" i="16"/>
  <c r="A204" i="16" s="1"/>
  <c r="E73" i="16"/>
  <c r="F73" i="16" s="1"/>
  <c r="A412" i="16" s="1"/>
  <c r="H73" i="16"/>
  <c r="A513" i="16" s="1"/>
  <c r="D73" i="16"/>
  <c r="A202" i="16" s="1"/>
  <c r="E71" i="16"/>
  <c r="F71" i="16" s="1"/>
  <c r="A410" i="16" s="1"/>
  <c r="H71" i="16"/>
  <c r="A511" i="16" s="1"/>
  <c r="D71" i="16"/>
  <c r="A200" i="16" s="1"/>
  <c r="E69" i="16"/>
  <c r="F69" i="16" s="1"/>
  <c r="A408" i="16" s="1"/>
  <c r="H69" i="16"/>
  <c r="A509" i="16" s="1"/>
  <c r="D69" i="16"/>
  <c r="A198" i="16" s="1"/>
  <c r="E67" i="16"/>
  <c r="F67" i="16" s="1"/>
  <c r="A406" i="16" s="1"/>
  <c r="H67" i="16"/>
  <c r="A507" i="16" s="1"/>
  <c r="D67" i="16"/>
  <c r="A196" i="16" s="1"/>
  <c r="E65" i="16"/>
  <c r="F65" i="16" s="1"/>
  <c r="A404" i="16" s="1"/>
  <c r="H65" i="16"/>
  <c r="A505" i="16" s="1"/>
  <c r="D65" i="16"/>
  <c r="A194" i="16" s="1"/>
  <c r="E63" i="16"/>
  <c r="F63" i="16" s="1"/>
  <c r="A402" i="16" s="1"/>
  <c r="H63" i="16"/>
  <c r="A503" i="16" s="1"/>
  <c r="D63" i="16"/>
  <c r="A192" i="16" s="1"/>
  <c r="E61" i="16"/>
  <c r="F61" i="16" s="1"/>
  <c r="A400" i="16" s="1"/>
  <c r="H61" i="16"/>
  <c r="A501" i="16" s="1"/>
  <c r="D61" i="16"/>
  <c r="A190" i="16" s="1"/>
  <c r="E59" i="16"/>
  <c r="F59" i="16" s="1"/>
  <c r="A398" i="16" s="1"/>
  <c r="H59" i="16"/>
  <c r="A499" i="16" s="1"/>
  <c r="D59" i="16"/>
  <c r="A188" i="16" s="1"/>
  <c r="E57" i="16"/>
  <c r="F57" i="16" s="1"/>
  <c r="A396" i="16" s="1"/>
  <c r="H57" i="16"/>
  <c r="A497" i="16" s="1"/>
  <c r="D57" i="16"/>
  <c r="A186" i="16" s="1"/>
  <c r="E55" i="16"/>
  <c r="F55" i="16" s="1"/>
  <c r="A394" i="16" s="1"/>
  <c r="H55" i="16"/>
  <c r="A495" i="16" s="1"/>
  <c r="D55" i="16"/>
  <c r="A184" i="16" s="1"/>
  <c r="E53" i="16"/>
  <c r="F53" i="16" s="1"/>
  <c r="A392" i="16" s="1"/>
  <c r="H53" i="16"/>
  <c r="A493" i="16" s="1"/>
  <c r="D53" i="16"/>
  <c r="A182" i="16" s="1"/>
  <c r="E51" i="16"/>
  <c r="F51" i="16" s="1"/>
  <c r="A390" i="16" s="1"/>
  <c r="H51" i="16"/>
  <c r="A491" i="16" s="1"/>
  <c r="D51" i="16"/>
  <c r="A180" i="16" s="1"/>
  <c r="E49" i="16"/>
  <c r="F49" i="16" s="1"/>
  <c r="A388" i="16" s="1"/>
  <c r="H49" i="16"/>
  <c r="A489" i="16" s="1"/>
  <c r="D49" i="16"/>
  <c r="A178" i="16" s="1"/>
  <c r="E47" i="16"/>
  <c r="F47" i="16" s="1"/>
  <c r="A386" i="16" s="1"/>
  <c r="H47" i="16"/>
  <c r="A487" i="16" s="1"/>
  <c r="D47" i="16"/>
  <c r="A176" i="16" s="1"/>
  <c r="E45" i="16"/>
  <c r="F45" i="16" s="1"/>
  <c r="A384" i="16" s="1"/>
  <c r="H45" i="16"/>
  <c r="A485" i="16" s="1"/>
  <c r="D45" i="16"/>
  <c r="A174" i="16" s="1"/>
  <c r="E35" i="16"/>
  <c r="H35" i="16"/>
  <c r="A475" i="16" s="1"/>
  <c r="D35" i="16"/>
  <c r="A164" i="16" s="1"/>
  <c r="E33" i="16"/>
  <c r="H33" i="16"/>
  <c r="A473" i="16" s="1"/>
  <c r="D33" i="16"/>
  <c r="A162" i="16" s="1"/>
  <c r="BA65" i="5"/>
  <c r="B43" i="14"/>
  <c r="A42" i="16"/>
  <c r="I42" i="16" s="1"/>
  <c r="B41" i="14"/>
  <c r="A40" i="16"/>
  <c r="B39" i="14"/>
  <c r="A38" i="16"/>
  <c r="B37" i="14"/>
  <c r="A36" i="16"/>
  <c r="B110" i="14"/>
  <c r="F110" i="14" s="1"/>
  <c r="B332" i="14" s="1"/>
  <c r="A109" i="16"/>
  <c r="B44" i="14"/>
  <c r="A43" i="16"/>
  <c r="B42" i="14"/>
  <c r="A41" i="16"/>
  <c r="B40" i="14"/>
  <c r="A39" i="16"/>
  <c r="B38" i="14"/>
  <c r="A37" i="16"/>
  <c r="T103" i="14"/>
  <c r="U103" i="14"/>
  <c r="V103" i="14" s="1"/>
  <c r="R102" i="14"/>
  <c r="S103" i="14"/>
  <c r="B35" i="14"/>
  <c r="P35" i="14" s="1"/>
  <c r="B33" i="14"/>
  <c r="B36" i="14"/>
  <c r="P36" i="14" s="1"/>
  <c r="B34" i="14"/>
  <c r="B109" i="14"/>
  <c r="F109" i="14" s="1"/>
  <c r="B331" i="14" s="1"/>
  <c r="CB112" i="5"/>
  <c r="CZ112" i="5"/>
  <c r="CE112" i="5"/>
  <c r="B107" i="14"/>
  <c r="F107" i="14" s="1"/>
  <c r="B329" i="14" s="1"/>
  <c r="CB110" i="5"/>
  <c r="CZ110" i="5"/>
  <c r="CE110" i="5"/>
  <c r="B105" i="14"/>
  <c r="F105" i="14" s="1"/>
  <c r="B327" i="14" s="1"/>
  <c r="CB108" i="5"/>
  <c r="CZ108" i="5"/>
  <c r="CE108" i="5"/>
  <c r="B103" i="14"/>
  <c r="CB106" i="5"/>
  <c r="CZ106" i="5"/>
  <c r="CE106" i="5"/>
  <c r="B101" i="14"/>
  <c r="CB104" i="5"/>
  <c r="CZ104" i="5"/>
  <c r="CE104" i="5"/>
  <c r="B99" i="14"/>
  <c r="CB102" i="5"/>
  <c r="CZ102" i="5"/>
  <c r="CE102" i="5"/>
  <c r="B97" i="14"/>
  <c r="CB100" i="5"/>
  <c r="CZ100" i="5"/>
  <c r="CE100" i="5"/>
  <c r="B95" i="14"/>
  <c r="CB98" i="5"/>
  <c r="CZ98" i="5"/>
  <c r="CE98" i="5"/>
  <c r="B93" i="14"/>
  <c r="CB96" i="5"/>
  <c r="CZ96" i="5"/>
  <c r="CE96" i="5"/>
  <c r="B91" i="14"/>
  <c r="CB94" i="5"/>
  <c r="CZ94" i="5"/>
  <c r="CE94" i="5"/>
  <c r="B89" i="14"/>
  <c r="CB92" i="5"/>
  <c r="CZ92" i="5"/>
  <c r="CE92" i="5"/>
  <c r="B87" i="14"/>
  <c r="CB90" i="5"/>
  <c r="CZ90" i="5"/>
  <c r="CE90" i="5"/>
  <c r="B85" i="14"/>
  <c r="CB88" i="5"/>
  <c r="CZ88" i="5"/>
  <c r="CE88" i="5"/>
  <c r="B83" i="14"/>
  <c r="CB86" i="5"/>
  <c r="CZ86" i="5"/>
  <c r="CE86" i="5"/>
  <c r="B81" i="14"/>
  <c r="CB84" i="5"/>
  <c r="CZ84" i="5"/>
  <c r="CE84" i="5"/>
  <c r="B79" i="14"/>
  <c r="CB82" i="5"/>
  <c r="CZ82" i="5"/>
  <c r="CE82" i="5"/>
  <c r="B77" i="14"/>
  <c r="CB80" i="5"/>
  <c r="CZ80" i="5"/>
  <c r="CE80" i="5"/>
  <c r="B75" i="14"/>
  <c r="CB78" i="5"/>
  <c r="CZ78" i="5"/>
  <c r="CE78" i="5"/>
  <c r="B73" i="14"/>
  <c r="CZ76" i="5"/>
  <c r="B71" i="14"/>
  <c r="CZ74" i="5"/>
  <c r="B69" i="14"/>
  <c r="CZ72" i="5"/>
  <c r="B67" i="14"/>
  <c r="CZ70" i="5"/>
  <c r="B65" i="14"/>
  <c r="CZ68" i="5"/>
  <c r="B63" i="14"/>
  <c r="CZ66" i="5"/>
  <c r="B61" i="14"/>
  <c r="CZ64" i="5"/>
  <c r="B59" i="14"/>
  <c r="CZ62" i="5"/>
  <c r="B57" i="14"/>
  <c r="B55" i="14"/>
  <c r="B53" i="14"/>
  <c r="B51" i="14"/>
  <c r="B49" i="14"/>
  <c r="B47" i="14"/>
  <c r="CZ50" i="5"/>
  <c r="B45" i="14"/>
  <c r="CZ40" i="5"/>
  <c r="CE113" i="5"/>
  <c r="CB113" i="5"/>
  <c r="CZ113" i="5"/>
  <c r="B659" i="5" s="1"/>
  <c r="B108" i="14"/>
  <c r="F108" i="14" s="1"/>
  <c r="B330" i="14" s="1"/>
  <c r="CE111" i="5"/>
  <c r="CB111" i="5"/>
  <c r="CZ111" i="5"/>
  <c r="B106" i="14"/>
  <c r="F106" i="14" s="1"/>
  <c r="B328" i="14" s="1"/>
  <c r="CE109" i="5"/>
  <c r="CB109" i="5"/>
  <c r="CZ109" i="5"/>
  <c r="B104" i="14"/>
  <c r="F104" i="14" s="1"/>
  <c r="B326" i="14" s="1"/>
  <c r="CE107" i="5"/>
  <c r="CB107" i="5"/>
  <c r="CZ107" i="5"/>
  <c r="B102" i="14"/>
  <c r="CE105" i="5"/>
  <c r="CB105" i="5"/>
  <c r="CZ105" i="5"/>
  <c r="B100" i="14"/>
  <c r="CE103" i="5"/>
  <c r="CB103" i="5"/>
  <c r="CZ103" i="5"/>
  <c r="B98" i="14"/>
  <c r="CE101" i="5"/>
  <c r="CB101" i="5"/>
  <c r="CZ101" i="5"/>
  <c r="B96" i="14"/>
  <c r="CE99" i="5"/>
  <c r="CB99" i="5"/>
  <c r="CZ99" i="5"/>
  <c r="B657" i="5" s="1"/>
  <c r="B94" i="14"/>
  <c r="CE97" i="5"/>
  <c r="CB97" i="5"/>
  <c r="CZ97" i="5"/>
  <c r="B92" i="14"/>
  <c r="CE95" i="5"/>
  <c r="CB95" i="5"/>
  <c r="CZ95" i="5"/>
  <c r="B90" i="14"/>
  <c r="CE93" i="5"/>
  <c r="CB93" i="5"/>
  <c r="CZ93" i="5"/>
  <c r="B88" i="14"/>
  <c r="CE91" i="5"/>
  <c r="CB91" i="5"/>
  <c r="CZ91" i="5"/>
  <c r="B86" i="14"/>
  <c r="CE89" i="5"/>
  <c r="CB89" i="5"/>
  <c r="CZ89" i="5"/>
  <c r="B84" i="14"/>
  <c r="CE87" i="5"/>
  <c r="CB87" i="5"/>
  <c r="CZ87" i="5"/>
  <c r="B82" i="14"/>
  <c r="CE85" i="5"/>
  <c r="CB85" i="5"/>
  <c r="CZ85" i="5"/>
  <c r="B80" i="14"/>
  <c r="CE83" i="5"/>
  <c r="CB83" i="5"/>
  <c r="CZ83" i="5"/>
  <c r="B78" i="14"/>
  <c r="CE81" i="5"/>
  <c r="CB81" i="5"/>
  <c r="CZ81" i="5"/>
  <c r="B76" i="14"/>
  <c r="CE79" i="5"/>
  <c r="CB79" i="5"/>
  <c r="CZ79" i="5"/>
  <c r="B74" i="14"/>
  <c r="CE77" i="5"/>
  <c r="CB77" i="5"/>
  <c r="CZ77" i="5"/>
  <c r="B72" i="14"/>
  <c r="CZ75" i="5"/>
  <c r="B70" i="14"/>
  <c r="CZ73" i="5"/>
  <c r="B68" i="14"/>
  <c r="CZ71" i="5"/>
  <c r="B653" i="5" s="1"/>
  <c r="B66" i="14"/>
  <c r="CZ69" i="5"/>
  <c r="B64" i="14"/>
  <c r="CZ67" i="5"/>
  <c r="B62" i="14"/>
  <c r="CZ65" i="5"/>
  <c r="B60" i="14"/>
  <c r="CZ63" i="5"/>
  <c r="B58" i="14"/>
  <c r="CZ61" i="5"/>
  <c r="B56" i="14"/>
  <c r="B54" i="14"/>
  <c r="B52" i="14"/>
  <c r="B50" i="14"/>
  <c r="B48" i="14"/>
  <c r="CZ51" i="5"/>
  <c r="B46" i="14"/>
  <c r="CZ49" i="5"/>
  <c r="CZ41" i="5"/>
  <c r="B106" i="12"/>
  <c r="B104" i="12"/>
  <c r="B102" i="12"/>
  <c r="B100" i="12"/>
  <c r="B98" i="12"/>
  <c r="B96" i="12"/>
  <c r="B94" i="12"/>
  <c r="B92" i="12"/>
  <c r="B90" i="12"/>
  <c r="B88" i="12"/>
  <c r="B86" i="12"/>
  <c r="B84" i="12"/>
  <c r="B82" i="12"/>
  <c r="B80" i="12"/>
  <c r="B78" i="12"/>
  <c r="B76" i="12"/>
  <c r="B74" i="12"/>
  <c r="B72" i="12"/>
  <c r="B70" i="12"/>
  <c r="B68" i="12"/>
  <c r="R68" i="12" s="1"/>
  <c r="B66" i="12"/>
  <c r="R66" i="12" s="1"/>
  <c r="B64" i="12"/>
  <c r="R64" i="12" s="1"/>
  <c r="B62" i="12"/>
  <c r="B60" i="12"/>
  <c r="B58" i="12"/>
  <c r="B56" i="12"/>
  <c r="B54" i="12"/>
  <c r="B52" i="12"/>
  <c r="B50" i="12"/>
  <c r="B48" i="12"/>
  <c r="B46" i="12"/>
  <c r="B44" i="12"/>
  <c r="B42" i="12"/>
  <c r="B40" i="12"/>
  <c r="R40" i="12" s="1"/>
  <c r="B38" i="12"/>
  <c r="R38" i="12" s="1"/>
  <c r="B36" i="12"/>
  <c r="R36" i="12" s="1"/>
  <c r="B34" i="12"/>
  <c r="B32" i="12"/>
  <c r="B30" i="12"/>
  <c r="B107" i="12"/>
  <c r="B105" i="12"/>
  <c r="B103" i="12"/>
  <c r="B101" i="12"/>
  <c r="B99" i="12"/>
  <c r="B97" i="12"/>
  <c r="B95" i="12"/>
  <c r="B93" i="12"/>
  <c r="B91" i="12"/>
  <c r="B89" i="12"/>
  <c r="B87" i="12"/>
  <c r="B85" i="12"/>
  <c r="B83" i="12"/>
  <c r="B81" i="12"/>
  <c r="B79" i="12"/>
  <c r="B77" i="12"/>
  <c r="B75" i="12"/>
  <c r="B73" i="12"/>
  <c r="B71" i="12"/>
  <c r="B69" i="12"/>
  <c r="B67" i="12"/>
  <c r="B65" i="12"/>
  <c r="R65" i="12" s="1"/>
  <c r="B63" i="12"/>
  <c r="R63" i="12" s="1"/>
  <c r="B61" i="12"/>
  <c r="B59" i="12"/>
  <c r="B57" i="12"/>
  <c r="R57" i="12" s="1"/>
  <c r="B55" i="12"/>
  <c r="B53" i="12"/>
  <c r="R53" i="12" s="1"/>
  <c r="B51" i="12"/>
  <c r="B49" i="12"/>
  <c r="B47" i="12"/>
  <c r="R47" i="12" s="1"/>
  <c r="B45" i="12"/>
  <c r="B43" i="12"/>
  <c r="B41" i="12"/>
  <c r="R41" i="12" s="1"/>
  <c r="B39" i="12"/>
  <c r="R39" i="12" s="1"/>
  <c r="B37" i="12"/>
  <c r="R37" i="12" s="1"/>
  <c r="B35" i="12"/>
  <c r="B33" i="12"/>
  <c r="B31" i="12"/>
  <c r="N14" i="12"/>
  <c r="O13" i="12"/>
  <c r="BA20" i="5"/>
  <c r="BL15" i="8"/>
  <c r="BL16" i="8"/>
  <c r="BL17" i="8"/>
  <c r="BL114" i="8"/>
  <c r="BL45" i="8"/>
  <c r="BL44" i="8"/>
  <c r="BL43" i="8"/>
  <c r="BL42" i="8"/>
  <c r="BL41" i="8"/>
  <c r="BL40" i="8"/>
  <c r="BL39" i="8"/>
  <c r="BL38" i="8"/>
  <c r="BL37" i="8"/>
  <c r="BL36" i="8"/>
  <c r="BL35" i="8"/>
  <c r="BL34" i="8"/>
  <c r="BL33" i="8"/>
  <c r="BL32" i="8"/>
  <c r="BL31" i="8"/>
  <c r="BL30" i="8"/>
  <c r="BL29" i="8"/>
  <c r="BL28" i="8"/>
  <c r="BL27" i="8"/>
  <c r="BL26" i="8"/>
  <c r="BL25" i="8"/>
  <c r="BL24" i="8"/>
  <c r="BL23" i="8"/>
  <c r="BL22" i="8"/>
  <c r="BL21" i="8"/>
  <c r="BL20" i="8"/>
  <c r="BL19" i="8"/>
  <c r="B541" i="8"/>
  <c r="B540" i="8"/>
  <c r="P33" i="14" l="1"/>
  <c r="W33" i="14"/>
  <c r="H34" i="14"/>
  <c r="I34" i="14" s="1"/>
  <c r="W34" i="14"/>
  <c r="DE20" i="5"/>
  <c r="DF20" i="5"/>
  <c r="G105" i="14"/>
  <c r="P39" i="16"/>
  <c r="S39" i="16"/>
  <c r="P41" i="16"/>
  <c r="S41" i="16"/>
  <c r="P38" i="16"/>
  <c r="S38" i="16"/>
  <c r="P40" i="16"/>
  <c r="S40" i="16"/>
  <c r="P42" i="16"/>
  <c r="AC42" i="16"/>
  <c r="P43" i="16"/>
  <c r="I43" i="16"/>
  <c r="T43" i="16"/>
  <c r="A758" i="16" s="1"/>
  <c r="Y43" i="16"/>
  <c r="Y42" i="16" s="1"/>
  <c r="I36" i="16"/>
  <c r="Y36" i="16"/>
  <c r="Y35" i="16" s="1"/>
  <c r="T36" i="16"/>
  <c r="A751" i="16" s="1"/>
  <c r="Z37" i="16"/>
  <c r="Z39" i="16"/>
  <c r="Z41" i="16"/>
  <c r="Z43" i="16"/>
  <c r="Z109" i="16"/>
  <c r="Z36" i="16"/>
  <c r="Z38" i="16"/>
  <c r="Z40" i="16"/>
  <c r="Z42" i="16"/>
  <c r="M37" i="16"/>
  <c r="M41" i="16"/>
  <c r="M109" i="16"/>
  <c r="M36" i="16"/>
  <c r="M40" i="16"/>
  <c r="M39" i="16"/>
  <c r="M43" i="16"/>
  <c r="M38" i="16"/>
  <c r="M42" i="16"/>
  <c r="E37" i="16"/>
  <c r="H37" i="16"/>
  <c r="D37" i="16"/>
  <c r="A166" i="16" s="1"/>
  <c r="E39" i="16"/>
  <c r="H39" i="16"/>
  <c r="A479" i="16" s="1"/>
  <c r="D39" i="16"/>
  <c r="A168" i="16" s="1"/>
  <c r="E41" i="16"/>
  <c r="F41" i="16" s="1"/>
  <c r="A380" i="16" s="1"/>
  <c r="H41" i="16"/>
  <c r="A481" i="16" s="1"/>
  <c r="D41" i="16"/>
  <c r="A170" i="16" s="1"/>
  <c r="E43" i="16"/>
  <c r="F43" i="16" s="1"/>
  <c r="A382" i="16" s="1"/>
  <c r="H43" i="16"/>
  <c r="A483" i="16" s="1"/>
  <c r="D43" i="16"/>
  <c r="A172" i="16" s="1"/>
  <c r="E109" i="16"/>
  <c r="F109" i="16" s="1"/>
  <c r="A448" i="16" s="1"/>
  <c r="H109" i="16"/>
  <c r="A549" i="16" s="1"/>
  <c r="D109" i="16"/>
  <c r="A238" i="16" s="1"/>
  <c r="E36" i="16"/>
  <c r="H36" i="16"/>
  <c r="A476" i="16" s="1"/>
  <c r="D36" i="16"/>
  <c r="A165" i="16" s="1"/>
  <c r="E38" i="16"/>
  <c r="H38" i="16"/>
  <c r="A478" i="16" s="1"/>
  <c r="D38" i="16"/>
  <c r="A167" i="16" s="1"/>
  <c r="E40" i="16"/>
  <c r="H40" i="16"/>
  <c r="A480" i="16" s="1"/>
  <c r="D40" i="16"/>
  <c r="A169" i="16" s="1"/>
  <c r="E42" i="16"/>
  <c r="F42" i="16" s="1"/>
  <c r="A381" i="16" s="1"/>
  <c r="H42" i="16"/>
  <c r="A482" i="16" s="1"/>
  <c r="D42" i="16"/>
  <c r="A171" i="16" s="1"/>
  <c r="L16" i="16"/>
  <c r="L61" i="16"/>
  <c r="BA66" i="5"/>
  <c r="G63" i="16" s="1"/>
  <c r="A301" i="16" s="1"/>
  <c r="BA59" i="5"/>
  <c r="G56" i="16" s="1"/>
  <c r="A294" i="16" s="1"/>
  <c r="BA53" i="5"/>
  <c r="G50" i="16" s="1"/>
  <c r="A288" i="16" s="1"/>
  <c r="H33" i="14"/>
  <c r="I33" i="14" s="1"/>
  <c r="B145" i="14" s="1"/>
  <c r="F33" i="16"/>
  <c r="A372" i="16" s="1"/>
  <c r="F35" i="16"/>
  <c r="A374" i="16" s="1"/>
  <c r="A477" i="16"/>
  <c r="F32" i="16"/>
  <c r="A371" i="16" s="1"/>
  <c r="F34" i="16"/>
  <c r="A373" i="16" s="1"/>
  <c r="G109" i="14"/>
  <c r="P37" i="12"/>
  <c r="E37" i="12"/>
  <c r="P43" i="12"/>
  <c r="E43" i="12"/>
  <c r="E51" i="12"/>
  <c r="P51" i="12" s="1"/>
  <c r="P57" i="12"/>
  <c r="E57" i="12"/>
  <c r="P61" i="12"/>
  <c r="E61" i="12"/>
  <c r="P36" i="12"/>
  <c r="E36" i="12"/>
  <c r="P44" i="12"/>
  <c r="E44" i="12"/>
  <c r="P60" i="12"/>
  <c r="E60" i="12"/>
  <c r="P39" i="12"/>
  <c r="E39" i="12"/>
  <c r="P47" i="12"/>
  <c r="E47" i="12"/>
  <c r="P53" i="12"/>
  <c r="E53" i="12"/>
  <c r="E40" i="12"/>
  <c r="P40" i="12" s="1"/>
  <c r="P48" i="12"/>
  <c r="E48" i="12"/>
  <c r="E56" i="12"/>
  <c r="P56" i="12" s="1"/>
  <c r="P41" i="12"/>
  <c r="E41" i="12"/>
  <c r="P45" i="12"/>
  <c r="E45" i="12"/>
  <c r="P49" i="12"/>
  <c r="E49" i="12"/>
  <c r="P59" i="12"/>
  <c r="E59" i="12"/>
  <c r="P38" i="12"/>
  <c r="E38" i="12"/>
  <c r="P42" i="12"/>
  <c r="E42" i="12"/>
  <c r="P46" i="12"/>
  <c r="E46" i="12"/>
  <c r="E50" i="12"/>
  <c r="P50" i="12" s="1"/>
  <c r="E54" i="12"/>
  <c r="P54" i="12" s="1"/>
  <c r="F103" i="14"/>
  <c r="B325" i="14" s="1"/>
  <c r="T102" i="14"/>
  <c r="U102" i="14"/>
  <c r="V102" i="14" s="1"/>
  <c r="F102" i="14" s="1"/>
  <c r="B324" i="14" s="1"/>
  <c r="R101" i="14"/>
  <c r="S102" i="14"/>
  <c r="H40" i="14"/>
  <c r="P40" i="14"/>
  <c r="H44" i="14"/>
  <c r="P44" i="14"/>
  <c r="H48" i="14"/>
  <c r="I48" i="14" s="1"/>
  <c r="B160" i="14" s="1"/>
  <c r="P48" i="14"/>
  <c r="H52" i="14"/>
  <c r="I52" i="14" s="1"/>
  <c r="B164" i="14" s="1"/>
  <c r="P52" i="14"/>
  <c r="H56" i="14"/>
  <c r="I56" i="14" s="1"/>
  <c r="B168" i="14" s="1"/>
  <c r="P56" i="14"/>
  <c r="H60" i="14"/>
  <c r="I60" i="14" s="1"/>
  <c r="B172" i="14" s="1"/>
  <c r="P60" i="14"/>
  <c r="H64" i="14"/>
  <c r="I64" i="14" s="1"/>
  <c r="B176" i="14" s="1"/>
  <c r="P64" i="14"/>
  <c r="H68" i="14"/>
  <c r="I68" i="14" s="1"/>
  <c r="B180" i="14" s="1"/>
  <c r="P68" i="14"/>
  <c r="H72" i="14"/>
  <c r="I72" i="14" s="1"/>
  <c r="B184" i="14" s="1"/>
  <c r="P72" i="14"/>
  <c r="H76" i="14"/>
  <c r="I76" i="14" s="1"/>
  <c r="B188" i="14" s="1"/>
  <c r="P76" i="14"/>
  <c r="H80" i="14"/>
  <c r="I80" i="14" s="1"/>
  <c r="B192" i="14" s="1"/>
  <c r="P80" i="14"/>
  <c r="H84" i="14"/>
  <c r="I84" i="14" s="1"/>
  <c r="B196" i="14" s="1"/>
  <c r="P84" i="14"/>
  <c r="H88" i="14"/>
  <c r="I88" i="14" s="1"/>
  <c r="B200" i="14" s="1"/>
  <c r="P88" i="14"/>
  <c r="H92" i="14"/>
  <c r="I92" i="14" s="1"/>
  <c r="B204" i="14" s="1"/>
  <c r="P92" i="14"/>
  <c r="H96" i="14"/>
  <c r="I96" i="14" s="1"/>
  <c r="B208" i="14" s="1"/>
  <c r="P96" i="14"/>
  <c r="H100" i="14"/>
  <c r="I100" i="14" s="1"/>
  <c r="B212" i="14" s="1"/>
  <c r="P100" i="14"/>
  <c r="H104" i="14"/>
  <c r="I104" i="14" s="1"/>
  <c r="B216" i="14" s="1"/>
  <c r="P104" i="14"/>
  <c r="H108" i="14"/>
  <c r="I108" i="14" s="1"/>
  <c r="B220" i="14" s="1"/>
  <c r="P108" i="14"/>
  <c r="H37" i="14"/>
  <c r="P37" i="14"/>
  <c r="H41" i="14"/>
  <c r="P41" i="14"/>
  <c r="H45" i="14"/>
  <c r="I45" i="14" s="1"/>
  <c r="B157" i="14" s="1"/>
  <c r="P45" i="14"/>
  <c r="G47" i="14"/>
  <c r="P47" i="14"/>
  <c r="H49" i="14"/>
  <c r="I49" i="14" s="1"/>
  <c r="B161" i="14" s="1"/>
  <c r="P49" i="14"/>
  <c r="G51" i="14"/>
  <c r="P51" i="14"/>
  <c r="G55" i="14"/>
  <c r="P55" i="14"/>
  <c r="H57" i="14"/>
  <c r="I57" i="14" s="1"/>
  <c r="B169" i="14" s="1"/>
  <c r="P57" i="14"/>
  <c r="G59" i="14"/>
  <c r="P59" i="14"/>
  <c r="H61" i="14"/>
  <c r="I61" i="14" s="1"/>
  <c r="B173" i="14" s="1"/>
  <c r="P61" i="14"/>
  <c r="G63" i="14"/>
  <c r="P63" i="14"/>
  <c r="H65" i="14"/>
  <c r="I65" i="14" s="1"/>
  <c r="B177" i="14" s="1"/>
  <c r="P65" i="14"/>
  <c r="G67" i="14"/>
  <c r="P67" i="14"/>
  <c r="H69" i="14"/>
  <c r="I69" i="14" s="1"/>
  <c r="B181" i="14" s="1"/>
  <c r="P69" i="14"/>
  <c r="G71" i="14"/>
  <c r="P71" i="14"/>
  <c r="H73" i="14"/>
  <c r="I73" i="14" s="1"/>
  <c r="B185" i="14" s="1"/>
  <c r="P73" i="14"/>
  <c r="G75" i="14"/>
  <c r="P75" i="14"/>
  <c r="H77" i="14"/>
  <c r="I77" i="14" s="1"/>
  <c r="B189" i="14" s="1"/>
  <c r="P77" i="14"/>
  <c r="G79" i="14"/>
  <c r="P79" i="14"/>
  <c r="H81" i="14"/>
  <c r="I81" i="14" s="1"/>
  <c r="B193" i="14" s="1"/>
  <c r="P81" i="14"/>
  <c r="G83" i="14"/>
  <c r="P83" i="14"/>
  <c r="H85" i="14"/>
  <c r="I85" i="14" s="1"/>
  <c r="B197" i="14" s="1"/>
  <c r="P85" i="14"/>
  <c r="G87" i="14"/>
  <c r="P87" i="14"/>
  <c r="H89" i="14"/>
  <c r="I89" i="14" s="1"/>
  <c r="B201" i="14" s="1"/>
  <c r="P89" i="14"/>
  <c r="G91" i="14"/>
  <c r="P91" i="14"/>
  <c r="H93" i="14"/>
  <c r="I93" i="14" s="1"/>
  <c r="B205" i="14" s="1"/>
  <c r="P93" i="14"/>
  <c r="G95" i="14"/>
  <c r="P95" i="14"/>
  <c r="H97" i="14"/>
  <c r="I97" i="14" s="1"/>
  <c r="B209" i="14" s="1"/>
  <c r="P97" i="14"/>
  <c r="G99" i="14"/>
  <c r="P99" i="14"/>
  <c r="H101" i="14"/>
  <c r="I101" i="14" s="1"/>
  <c r="B213" i="14" s="1"/>
  <c r="P101" i="14"/>
  <c r="G103" i="14"/>
  <c r="P103" i="14"/>
  <c r="H105" i="14"/>
  <c r="I105" i="14" s="1"/>
  <c r="B217" i="14" s="1"/>
  <c r="P105" i="14"/>
  <c r="G107" i="14"/>
  <c r="P107" i="14"/>
  <c r="H109" i="14"/>
  <c r="I109" i="14" s="1"/>
  <c r="B221" i="14" s="1"/>
  <c r="P109" i="14"/>
  <c r="H38" i="14"/>
  <c r="P38" i="14"/>
  <c r="H42" i="14"/>
  <c r="P42" i="14"/>
  <c r="H46" i="14"/>
  <c r="I46" i="14" s="1"/>
  <c r="B158" i="14" s="1"/>
  <c r="P46" i="14"/>
  <c r="H50" i="14"/>
  <c r="I50" i="14" s="1"/>
  <c r="B162" i="14" s="1"/>
  <c r="P50" i="14"/>
  <c r="H54" i="14"/>
  <c r="I54" i="14" s="1"/>
  <c r="B166" i="14" s="1"/>
  <c r="P54" i="14"/>
  <c r="H58" i="14"/>
  <c r="I58" i="14" s="1"/>
  <c r="B170" i="14" s="1"/>
  <c r="P58" i="14"/>
  <c r="H62" i="14"/>
  <c r="I62" i="14" s="1"/>
  <c r="B174" i="14" s="1"/>
  <c r="P62" i="14"/>
  <c r="H66" i="14"/>
  <c r="I66" i="14" s="1"/>
  <c r="B178" i="14" s="1"/>
  <c r="P66" i="14"/>
  <c r="H70" i="14"/>
  <c r="I70" i="14" s="1"/>
  <c r="B182" i="14" s="1"/>
  <c r="P70" i="14"/>
  <c r="H74" i="14"/>
  <c r="I74" i="14" s="1"/>
  <c r="B186" i="14" s="1"/>
  <c r="P74" i="14"/>
  <c r="H78" i="14"/>
  <c r="I78" i="14" s="1"/>
  <c r="B190" i="14" s="1"/>
  <c r="P78" i="14"/>
  <c r="H82" i="14"/>
  <c r="I82" i="14" s="1"/>
  <c r="B194" i="14" s="1"/>
  <c r="P82" i="14"/>
  <c r="H86" i="14"/>
  <c r="I86" i="14" s="1"/>
  <c r="B198" i="14" s="1"/>
  <c r="P86" i="14"/>
  <c r="H90" i="14"/>
  <c r="I90" i="14" s="1"/>
  <c r="B202" i="14" s="1"/>
  <c r="P90" i="14"/>
  <c r="H94" i="14"/>
  <c r="I94" i="14" s="1"/>
  <c r="B206" i="14" s="1"/>
  <c r="P94" i="14"/>
  <c r="H98" i="14"/>
  <c r="I98" i="14" s="1"/>
  <c r="B210" i="14" s="1"/>
  <c r="P98" i="14"/>
  <c r="H102" i="14"/>
  <c r="I102" i="14" s="1"/>
  <c r="B214" i="14" s="1"/>
  <c r="P102" i="14"/>
  <c r="H106" i="14"/>
  <c r="I106" i="14" s="1"/>
  <c r="B218" i="14" s="1"/>
  <c r="P106" i="14"/>
  <c r="H110" i="14"/>
  <c r="I110" i="14" s="1"/>
  <c r="B222" i="14" s="1"/>
  <c r="P110" i="14"/>
  <c r="G39" i="14"/>
  <c r="P39" i="14"/>
  <c r="G43" i="14"/>
  <c r="P43" i="14"/>
  <c r="H53" i="14"/>
  <c r="I53" i="14" s="1"/>
  <c r="B165" i="14" s="1"/>
  <c r="P53" i="14"/>
  <c r="G77" i="14"/>
  <c r="G45" i="14"/>
  <c r="G101" i="14"/>
  <c r="G61" i="14"/>
  <c r="G93" i="14"/>
  <c r="G110" i="14"/>
  <c r="G37" i="14"/>
  <c r="G53" i="14"/>
  <c r="G69" i="14"/>
  <c r="G85" i="14"/>
  <c r="G97" i="14"/>
  <c r="H103" i="14"/>
  <c r="I103" i="14" s="1"/>
  <c r="B215" i="14" s="1"/>
  <c r="H107" i="14"/>
  <c r="I107" i="14" s="1"/>
  <c r="B219" i="14" s="1"/>
  <c r="H36" i="14"/>
  <c r="I36" i="14" s="1"/>
  <c r="B148" i="14" s="1"/>
  <c r="P34" i="14"/>
  <c r="G41" i="14"/>
  <c r="G49" i="14"/>
  <c r="G57" i="14"/>
  <c r="G65" i="14"/>
  <c r="G73" i="14"/>
  <c r="G81" i="14"/>
  <c r="G89" i="14"/>
  <c r="H95" i="14"/>
  <c r="I95" i="14" s="1"/>
  <c r="B207" i="14" s="1"/>
  <c r="H99" i="14"/>
  <c r="I99" i="14" s="1"/>
  <c r="B211" i="14" s="1"/>
  <c r="H39" i="14"/>
  <c r="H43" i="14"/>
  <c r="H47" i="14"/>
  <c r="I47" i="14" s="1"/>
  <c r="B159" i="14" s="1"/>
  <c r="H51" i="14"/>
  <c r="I51" i="14" s="1"/>
  <c r="B163" i="14" s="1"/>
  <c r="H55" i="14"/>
  <c r="I55" i="14" s="1"/>
  <c r="B167" i="14" s="1"/>
  <c r="H59" i="14"/>
  <c r="I59" i="14" s="1"/>
  <c r="B171" i="14" s="1"/>
  <c r="H63" i="14"/>
  <c r="I63" i="14" s="1"/>
  <c r="B175" i="14" s="1"/>
  <c r="H67" i="14"/>
  <c r="I67" i="14" s="1"/>
  <c r="B179" i="14" s="1"/>
  <c r="H71" i="14"/>
  <c r="I71" i="14" s="1"/>
  <c r="B183" i="14" s="1"/>
  <c r="H75" i="14"/>
  <c r="I75" i="14" s="1"/>
  <c r="B187" i="14" s="1"/>
  <c r="H79" i="14"/>
  <c r="I79" i="14" s="1"/>
  <c r="B191" i="14" s="1"/>
  <c r="H83" i="14"/>
  <c r="I83" i="14" s="1"/>
  <c r="B195" i="14" s="1"/>
  <c r="H87" i="14"/>
  <c r="I87" i="14" s="1"/>
  <c r="B199" i="14" s="1"/>
  <c r="H91" i="14"/>
  <c r="I91" i="14" s="1"/>
  <c r="B203" i="14" s="1"/>
  <c r="G33" i="14"/>
  <c r="G34" i="14"/>
  <c r="H35" i="14"/>
  <c r="I35" i="14" s="1"/>
  <c r="B147" i="14" s="1"/>
  <c r="G35" i="14"/>
  <c r="G36" i="14"/>
  <c r="G46" i="14"/>
  <c r="G78" i="14"/>
  <c r="G62" i="14"/>
  <c r="G94" i="14"/>
  <c r="G54" i="14"/>
  <c r="G70" i="14"/>
  <c r="G86" i="14"/>
  <c r="G102" i="14"/>
  <c r="G42" i="14"/>
  <c r="G50" i="14"/>
  <c r="G58" i="14"/>
  <c r="G66" i="14"/>
  <c r="G74" i="14"/>
  <c r="G82" i="14"/>
  <c r="G90" i="14"/>
  <c r="G98" i="14"/>
  <c r="G106" i="14"/>
  <c r="G38" i="14"/>
  <c r="G44" i="14"/>
  <c r="G48" i="14"/>
  <c r="G52" i="14"/>
  <c r="G56" i="14"/>
  <c r="G60" i="14"/>
  <c r="G64" i="14"/>
  <c r="G68" i="14"/>
  <c r="G72" i="14"/>
  <c r="G76" i="14"/>
  <c r="G80" i="14"/>
  <c r="G84" i="14"/>
  <c r="G88" i="14"/>
  <c r="G92" i="14"/>
  <c r="G96" i="14"/>
  <c r="G100" i="14"/>
  <c r="G104" i="14"/>
  <c r="G108" i="14"/>
  <c r="G40" i="14"/>
  <c r="E69" i="12"/>
  <c r="P69" i="12"/>
  <c r="E79" i="12"/>
  <c r="P79" i="12"/>
  <c r="E89" i="12"/>
  <c r="P89" i="12"/>
  <c r="E99" i="12"/>
  <c r="P99" i="12"/>
  <c r="E30" i="12"/>
  <c r="P30" i="12"/>
  <c r="E31" i="12"/>
  <c r="P31" i="12" s="1"/>
  <c r="E34" i="12"/>
  <c r="P34" i="12" s="1"/>
  <c r="E64" i="12"/>
  <c r="P64" i="12" s="1"/>
  <c r="E74" i="12"/>
  <c r="P74" i="12" s="1"/>
  <c r="E84" i="12"/>
  <c r="P84" i="12" s="1"/>
  <c r="E94" i="12"/>
  <c r="P94" i="12" s="1"/>
  <c r="E104" i="12"/>
  <c r="P104" i="12" s="1"/>
  <c r="B655" i="5"/>
  <c r="B146" i="14"/>
  <c r="L68" i="12"/>
  <c r="E68" i="12"/>
  <c r="P68" i="12" s="1"/>
  <c r="L78" i="12"/>
  <c r="E78" i="12"/>
  <c r="P78" i="12" s="1"/>
  <c r="L86" i="12"/>
  <c r="E86" i="12"/>
  <c r="P86" i="12" s="1"/>
  <c r="L90" i="12"/>
  <c r="E90" i="12"/>
  <c r="P90" i="12" s="1"/>
  <c r="L92" i="12"/>
  <c r="E92" i="12"/>
  <c r="P92" i="12" s="1"/>
  <c r="L96" i="12"/>
  <c r="E96" i="12"/>
  <c r="P96" i="12" s="1"/>
  <c r="L100" i="12"/>
  <c r="E100" i="12"/>
  <c r="P100" i="12" s="1"/>
  <c r="L63" i="12"/>
  <c r="E63" i="12"/>
  <c r="P63" i="12" s="1"/>
  <c r="L65" i="12"/>
  <c r="E65" i="12"/>
  <c r="P65" i="12" s="1"/>
  <c r="L67" i="12"/>
  <c r="E67" i="12"/>
  <c r="P67" i="12" s="1"/>
  <c r="L71" i="12"/>
  <c r="E71" i="12"/>
  <c r="P71" i="12" s="1"/>
  <c r="L73" i="12"/>
  <c r="E73" i="12"/>
  <c r="P73" i="12" s="1"/>
  <c r="L75" i="12"/>
  <c r="E75" i="12"/>
  <c r="P75" i="12" s="1"/>
  <c r="L77" i="12"/>
  <c r="E77" i="12"/>
  <c r="P77" i="12" s="1"/>
  <c r="L81" i="12"/>
  <c r="E81" i="12"/>
  <c r="P81" i="12" s="1"/>
  <c r="L83" i="12"/>
  <c r="E83" i="12"/>
  <c r="P83" i="12" s="1"/>
  <c r="L85" i="12"/>
  <c r="E85" i="12"/>
  <c r="P85" i="12" s="1"/>
  <c r="L87" i="12"/>
  <c r="E87" i="12"/>
  <c r="P87" i="12" s="1"/>
  <c r="L91" i="12"/>
  <c r="E91" i="12"/>
  <c r="P91" i="12" s="1"/>
  <c r="L93" i="12"/>
  <c r="E93" i="12"/>
  <c r="P93" i="12" s="1"/>
  <c r="L95" i="12"/>
  <c r="E95" i="12"/>
  <c r="P95" i="12" s="1"/>
  <c r="L97" i="12"/>
  <c r="E97" i="12"/>
  <c r="P97" i="12" s="1"/>
  <c r="L101" i="12"/>
  <c r="E101" i="12"/>
  <c r="P101" i="12" s="1"/>
  <c r="L103" i="12"/>
  <c r="E103" i="12"/>
  <c r="P103" i="12" s="1"/>
  <c r="L105" i="12"/>
  <c r="E105" i="12"/>
  <c r="P105" i="12" s="1"/>
  <c r="L107" i="12"/>
  <c r="E107" i="12"/>
  <c r="P107" i="12" s="1"/>
  <c r="L62" i="12"/>
  <c r="E62" i="12"/>
  <c r="P62" i="12" s="1"/>
  <c r="L66" i="12"/>
  <c r="E66" i="12"/>
  <c r="P66" i="12" s="1"/>
  <c r="L70" i="12"/>
  <c r="E70" i="12"/>
  <c r="P70" i="12" s="1"/>
  <c r="L72" i="12"/>
  <c r="E72" i="12"/>
  <c r="P72" i="12" s="1"/>
  <c r="L76" i="12"/>
  <c r="E76" i="12"/>
  <c r="P76" i="12" s="1"/>
  <c r="L80" i="12"/>
  <c r="E80" i="12"/>
  <c r="P80" i="12" s="1"/>
  <c r="L82" i="12"/>
  <c r="E82" i="12"/>
  <c r="P82" i="12" s="1"/>
  <c r="L88" i="12"/>
  <c r="E88" i="12"/>
  <c r="P88" i="12" s="1"/>
  <c r="L98" i="12"/>
  <c r="E98" i="12"/>
  <c r="P98" i="12" s="1"/>
  <c r="L102" i="12"/>
  <c r="E102" i="12"/>
  <c r="P102" i="12" s="1"/>
  <c r="L106" i="12"/>
  <c r="E106" i="12"/>
  <c r="P106" i="12" s="1"/>
  <c r="R33" i="12"/>
  <c r="E33" i="12"/>
  <c r="P33" i="12" s="1"/>
  <c r="R35" i="12"/>
  <c r="E35" i="12"/>
  <c r="P35" i="12" s="1"/>
  <c r="E55" i="12"/>
  <c r="P55" i="12" s="1"/>
  <c r="R32" i="12"/>
  <c r="E32" i="12"/>
  <c r="P32" i="12" s="1"/>
  <c r="E52" i="12"/>
  <c r="P52" i="12" s="1"/>
  <c r="R58" i="12"/>
  <c r="E58" i="12"/>
  <c r="P58" i="12" s="1"/>
  <c r="R34" i="12"/>
  <c r="N15" i="12"/>
  <c r="O15" i="12" s="1"/>
  <c r="O14" i="12"/>
  <c r="N16" i="12"/>
  <c r="N17" i="12" s="1"/>
  <c r="J13" i="12"/>
  <c r="L13" i="12"/>
  <c r="B162" i="12" s="1"/>
  <c r="M49" i="12"/>
  <c r="M69" i="12"/>
  <c r="L69" i="12"/>
  <c r="M30" i="12"/>
  <c r="M34" i="12"/>
  <c r="M44" i="12"/>
  <c r="M64" i="12"/>
  <c r="L64" i="12"/>
  <c r="M84" i="12"/>
  <c r="L84" i="12"/>
  <c r="M94" i="12"/>
  <c r="L94" i="12"/>
  <c r="M31" i="12"/>
  <c r="M39" i="12"/>
  <c r="M59" i="12"/>
  <c r="M79" i="12"/>
  <c r="L79" i="12"/>
  <c r="M89" i="12"/>
  <c r="L89" i="12"/>
  <c r="M99" i="12"/>
  <c r="L99" i="12"/>
  <c r="M54" i="12"/>
  <c r="M74" i="12"/>
  <c r="L74" i="12"/>
  <c r="M104" i="12"/>
  <c r="L104" i="12"/>
  <c r="Q35" i="12"/>
  <c r="M35" i="12"/>
  <c r="Q45" i="12"/>
  <c r="M45" i="12"/>
  <c r="Q53" i="12"/>
  <c r="M53" i="12"/>
  <c r="Q57" i="12"/>
  <c r="M57" i="12"/>
  <c r="Q61" i="12"/>
  <c r="M61" i="12"/>
  <c r="Q63" i="12"/>
  <c r="M63" i="12"/>
  <c r="Q67" i="12"/>
  <c r="M67" i="12"/>
  <c r="Q71" i="12"/>
  <c r="M71" i="12"/>
  <c r="Q75" i="12"/>
  <c r="M75" i="12"/>
  <c r="Q83" i="12"/>
  <c r="M83" i="12"/>
  <c r="Q87" i="12"/>
  <c r="M87" i="12"/>
  <c r="Q91" i="12"/>
  <c r="M91" i="12"/>
  <c r="Q95" i="12"/>
  <c r="M95" i="12"/>
  <c r="Q103" i="12"/>
  <c r="M103" i="12"/>
  <c r="Q105" i="12"/>
  <c r="M105" i="12"/>
  <c r="Q107" i="12"/>
  <c r="M107" i="12"/>
  <c r="Q32" i="12"/>
  <c r="M32" i="12"/>
  <c r="Q36" i="12"/>
  <c r="M36" i="12"/>
  <c r="Q40" i="12"/>
  <c r="M40" i="12"/>
  <c r="Q42" i="12"/>
  <c r="M42" i="12"/>
  <c r="Q46" i="12"/>
  <c r="M46" i="12"/>
  <c r="Q50" i="12"/>
  <c r="M50" i="12"/>
  <c r="Q58" i="12"/>
  <c r="M58" i="12"/>
  <c r="Q68" i="12"/>
  <c r="M68" i="12"/>
  <c r="Q78" i="12"/>
  <c r="M78" i="12"/>
  <c r="Q82" i="12"/>
  <c r="M82" i="12"/>
  <c r="Q86" i="12"/>
  <c r="M86" i="12"/>
  <c r="Q90" i="12"/>
  <c r="M90" i="12"/>
  <c r="Q98" i="12"/>
  <c r="M98" i="12"/>
  <c r="B137" i="12"/>
  <c r="Q33" i="12"/>
  <c r="M33" i="12"/>
  <c r="Q37" i="12"/>
  <c r="M37" i="12"/>
  <c r="Q41" i="12"/>
  <c r="M41" i="12"/>
  <c r="Q43" i="12"/>
  <c r="M43" i="12"/>
  <c r="Q47" i="12"/>
  <c r="M47" i="12"/>
  <c r="Q51" i="12"/>
  <c r="M51" i="12"/>
  <c r="Q55" i="12"/>
  <c r="M55" i="12"/>
  <c r="Q65" i="12"/>
  <c r="M65" i="12"/>
  <c r="Q73" i="12"/>
  <c r="M73" i="12"/>
  <c r="Q77" i="12"/>
  <c r="M77" i="12"/>
  <c r="Q81" i="12"/>
  <c r="M81" i="12"/>
  <c r="Q85" i="12"/>
  <c r="M85" i="12"/>
  <c r="Q93" i="12"/>
  <c r="M93" i="12"/>
  <c r="Q97" i="12"/>
  <c r="M97" i="12"/>
  <c r="Q101" i="12"/>
  <c r="M101" i="12"/>
  <c r="Q38" i="12"/>
  <c r="M38" i="12"/>
  <c r="Q48" i="12"/>
  <c r="M48" i="12"/>
  <c r="Q52" i="12"/>
  <c r="M52" i="12"/>
  <c r="Q56" i="12"/>
  <c r="M56" i="12"/>
  <c r="Q60" i="12"/>
  <c r="M60" i="12"/>
  <c r="Q62" i="12"/>
  <c r="M62" i="12"/>
  <c r="Q66" i="12"/>
  <c r="M66" i="12"/>
  <c r="Q70" i="12"/>
  <c r="M70" i="12"/>
  <c r="Q72" i="12"/>
  <c r="M72" i="12"/>
  <c r="Q76" i="12"/>
  <c r="M76" i="12"/>
  <c r="Q80" i="12"/>
  <c r="M80" i="12"/>
  <c r="Q88" i="12"/>
  <c r="M88" i="12"/>
  <c r="Q92" i="12"/>
  <c r="M92" i="12"/>
  <c r="Q96" i="12"/>
  <c r="M96" i="12"/>
  <c r="Q100" i="12"/>
  <c r="M100" i="12"/>
  <c r="Q102" i="12"/>
  <c r="M102" i="12"/>
  <c r="Q106" i="12"/>
  <c r="M106" i="12"/>
  <c r="Q39" i="12"/>
  <c r="I39" i="12" s="1"/>
  <c r="Q49" i="12"/>
  <c r="Q59" i="12"/>
  <c r="I59" i="12" s="1"/>
  <c r="Q69" i="12"/>
  <c r="B127" i="12" s="1"/>
  <c r="Q79" i="12"/>
  <c r="B129" i="12" s="1"/>
  <c r="Q89" i="12"/>
  <c r="B131" i="12" s="1"/>
  <c r="Q99" i="12"/>
  <c r="B133" i="12" s="1"/>
  <c r="Q34" i="12"/>
  <c r="Q44" i="12"/>
  <c r="I44" i="12" s="1"/>
  <c r="Q54" i="12"/>
  <c r="I54" i="12" s="1"/>
  <c r="Q64" i="12"/>
  <c r="Q74" i="12"/>
  <c r="Q84" i="12"/>
  <c r="Q94" i="12"/>
  <c r="Q104" i="12"/>
  <c r="B134" i="12"/>
  <c r="B132" i="12"/>
  <c r="B128" i="12"/>
  <c r="B130" i="12"/>
  <c r="B126" i="12"/>
  <c r="Q31" i="12"/>
  <c r="R31" i="12"/>
  <c r="R30" i="12"/>
  <c r="Q30" i="12"/>
  <c r="O63" i="12"/>
  <c r="J63" i="12" s="1"/>
  <c r="O65" i="12"/>
  <c r="J65" i="12" s="1"/>
  <c r="O67" i="12"/>
  <c r="J67" i="12" s="1"/>
  <c r="O69" i="12"/>
  <c r="J69" i="12" s="1"/>
  <c r="O71" i="12"/>
  <c r="J71" i="12" s="1"/>
  <c r="O73" i="12"/>
  <c r="J73" i="12" s="1"/>
  <c r="O75" i="12"/>
  <c r="J75" i="12" s="1"/>
  <c r="O77" i="12"/>
  <c r="J77" i="12" s="1"/>
  <c r="O79" i="12"/>
  <c r="J79" i="12" s="1"/>
  <c r="O81" i="12"/>
  <c r="J81" i="12" s="1"/>
  <c r="O83" i="12"/>
  <c r="J83" i="12" s="1"/>
  <c r="O85" i="12"/>
  <c r="J85" i="12" s="1"/>
  <c r="O87" i="12"/>
  <c r="J87" i="12" s="1"/>
  <c r="O89" i="12"/>
  <c r="J89" i="12" s="1"/>
  <c r="O91" i="12"/>
  <c r="J91" i="12" s="1"/>
  <c r="O93" i="12"/>
  <c r="J93" i="12" s="1"/>
  <c r="O95" i="12"/>
  <c r="J95" i="12" s="1"/>
  <c r="O97" i="12"/>
  <c r="J97" i="12" s="1"/>
  <c r="O99" i="12"/>
  <c r="J99" i="12" s="1"/>
  <c r="O101" i="12"/>
  <c r="J101" i="12" s="1"/>
  <c r="O103" i="12"/>
  <c r="J103" i="12" s="1"/>
  <c r="O105" i="12"/>
  <c r="J105" i="12" s="1"/>
  <c r="O107" i="12"/>
  <c r="J107" i="12" s="1"/>
  <c r="B652" i="5"/>
  <c r="B654" i="5"/>
  <c r="B656" i="5"/>
  <c r="B658" i="5"/>
  <c r="O62" i="12"/>
  <c r="J62" i="12" s="1"/>
  <c r="O64" i="12"/>
  <c r="J64" i="12" s="1"/>
  <c r="O66" i="12"/>
  <c r="J66" i="12" s="1"/>
  <c r="O68" i="12"/>
  <c r="J68" i="12" s="1"/>
  <c r="O70" i="12"/>
  <c r="J70" i="12" s="1"/>
  <c r="O72" i="12"/>
  <c r="J72" i="12" s="1"/>
  <c r="O74" i="12"/>
  <c r="J74" i="12" s="1"/>
  <c r="O76" i="12"/>
  <c r="J76" i="12" s="1"/>
  <c r="O78" i="12"/>
  <c r="J78" i="12" s="1"/>
  <c r="O80" i="12"/>
  <c r="J80" i="12" s="1"/>
  <c r="O82" i="12"/>
  <c r="J82" i="12" s="1"/>
  <c r="O84" i="12"/>
  <c r="J84" i="12" s="1"/>
  <c r="O86" i="12"/>
  <c r="J86" i="12" s="1"/>
  <c r="O88" i="12"/>
  <c r="J88" i="12" s="1"/>
  <c r="O90" i="12"/>
  <c r="J90" i="12" s="1"/>
  <c r="O92" i="12"/>
  <c r="J92" i="12" s="1"/>
  <c r="O94" i="12"/>
  <c r="J94" i="12" s="1"/>
  <c r="O96" i="12"/>
  <c r="J96" i="12" s="1"/>
  <c r="O98" i="12"/>
  <c r="J98" i="12" s="1"/>
  <c r="O100" i="12"/>
  <c r="J100" i="12" s="1"/>
  <c r="O102" i="12"/>
  <c r="J102" i="12" s="1"/>
  <c r="O104" i="12"/>
  <c r="J104" i="12" s="1"/>
  <c r="O106" i="12"/>
  <c r="J106" i="12" s="1"/>
  <c r="BA21" i="5"/>
  <c r="B538" i="8"/>
  <c r="B119" i="8"/>
  <c r="B172" i="8"/>
  <c r="B207" i="8"/>
  <c r="B226" i="8"/>
  <c r="B225" i="8"/>
  <c r="B224" i="8"/>
  <c r="B263" i="8"/>
  <c r="B262" i="8"/>
  <c r="B261" i="8"/>
  <c r="B260" i="8"/>
  <c r="B268" i="8"/>
  <c r="B267" i="8"/>
  <c r="B293" i="8"/>
  <c r="B355" i="8"/>
  <c r="B383" i="8"/>
  <c r="B382" i="8"/>
  <c r="B381" i="8"/>
  <c r="B380" i="8"/>
  <c r="B379" i="8"/>
  <c r="B445" i="8"/>
  <c r="B444" i="8"/>
  <c r="B443" i="8"/>
  <c r="B442" i="8"/>
  <c r="B451" i="8"/>
  <c r="B519" i="8"/>
  <c r="B537" i="8"/>
  <c r="B440" i="8"/>
  <c r="B439" i="8"/>
  <c r="B441" i="8"/>
  <c r="B120" i="8"/>
  <c r="CQ15" i="5"/>
  <c r="CQ16" i="5"/>
  <c r="CQ17" i="5"/>
  <c r="CQ18" i="5"/>
  <c r="CQ19" i="5"/>
  <c r="CQ20" i="5"/>
  <c r="CQ22" i="5"/>
  <c r="CQ23" i="5"/>
  <c r="CQ24" i="5"/>
  <c r="CQ25" i="5"/>
  <c r="CQ26" i="5"/>
  <c r="CQ27" i="5"/>
  <c r="CQ28" i="5"/>
  <c r="CQ29" i="5"/>
  <c r="CQ30" i="5"/>
  <c r="CQ31" i="5"/>
  <c r="CQ32" i="5"/>
  <c r="CQ33" i="5"/>
  <c r="CQ34" i="5"/>
  <c r="CQ35" i="5"/>
  <c r="CQ36" i="5"/>
  <c r="CQ37" i="5"/>
  <c r="CQ38" i="5"/>
  <c r="CQ39" i="5"/>
  <c r="CQ40" i="5"/>
  <c r="CQ41" i="5"/>
  <c r="CQ42" i="5"/>
  <c r="CQ43" i="5"/>
  <c r="CQ44" i="5"/>
  <c r="CQ45" i="5"/>
  <c r="CQ46" i="5"/>
  <c r="CQ47" i="5"/>
  <c r="CQ48" i="5"/>
  <c r="CQ49" i="5"/>
  <c r="CQ50" i="5"/>
  <c r="CQ51" i="5"/>
  <c r="CQ52" i="5"/>
  <c r="CQ53" i="5"/>
  <c r="CQ54" i="5"/>
  <c r="CQ55" i="5"/>
  <c r="CQ56" i="5"/>
  <c r="CQ57" i="5"/>
  <c r="CQ58" i="5"/>
  <c r="CQ59" i="5"/>
  <c r="CQ60" i="5"/>
  <c r="CQ61" i="5"/>
  <c r="CQ62" i="5"/>
  <c r="CQ63" i="5"/>
  <c r="CQ64" i="5"/>
  <c r="CQ65" i="5"/>
  <c r="CQ66" i="5"/>
  <c r="CQ67" i="5"/>
  <c r="CQ68" i="5"/>
  <c r="CQ69" i="5"/>
  <c r="CQ70" i="5"/>
  <c r="CQ71" i="5"/>
  <c r="CQ72" i="5"/>
  <c r="CQ73" i="5"/>
  <c r="CQ74" i="5"/>
  <c r="CQ75" i="5"/>
  <c r="CQ76" i="5"/>
  <c r="CQ77" i="5"/>
  <c r="CQ78" i="5"/>
  <c r="CQ79" i="5"/>
  <c r="CQ80" i="5"/>
  <c r="CQ81" i="5"/>
  <c r="CQ82" i="5"/>
  <c r="CQ83" i="5"/>
  <c r="CQ84" i="5"/>
  <c r="CQ85" i="5"/>
  <c r="CQ86" i="5"/>
  <c r="CQ87" i="5"/>
  <c r="CQ88" i="5"/>
  <c r="CQ89" i="5"/>
  <c r="CQ90" i="5"/>
  <c r="CQ91" i="5"/>
  <c r="CQ92" i="5"/>
  <c r="CQ93" i="5"/>
  <c r="CQ94" i="5"/>
  <c r="CQ95" i="5"/>
  <c r="CQ96" i="5"/>
  <c r="CQ97" i="5"/>
  <c r="CQ98" i="5"/>
  <c r="CQ99" i="5"/>
  <c r="CQ100" i="5"/>
  <c r="CQ101" i="5"/>
  <c r="CQ102" i="5"/>
  <c r="CQ103" i="5"/>
  <c r="CQ104" i="5"/>
  <c r="CQ105" i="5"/>
  <c r="CQ106" i="5"/>
  <c r="CQ107" i="5"/>
  <c r="CQ108" i="5"/>
  <c r="CQ109" i="5"/>
  <c r="CQ110" i="5"/>
  <c r="CQ111" i="5"/>
  <c r="CQ112" i="5"/>
  <c r="CQ113" i="5"/>
  <c r="CQ114" i="5"/>
  <c r="CQ21" i="5"/>
  <c r="CU15" i="5"/>
  <c r="CU16" i="5"/>
  <c r="CU17" i="5"/>
  <c r="CU18" i="5"/>
  <c r="CU19" i="5"/>
  <c r="CU21" i="5"/>
  <c r="CU22" i="5"/>
  <c r="CU23" i="5"/>
  <c r="CU24" i="5"/>
  <c r="CU25" i="5"/>
  <c r="CU26" i="5"/>
  <c r="CU27" i="5"/>
  <c r="CU28" i="5"/>
  <c r="CU29" i="5"/>
  <c r="CU30" i="5"/>
  <c r="CU31" i="5"/>
  <c r="CU32" i="5"/>
  <c r="CU33" i="5"/>
  <c r="CU34" i="5"/>
  <c r="CU35" i="5"/>
  <c r="CU36" i="5"/>
  <c r="CU37" i="5"/>
  <c r="CU38" i="5"/>
  <c r="CU39" i="5"/>
  <c r="CU40" i="5"/>
  <c r="CU41" i="5"/>
  <c r="CU42" i="5"/>
  <c r="CU43" i="5"/>
  <c r="CU44" i="5"/>
  <c r="CU45" i="5"/>
  <c r="CU46" i="5"/>
  <c r="CU47" i="5"/>
  <c r="CU48" i="5"/>
  <c r="CU49" i="5"/>
  <c r="CU50" i="5"/>
  <c r="CU51" i="5"/>
  <c r="CU52" i="5"/>
  <c r="CU53" i="5"/>
  <c r="CU54" i="5"/>
  <c r="CU55" i="5"/>
  <c r="CU56" i="5"/>
  <c r="CU57" i="5"/>
  <c r="CU58" i="5"/>
  <c r="CU59" i="5"/>
  <c r="CU60" i="5"/>
  <c r="CU61" i="5"/>
  <c r="CU62" i="5"/>
  <c r="CU63" i="5"/>
  <c r="CU64" i="5"/>
  <c r="CU65" i="5"/>
  <c r="CU66" i="5"/>
  <c r="CU67" i="5"/>
  <c r="CU68" i="5"/>
  <c r="CU69" i="5"/>
  <c r="CU70" i="5"/>
  <c r="CU71" i="5"/>
  <c r="CU72" i="5"/>
  <c r="CU73" i="5"/>
  <c r="CU74" i="5"/>
  <c r="CU75" i="5"/>
  <c r="CU76" i="5"/>
  <c r="CU77" i="5"/>
  <c r="CU78" i="5"/>
  <c r="CU79" i="5"/>
  <c r="CU80" i="5"/>
  <c r="CU81" i="5"/>
  <c r="CU82" i="5"/>
  <c r="CU83" i="5"/>
  <c r="CU84" i="5"/>
  <c r="CU85" i="5"/>
  <c r="CU86" i="5"/>
  <c r="CU87" i="5"/>
  <c r="CU88" i="5"/>
  <c r="CU89" i="5"/>
  <c r="CU90" i="5"/>
  <c r="CU91" i="5"/>
  <c r="CU92" i="5"/>
  <c r="CU93" i="5"/>
  <c r="CU94" i="5"/>
  <c r="CU95" i="5"/>
  <c r="CU96" i="5"/>
  <c r="CU97" i="5"/>
  <c r="CU98" i="5"/>
  <c r="CU99" i="5"/>
  <c r="CU100" i="5"/>
  <c r="CU101" i="5"/>
  <c r="CU102" i="5"/>
  <c r="CU103" i="5"/>
  <c r="CU104" i="5"/>
  <c r="CU105" i="5"/>
  <c r="CU106" i="5"/>
  <c r="CU107" i="5"/>
  <c r="CU108" i="5"/>
  <c r="CU109" i="5"/>
  <c r="CU110" i="5"/>
  <c r="CU111" i="5"/>
  <c r="CU112" i="5"/>
  <c r="CU113" i="5"/>
  <c r="CU114" i="5"/>
  <c r="CU20" i="5"/>
  <c r="CT21" i="5"/>
  <c r="CT22" i="5"/>
  <c r="CT23" i="5"/>
  <c r="CT24" i="5"/>
  <c r="CT25" i="5"/>
  <c r="CT26" i="5"/>
  <c r="CT27" i="5"/>
  <c r="CT28" i="5"/>
  <c r="CT29" i="5"/>
  <c r="CT30" i="5"/>
  <c r="CT31" i="5"/>
  <c r="CT32" i="5"/>
  <c r="CT33" i="5"/>
  <c r="CT34" i="5"/>
  <c r="CT35" i="5"/>
  <c r="CT36" i="5"/>
  <c r="CT37" i="5"/>
  <c r="CT38" i="5"/>
  <c r="CT39" i="5"/>
  <c r="CT40" i="5"/>
  <c r="CT41" i="5"/>
  <c r="CT42" i="5"/>
  <c r="CT43" i="5"/>
  <c r="CT44" i="5"/>
  <c r="CT45" i="5"/>
  <c r="CT46" i="5"/>
  <c r="CT47" i="5"/>
  <c r="CT48" i="5"/>
  <c r="CT49" i="5"/>
  <c r="CT50" i="5"/>
  <c r="CT51" i="5"/>
  <c r="CT52" i="5"/>
  <c r="CT53" i="5"/>
  <c r="CT54" i="5"/>
  <c r="CT55" i="5"/>
  <c r="CT56" i="5"/>
  <c r="CT57" i="5"/>
  <c r="CT58" i="5"/>
  <c r="CT59" i="5"/>
  <c r="CT60" i="5"/>
  <c r="CT61" i="5"/>
  <c r="CT62" i="5"/>
  <c r="CT63" i="5"/>
  <c r="CT64" i="5"/>
  <c r="CT65" i="5"/>
  <c r="CT66" i="5"/>
  <c r="CT67" i="5"/>
  <c r="CT68" i="5"/>
  <c r="CT69" i="5"/>
  <c r="CT70" i="5"/>
  <c r="CT71" i="5"/>
  <c r="CT72" i="5"/>
  <c r="CT73" i="5"/>
  <c r="CT74" i="5"/>
  <c r="CT75" i="5"/>
  <c r="CT76" i="5"/>
  <c r="CT77" i="5"/>
  <c r="CT78" i="5"/>
  <c r="CT79" i="5"/>
  <c r="CT80" i="5"/>
  <c r="CT81" i="5"/>
  <c r="CT82" i="5"/>
  <c r="CT83" i="5"/>
  <c r="CT84" i="5"/>
  <c r="CT85" i="5"/>
  <c r="CT86" i="5"/>
  <c r="CT87" i="5"/>
  <c r="CT88" i="5"/>
  <c r="CT89" i="5"/>
  <c r="CT90" i="5"/>
  <c r="CT91" i="5"/>
  <c r="CT92" i="5"/>
  <c r="CT93" i="5"/>
  <c r="CT94" i="5"/>
  <c r="CT95" i="5"/>
  <c r="CT96" i="5"/>
  <c r="CT97" i="5"/>
  <c r="CT98" i="5"/>
  <c r="CT99" i="5"/>
  <c r="CT100" i="5"/>
  <c r="CT101" i="5"/>
  <c r="CT102" i="5"/>
  <c r="CT103" i="5"/>
  <c r="CT104" i="5"/>
  <c r="CT105" i="5"/>
  <c r="CT106" i="5"/>
  <c r="CT107" i="5"/>
  <c r="CT108" i="5"/>
  <c r="CT109" i="5"/>
  <c r="CT110" i="5"/>
  <c r="CT111" i="5"/>
  <c r="CT112" i="5"/>
  <c r="CT113" i="5"/>
  <c r="CT114" i="5"/>
  <c r="CT15" i="5"/>
  <c r="CT16" i="5"/>
  <c r="CT17" i="5"/>
  <c r="CT18" i="5"/>
  <c r="CT19" i="5"/>
  <c r="CT20" i="5"/>
  <c r="AO20" i="5"/>
  <c r="AO15" i="5"/>
  <c r="AO16" i="5"/>
  <c r="AO17" i="5"/>
  <c r="AO18" i="5"/>
  <c r="AO19" i="5"/>
  <c r="AO21" i="5"/>
  <c r="AO22" i="5"/>
  <c r="AO23" i="5"/>
  <c r="AO24" i="5"/>
  <c r="AO25" i="5"/>
  <c r="AO26" i="5"/>
  <c r="AO27" i="5"/>
  <c r="AO28" i="5"/>
  <c r="AO29" i="5"/>
  <c r="AO30" i="5"/>
  <c r="AO31" i="5"/>
  <c r="AO32" i="5"/>
  <c r="AO33" i="5"/>
  <c r="AO34" i="5"/>
  <c r="AO35" i="5"/>
  <c r="AO36" i="5"/>
  <c r="AO37" i="5"/>
  <c r="AO38" i="5"/>
  <c r="AO39" i="5"/>
  <c r="AO40" i="5"/>
  <c r="AO41" i="5"/>
  <c r="AO42" i="5"/>
  <c r="AO43" i="5"/>
  <c r="AO44" i="5"/>
  <c r="AO45" i="5"/>
  <c r="AO46" i="5"/>
  <c r="AO47" i="5"/>
  <c r="AO48" i="5"/>
  <c r="AO49" i="5"/>
  <c r="AO50" i="5"/>
  <c r="AO51" i="5"/>
  <c r="AO52" i="5"/>
  <c r="AO53" i="5"/>
  <c r="AO54" i="5"/>
  <c r="AO55" i="5"/>
  <c r="AO56" i="5"/>
  <c r="AO57" i="5"/>
  <c r="AO58" i="5"/>
  <c r="AO59" i="5"/>
  <c r="AO60" i="5"/>
  <c r="AO61" i="5"/>
  <c r="AO62" i="5"/>
  <c r="AO63" i="5"/>
  <c r="AO64" i="5"/>
  <c r="AO65" i="5"/>
  <c r="AO66" i="5"/>
  <c r="AO67" i="5"/>
  <c r="AO68" i="5"/>
  <c r="AO69" i="5"/>
  <c r="AO70" i="5"/>
  <c r="AO71" i="5"/>
  <c r="AO72" i="5"/>
  <c r="AO73" i="5"/>
  <c r="AO74" i="5"/>
  <c r="AO75" i="5"/>
  <c r="AO76" i="5"/>
  <c r="AO77" i="5"/>
  <c r="AO78" i="5"/>
  <c r="AO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92" i="5"/>
  <c r="AO93" i="5"/>
  <c r="AO94" i="5"/>
  <c r="AO95" i="5"/>
  <c r="AO96" i="5"/>
  <c r="AO97" i="5"/>
  <c r="AO98" i="5"/>
  <c r="AO99" i="5"/>
  <c r="AO100" i="5"/>
  <c r="AO101" i="5"/>
  <c r="AO102" i="5"/>
  <c r="AO103" i="5"/>
  <c r="AO104" i="5"/>
  <c r="AO105" i="5"/>
  <c r="AO106" i="5"/>
  <c r="AO107" i="5"/>
  <c r="AO108" i="5"/>
  <c r="AO109" i="5"/>
  <c r="AO110" i="5"/>
  <c r="AO111" i="5"/>
  <c r="AO112" i="5"/>
  <c r="AO113" i="5"/>
  <c r="AO114" i="5"/>
  <c r="CS22" i="5"/>
  <c r="CS23" i="5"/>
  <c r="CS24" i="5"/>
  <c r="CS25" i="5"/>
  <c r="CS26" i="5"/>
  <c r="CS27" i="5"/>
  <c r="CS28" i="5"/>
  <c r="CS29" i="5"/>
  <c r="CS30" i="5"/>
  <c r="CS31" i="5"/>
  <c r="CS32" i="5"/>
  <c r="CS33" i="5"/>
  <c r="CS34" i="5"/>
  <c r="CS35" i="5"/>
  <c r="CS36" i="5"/>
  <c r="CS37" i="5"/>
  <c r="CS38" i="5"/>
  <c r="CS39" i="5"/>
  <c r="CS40" i="5"/>
  <c r="CS41" i="5"/>
  <c r="CS42" i="5"/>
  <c r="CS43" i="5"/>
  <c r="CS44" i="5"/>
  <c r="CS45" i="5"/>
  <c r="CS46" i="5"/>
  <c r="CS47" i="5"/>
  <c r="CS48" i="5"/>
  <c r="CS49" i="5"/>
  <c r="CS50" i="5"/>
  <c r="CS51" i="5"/>
  <c r="CS52" i="5"/>
  <c r="CS53" i="5"/>
  <c r="CS54" i="5"/>
  <c r="CS55" i="5"/>
  <c r="CS56" i="5"/>
  <c r="CS57" i="5"/>
  <c r="CS58" i="5"/>
  <c r="CS59" i="5"/>
  <c r="CS60" i="5"/>
  <c r="CS61" i="5"/>
  <c r="CS62" i="5"/>
  <c r="CS63" i="5"/>
  <c r="CS64" i="5"/>
  <c r="CS65" i="5"/>
  <c r="CS66" i="5"/>
  <c r="CS67" i="5"/>
  <c r="CS68" i="5"/>
  <c r="CS69" i="5"/>
  <c r="CS70" i="5"/>
  <c r="CS71" i="5"/>
  <c r="CS72" i="5"/>
  <c r="CS73" i="5"/>
  <c r="CS74" i="5"/>
  <c r="CS75" i="5"/>
  <c r="CS76" i="5"/>
  <c r="CS77" i="5"/>
  <c r="CS78" i="5"/>
  <c r="CS79" i="5"/>
  <c r="CS80" i="5"/>
  <c r="CS81" i="5"/>
  <c r="CS82" i="5"/>
  <c r="CS83" i="5"/>
  <c r="CS84" i="5"/>
  <c r="CS85" i="5"/>
  <c r="CS86" i="5"/>
  <c r="CS87" i="5"/>
  <c r="CS88" i="5"/>
  <c r="CS89" i="5"/>
  <c r="CS90" i="5"/>
  <c r="CS91" i="5"/>
  <c r="CS92" i="5"/>
  <c r="CS93" i="5"/>
  <c r="CS94" i="5"/>
  <c r="CS95" i="5"/>
  <c r="CS96" i="5"/>
  <c r="CS97" i="5"/>
  <c r="CS98" i="5"/>
  <c r="CS99" i="5"/>
  <c r="CS100" i="5"/>
  <c r="CS101" i="5"/>
  <c r="CS102" i="5"/>
  <c r="CS103" i="5"/>
  <c r="CS104" i="5"/>
  <c r="CS105" i="5"/>
  <c r="CS106" i="5"/>
  <c r="CS107" i="5"/>
  <c r="CS108" i="5"/>
  <c r="CS109" i="5"/>
  <c r="CS110" i="5"/>
  <c r="CS111" i="5"/>
  <c r="CS112" i="5"/>
  <c r="CS113" i="5"/>
  <c r="CS114" i="5"/>
  <c r="CS21" i="5"/>
  <c r="CS15" i="5"/>
  <c r="BL15" i="5" s="1"/>
  <c r="BQ15" i="5" s="1"/>
  <c r="CS16" i="5"/>
  <c r="BL16" i="5" s="1"/>
  <c r="BQ16" i="5" s="1"/>
  <c r="CS17" i="5"/>
  <c r="BL17" i="5" s="1"/>
  <c r="BQ17" i="5" s="1"/>
  <c r="CS18" i="5"/>
  <c r="CS19" i="5"/>
  <c r="CS20" i="5"/>
  <c r="CR21" i="5"/>
  <c r="CR22" i="5"/>
  <c r="CR23" i="5"/>
  <c r="CR24" i="5"/>
  <c r="CR25" i="5"/>
  <c r="CR26" i="5"/>
  <c r="CR27" i="5"/>
  <c r="CR28" i="5"/>
  <c r="CR29" i="5"/>
  <c r="CR30" i="5"/>
  <c r="CR31" i="5"/>
  <c r="CR32" i="5"/>
  <c r="CR33" i="5"/>
  <c r="CR34" i="5"/>
  <c r="CR35" i="5"/>
  <c r="CR36" i="5"/>
  <c r="CR37" i="5"/>
  <c r="CR38" i="5"/>
  <c r="CR39" i="5"/>
  <c r="CR40" i="5"/>
  <c r="CR41" i="5"/>
  <c r="CR42" i="5"/>
  <c r="CR43" i="5"/>
  <c r="CR44" i="5"/>
  <c r="CR45" i="5"/>
  <c r="CR46" i="5"/>
  <c r="CR47" i="5"/>
  <c r="CR48" i="5"/>
  <c r="CR49" i="5"/>
  <c r="CR50" i="5"/>
  <c r="CR51" i="5"/>
  <c r="CR52" i="5"/>
  <c r="CR53" i="5"/>
  <c r="CR54" i="5"/>
  <c r="CR55" i="5"/>
  <c r="CR56" i="5"/>
  <c r="CR57" i="5"/>
  <c r="CR58" i="5"/>
  <c r="CR59" i="5"/>
  <c r="CR60" i="5"/>
  <c r="CR61" i="5"/>
  <c r="CR62" i="5"/>
  <c r="CR63" i="5"/>
  <c r="CR64" i="5"/>
  <c r="CR65" i="5"/>
  <c r="CR66" i="5"/>
  <c r="CR67" i="5"/>
  <c r="CR68" i="5"/>
  <c r="CR69" i="5"/>
  <c r="CR70" i="5"/>
  <c r="CR71" i="5"/>
  <c r="CR72" i="5"/>
  <c r="CR73" i="5"/>
  <c r="CR74" i="5"/>
  <c r="CR75" i="5"/>
  <c r="CR76" i="5"/>
  <c r="CR77" i="5"/>
  <c r="CR78" i="5"/>
  <c r="CR79" i="5"/>
  <c r="CR80" i="5"/>
  <c r="CR81" i="5"/>
  <c r="CR82" i="5"/>
  <c r="CR83" i="5"/>
  <c r="CR84" i="5"/>
  <c r="CR85" i="5"/>
  <c r="CR86" i="5"/>
  <c r="CR87" i="5"/>
  <c r="CR88" i="5"/>
  <c r="CR89" i="5"/>
  <c r="CR90" i="5"/>
  <c r="CR91" i="5"/>
  <c r="CR92" i="5"/>
  <c r="CR93" i="5"/>
  <c r="CR94" i="5"/>
  <c r="CR95" i="5"/>
  <c r="CR96" i="5"/>
  <c r="CR97" i="5"/>
  <c r="CR98" i="5"/>
  <c r="CR99" i="5"/>
  <c r="CR100" i="5"/>
  <c r="CR101" i="5"/>
  <c r="CR102" i="5"/>
  <c r="CR103" i="5"/>
  <c r="CR104" i="5"/>
  <c r="CR105" i="5"/>
  <c r="CR106" i="5"/>
  <c r="CR107" i="5"/>
  <c r="CR108" i="5"/>
  <c r="CR109" i="5"/>
  <c r="CR110" i="5"/>
  <c r="CR111" i="5"/>
  <c r="CR112" i="5"/>
  <c r="CR113" i="5"/>
  <c r="CR114" i="5"/>
  <c r="CR15" i="5"/>
  <c r="CR16" i="5"/>
  <c r="CR17" i="5"/>
  <c r="CR18" i="5"/>
  <c r="CR19" i="5"/>
  <c r="CR20" i="5"/>
  <c r="CP44" i="5"/>
  <c r="CP45" i="5"/>
  <c r="CP46" i="5"/>
  <c r="CP47" i="5"/>
  <c r="CP48" i="5"/>
  <c r="CP49" i="5"/>
  <c r="CP50" i="5"/>
  <c r="CP51" i="5"/>
  <c r="CP52" i="5"/>
  <c r="CP53" i="5"/>
  <c r="CP54" i="5"/>
  <c r="CP55" i="5"/>
  <c r="CP56" i="5"/>
  <c r="CP57" i="5"/>
  <c r="CP58" i="5"/>
  <c r="CP59" i="5"/>
  <c r="CP60" i="5"/>
  <c r="CP61" i="5"/>
  <c r="CP62" i="5"/>
  <c r="CP63" i="5"/>
  <c r="CP64" i="5"/>
  <c r="CP65" i="5"/>
  <c r="CP66" i="5"/>
  <c r="CP67" i="5"/>
  <c r="CP68" i="5"/>
  <c r="CP69" i="5"/>
  <c r="CP70" i="5"/>
  <c r="CP71" i="5"/>
  <c r="CP72" i="5"/>
  <c r="CP73" i="5"/>
  <c r="CP74" i="5"/>
  <c r="CP75" i="5"/>
  <c r="CP76" i="5"/>
  <c r="CP77" i="5"/>
  <c r="CP78" i="5"/>
  <c r="CP79" i="5"/>
  <c r="CP80" i="5"/>
  <c r="CP81" i="5"/>
  <c r="CP82" i="5"/>
  <c r="CP83" i="5"/>
  <c r="CP84" i="5"/>
  <c r="CP85" i="5"/>
  <c r="CP86" i="5"/>
  <c r="CP87" i="5"/>
  <c r="CP88" i="5"/>
  <c r="CP89" i="5"/>
  <c r="CP90" i="5"/>
  <c r="CP91" i="5"/>
  <c r="CP92" i="5"/>
  <c r="CP93" i="5"/>
  <c r="CP94" i="5"/>
  <c r="CP95" i="5"/>
  <c r="CP96" i="5"/>
  <c r="CP97" i="5"/>
  <c r="CP98" i="5"/>
  <c r="CP99" i="5"/>
  <c r="CP100" i="5"/>
  <c r="CP101" i="5"/>
  <c r="CP102" i="5"/>
  <c r="CP103" i="5"/>
  <c r="CP104" i="5"/>
  <c r="CP105" i="5"/>
  <c r="CP106" i="5"/>
  <c r="CP107" i="5"/>
  <c r="CP108" i="5"/>
  <c r="CP109" i="5"/>
  <c r="CP110" i="5"/>
  <c r="CP111" i="5"/>
  <c r="CP112" i="5"/>
  <c r="CP113" i="5"/>
  <c r="AM15" i="5"/>
  <c r="AM16" i="5"/>
  <c r="AM18" i="5"/>
  <c r="AM20" i="5"/>
  <c r="AM21" i="5"/>
  <c r="AM22" i="5"/>
  <c r="AM23" i="5"/>
  <c r="AM24" i="5"/>
  <c r="AM25" i="5"/>
  <c r="AM26" i="5"/>
  <c r="AM27" i="5"/>
  <c r="AM28" i="5"/>
  <c r="AM29" i="5"/>
  <c r="AM30" i="5"/>
  <c r="AM31" i="5"/>
  <c r="AM32" i="5"/>
  <c r="AM33" i="5"/>
  <c r="AM34" i="5"/>
  <c r="AM35" i="5"/>
  <c r="AM36" i="5"/>
  <c r="AM37" i="5"/>
  <c r="AM38" i="5"/>
  <c r="AM39" i="5"/>
  <c r="AM40" i="5"/>
  <c r="AM41" i="5"/>
  <c r="AM42" i="5"/>
  <c r="AM43" i="5"/>
  <c r="AM44" i="5"/>
  <c r="AM45" i="5"/>
  <c r="AM46" i="5"/>
  <c r="AM47" i="5"/>
  <c r="AM48" i="5"/>
  <c r="AM49" i="5"/>
  <c r="AM50" i="5"/>
  <c r="AM51" i="5"/>
  <c r="AM52" i="5"/>
  <c r="AM53" i="5"/>
  <c r="AM54" i="5"/>
  <c r="AM55" i="5"/>
  <c r="AM56" i="5"/>
  <c r="AM57" i="5"/>
  <c r="AM58" i="5"/>
  <c r="AM59" i="5"/>
  <c r="AM60" i="5"/>
  <c r="AM61" i="5"/>
  <c r="AM62" i="5"/>
  <c r="AM63" i="5"/>
  <c r="AM64" i="5"/>
  <c r="AM65" i="5"/>
  <c r="AM66" i="5"/>
  <c r="AM67" i="5"/>
  <c r="AM68" i="5"/>
  <c r="AM69" i="5"/>
  <c r="AM70" i="5"/>
  <c r="AM71" i="5"/>
  <c r="AM72" i="5"/>
  <c r="AM73" i="5"/>
  <c r="AM74" i="5"/>
  <c r="AM75" i="5"/>
  <c r="AM76" i="5"/>
  <c r="AM77" i="5"/>
  <c r="AM78" i="5"/>
  <c r="AM79" i="5"/>
  <c r="AM80" i="5"/>
  <c r="AM81" i="5"/>
  <c r="AM82" i="5"/>
  <c r="AM83" i="5"/>
  <c r="AM84" i="5"/>
  <c r="AM85" i="5"/>
  <c r="AM86" i="5"/>
  <c r="AM87" i="5"/>
  <c r="AM88" i="5"/>
  <c r="AM89" i="5"/>
  <c r="AM90" i="5"/>
  <c r="AM91" i="5"/>
  <c r="AM92" i="5"/>
  <c r="AM93" i="5"/>
  <c r="AM94" i="5"/>
  <c r="AM95" i="5"/>
  <c r="AM96" i="5"/>
  <c r="AM97" i="5"/>
  <c r="AM98" i="5"/>
  <c r="AM99" i="5"/>
  <c r="AM100" i="5"/>
  <c r="AM101" i="5"/>
  <c r="AM102" i="5"/>
  <c r="AM103" i="5"/>
  <c r="AM104" i="5"/>
  <c r="AM105" i="5"/>
  <c r="AM106" i="5"/>
  <c r="AM107" i="5"/>
  <c r="AM108" i="5"/>
  <c r="AM109" i="5"/>
  <c r="AM110" i="5"/>
  <c r="AM111" i="5"/>
  <c r="AM112" i="5"/>
  <c r="AM113" i="5"/>
  <c r="AM114" i="5"/>
  <c r="AM17" i="5"/>
  <c r="B201" i="5"/>
  <c r="B232" i="5"/>
  <c r="B211" i="5"/>
  <c r="B210" i="5"/>
  <c r="B209" i="5"/>
  <c r="B208" i="5"/>
  <c r="B203" i="5"/>
  <c r="B202" i="5"/>
  <c r="B200" i="5"/>
  <c r="B199" i="5"/>
  <c r="B198" i="5"/>
  <c r="B189" i="5"/>
  <c r="B184" i="5"/>
  <c r="B183" i="5"/>
  <c r="B181" i="5"/>
  <c r="B180" i="5"/>
  <c r="B167" i="5"/>
  <c r="B158" i="5"/>
  <c r="B157" i="5"/>
  <c r="B154" i="5"/>
  <c r="A582" i="16" s="1"/>
  <c r="B153" i="5"/>
  <c r="A581" i="16" s="1"/>
  <c r="B152" i="5"/>
  <c r="B151" i="5"/>
  <c r="A579" i="16" s="1"/>
  <c r="B148" i="5"/>
  <c r="B147" i="5"/>
  <c r="B146" i="5"/>
  <c r="G47" i="7"/>
  <c r="H2" i="7" s="1"/>
  <c r="G46" i="7"/>
  <c r="B928" i="5"/>
  <c r="B927" i="5"/>
  <c r="B893" i="5"/>
  <c r="B888" i="5"/>
  <c r="B886" i="5"/>
  <c r="B601" i="5"/>
  <c r="B599" i="5"/>
  <c r="A600" i="16" s="1"/>
  <c r="B594" i="5"/>
  <c r="B250" i="5"/>
  <c r="B259" i="5"/>
  <c r="B252" i="5"/>
  <c r="B176" i="5"/>
  <c r="B175" i="5"/>
  <c r="B174" i="5"/>
  <c r="B173" i="5"/>
  <c r="B172" i="5"/>
  <c r="B171" i="5"/>
  <c r="B170" i="5"/>
  <c r="B169" i="5"/>
  <c r="B168" i="5"/>
  <c r="B166" i="5"/>
  <c r="B165" i="5"/>
  <c r="B160" i="5"/>
  <c r="B159" i="5"/>
  <c r="B156" i="5"/>
  <c r="B155" i="5"/>
  <c r="A583" i="16" s="1"/>
  <c r="B144" i="5"/>
  <c r="B119" i="5"/>
  <c r="J20" i="7"/>
  <c r="H20" i="7"/>
  <c r="C7" i="7" s="1"/>
  <c r="AW16" i="5"/>
  <c r="AW17" i="5"/>
  <c r="AW18" i="5"/>
  <c r="AW19" i="5"/>
  <c r="AW20" i="5"/>
  <c r="AW21" i="5"/>
  <c r="AW22" i="5"/>
  <c r="AW23" i="5"/>
  <c r="AW24" i="5"/>
  <c r="AW25" i="5"/>
  <c r="AW26" i="5"/>
  <c r="AW27" i="5"/>
  <c r="AW28" i="5"/>
  <c r="AW29" i="5"/>
  <c r="AW30" i="5"/>
  <c r="AW31" i="5"/>
  <c r="AW32" i="5"/>
  <c r="AW33" i="5"/>
  <c r="AW34" i="5"/>
  <c r="AW35" i="5"/>
  <c r="AW36" i="5"/>
  <c r="AW37" i="5"/>
  <c r="AW38" i="5"/>
  <c r="AW39" i="5"/>
  <c r="AW40" i="5"/>
  <c r="AW41" i="5"/>
  <c r="AW42" i="5"/>
  <c r="AW43" i="5"/>
  <c r="AW44" i="5"/>
  <c r="AW45" i="5"/>
  <c r="AW46" i="5"/>
  <c r="AW47" i="5"/>
  <c r="AW48" i="5"/>
  <c r="AW49" i="5"/>
  <c r="AW50" i="5"/>
  <c r="AW51" i="5"/>
  <c r="AW52" i="5"/>
  <c r="AW53" i="5"/>
  <c r="AW54" i="5"/>
  <c r="AW55" i="5"/>
  <c r="AW56" i="5"/>
  <c r="AW57" i="5"/>
  <c r="AW58" i="5"/>
  <c r="AW59" i="5"/>
  <c r="AW60" i="5"/>
  <c r="AW61" i="5"/>
  <c r="AW62" i="5"/>
  <c r="AW63" i="5"/>
  <c r="AW64" i="5"/>
  <c r="AW65" i="5"/>
  <c r="AW66" i="5"/>
  <c r="AW67" i="5"/>
  <c r="AW68" i="5"/>
  <c r="AW69" i="5"/>
  <c r="AW70" i="5"/>
  <c r="AW71" i="5"/>
  <c r="AW72" i="5"/>
  <c r="AW73" i="5"/>
  <c r="AW74" i="5"/>
  <c r="AW75" i="5"/>
  <c r="AW76" i="5"/>
  <c r="AW77" i="5"/>
  <c r="AW78" i="5"/>
  <c r="AW79" i="5"/>
  <c r="AW80" i="5"/>
  <c r="AW81" i="5"/>
  <c r="AW82" i="5"/>
  <c r="AW83" i="5"/>
  <c r="AW84" i="5"/>
  <c r="AW85" i="5"/>
  <c r="AW86" i="5"/>
  <c r="AW87" i="5"/>
  <c r="AW88" i="5"/>
  <c r="AW89" i="5"/>
  <c r="AW90" i="5"/>
  <c r="AW91" i="5"/>
  <c r="AW92" i="5"/>
  <c r="AW93" i="5"/>
  <c r="AW94" i="5"/>
  <c r="AW95" i="5"/>
  <c r="AW96" i="5"/>
  <c r="AW97" i="5"/>
  <c r="AW98" i="5"/>
  <c r="AW99" i="5"/>
  <c r="AW100" i="5"/>
  <c r="AW101" i="5"/>
  <c r="AW102" i="5"/>
  <c r="AW103" i="5"/>
  <c r="AW104" i="5"/>
  <c r="AW105" i="5"/>
  <c r="AW106" i="5"/>
  <c r="AW107" i="5"/>
  <c r="AW108" i="5"/>
  <c r="AW109" i="5"/>
  <c r="AW110" i="5"/>
  <c r="AW111" i="5"/>
  <c r="AW112" i="5"/>
  <c r="AW113" i="5"/>
  <c r="AW114" i="5"/>
  <c r="AW15" i="5"/>
  <c r="AY36" i="5"/>
  <c r="AY37" i="5"/>
  <c r="AY38" i="5"/>
  <c r="AY39" i="5"/>
  <c r="AY40" i="5"/>
  <c r="AY41" i="5"/>
  <c r="AY42" i="5"/>
  <c r="AY43" i="5"/>
  <c r="AY44" i="5"/>
  <c r="AY45" i="5"/>
  <c r="AY46" i="5"/>
  <c r="AY47" i="5"/>
  <c r="AY48" i="5"/>
  <c r="AY49" i="5"/>
  <c r="AY50" i="5"/>
  <c r="AY51" i="5"/>
  <c r="AY52" i="5"/>
  <c r="AY53" i="5"/>
  <c r="AY54" i="5"/>
  <c r="AY55" i="5"/>
  <c r="AY56" i="5"/>
  <c r="AY57" i="5"/>
  <c r="AY58" i="5"/>
  <c r="AY59" i="5"/>
  <c r="AY60" i="5"/>
  <c r="AY61" i="5"/>
  <c r="AY62" i="5"/>
  <c r="AY63" i="5"/>
  <c r="AY64" i="5"/>
  <c r="AY65" i="5"/>
  <c r="AY66" i="5"/>
  <c r="AY67" i="5"/>
  <c r="AY68" i="5"/>
  <c r="AY69" i="5"/>
  <c r="AY70" i="5"/>
  <c r="AY71" i="5"/>
  <c r="AY72" i="5"/>
  <c r="AY73" i="5"/>
  <c r="AY74" i="5"/>
  <c r="AY75" i="5"/>
  <c r="AY76" i="5"/>
  <c r="AY77" i="5"/>
  <c r="AY78" i="5"/>
  <c r="AY79" i="5"/>
  <c r="AY80" i="5"/>
  <c r="AY81" i="5"/>
  <c r="AY82" i="5"/>
  <c r="AY83" i="5"/>
  <c r="AY84" i="5"/>
  <c r="AY85" i="5"/>
  <c r="AY86" i="5"/>
  <c r="AY87" i="5"/>
  <c r="AY88" i="5"/>
  <c r="AY89" i="5"/>
  <c r="AY90" i="5"/>
  <c r="AY91" i="5"/>
  <c r="AY92" i="5"/>
  <c r="AY93" i="5"/>
  <c r="AY94" i="5"/>
  <c r="AY95" i="5"/>
  <c r="AY96" i="5"/>
  <c r="AY97" i="5"/>
  <c r="AY98" i="5"/>
  <c r="AY99" i="5"/>
  <c r="AY100" i="5"/>
  <c r="AY101" i="5"/>
  <c r="AY102" i="5"/>
  <c r="AY103" i="5"/>
  <c r="AY104" i="5"/>
  <c r="AY105" i="5"/>
  <c r="AY106" i="5"/>
  <c r="AY107" i="5"/>
  <c r="AY108" i="5"/>
  <c r="AY109" i="5"/>
  <c r="AY110" i="5"/>
  <c r="AY111" i="5"/>
  <c r="AY112" i="5"/>
  <c r="AY113" i="5"/>
  <c r="AU17" i="5"/>
  <c r="AU55" i="5"/>
  <c r="AU59" i="5"/>
  <c r="AU60" i="5"/>
  <c r="AU61" i="5"/>
  <c r="AU62" i="5"/>
  <c r="AU63" i="5"/>
  <c r="AU64" i="5"/>
  <c r="AU65" i="5" s="1"/>
  <c r="AU66" i="5" s="1"/>
  <c r="CX67" i="5" s="1"/>
  <c r="AU67" i="5"/>
  <c r="AU68" i="5"/>
  <c r="AU69" i="5"/>
  <c r="AU70" i="5"/>
  <c r="AU71" i="5"/>
  <c r="AU72" i="5"/>
  <c r="AU73" i="5"/>
  <c r="AU74" i="5"/>
  <c r="AU75" i="5"/>
  <c r="AU76" i="5"/>
  <c r="AU77" i="5"/>
  <c r="AU78" i="5"/>
  <c r="AU79" i="5"/>
  <c r="AU80" i="5"/>
  <c r="AU81" i="5"/>
  <c r="AU82" i="5"/>
  <c r="AU83" i="5"/>
  <c r="AU84" i="5"/>
  <c r="AU85" i="5"/>
  <c r="AU86" i="5"/>
  <c r="AU87" i="5"/>
  <c r="AU88" i="5"/>
  <c r="AU89" i="5"/>
  <c r="AU90" i="5"/>
  <c r="AU91" i="5"/>
  <c r="AU92" i="5"/>
  <c r="AU93" i="5"/>
  <c r="AU94" i="5"/>
  <c r="AU95" i="5"/>
  <c r="AU96" i="5"/>
  <c r="AU97" i="5"/>
  <c r="AU98" i="5"/>
  <c r="AU99" i="5"/>
  <c r="AU100" i="5"/>
  <c r="AU101" i="5"/>
  <c r="AU102" i="5"/>
  <c r="AU103" i="5"/>
  <c r="AU104" i="5"/>
  <c r="AU105" i="5"/>
  <c r="AU106" i="5"/>
  <c r="AU107" i="5"/>
  <c r="AU108" i="5"/>
  <c r="AU109" i="5"/>
  <c r="AU110" i="5"/>
  <c r="AU111" i="5"/>
  <c r="AU112" i="5"/>
  <c r="AU113" i="5"/>
  <c r="AU114" i="5"/>
  <c r="AU15" i="5"/>
  <c r="R11" i="16" s="1"/>
  <c r="AA11" i="16" s="1"/>
  <c r="L17" i="16" l="1"/>
  <c r="DE21" i="5"/>
  <c r="B853" i="5" s="1"/>
  <c r="G18" i="16"/>
  <c r="A256" i="16" s="1"/>
  <c r="DF21" i="5"/>
  <c r="B629" i="5" s="1"/>
  <c r="A580" i="16"/>
  <c r="A122" i="16"/>
  <c r="V11" i="16"/>
  <c r="Q12" i="16"/>
  <c r="AJ11" i="16"/>
  <c r="AF11" i="16"/>
  <c r="AG11" i="16" s="1"/>
  <c r="AH11" i="16" s="1"/>
  <c r="AI11" i="16"/>
  <c r="A1033" i="16" s="1"/>
  <c r="AD11" i="16"/>
  <c r="A611" i="16"/>
  <c r="Z35" i="16"/>
  <c r="Y34" i="16"/>
  <c r="Z34" i="16" s="1"/>
  <c r="L62" i="16"/>
  <c r="BA67" i="5"/>
  <c r="BB67" i="5" s="1"/>
  <c r="AV15" i="5"/>
  <c r="AV17" i="5"/>
  <c r="L55" i="16"/>
  <c r="BA60" i="5"/>
  <c r="BB60" i="5" s="1"/>
  <c r="L49" i="16"/>
  <c r="BA54" i="5"/>
  <c r="N108" i="16"/>
  <c r="N106" i="16"/>
  <c r="N104" i="16"/>
  <c r="N102" i="16"/>
  <c r="N100" i="16"/>
  <c r="N98" i="16"/>
  <c r="N96" i="16"/>
  <c r="N94" i="16"/>
  <c r="N92" i="16"/>
  <c r="N90" i="16"/>
  <c r="N88" i="16"/>
  <c r="N86" i="16"/>
  <c r="N84" i="16"/>
  <c r="N82" i="16"/>
  <c r="N80" i="16"/>
  <c r="N78" i="16"/>
  <c r="N76" i="16"/>
  <c r="N74" i="16"/>
  <c r="N72" i="16"/>
  <c r="N70" i="16"/>
  <c r="N68" i="16"/>
  <c r="N66" i="16"/>
  <c r="N64" i="16"/>
  <c r="N62" i="16"/>
  <c r="O62" i="16" s="1"/>
  <c r="AV114" i="5"/>
  <c r="N110" i="16"/>
  <c r="N109" i="16"/>
  <c r="N107" i="16"/>
  <c r="N105" i="16"/>
  <c r="N103" i="16"/>
  <c r="N101" i="16"/>
  <c r="N99" i="16"/>
  <c r="N97" i="16"/>
  <c r="N95" i="16"/>
  <c r="N93" i="16"/>
  <c r="N91" i="16"/>
  <c r="N89" i="16"/>
  <c r="N87" i="16"/>
  <c r="N85" i="16"/>
  <c r="N83" i="16"/>
  <c r="N81" i="16"/>
  <c r="N79" i="16"/>
  <c r="N77" i="16"/>
  <c r="N75" i="16"/>
  <c r="N73" i="16"/>
  <c r="N71" i="16"/>
  <c r="N69" i="16"/>
  <c r="N67" i="16"/>
  <c r="N65" i="16"/>
  <c r="N63" i="16"/>
  <c r="N61" i="16"/>
  <c r="O61" i="16" s="1"/>
  <c r="N59" i="16"/>
  <c r="N57" i="16"/>
  <c r="O57" i="16" s="1"/>
  <c r="N55" i="16"/>
  <c r="N60" i="16"/>
  <c r="O60" i="16" s="1"/>
  <c r="N58" i="16"/>
  <c r="N56" i="16"/>
  <c r="O56" i="16" s="1"/>
  <c r="BA22" i="5"/>
  <c r="L18" i="16" s="1"/>
  <c r="F38" i="16"/>
  <c r="A377" i="16" s="1"/>
  <c r="F40" i="16"/>
  <c r="A379" i="16" s="1"/>
  <c r="F36" i="16"/>
  <c r="A375" i="16" s="1"/>
  <c r="F39" i="16"/>
  <c r="A378" i="16" s="1"/>
  <c r="F37" i="16"/>
  <c r="A376" i="16" s="1"/>
  <c r="I39" i="14"/>
  <c r="B151" i="14" s="1"/>
  <c r="I42" i="14"/>
  <c r="B154" i="14" s="1"/>
  <c r="I38" i="14"/>
  <c r="B150" i="14" s="1"/>
  <c r="I41" i="14"/>
  <c r="B153" i="14" s="1"/>
  <c r="I37" i="14"/>
  <c r="B149" i="14" s="1"/>
  <c r="I44" i="14"/>
  <c r="B156" i="14" s="1"/>
  <c r="I40" i="14"/>
  <c r="B152" i="14" s="1"/>
  <c r="I43" i="14"/>
  <c r="B155" i="14" s="1"/>
  <c r="T101" i="14"/>
  <c r="U101" i="14"/>
  <c r="V101" i="14" s="1"/>
  <c r="F101" i="14" s="1"/>
  <c r="B323" i="14" s="1"/>
  <c r="R100" i="14"/>
  <c r="S101" i="14"/>
  <c r="O16" i="12"/>
  <c r="L16" i="12" s="1"/>
  <c r="I60" i="12"/>
  <c r="I56" i="12"/>
  <c r="I50" i="12"/>
  <c r="I46" i="12"/>
  <c r="I40" i="12"/>
  <c r="I36" i="12"/>
  <c r="I61" i="12"/>
  <c r="I55" i="12"/>
  <c r="I51" i="12"/>
  <c r="I45" i="12"/>
  <c r="I41" i="12"/>
  <c r="I35" i="12"/>
  <c r="B125" i="12"/>
  <c r="I58" i="12"/>
  <c r="I52" i="12"/>
  <c r="I48" i="12"/>
  <c r="I42" i="12"/>
  <c r="I38" i="12"/>
  <c r="I32" i="12"/>
  <c r="I57" i="12"/>
  <c r="I53" i="12"/>
  <c r="I47" i="12"/>
  <c r="I43" i="12"/>
  <c r="I37" i="12"/>
  <c r="I33" i="12"/>
  <c r="I34" i="12"/>
  <c r="I49" i="12"/>
  <c r="B123" i="12" s="1"/>
  <c r="B154" i="12"/>
  <c r="B153" i="12"/>
  <c r="B150" i="12"/>
  <c r="B149" i="12"/>
  <c r="B156" i="12"/>
  <c r="B152" i="12"/>
  <c r="B148" i="12"/>
  <c r="B155" i="12"/>
  <c r="B151" i="12"/>
  <c r="J14" i="12"/>
  <c r="L14" i="12"/>
  <c r="J16" i="12"/>
  <c r="J15" i="12"/>
  <c r="L15" i="12"/>
  <c r="B181" i="12"/>
  <c r="B179" i="12"/>
  <c r="B177" i="12"/>
  <c r="B175" i="12"/>
  <c r="B173" i="12"/>
  <c r="B180" i="12"/>
  <c r="B178" i="12"/>
  <c r="B176" i="12"/>
  <c r="B174" i="12"/>
  <c r="I30" i="12"/>
  <c r="I31" i="12"/>
  <c r="BB15" i="5"/>
  <c r="AC15" i="5" s="1"/>
  <c r="AX113" i="5"/>
  <c r="BL113" i="5" s="1"/>
  <c r="BQ113" i="5" s="1"/>
  <c r="BB113" i="5"/>
  <c r="AX111" i="5"/>
  <c r="BL111" i="5" s="1"/>
  <c r="BQ111" i="5" s="1"/>
  <c r="BB111" i="5"/>
  <c r="AX109" i="5"/>
  <c r="BL109" i="5" s="1"/>
  <c r="BQ109" i="5" s="1"/>
  <c r="BB109" i="5"/>
  <c r="AX107" i="5"/>
  <c r="BL107" i="5" s="1"/>
  <c r="BQ107" i="5" s="1"/>
  <c r="BB107" i="5"/>
  <c r="AX105" i="5"/>
  <c r="BL105" i="5" s="1"/>
  <c r="BQ105" i="5" s="1"/>
  <c r="BB105" i="5"/>
  <c r="AX103" i="5"/>
  <c r="BL103" i="5" s="1"/>
  <c r="BQ103" i="5" s="1"/>
  <c r="BB103" i="5"/>
  <c r="AX101" i="5"/>
  <c r="BL101" i="5" s="1"/>
  <c r="BQ101" i="5" s="1"/>
  <c r="BB101" i="5"/>
  <c r="AX99" i="5"/>
  <c r="BL99" i="5" s="1"/>
  <c r="BQ99" i="5" s="1"/>
  <c r="BB99" i="5"/>
  <c r="AX97" i="5"/>
  <c r="BL97" i="5" s="1"/>
  <c r="BQ97" i="5" s="1"/>
  <c r="BB97" i="5"/>
  <c r="AX95" i="5"/>
  <c r="BL95" i="5" s="1"/>
  <c r="BQ95" i="5" s="1"/>
  <c r="BB95" i="5"/>
  <c r="AX93" i="5"/>
  <c r="BL93" i="5" s="1"/>
  <c r="BQ93" i="5" s="1"/>
  <c r="BB93" i="5"/>
  <c r="AX91" i="5"/>
  <c r="BL91" i="5" s="1"/>
  <c r="BQ91" i="5" s="1"/>
  <c r="BB91" i="5"/>
  <c r="AX89" i="5"/>
  <c r="BL89" i="5" s="1"/>
  <c r="BQ89" i="5" s="1"/>
  <c r="BB89" i="5"/>
  <c r="AX87" i="5"/>
  <c r="BL87" i="5" s="1"/>
  <c r="BQ87" i="5" s="1"/>
  <c r="BB87" i="5"/>
  <c r="AX85" i="5"/>
  <c r="BL85" i="5" s="1"/>
  <c r="BQ85" i="5" s="1"/>
  <c r="BB85" i="5"/>
  <c r="AX83" i="5"/>
  <c r="BL83" i="5" s="1"/>
  <c r="BQ83" i="5" s="1"/>
  <c r="BB83" i="5"/>
  <c r="AX81" i="5"/>
  <c r="BL81" i="5" s="1"/>
  <c r="BQ81" i="5" s="1"/>
  <c r="BB81" i="5"/>
  <c r="AX79" i="5"/>
  <c r="BL79" i="5" s="1"/>
  <c r="BQ79" i="5" s="1"/>
  <c r="BB79" i="5"/>
  <c r="AX77" i="5"/>
  <c r="BL77" i="5" s="1"/>
  <c r="BQ77" i="5" s="1"/>
  <c r="BB77" i="5"/>
  <c r="AX75" i="5"/>
  <c r="BL75" i="5" s="1"/>
  <c r="BQ75" i="5" s="1"/>
  <c r="BB75" i="5"/>
  <c r="AX73" i="5"/>
  <c r="BL73" i="5" s="1"/>
  <c r="BQ73" i="5" s="1"/>
  <c r="BB73" i="5"/>
  <c r="AX71" i="5"/>
  <c r="BB71" i="5"/>
  <c r="AX69" i="5"/>
  <c r="AX67" i="5"/>
  <c r="AX65" i="5"/>
  <c r="BB65" i="5"/>
  <c r="AX63" i="5"/>
  <c r="AX61" i="5"/>
  <c r="AX59" i="5"/>
  <c r="AX114" i="5"/>
  <c r="BL114" i="5" s="1"/>
  <c r="BQ114" i="5" s="1"/>
  <c r="BB114" i="5"/>
  <c r="AX112" i="5"/>
  <c r="BL112" i="5" s="1"/>
  <c r="BQ112" i="5" s="1"/>
  <c r="BB112" i="5"/>
  <c r="AX110" i="5"/>
  <c r="BL110" i="5" s="1"/>
  <c r="BQ110" i="5" s="1"/>
  <c r="BB110" i="5"/>
  <c r="AX108" i="5"/>
  <c r="BL108" i="5" s="1"/>
  <c r="BQ108" i="5" s="1"/>
  <c r="BB108" i="5"/>
  <c r="AX106" i="5"/>
  <c r="BL106" i="5" s="1"/>
  <c r="BQ106" i="5" s="1"/>
  <c r="BB106" i="5"/>
  <c r="AX104" i="5"/>
  <c r="BL104" i="5" s="1"/>
  <c r="BQ104" i="5" s="1"/>
  <c r="BB104" i="5"/>
  <c r="AX102" i="5"/>
  <c r="BL102" i="5" s="1"/>
  <c r="BQ102" i="5" s="1"/>
  <c r="BB102" i="5"/>
  <c r="AX100" i="5"/>
  <c r="BL100" i="5" s="1"/>
  <c r="BQ100" i="5" s="1"/>
  <c r="BB100" i="5"/>
  <c r="AX98" i="5"/>
  <c r="BL98" i="5" s="1"/>
  <c r="BQ98" i="5" s="1"/>
  <c r="BB98" i="5"/>
  <c r="AX96" i="5"/>
  <c r="BL96" i="5" s="1"/>
  <c r="BQ96" i="5" s="1"/>
  <c r="BB96" i="5"/>
  <c r="AX94" i="5"/>
  <c r="BL94" i="5" s="1"/>
  <c r="BQ94" i="5" s="1"/>
  <c r="BB94" i="5"/>
  <c r="AX92" i="5"/>
  <c r="BL92" i="5" s="1"/>
  <c r="BQ92" i="5" s="1"/>
  <c r="BB92" i="5"/>
  <c r="AX90" i="5"/>
  <c r="BL90" i="5" s="1"/>
  <c r="BQ90" i="5" s="1"/>
  <c r="BB90" i="5"/>
  <c r="AX88" i="5"/>
  <c r="BL88" i="5" s="1"/>
  <c r="BQ88" i="5" s="1"/>
  <c r="BB88" i="5"/>
  <c r="AX86" i="5"/>
  <c r="BL86" i="5" s="1"/>
  <c r="BQ86" i="5" s="1"/>
  <c r="BB86" i="5"/>
  <c r="AX84" i="5"/>
  <c r="BL84" i="5" s="1"/>
  <c r="BQ84" i="5" s="1"/>
  <c r="BB84" i="5"/>
  <c r="AX82" i="5"/>
  <c r="BL82" i="5" s="1"/>
  <c r="BQ82" i="5" s="1"/>
  <c r="BB82" i="5"/>
  <c r="AX80" i="5"/>
  <c r="BL80" i="5" s="1"/>
  <c r="BQ80" i="5" s="1"/>
  <c r="BB80" i="5"/>
  <c r="AX78" i="5"/>
  <c r="BL78" i="5" s="1"/>
  <c r="BQ78" i="5" s="1"/>
  <c r="BB78" i="5"/>
  <c r="AX76" i="5"/>
  <c r="BL76" i="5" s="1"/>
  <c r="BQ76" i="5" s="1"/>
  <c r="BB76" i="5"/>
  <c r="AX74" i="5"/>
  <c r="BB74" i="5"/>
  <c r="AX72" i="5"/>
  <c r="BB72" i="5"/>
  <c r="AX70" i="5"/>
  <c r="BB70" i="5"/>
  <c r="AX68" i="5"/>
  <c r="AX66" i="5"/>
  <c r="BB66" i="5"/>
  <c r="AX62" i="5"/>
  <c r="AU56" i="5"/>
  <c r="N18" i="12"/>
  <c r="O17" i="12"/>
  <c r="AU16" i="5"/>
  <c r="AX15" i="5"/>
  <c r="AX8" i="5" s="1"/>
  <c r="AU18" i="5"/>
  <c r="AV18" i="5" s="1"/>
  <c r="AX17" i="5"/>
  <c r="K15" i="9"/>
  <c r="A1145" i="16" s="1"/>
  <c r="B399" i="9"/>
  <c r="B396" i="9"/>
  <c r="J15" i="5"/>
  <c r="B118" i="14" s="1"/>
  <c r="B464" i="5"/>
  <c r="B398" i="5"/>
  <c r="B458" i="5"/>
  <c r="B462" i="5"/>
  <c r="B452" i="5"/>
  <c r="B394" i="5"/>
  <c r="B390" i="5"/>
  <c r="B463" i="5"/>
  <c r="B461" i="5"/>
  <c r="B456" i="5"/>
  <c r="B455" i="5"/>
  <c r="B396" i="5"/>
  <c r="B392" i="5"/>
  <c r="B388" i="5"/>
  <c r="B386" i="5"/>
  <c r="B460" i="5"/>
  <c r="B459" i="5"/>
  <c r="B457" i="5"/>
  <c r="B454" i="5"/>
  <c r="B453" i="5"/>
  <c r="B451" i="5"/>
  <c r="B334" i="5"/>
  <c r="B352" i="5"/>
  <c r="B384" i="5"/>
  <c r="B397" i="5"/>
  <c r="B395" i="5"/>
  <c r="B393" i="5"/>
  <c r="B391" i="5"/>
  <c r="B389" i="5"/>
  <c r="B387" i="5"/>
  <c r="B385" i="5"/>
  <c r="B332" i="5"/>
  <c r="B330" i="5"/>
  <c r="B328" i="5"/>
  <c r="B326" i="5"/>
  <c r="B324" i="5"/>
  <c r="B365" i="5"/>
  <c r="B363" i="5"/>
  <c r="B361" i="5"/>
  <c r="B359" i="5"/>
  <c r="B357" i="5"/>
  <c r="B355" i="5"/>
  <c r="B354" i="5"/>
  <c r="B333" i="5"/>
  <c r="B331" i="5"/>
  <c r="B329" i="5"/>
  <c r="B327" i="5"/>
  <c r="B325" i="5"/>
  <c r="B323" i="5"/>
  <c r="B366" i="5"/>
  <c r="B364" i="5"/>
  <c r="B362" i="5"/>
  <c r="B360" i="5"/>
  <c r="B358" i="5"/>
  <c r="B356" i="5"/>
  <c r="B353" i="5"/>
  <c r="B450" i="5"/>
  <c r="B320" i="5"/>
  <c r="AV112" i="5"/>
  <c r="AV110" i="5"/>
  <c r="AV108" i="5"/>
  <c r="AV106" i="5"/>
  <c r="AV104" i="5"/>
  <c r="AV102" i="5"/>
  <c r="AV100" i="5"/>
  <c r="AV98" i="5"/>
  <c r="AV96" i="5"/>
  <c r="AV94" i="5"/>
  <c r="AV92" i="5"/>
  <c r="AV90" i="5"/>
  <c r="AV88" i="5"/>
  <c r="AV86" i="5"/>
  <c r="AV84" i="5"/>
  <c r="AV82" i="5"/>
  <c r="AV80" i="5"/>
  <c r="AV78" i="5"/>
  <c r="AV76" i="5"/>
  <c r="AV74" i="5"/>
  <c r="AV72" i="5"/>
  <c r="AV70" i="5"/>
  <c r="AV68" i="5"/>
  <c r="AV66" i="5"/>
  <c r="AV64" i="5"/>
  <c r="AX64" i="5" s="1"/>
  <c r="AV62" i="5"/>
  <c r="AV60" i="5"/>
  <c r="AX60" i="5" s="1"/>
  <c r="AV113" i="5"/>
  <c r="AV111" i="5"/>
  <c r="AV109" i="5"/>
  <c r="AV107" i="5"/>
  <c r="AV105" i="5"/>
  <c r="AV103" i="5"/>
  <c r="AV101" i="5"/>
  <c r="AV99" i="5"/>
  <c r="AV97" i="5"/>
  <c r="AV95" i="5"/>
  <c r="AV93" i="5"/>
  <c r="AV91" i="5"/>
  <c r="AV89" i="5"/>
  <c r="AV87" i="5"/>
  <c r="AV85" i="5"/>
  <c r="AV83" i="5"/>
  <c r="AV81" i="5"/>
  <c r="AV79" i="5"/>
  <c r="AV77" i="5"/>
  <c r="AV75" i="5"/>
  <c r="AV73" i="5"/>
  <c r="AV71" i="5"/>
  <c r="AV69" i="5"/>
  <c r="AV67" i="5"/>
  <c r="AV65" i="5"/>
  <c r="AV63" i="5"/>
  <c r="AV61" i="5"/>
  <c r="AV59" i="5"/>
  <c r="AV55" i="5"/>
  <c r="AX55" i="5"/>
  <c r="B120" i="12" l="1"/>
  <c r="AL11" i="16"/>
  <c r="A1355" i="16" s="1"/>
  <c r="A1147" i="16"/>
  <c r="AK11" i="16"/>
  <c r="A1251" i="16" s="1"/>
  <c r="A827" i="16"/>
  <c r="AB11" i="16"/>
  <c r="AE11" i="16" s="1"/>
  <c r="A932" i="16" s="1"/>
  <c r="R12" i="16"/>
  <c r="AA12" i="16" s="1"/>
  <c r="L63" i="16"/>
  <c r="BA68" i="5"/>
  <c r="AV16" i="5"/>
  <c r="N12" i="16"/>
  <c r="N13" i="16"/>
  <c r="N11" i="16"/>
  <c r="L56" i="16"/>
  <c r="BA61" i="5"/>
  <c r="L50" i="16"/>
  <c r="BA55" i="5"/>
  <c r="AV56" i="5"/>
  <c r="N51" i="16"/>
  <c r="BA23" i="5"/>
  <c r="L19" i="16" s="1"/>
  <c r="T100" i="14"/>
  <c r="U100" i="14"/>
  <c r="V100" i="14" s="1"/>
  <c r="F100" i="14" s="1"/>
  <c r="B322" i="14" s="1"/>
  <c r="R99" i="14"/>
  <c r="S100" i="14"/>
  <c r="AC114" i="5"/>
  <c r="B121" i="12"/>
  <c r="B122" i="12"/>
  <c r="B124" i="12"/>
  <c r="B18" i="10"/>
  <c r="B23" i="10" s="1"/>
  <c r="J17" i="12"/>
  <c r="L17" i="12"/>
  <c r="AX56" i="5"/>
  <c r="B119" i="12"/>
  <c r="H111" i="13"/>
  <c r="N19" i="12"/>
  <c r="O18" i="12"/>
  <c r="BB18" i="5"/>
  <c r="AC18" i="5" s="1"/>
  <c r="BB16" i="5"/>
  <c r="AC16" i="5" s="1"/>
  <c r="AU57" i="5"/>
  <c r="BB17" i="5"/>
  <c r="AC17" i="5" s="1"/>
  <c r="AU19" i="5"/>
  <c r="AX18" i="5"/>
  <c r="AX16" i="5"/>
  <c r="AX9" i="5" s="1"/>
  <c r="BD25" i="8"/>
  <c r="BD26" i="8"/>
  <c r="BD27" i="8"/>
  <c r="BD28" i="8"/>
  <c r="BD29" i="8"/>
  <c r="BD30" i="8"/>
  <c r="BD31" i="8"/>
  <c r="BD32" i="8"/>
  <c r="BD33" i="8"/>
  <c r="BD34" i="8"/>
  <c r="BD35" i="8"/>
  <c r="BD36" i="8"/>
  <c r="BD37" i="8"/>
  <c r="BD38" i="8"/>
  <c r="BD39" i="8"/>
  <c r="BD40" i="8"/>
  <c r="BD41" i="8"/>
  <c r="BD42" i="8"/>
  <c r="BD43" i="8"/>
  <c r="BD44" i="8"/>
  <c r="BD45" i="8"/>
  <c r="BD46" i="8"/>
  <c r="BD47" i="8"/>
  <c r="BD48" i="8"/>
  <c r="BD49" i="8"/>
  <c r="BD50" i="8"/>
  <c r="BD51" i="8"/>
  <c r="BD52" i="8"/>
  <c r="BD53" i="8"/>
  <c r="BD54" i="8"/>
  <c r="BD55" i="8"/>
  <c r="BD56" i="8"/>
  <c r="BD57" i="8"/>
  <c r="BD58" i="8"/>
  <c r="BD59" i="8"/>
  <c r="BD60" i="8"/>
  <c r="BD61" i="8"/>
  <c r="BD62" i="8"/>
  <c r="BD63" i="8"/>
  <c r="BD64" i="8"/>
  <c r="BD65" i="8"/>
  <c r="BD66" i="8"/>
  <c r="BD67" i="8"/>
  <c r="BD68" i="8"/>
  <c r="BD69" i="8"/>
  <c r="BD70" i="8"/>
  <c r="BD71" i="8"/>
  <c r="BD72" i="8"/>
  <c r="BD73" i="8"/>
  <c r="BD74" i="8"/>
  <c r="BD75" i="8"/>
  <c r="BD76" i="8"/>
  <c r="BD77" i="8"/>
  <c r="BD78" i="8"/>
  <c r="BD79" i="8"/>
  <c r="BD80" i="8"/>
  <c r="BD81" i="8"/>
  <c r="BD82" i="8"/>
  <c r="BD83" i="8"/>
  <c r="BD84" i="8"/>
  <c r="BD85" i="8"/>
  <c r="BD86" i="8"/>
  <c r="BD87" i="8"/>
  <c r="BD88" i="8"/>
  <c r="BD89" i="8"/>
  <c r="BD90" i="8"/>
  <c r="BD91" i="8"/>
  <c r="BD92" i="8"/>
  <c r="BD93" i="8"/>
  <c r="BD94" i="8"/>
  <c r="BD95" i="8"/>
  <c r="BD96" i="8"/>
  <c r="BD97" i="8"/>
  <c r="BD98" i="8"/>
  <c r="BD99" i="8"/>
  <c r="BD100" i="8"/>
  <c r="BD101" i="8"/>
  <c r="BD102" i="8"/>
  <c r="BD103" i="8"/>
  <c r="BD104" i="8"/>
  <c r="BD105" i="8"/>
  <c r="BD106" i="8"/>
  <c r="BD107" i="8"/>
  <c r="BD108" i="8"/>
  <c r="BD109" i="8"/>
  <c r="BD110" i="8"/>
  <c r="BD111" i="8"/>
  <c r="BD112" i="8"/>
  <c r="BD113" i="8"/>
  <c r="BD114" i="8"/>
  <c r="BC25" i="8"/>
  <c r="BC26" i="8"/>
  <c r="BC27" i="8"/>
  <c r="BC28" i="8"/>
  <c r="BC29" i="8"/>
  <c r="BC30" i="8"/>
  <c r="BC31" i="8"/>
  <c r="BC32" i="8"/>
  <c r="BC33" i="8"/>
  <c r="BC34" i="8"/>
  <c r="BC35" i="8"/>
  <c r="BC36" i="8"/>
  <c r="BC37" i="8"/>
  <c r="BC38" i="8"/>
  <c r="BC39" i="8"/>
  <c r="BC40" i="8"/>
  <c r="BC41" i="8"/>
  <c r="BC42" i="8"/>
  <c r="BC43" i="8"/>
  <c r="BC44" i="8"/>
  <c r="BC45" i="8"/>
  <c r="BC46" i="8"/>
  <c r="BC47" i="8"/>
  <c r="BC48" i="8"/>
  <c r="BC49" i="8"/>
  <c r="BC50" i="8"/>
  <c r="BC51" i="8"/>
  <c r="BC52" i="8"/>
  <c r="BC53" i="8"/>
  <c r="BC54" i="8"/>
  <c r="BC55" i="8"/>
  <c r="BC56" i="8"/>
  <c r="BC57" i="8"/>
  <c r="BC58" i="8"/>
  <c r="BC59" i="8"/>
  <c r="BC60" i="8"/>
  <c r="BC61" i="8"/>
  <c r="BC62" i="8"/>
  <c r="BC63" i="8"/>
  <c r="BC64" i="8"/>
  <c r="BC65" i="8"/>
  <c r="BC66" i="8"/>
  <c r="BC67" i="8"/>
  <c r="BC68" i="8"/>
  <c r="BC69" i="8"/>
  <c r="BC70" i="8"/>
  <c r="BC71" i="8"/>
  <c r="BC72" i="8"/>
  <c r="BC73" i="8"/>
  <c r="BC74" i="8"/>
  <c r="BC75" i="8"/>
  <c r="BC76" i="8"/>
  <c r="BC77" i="8"/>
  <c r="BC78" i="8"/>
  <c r="BC79" i="8"/>
  <c r="BC80" i="8"/>
  <c r="BC81" i="8"/>
  <c r="BC82" i="8"/>
  <c r="BC83" i="8"/>
  <c r="BC84" i="8"/>
  <c r="BC85" i="8"/>
  <c r="BC86" i="8"/>
  <c r="BC87" i="8"/>
  <c r="BC88" i="8"/>
  <c r="BC89" i="8"/>
  <c r="BC90" i="8"/>
  <c r="BC91" i="8"/>
  <c r="BC92" i="8"/>
  <c r="BC93" i="8"/>
  <c r="BC94" i="8"/>
  <c r="BC95" i="8"/>
  <c r="BC96" i="8"/>
  <c r="BC97" i="8"/>
  <c r="BC98" i="8"/>
  <c r="BC99" i="8"/>
  <c r="BC100" i="8"/>
  <c r="BC101" i="8"/>
  <c r="BC102" i="8"/>
  <c r="BC103" i="8"/>
  <c r="BC104" i="8"/>
  <c r="BC105" i="8"/>
  <c r="BC106" i="8"/>
  <c r="BC107" i="8"/>
  <c r="BC108" i="8"/>
  <c r="BC109" i="8"/>
  <c r="BC110" i="8"/>
  <c r="BC111" i="8"/>
  <c r="BC112" i="8"/>
  <c r="BC113" i="8"/>
  <c r="BC114" i="8"/>
  <c r="BC16" i="8"/>
  <c r="BB17" i="8"/>
  <c r="BB18" i="8"/>
  <c r="BB19" i="8"/>
  <c r="BB20" i="8"/>
  <c r="BB21" i="8"/>
  <c r="BB22" i="8"/>
  <c r="BB23" i="8"/>
  <c r="BB24" i="8"/>
  <c r="BB25" i="8"/>
  <c r="BB26" i="8"/>
  <c r="BB27" i="8"/>
  <c r="BB28" i="8"/>
  <c r="BB29" i="8"/>
  <c r="BB30" i="8"/>
  <c r="BB31" i="8"/>
  <c r="BB32" i="8"/>
  <c r="BB33" i="8"/>
  <c r="BB34" i="8"/>
  <c r="BB35" i="8"/>
  <c r="BB36" i="8"/>
  <c r="BB37" i="8"/>
  <c r="BB38" i="8"/>
  <c r="BB39" i="8"/>
  <c r="BB40" i="8"/>
  <c r="BB41" i="8"/>
  <c r="BB42" i="8"/>
  <c r="BB43" i="8"/>
  <c r="BB44" i="8"/>
  <c r="BB45" i="8"/>
  <c r="BB46" i="8"/>
  <c r="BB47" i="8"/>
  <c r="BB48" i="8"/>
  <c r="BB49" i="8"/>
  <c r="BB50" i="8"/>
  <c r="BB51" i="8"/>
  <c r="BB52" i="8"/>
  <c r="BB53" i="8"/>
  <c r="BB54" i="8"/>
  <c r="BB55" i="8"/>
  <c r="BB56" i="8"/>
  <c r="BB57" i="8"/>
  <c r="BB58" i="8"/>
  <c r="BB59" i="8"/>
  <c r="BB60" i="8"/>
  <c r="BB61" i="8"/>
  <c r="BB62" i="8"/>
  <c r="BB63" i="8"/>
  <c r="BB64" i="8"/>
  <c r="BB65" i="8"/>
  <c r="BB66" i="8"/>
  <c r="BB67" i="8"/>
  <c r="BB68" i="8"/>
  <c r="BB69" i="8"/>
  <c r="BB70" i="8"/>
  <c r="BB71" i="8"/>
  <c r="BB72" i="8"/>
  <c r="BB73" i="8"/>
  <c r="BB74" i="8"/>
  <c r="BB75" i="8"/>
  <c r="BB76" i="8"/>
  <c r="BB77" i="8"/>
  <c r="BB78" i="8"/>
  <c r="BB79" i="8"/>
  <c r="BB80" i="8"/>
  <c r="BB81" i="8"/>
  <c r="BB82" i="8"/>
  <c r="BB83" i="8"/>
  <c r="BB84" i="8"/>
  <c r="BB85" i="8"/>
  <c r="BB86" i="8"/>
  <c r="BB87" i="8"/>
  <c r="BB88" i="8"/>
  <c r="BB89" i="8"/>
  <c r="BB90" i="8"/>
  <c r="BB91" i="8"/>
  <c r="BB92" i="8"/>
  <c r="BB93" i="8"/>
  <c r="BB94" i="8"/>
  <c r="BB95" i="8"/>
  <c r="BB96" i="8"/>
  <c r="BB97" i="8"/>
  <c r="BB98" i="8"/>
  <c r="BB99" i="8"/>
  <c r="BB100" i="8"/>
  <c r="BB101" i="8"/>
  <c r="BB102" i="8"/>
  <c r="BB103" i="8"/>
  <c r="BB104" i="8"/>
  <c r="BB105" i="8"/>
  <c r="BB106" i="8"/>
  <c r="BB107" i="8"/>
  <c r="BB108" i="8"/>
  <c r="BB109" i="8"/>
  <c r="BB110" i="8"/>
  <c r="BB111" i="8"/>
  <c r="BB112" i="8"/>
  <c r="BB113" i="8"/>
  <c r="BB114" i="8"/>
  <c r="BB3" i="8"/>
  <c r="M2" i="9"/>
  <c r="M3" i="9"/>
  <c r="DG17" i="9"/>
  <c r="DG18" i="9"/>
  <c r="DG19" i="9"/>
  <c r="DG22" i="9"/>
  <c r="DG23" i="9"/>
  <c r="DG24" i="9"/>
  <c r="DG25" i="9"/>
  <c r="DG26" i="9"/>
  <c r="DG27" i="9"/>
  <c r="DG28" i="9"/>
  <c r="DG29" i="9"/>
  <c r="DG30" i="9"/>
  <c r="DG31" i="9"/>
  <c r="DG32" i="9"/>
  <c r="DG33" i="9"/>
  <c r="DG34" i="9"/>
  <c r="DG35" i="9"/>
  <c r="DG36" i="9"/>
  <c r="DG37" i="9"/>
  <c r="DG38" i="9"/>
  <c r="DG39" i="9"/>
  <c r="DG40" i="9"/>
  <c r="DG41" i="9"/>
  <c r="DG42" i="9"/>
  <c r="DG43" i="9"/>
  <c r="DG44" i="9"/>
  <c r="DG45" i="9"/>
  <c r="DG46" i="9"/>
  <c r="DG47" i="9"/>
  <c r="DG48" i="9"/>
  <c r="DG49" i="9"/>
  <c r="DG50" i="9"/>
  <c r="DG51" i="9"/>
  <c r="DG52" i="9"/>
  <c r="DG53" i="9"/>
  <c r="DG54" i="9"/>
  <c r="DG55" i="9"/>
  <c r="DG56" i="9"/>
  <c r="DG57" i="9"/>
  <c r="DG58" i="9"/>
  <c r="DG59" i="9"/>
  <c r="DG60" i="9"/>
  <c r="DG61" i="9"/>
  <c r="DG62" i="9"/>
  <c r="DG63" i="9"/>
  <c r="DG64" i="9"/>
  <c r="DG65" i="9"/>
  <c r="DG66" i="9"/>
  <c r="DG67" i="9"/>
  <c r="DG68" i="9"/>
  <c r="DG69" i="9"/>
  <c r="DG70" i="9"/>
  <c r="DG71" i="9"/>
  <c r="DG72" i="9"/>
  <c r="DG73" i="9"/>
  <c r="DG74" i="9"/>
  <c r="DG75" i="9"/>
  <c r="DG76" i="9"/>
  <c r="DG77" i="9"/>
  <c r="DG78" i="9"/>
  <c r="DG79" i="9"/>
  <c r="DG80" i="9"/>
  <c r="DG81" i="9"/>
  <c r="DG82" i="9"/>
  <c r="DG83" i="9"/>
  <c r="DG84" i="9"/>
  <c r="DG85" i="9"/>
  <c r="DG86" i="9"/>
  <c r="DG87" i="9"/>
  <c r="DG88" i="9"/>
  <c r="DG89" i="9"/>
  <c r="DG90" i="9"/>
  <c r="DG91" i="9"/>
  <c r="DG92" i="9"/>
  <c r="DG93" i="9"/>
  <c r="DG94" i="9"/>
  <c r="DG95" i="9"/>
  <c r="DG96" i="9"/>
  <c r="DG97" i="9"/>
  <c r="DG98" i="9"/>
  <c r="DG99" i="9"/>
  <c r="DG100" i="9"/>
  <c r="DG101" i="9"/>
  <c r="DG102" i="9"/>
  <c r="DG103" i="9"/>
  <c r="DG104" i="9"/>
  <c r="DG105" i="9"/>
  <c r="DG106" i="9"/>
  <c r="DG107" i="9"/>
  <c r="DG108" i="9"/>
  <c r="DG109" i="9"/>
  <c r="DG110" i="9"/>
  <c r="DG111" i="9"/>
  <c r="DG112" i="9"/>
  <c r="DG113" i="9"/>
  <c r="DG114" i="9"/>
  <c r="DB21" i="9"/>
  <c r="DB22" i="9"/>
  <c r="DC22" i="9" s="1"/>
  <c r="DB23" i="9"/>
  <c r="DB24" i="9" s="1"/>
  <c r="DB25" i="9" s="1"/>
  <c r="DB26" i="9" s="1"/>
  <c r="DB27" i="9"/>
  <c r="DB28" i="9"/>
  <c r="DB29" i="9"/>
  <c r="DB30" i="9"/>
  <c r="DB31" i="9"/>
  <c r="DC31" i="9" s="1"/>
  <c r="DB32" i="9"/>
  <c r="DB33" i="9"/>
  <c r="DB34" i="9"/>
  <c r="DB35" i="9"/>
  <c r="DB36" i="9"/>
  <c r="DC36" i="9" s="1"/>
  <c r="DB37" i="9"/>
  <c r="DC37" i="9" s="1"/>
  <c r="DB38" i="9"/>
  <c r="DC38" i="9" s="1"/>
  <c r="DB39" i="9"/>
  <c r="DC39" i="9" s="1"/>
  <c r="DB40" i="9"/>
  <c r="DC40" i="9" s="1"/>
  <c r="DB41" i="9"/>
  <c r="DC41" i="9" s="1"/>
  <c r="DB42" i="9"/>
  <c r="DC42" i="9" s="1"/>
  <c r="DB43" i="9"/>
  <c r="DC43" i="9" s="1"/>
  <c r="DB44" i="9"/>
  <c r="DC44" i="9" s="1"/>
  <c r="DB45" i="9"/>
  <c r="DC45" i="9" s="1"/>
  <c r="DB46" i="9"/>
  <c r="DC46" i="9" s="1"/>
  <c r="DB47" i="9"/>
  <c r="DC47" i="9" s="1"/>
  <c r="DB48" i="9"/>
  <c r="DC48" i="9" s="1"/>
  <c r="DB49" i="9"/>
  <c r="DC49" i="9" s="1"/>
  <c r="DB50" i="9"/>
  <c r="DC50" i="9" s="1"/>
  <c r="DB51" i="9"/>
  <c r="DC51" i="9" s="1"/>
  <c r="DB52" i="9"/>
  <c r="DC52" i="9" s="1"/>
  <c r="DB53" i="9"/>
  <c r="DC53" i="9" s="1"/>
  <c r="DB54" i="9"/>
  <c r="DC54" i="9" s="1"/>
  <c r="DB55" i="9"/>
  <c r="DC55" i="9" s="1"/>
  <c r="DB56" i="9"/>
  <c r="DC56" i="9" s="1"/>
  <c r="DB57" i="9"/>
  <c r="DC57" i="9" s="1"/>
  <c r="DB58" i="9"/>
  <c r="DC58" i="9" s="1"/>
  <c r="DB59" i="9"/>
  <c r="DC59" i="9" s="1"/>
  <c r="DB60" i="9"/>
  <c r="DC60" i="9" s="1"/>
  <c r="DB61" i="9"/>
  <c r="DC61" i="9" s="1"/>
  <c r="DB62" i="9"/>
  <c r="DC62" i="9" s="1"/>
  <c r="DB63" i="9"/>
  <c r="DC63" i="9" s="1"/>
  <c r="DB64" i="9"/>
  <c r="DC64" i="9" s="1"/>
  <c r="DB65" i="9"/>
  <c r="DC65" i="9" s="1"/>
  <c r="DB66" i="9"/>
  <c r="DC66" i="9" s="1"/>
  <c r="DB67" i="9"/>
  <c r="DC67" i="9" s="1"/>
  <c r="DB68" i="9"/>
  <c r="DC68" i="9" s="1"/>
  <c r="DB69" i="9"/>
  <c r="DC69" i="9" s="1"/>
  <c r="DB70" i="9"/>
  <c r="DC70" i="9" s="1"/>
  <c r="DB71" i="9"/>
  <c r="DC71" i="9" s="1"/>
  <c r="DB72" i="9"/>
  <c r="DC72" i="9" s="1"/>
  <c r="DB73" i="9"/>
  <c r="DC73" i="9" s="1"/>
  <c r="DB74" i="9"/>
  <c r="DC74" i="9" s="1"/>
  <c r="DB75" i="9"/>
  <c r="DC75" i="9" s="1"/>
  <c r="DB76" i="9"/>
  <c r="DC76" i="9" s="1"/>
  <c r="DB77" i="9"/>
  <c r="DC77" i="9" s="1"/>
  <c r="DB78" i="9"/>
  <c r="DC78" i="9" s="1"/>
  <c r="DB79" i="9"/>
  <c r="DC79" i="9" s="1"/>
  <c r="DB80" i="9"/>
  <c r="DC80" i="9" s="1"/>
  <c r="DB81" i="9"/>
  <c r="DC81" i="9" s="1"/>
  <c r="DB82" i="9"/>
  <c r="DC82" i="9" s="1"/>
  <c r="DB83" i="9"/>
  <c r="DC83" i="9" s="1"/>
  <c r="DB84" i="9"/>
  <c r="DC84" i="9" s="1"/>
  <c r="DB85" i="9"/>
  <c r="DC85" i="9" s="1"/>
  <c r="DB86" i="9"/>
  <c r="DC86" i="9" s="1"/>
  <c r="DB87" i="9"/>
  <c r="DC87" i="9" s="1"/>
  <c r="DB88" i="9"/>
  <c r="DC88" i="9" s="1"/>
  <c r="DB89" i="9"/>
  <c r="DC89" i="9" s="1"/>
  <c r="DB90" i="9"/>
  <c r="DC90" i="9" s="1"/>
  <c r="DB91" i="9"/>
  <c r="DC91" i="9" s="1"/>
  <c r="DB92" i="9"/>
  <c r="DC92" i="9" s="1"/>
  <c r="DB93" i="9"/>
  <c r="DC93" i="9" s="1"/>
  <c r="DB94" i="9"/>
  <c r="DC94" i="9" s="1"/>
  <c r="DB95" i="9"/>
  <c r="DC95" i="9" s="1"/>
  <c r="DB96" i="9"/>
  <c r="DC96" i="9" s="1"/>
  <c r="DB97" i="9"/>
  <c r="DB98" i="9"/>
  <c r="DC98" i="9" s="1"/>
  <c r="DB99" i="9"/>
  <c r="DC99" i="9" s="1"/>
  <c r="DB100" i="9"/>
  <c r="DC100" i="9" s="1"/>
  <c r="DB101" i="9"/>
  <c r="DC101" i="9" s="1"/>
  <c r="DB102" i="9"/>
  <c r="DC102" i="9" s="1"/>
  <c r="DB103" i="9"/>
  <c r="DC103" i="9" s="1"/>
  <c r="DB104" i="9"/>
  <c r="DC104" i="9" s="1"/>
  <c r="DB105" i="9"/>
  <c r="DC105" i="9" s="1"/>
  <c r="DB106" i="9"/>
  <c r="DC106" i="9" s="1"/>
  <c r="DB107" i="9"/>
  <c r="DC107" i="9" s="1"/>
  <c r="DB108" i="9"/>
  <c r="DC108" i="9" s="1"/>
  <c r="DB109" i="9"/>
  <c r="DC109" i="9" s="1"/>
  <c r="DB110" i="9"/>
  <c r="DC110" i="9" s="1"/>
  <c r="DB111" i="9"/>
  <c r="DC111" i="9" s="1"/>
  <c r="DB112" i="9"/>
  <c r="DC112" i="9" s="1"/>
  <c r="DB113" i="9"/>
  <c r="DC113" i="9" s="1"/>
  <c r="DB114" i="9"/>
  <c r="DC114" i="9" s="1"/>
  <c r="DB15" i="9"/>
  <c r="DB16" i="9" s="1"/>
  <c r="DB17" i="9" s="1"/>
  <c r="DB18" i="9" s="1"/>
  <c r="DB19" i="9" s="1"/>
  <c r="DB20" i="9" s="1"/>
  <c r="DE20" i="9" s="1"/>
  <c r="DD22" i="9"/>
  <c r="DF22" i="9" s="1"/>
  <c r="DD23" i="9"/>
  <c r="DF23" i="9" s="1"/>
  <c r="DD24" i="9"/>
  <c r="DF24" i="9" s="1"/>
  <c r="DD25" i="9"/>
  <c r="DF25" i="9" s="1"/>
  <c r="DD26" i="9"/>
  <c r="DF26" i="9" s="1"/>
  <c r="DD27" i="9"/>
  <c r="DF27" i="9" s="1"/>
  <c r="DD28" i="9"/>
  <c r="DF28" i="9" s="1"/>
  <c r="DD29" i="9"/>
  <c r="DF29" i="9" s="1"/>
  <c r="DD30" i="9"/>
  <c r="DF30" i="9" s="1"/>
  <c r="DD31" i="9"/>
  <c r="DF31" i="9" s="1"/>
  <c r="DD32" i="9"/>
  <c r="DF32" i="9" s="1"/>
  <c r="DD33" i="9"/>
  <c r="DF33" i="9" s="1"/>
  <c r="DD34" i="9"/>
  <c r="DF34" i="9" s="1"/>
  <c r="DD35" i="9"/>
  <c r="DF35" i="9" s="1"/>
  <c r="DD36" i="9"/>
  <c r="DF36" i="9" s="1"/>
  <c r="DD37" i="9"/>
  <c r="DF37" i="9" s="1"/>
  <c r="DD38" i="9"/>
  <c r="DF38" i="9" s="1"/>
  <c r="DD39" i="9"/>
  <c r="DF39" i="9" s="1"/>
  <c r="DD40" i="9"/>
  <c r="DF40" i="9" s="1"/>
  <c r="DD41" i="9"/>
  <c r="DF41" i="9" s="1"/>
  <c r="DD42" i="9"/>
  <c r="DF42" i="9" s="1"/>
  <c r="DD43" i="9"/>
  <c r="DF43" i="9" s="1"/>
  <c r="DD44" i="9"/>
  <c r="DF44" i="9" s="1"/>
  <c r="DD45" i="9"/>
  <c r="DF45" i="9" s="1"/>
  <c r="DD46" i="9"/>
  <c r="DF46" i="9" s="1"/>
  <c r="DD47" i="9"/>
  <c r="DF47" i="9" s="1"/>
  <c r="DD48" i="9"/>
  <c r="DF48" i="9" s="1"/>
  <c r="DD49" i="9"/>
  <c r="DF49" i="9" s="1"/>
  <c r="DD50" i="9"/>
  <c r="DF50" i="9" s="1"/>
  <c r="DD51" i="9"/>
  <c r="DF51" i="9" s="1"/>
  <c r="DD52" i="9"/>
  <c r="DF52" i="9" s="1"/>
  <c r="DD53" i="9"/>
  <c r="DF53" i="9" s="1"/>
  <c r="DD54" i="9"/>
  <c r="DF54" i="9" s="1"/>
  <c r="DD55" i="9"/>
  <c r="DF55" i="9" s="1"/>
  <c r="DD56" i="9"/>
  <c r="DF56" i="9" s="1"/>
  <c r="DD57" i="9"/>
  <c r="DF57" i="9" s="1"/>
  <c r="DD58" i="9"/>
  <c r="DF58" i="9" s="1"/>
  <c r="DD59" i="9"/>
  <c r="DF59" i="9" s="1"/>
  <c r="DD60" i="9"/>
  <c r="DF60" i="9" s="1"/>
  <c r="DD61" i="9"/>
  <c r="DF61" i="9" s="1"/>
  <c r="DD62" i="9"/>
  <c r="DF62" i="9" s="1"/>
  <c r="DD63" i="9"/>
  <c r="DF63" i="9" s="1"/>
  <c r="DD64" i="9"/>
  <c r="DF64" i="9" s="1"/>
  <c r="DD65" i="9"/>
  <c r="DF65" i="9" s="1"/>
  <c r="DD66" i="9"/>
  <c r="DF66" i="9" s="1"/>
  <c r="DD67" i="9"/>
  <c r="DF67" i="9" s="1"/>
  <c r="DD68" i="9"/>
  <c r="DF68" i="9" s="1"/>
  <c r="DD69" i="9"/>
  <c r="DF69" i="9" s="1"/>
  <c r="DD70" i="9"/>
  <c r="DF70" i="9" s="1"/>
  <c r="DD71" i="9"/>
  <c r="DF71" i="9" s="1"/>
  <c r="DD72" i="9"/>
  <c r="DF72" i="9" s="1"/>
  <c r="DD73" i="9"/>
  <c r="DF73" i="9" s="1"/>
  <c r="DD74" i="9"/>
  <c r="DF74" i="9" s="1"/>
  <c r="DD75" i="9"/>
  <c r="DF75" i="9" s="1"/>
  <c r="DD76" i="9"/>
  <c r="DF76" i="9" s="1"/>
  <c r="DD77" i="9"/>
  <c r="DF77" i="9" s="1"/>
  <c r="DD78" i="9"/>
  <c r="DF78" i="9" s="1"/>
  <c r="DD79" i="9"/>
  <c r="DF79" i="9" s="1"/>
  <c r="DD80" i="9"/>
  <c r="DF80" i="9" s="1"/>
  <c r="DD81" i="9"/>
  <c r="DF81" i="9" s="1"/>
  <c r="DD82" i="9"/>
  <c r="DF82" i="9" s="1"/>
  <c r="DD83" i="9"/>
  <c r="DF83" i="9" s="1"/>
  <c r="DD84" i="9"/>
  <c r="DF84" i="9" s="1"/>
  <c r="DD85" i="9"/>
  <c r="DF85" i="9" s="1"/>
  <c r="DD86" i="9"/>
  <c r="DF86" i="9" s="1"/>
  <c r="DD87" i="9"/>
  <c r="DF87" i="9" s="1"/>
  <c r="DD88" i="9"/>
  <c r="DF88" i="9" s="1"/>
  <c r="DD89" i="9"/>
  <c r="DF89" i="9" s="1"/>
  <c r="DD90" i="9"/>
  <c r="DF90" i="9" s="1"/>
  <c r="DD91" i="9"/>
  <c r="DF91" i="9" s="1"/>
  <c r="DD92" i="9"/>
  <c r="DF92" i="9" s="1"/>
  <c r="DD93" i="9"/>
  <c r="DF93" i="9" s="1"/>
  <c r="DD94" i="9"/>
  <c r="DF94" i="9" s="1"/>
  <c r="DD95" i="9"/>
  <c r="DF95" i="9" s="1"/>
  <c r="DD96" i="9"/>
  <c r="DF96" i="9" s="1"/>
  <c r="DD97" i="9"/>
  <c r="DF97" i="9" s="1"/>
  <c r="DD98" i="9"/>
  <c r="DF98" i="9" s="1"/>
  <c r="DD99" i="9"/>
  <c r="DF99" i="9" s="1"/>
  <c r="DD100" i="9"/>
  <c r="DF100" i="9" s="1"/>
  <c r="DD101" i="9"/>
  <c r="DF101" i="9" s="1"/>
  <c r="DD102" i="9"/>
  <c r="DF102" i="9" s="1"/>
  <c r="DD103" i="9"/>
  <c r="DF103" i="9" s="1"/>
  <c r="DD104" i="9"/>
  <c r="DF104" i="9" s="1"/>
  <c r="DD105" i="9"/>
  <c r="DF105" i="9" s="1"/>
  <c r="DD106" i="9"/>
  <c r="DF106" i="9" s="1"/>
  <c r="DD107" i="9"/>
  <c r="DF107" i="9" s="1"/>
  <c r="DD108" i="9"/>
  <c r="DF108" i="9" s="1"/>
  <c r="DD109" i="9"/>
  <c r="DF109" i="9" s="1"/>
  <c r="DD110" i="9"/>
  <c r="DF110" i="9" s="1"/>
  <c r="DD111" i="9"/>
  <c r="DF111" i="9" s="1"/>
  <c r="DD112" i="9"/>
  <c r="DF112" i="9" s="1"/>
  <c r="DD113" i="9"/>
  <c r="DF113" i="9" s="1"/>
  <c r="DD114" i="9"/>
  <c r="DF114" i="9" s="1"/>
  <c r="DD15" i="9"/>
  <c r="DF15" i="9" s="1"/>
  <c r="DD16" i="9"/>
  <c r="DF16" i="9" s="1"/>
  <c r="DD17" i="9"/>
  <c r="DF17" i="9" s="1"/>
  <c r="DD18" i="9"/>
  <c r="DF18" i="9" s="1"/>
  <c r="DD19" i="9"/>
  <c r="DF19" i="9" s="1"/>
  <c r="DD20" i="9"/>
  <c r="DF20" i="9" s="1"/>
  <c r="DD21" i="9"/>
  <c r="DF21" i="9" s="1"/>
  <c r="CY17" i="9"/>
  <c r="CY18" i="9"/>
  <c r="CY19" i="9"/>
  <c r="CY22" i="9"/>
  <c r="CY23" i="9"/>
  <c r="CY24" i="9"/>
  <c r="CY25" i="9"/>
  <c r="CY26" i="9"/>
  <c r="CY27" i="9"/>
  <c r="CY28" i="9"/>
  <c r="CY29" i="9"/>
  <c r="CY30" i="9"/>
  <c r="CY31" i="9"/>
  <c r="CY32" i="9"/>
  <c r="CY33" i="9"/>
  <c r="CY34" i="9"/>
  <c r="CY35" i="9"/>
  <c r="CY36" i="9"/>
  <c r="CY37" i="9"/>
  <c r="CY38" i="9"/>
  <c r="CY39" i="9"/>
  <c r="CY40" i="9"/>
  <c r="CY41" i="9"/>
  <c r="CY42" i="9"/>
  <c r="CY43" i="9"/>
  <c r="CY44" i="9"/>
  <c r="CY45" i="9"/>
  <c r="CY46" i="9"/>
  <c r="CY47" i="9"/>
  <c r="CY48" i="9"/>
  <c r="CY49" i="9"/>
  <c r="CY50" i="9"/>
  <c r="CY51" i="9"/>
  <c r="CY52" i="9"/>
  <c r="CY53" i="9"/>
  <c r="CY54" i="9"/>
  <c r="CY55" i="9"/>
  <c r="CY56" i="9"/>
  <c r="CY57" i="9"/>
  <c r="CY58" i="9"/>
  <c r="CY59" i="9"/>
  <c r="CY60" i="9"/>
  <c r="CY61" i="9"/>
  <c r="CY62" i="9"/>
  <c r="CY63" i="9"/>
  <c r="CY64" i="9"/>
  <c r="CY65" i="9"/>
  <c r="CY66" i="9"/>
  <c r="CY67" i="9"/>
  <c r="CY68" i="9"/>
  <c r="CY69" i="9"/>
  <c r="CY70" i="9"/>
  <c r="CY71" i="9"/>
  <c r="CY72" i="9"/>
  <c r="CY73" i="9"/>
  <c r="CY74" i="9"/>
  <c r="CY75" i="9"/>
  <c r="CY76" i="9"/>
  <c r="CY77" i="9"/>
  <c r="CY78" i="9"/>
  <c r="CY79" i="9"/>
  <c r="CY80" i="9"/>
  <c r="CY81" i="9"/>
  <c r="CY82" i="9"/>
  <c r="CY83" i="9"/>
  <c r="CY84" i="9"/>
  <c r="CY85" i="9"/>
  <c r="CY86" i="9"/>
  <c r="CY87" i="9"/>
  <c r="CY88" i="9"/>
  <c r="CY89" i="9"/>
  <c r="CY90" i="9"/>
  <c r="CY91" i="9"/>
  <c r="CY92" i="9"/>
  <c r="CY93" i="9"/>
  <c r="CY94" i="9"/>
  <c r="CY95" i="9"/>
  <c r="CY96" i="9"/>
  <c r="CY97" i="9"/>
  <c r="CY98" i="9"/>
  <c r="CY99" i="9"/>
  <c r="CY100" i="9"/>
  <c r="CY101" i="9"/>
  <c r="CY102" i="9"/>
  <c r="CY103" i="9"/>
  <c r="CY104" i="9"/>
  <c r="CY105" i="9"/>
  <c r="CY106" i="9"/>
  <c r="CY107" i="9"/>
  <c r="CY108" i="9"/>
  <c r="CY109" i="9"/>
  <c r="CY110" i="9"/>
  <c r="CY111" i="9"/>
  <c r="CY112" i="9"/>
  <c r="CY113" i="9"/>
  <c r="CY114" i="9"/>
  <c r="CX17" i="9"/>
  <c r="CX18" i="9"/>
  <c r="CX19" i="9"/>
  <c r="CX22" i="9"/>
  <c r="CX23" i="9"/>
  <c r="CX24" i="9"/>
  <c r="CX25" i="9"/>
  <c r="CX26" i="9"/>
  <c r="CX27" i="9"/>
  <c r="CX28" i="9"/>
  <c r="CX29" i="9"/>
  <c r="CX30" i="9"/>
  <c r="CX31" i="9"/>
  <c r="CX32" i="9"/>
  <c r="CX33" i="9"/>
  <c r="CX34" i="9"/>
  <c r="CX35" i="9"/>
  <c r="CX36" i="9"/>
  <c r="CX37" i="9"/>
  <c r="CX38" i="9"/>
  <c r="CX39" i="9"/>
  <c r="CX40" i="9"/>
  <c r="CX41" i="9"/>
  <c r="CX42" i="9"/>
  <c r="CX43" i="9"/>
  <c r="CX44" i="9"/>
  <c r="CX45" i="9"/>
  <c r="CX46" i="9"/>
  <c r="CX47" i="9"/>
  <c r="CX48" i="9"/>
  <c r="CX49" i="9"/>
  <c r="CX50" i="9"/>
  <c r="CX51" i="9"/>
  <c r="CX52" i="9"/>
  <c r="CX53" i="9"/>
  <c r="CX54" i="9"/>
  <c r="CX55" i="9"/>
  <c r="CX56" i="9"/>
  <c r="CX57" i="9"/>
  <c r="CX58" i="9"/>
  <c r="CX59" i="9"/>
  <c r="CX60" i="9"/>
  <c r="CX61" i="9"/>
  <c r="CX62" i="9"/>
  <c r="CX63" i="9"/>
  <c r="CX64" i="9"/>
  <c r="CX65" i="9"/>
  <c r="CX66" i="9"/>
  <c r="CX67" i="9"/>
  <c r="CX68" i="9"/>
  <c r="CX69" i="9"/>
  <c r="CX70" i="9"/>
  <c r="CX71" i="9"/>
  <c r="CX72" i="9"/>
  <c r="CX73" i="9"/>
  <c r="CX74" i="9"/>
  <c r="CX75" i="9"/>
  <c r="CX76" i="9"/>
  <c r="CX77" i="9"/>
  <c r="CX78" i="9"/>
  <c r="CX79" i="9"/>
  <c r="CX80" i="9"/>
  <c r="CX81" i="9"/>
  <c r="CX82" i="9"/>
  <c r="CX83" i="9"/>
  <c r="CX84" i="9"/>
  <c r="CX85" i="9"/>
  <c r="CX86" i="9"/>
  <c r="CX87" i="9"/>
  <c r="CX88" i="9"/>
  <c r="CX89" i="9"/>
  <c r="CX90" i="9"/>
  <c r="CX91" i="9"/>
  <c r="CX92" i="9"/>
  <c r="CX93" i="9"/>
  <c r="CX94" i="9"/>
  <c r="CX95" i="9"/>
  <c r="CX96" i="9"/>
  <c r="CX97" i="9"/>
  <c r="CX98" i="9"/>
  <c r="CX99" i="9"/>
  <c r="CX100" i="9"/>
  <c r="CX101" i="9"/>
  <c r="CX102" i="9"/>
  <c r="CX103" i="9"/>
  <c r="CX104" i="9"/>
  <c r="CX105" i="9"/>
  <c r="CX106" i="9"/>
  <c r="CX107" i="9"/>
  <c r="CX108" i="9"/>
  <c r="CX109" i="9"/>
  <c r="CX110" i="9"/>
  <c r="CX111" i="9"/>
  <c r="CX112" i="9"/>
  <c r="CX113" i="9"/>
  <c r="CX114" i="9"/>
  <c r="DC97" i="9"/>
  <c r="DC23" i="9" l="1"/>
  <c r="Q13" i="16"/>
  <c r="R13" i="16" s="1"/>
  <c r="AA13" i="16" s="1"/>
  <c r="V12" i="16"/>
  <c r="AJ12" i="16"/>
  <c r="AI12" i="16"/>
  <c r="A1034" i="16" s="1"/>
  <c r="AF12" i="16"/>
  <c r="AG12" i="16" s="1"/>
  <c r="AH12" i="16" s="1"/>
  <c r="AD12" i="16"/>
  <c r="A612" i="16"/>
  <c r="L64" i="16"/>
  <c r="BB68" i="5"/>
  <c r="BB69" i="5"/>
  <c r="L57" i="16"/>
  <c r="BA62" i="5"/>
  <c r="BA63" i="5" s="1"/>
  <c r="BB61" i="5"/>
  <c r="L51" i="16"/>
  <c r="BA56" i="5"/>
  <c r="AV19" i="5"/>
  <c r="AX19" i="5" s="1"/>
  <c r="N14" i="16"/>
  <c r="N52" i="16"/>
  <c r="BA24" i="5"/>
  <c r="BH16" i="8"/>
  <c r="B303" i="8" s="1"/>
  <c r="T99" i="14"/>
  <c r="U99" i="14"/>
  <c r="V99" i="14" s="1"/>
  <c r="F99" i="14" s="1"/>
  <c r="B321" i="14" s="1"/>
  <c r="R98" i="14"/>
  <c r="S99" i="14"/>
  <c r="J18" i="12"/>
  <c r="L18" i="12"/>
  <c r="B163" i="12" s="1"/>
  <c r="B138" i="12"/>
  <c r="N20" i="12"/>
  <c r="O19" i="12"/>
  <c r="BB19" i="5"/>
  <c r="AU58" i="5"/>
  <c r="N54" i="16" s="1"/>
  <c r="AV57" i="5"/>
  <c r="AX57" i="5"/>
  <c r="AU20" i="5"/>
  <c r="B799" i="9"/>
  <c r="B141" i="5" s="1"/>
  <c r="B797" i="9"/>
  <c r="B139" i="5" s="1"/>
  <c r="B795" i="9"/>
  <c r="B137" i="5" s="1"/>
  <c r="B793" i="9"/>
  <c r="B135" i="5" s="1"/>
  <c r="B791" i="9"/>
  <c r="B133" i="5" s="1"/>
  <c r="B789" i="9"/>
  <c r="B131" i="5" s="1"/>
  <c r="B787" i="9"/>
  <c r="B129" i="5" s="1"/>
  <c r="B798" i="9"/>
  <c r="B140" i="5" s="1"/>
  <c r="B796" i="9"/>
  <c r="B138" i="5" s="1"/>
  <c r="B794" i="9"/>
  <c r="B136" i="5" s="1"/>
  <c r="B792" i="9"/>
  <c r="B134" i="5" s="1"/>
  <c r="B790" i="9"/>
  <c r="B132" i="5" s="1"/>
  <c r="B788" i="9"/>
  <c r="B130" i="5" s="1"/>
  <c r="B786" i="9"/>
  <c r="B128" i="5" s="1"/>
  <c r="CZ22" i="9"/>
  <c r="CZ19" i="9"/>
  <c r="CZ17" i="9"/>
  <c r="DE114" i="9"/>
  <c r="BD114" i="9" s="1"/>
  <c r="DE112" i="9"/>
  <c r="BD112" i="9" s="1"/>
  <c r="DE110" i="9"/>
  <c r="BD110" i="9" s="1"/>
  <c r="DE108" i="9"/>
  <c r="BD108" i="9" s="1"/>
  <c r="DE106" i="9"/>
  <c r="BD106" i="9" s="1"/>
  <c r="DE104" i="9"/>
  <c r="BD104" i="9" s="1"/>
  <c r="DE102" i="9"/>
  <c r="BD102" i="9" s="1"/>
  <c r="DE100" i="9"/>
  <c r="BD100" i="9" s="1"/>
  <c r="DE98" i="9"/>
  <c r="BD98" i="9" s="1"/>
  <c r="DE96" i="9"/>
  <c r="BD96" i="9" s="1"/>
  <c r="DE94" i="9"/>
  <c r="BD94" i="9" s="1"/>
  <c r="DE92" i="9"/>
  <c r="BD92" i="9" s="1"/>
  <c r="DE90" i="9"/>
  <c r="BD90" i="9" s="1"/>
  <c r="DE88" i="9"/>
  <c r="BD88" i="9" s="1"/>
  <c r="DE86" i="9"/>
  <c r="BD86" i="9" s="1"/>
  <c r="DE84" i="9"/>
  <c r="BD84" i="9" s="1"/>
  <c r="DE82" i="9"/>
  <c r="BD82" i="9" s="1"/>
  <c r="DE80" i="9"/>
  <c r="BD80" i="9" s="1"/>
  <c r="DE78" i="9"/>
  <c r="BD78" i="9" s="1"/>
  <c r="DE76" i="9"/>
  <c r="BD76" i="9" s="1"/>
  <c r="DE74" i="9"/>
  <c r="BD74" i="9" s="1"/>
  <c r="DE72" i="9"/>
  <c r="BD72" i="9" s="1"/>
  <c r="DE70" i="9"/>
  <c r="BD70" i="9" s="1"/>
  <c r="DE68" i="9"/>
  <c r="BD68" i="9" s="1"/>
  <c r="DE66" i="9"/>
  <c r="BD66" i="9" s="1"/>
  <c r="DE64" i="9"/>
  <c r="BD64" i="9" s="1"/>
  <c r="DE62" i="9"/>
  <c r="BD62" i="9" s="1"/>
  <c r="DE60" i="9"/>
  <c r="BD60" i="9" s="1"/>
  <c r="DE58" i="9"/>
  <c r="BD58" i="9" s="1"/>
  <c r="DE56" i="9"/>
  <c r="BD56" i="9" s="1"/>
  <c r="DE54" i="9"/>
  <c r="BD54" i="9" s="1"/>
  <c r="DE52" i="9"/>
  <c r="BD52" i="9" s="1"/>
  <c r="DE50" i="9"/>
  <c r="BD50" i="9" s="1"/>
  <c r="DE48" i="9"/>
  <c r="BD48" i="9" s="1"/>
  <c r="DE46" i="9"/>
  <c r="BD46" i="9" s="1"/>
  <c r="DE44" i="9"/>
  <c r="BD44" i="9" s="1"/>
  <c r="DE42" i="9"/>
  <c r="BD42" i="9" s="1"/>
  <c r="DE40" i="9"/>
  <c r="BD40" i="9" s="1"/>
  <c r="DE38" i="9"/>
  <c r="BD38" i="9" s="1"/>
  <c r="DE36" i="9"/>
  <c r="BD36" i="9" s="1"/>
  <c r="DE22" i="9"/>
  <c r="DE19" i="9"/>
  <c r="DE17" i="9"/>
  <c r="DE15" i="9"/>
  <c r="CZ113" i="9"/>
  <c r="CZ111" i="9"/>
  <c r="CZ109" i="9"/>
  <c r="CZ107" i="9"/>
  <c r="CZ105" i="9"/>
  <c r="CZ103" i="9"/>
  <c r="CZ101" i="9"/>
  <c r="CZ99" i="9"/>
  <c r="CZ97" i="9"/>
  <c r="CZ95" i="9"/>
  <c r="CZ93" i="9"/>
  <c r="CZ91" i="9"/>
  <c r="CZ89" i="9"/>
  <c r="CZ87" i="9"/>
  <c r="CZ85" i="9"/>
  <c r="CZ83" i="9"/>
  <c r="CZ81" i="9"/>
  <c r="CZ79" i="9"/>
  <c r="CZ77" i="9"/>
  <c r="CZ75" i="9"/>
  <c r="CZ73" i="9"/>
  <c r="CZ71" i="9"/>
  <c r="CZ69" i="9"/>
  <c r="CZ67" i="9"/>
  <c r="CZ65" i="9"/>
  <c r="CZ63" i="9"/>
  <c r="CZ61" i="9"/>
  <c r="CZ59" i="9"/>
  <c r="CZ57" i="9"/>
  <c r="CZ55" i="9"/>
  <c r="CZ53" i="9"/>
  <c r="CZ51" i="9"/>
  <c r="CZ49" i="9"/>
  <c r="CZ47" i="9"/>
  <c r="CZ45" i="9"/>
  <c r="CZ43" i="9"/>
  <c r="CZ41" i="9"/>
  <c r="CZ39" i="9"/>
  <c r="CZ37" i="9"/>
  <c r="CZ35" i="9"/>
  <c r="CZ33" i="9"/>
  <c r="CZ31" i="9"/>
  <c r="CZ29" i="9"/>
  <c r="CZ27" i="9"/>
  <c r="CZ25" i="9"/>
  <c r="CZ23" i="9"/>
  <c r="CZ18" i="9"/>
  <c r="DE21" i="9"/>
  <c r="DE113" i="9"/>
  <c r="BD113" i="9" s="1"/>
  <c r="DE111" i="9"/>
  <c r="DE109" i="9"/>
  <c r="BD109" i="9" s="1"/>
  <c r="DE107" i="9"/>
  <c r="BD107" i="9" s="1"/>
  <c r="DE105" i="9"/>
  <c r="BD105" i="9" s="1"/>
  <c r="DE103" i="9"/>
  <c r="BD103" i="9" s="1"/>
  <c r="DE101" i="9"/>
  <c r="BD101" i="9" s="1"/>
  <c r="DE99" i="9"/>
  <c r="BD99" i="9" s="1"/>
  <c r="DE97" i="9"/>
  <c r="BD97" i="9" s="1"/>
  <c r="DE95" i="9"/>
  <c r="BD95" i="9" s="1"/>
  <c r="DE93" i="9"/>
  <c r="BD93" i="9" s="1"/>
  <c r="DE91" i="9"/>
  <c r="BD91" i="9" s="1"/>
  <c r="DE89" i="9"/>
  <c r="BD89" i="9" s="1"/>
  <c r="DE87" i="9"/>
  <c r="BD87" i="9" s="1"/>
  <c r="DE85" i="9"/>
  <c r="BD85" i="9" s="1"/>
  <c r="DE83" i="9"/>
  <c r="BD83" i="9" s="1"/>
  <c r="DE81" i="9"/>
  <c r="BD81" i="9" s="1"/>
  <c r="DE79" i="9"/>
  <c r="BD79" i="9" s="1"/>
  <c r="DE77" i="9"/>
  <c r="BD77" i="9" s="1"/>
  <c r="DE75" i="9"/>
  <c r="BD75" i="9" s="1"/>
  <c r="DE73" i="9"/>
  <c r="BD73" i="9" s="1"/>
  <c r="DE71" i="9"/>
  <c r="BD71" i="9" s="1"/>
  <c r="DE69" i="9"/>
  <c r="BD69" i="9" s="1"/>
  <c r="DE67" i="9"/>
  <c r="BD67" i="9" s="1"/>
  <c r="DE65" i="9"/>
  <c r="BD65" i="9" s="1"/>
  <c r="DE63" i="9"/>
  <c r="BD63" i="9" s="1"/>
  <c r="DE61" i="9"/>
  <c r="BD61" i="9" s="1"/>
  <c r="DE59" i="9"/>
  <c r="BD59" i="9" s="1"/>
  <c r="DE57" i="9"/>
  <c r="BD57" i="9" s="1"/>
  <c r="DE55" i="9"/>
  <c r="BD55" i="9" s="1"/>
  <c r="DE53" i="9"/>
  <c r="BD53" i="9" s="1"/>
  <c r="DE51" i="9"/>
  <c r="BD51" i="9" s="1"/>
  <c r="DE49" i="9"/>
  <c r="BD49" i="9" s="1"/>
  <c r="DE47" i="9"/>
  <c r="BD47" i="9" s="1"/>
  <c r="DE45" i="9"/>
  <c r="BD45" i="9" s="1"/>
  <c r="DE43" i="9"/>
  <c r="BD43" i="9" s="1"/>
  <c r="DE41" i="9"/>
  <c r="BD41" i="9" s="1"/>
  <c r="DE39" i="9"/>
  <c r="BD39" i="9" s="1"/>
  <c r="DE37" i="9"/>
  <c r="BD37" i="9" s="1"/>
  <c r="DE31" i="9"/>
  <c r="DE23" i="9"/>
  <c r="DE18" i="9"/>
  <c r="DE16" i="9"/>
  <c r="DE32" i="9"/>
  <c r="DE25" i="9"/>
  <c r="BD111" i="9"/>
  <c r="CZ114" i="9"/>
  <c r="CZ112" i="9"/>
  <c r="CZ110" i="9"/>
  <c r="CZ108" i="9"/>
  <c r="CZ106" i="9"/>
  <c r="CZ104" i="9"/>
  <c r="CZ102" i="9"/>
  <c r="CZ100" i="9"/>
  <c r="CZ98" i="9"/>
  <c r="CZ96" i="9"/>
  <c r="CZ94" i="9"/>
  <c r="CZ92" i="9"/>
  <c r="CZ90" i="9"/>
  <c r="CZ88" i="9"/>
  <c r="CZ86" i="9"/>
  <c r="CZ84" i="9"/>
  <c r="CZ82" i="9"/>
  <c r="CZ80" i="9"/>
  <c r="CZ78" i="9"/>
  <c r="CZ76" i="9"/>
  <c r="CZ74" i="9"/>
  <c r="CZ72" i="9"/>
  <c r="CZ70" i="9"/>
  <c r="CZ68" i="9"/>
  <c r="CZ66" i="9"/>
  <c r="CZ64" i="9"/>
  <c r="CZ62" i="9"/>
  <c r="CZ60" i="9"/>
  <c r="CZ58" i="9"/>
  <c r="CZ56" i="9"/>
  <c r="CZ54" i="9"/>
  <c r="CZ52" i="9"/>
  <c r="CZ50" i="9"/>
  <c r="CZ48" i="9"/>
  <c r="CZ46" i="9"/>
  <c r="CZ44" i="9"/>
  <c r="CZ42" i="9"/>
  <c r="CZ40" i="9"/>
  <c r="CZ38" i="9"/>
  <c r="CZ36" i="9"/>
  <c r="CZ34" i="9"/>
  <c r="CZ32" i="9"/>
  <c r="CZ30" i="9"/>
  <c r="CZ28" i="9"/>
  <c r="CZ26" i="9"/>
  <c r="CZ24" i="9"/>
  <c r="B178" i="9"/>
  <c r="B177" i="9"/>
  <c r="B175" i="9"/>
  <c r="B173" i="9"/>
  <c r="B171" i="9"/>
  <c r="B169" i="9"/>
  <c r="B167" i="9"/>
  <c r="B176" i="9"/>
  <c r="B174" i="9"/>
  <c r="B172" i="9"/>
  <c r="B170" i="9"/>
  <c r="B168" i="9"/>
  <c r="L20" i="16" l="1"/>
  <c r="DE24" i="5"/>
  <c r="DF24" i="5"/>
  <c r="AL12" i="16"/>
  <c r="A1356" i="16" s="1"/>
  <c r="A1148" i="16"/>
  <c r="AK12" i="16"/>
  <c r="A1252" i="16" s="1"/>
  <c r="V13" i="16"/>
  <c r="Q14" i="16"/>
  <c r="R14" i="16" s="1"/>
  <c r="AA14" i="16" s="1"/>
  <c r="AJ13" i="16"/>
  <c r="AF13" i="16"/>
  <c r="AG13" i="16" s="1"/>
  <c r="AH13" i="16" s="1"/>
  <c r="AI13" i="16"/>
  <c r="A1035" i="16" s="1"/>
  <c r="AD13" i="16"/>
  <c r="A613" i="16"/>
  <c r="AB12" i="16"/>
  <c r="AE12" i="16" s="1"/>
  <c r="A933" i="16" s="1"/>
  <c r="A828" i="16"/>
  <c r="L59" i="16"/>
  <c r="BB64" i="5"/>
  <c r="L52" i="16"/>
  <c r="BA57" i="5"/>
  <c r="BA58" i="5" s="1"/>
  <c r="L54" i="16" s="1"/>
  <c r="BB56" i="5"/>
  <c r="L58" i="16"/>
  <c r="BB62" i="5"/>
  <c r="BB63" i="5"/>
  <c r="N53" i="16"/>
  <c r="AV20" i="5"/>
  <c r="N15" i="16"/>
  <c r="O15" i="16" s="1"/>
  <c r="BA25" i="5"/>
  <c r="T98" i="14"/>
  <c r="U98" i="14"/>
  <c r="V98" i="14" s="1"/>
  <c r="F98" i="14" s="1"/>
  <c r="B320" i="14" s="1"/>
  <c r="R97" i="14"/>
  <c r="S98" i="14"/>
  <c r="AC19" i="5"/>
  <c r="AL19" i="5" s="1"/>
  <c r="AK19" i="5" s="1"/>
  <c r="J19" i="12"/>
  <c r="L19" i="12"/>
  <c r="O20" i="12"/>
  <c r="N21" i="12"/>
  <c r="BB20" i="5"/>
  <c r="AX58" i="5"/>
  <c r="BB58" i="5"/>
  <c r="AV58" i="5"/>
  <c r="AU21" i="5"/>
  <c r="DC24" i="9"/>
  <c r="DE24" i="9"/>
  <c r="DC32" i="9"/>
  <c r="DE33" i="9"/>
  <c r="DC25" i="9"/>
  <c r="DE26" i="9"/>
  <c r="DA36" i="9"/>
  <c r="DA37" i="9"/>
  <c r="DA38" i="9"/>
  <c r="DA39" i="9"/>
  <c r="DA40" i="9"/>
  <c r="DA41" i="9"/>
  <c r="DA42" i="9"/>
  <c r="DA43" i="9"/>
  <c r="DA44" i="9"/>
  <c r="DA45" i="9"/>
  <c r="DA46" i="9"/>
  <c r="DA47" i="9"/>
  <c r="DA48" i="9"/>
  <c r="DA49" i="9"/>
  <c r="DA50" i="9"/>
  <c r="DA51" i="9"/>
  <c r="DA52" i="9"/>
  <c r="DA53" i="9"/>
  <c r="DA54" i="9"/>
  <c r="DA55" i="9"/>
  <c r="DA56" i="9"/>
  <c r="DA57" i="9"/>
  <c r="DA58" i="9"/>
  <c r="DA59" i="9"/>
  <c r="DA60" i="9"/>
  <c r="DA61" i="9"/>
  <c r="DA62" i="9"/>
  <c r="DA63" i="9"/>
  <c r="DA64" i="9"/>
  <c r="DA65" i="9"/>
  <c r="DA66" i="9"/>
  <c r="DA67" i="9"/>
  <c r="DA68" i="9"/>
  <c r="DA69" i="9"/>
  <c r="DA70" i="9"/>
  <c r="DA71" i="9"/>
  <c r="DA72" i="9"/>
  <c r="DA73" i="9"/>
  <c r="DA74" i="9"/>
  <c r="DA75" i="9"/>
  <c r="DA76" i="9"/>
  <c r="DA77" i="9"/>
  <c r="DA78" i="9"/>
  <c r="DA79" i="9"/>
  <c r="DA80" i="9"/>
  <c r="DA81" i="9"/>
  <c r="DA82" i="9"/>
  <c r="DA83" i="9"/>
  <c r="DA84" i="9"/>
  <c r="DA85" i="9"/>
  <c r="DA86" i="9"/>
  <c r="DA87" i="9"/>
  <c r="DA88" i="9"/>
  <c r="DA89" i="9"/>
  <c r="DA90" i="9"/>
  <c r="DA91" i="9"/>
  <c r="DA92" i="9"/>
  <c r="DA93" i="9"/>
  <c r="DA94" i="9"/>
  <c r="DA95" i="9"/>
  <c r="DA96" i="9"/>
  <c r="DA97" i="9"/>
  <c r="DA98" i="9"/>
  <c r="DA99" i="9"/>
  <c r="DA100" i="9"/>
  <c r="DA101" i="9"/>
  <c r="DA102" i="9"/>
  <c r="DA103" i="9"/>
  <c r="DA104" i="9"/>
  <c r="DA105" i="9"/>
  <c r="DA106" i="9"/>
  <c r="DA107" i="9"/>
  <c r="DA108" i="9"/>
  <c r="DA109" i="9"/>
  <c r="DA110" i="9"/>
  <c r="DA111" i="9"/>
  <c r="DA112" i="9"/>
  <c r="DA113" i="9"/>
  <c r="H4" i="9"/>
  <c r="B607" i="9"/>
  <c r="Q12" i="9"/>
  <c r="P12" i="9"/>
  <c r="O12" i="9"/>
  <c r="N12" i="9"/>
  <c r="Q11" i="9"/>
  <c r="P11" i="9"/>
  <c r="O11" i="9"/>
  <c r="N11" i="9"/>
  <c r="Q10" i="9"/>
  <c r="P10" i="9"/>
  <c r="O10" i="9"/>
  <c r="N10" i="9"/>
  <c r="Q9" i="9"/>
  <c r="P9" i="9"/>
  <c r="O9" i="9"/>
  <c r="N9" i="9"/>
  <c r="Q8" i="9"/>
  <c r="P8" i="9"/>
  <c r="O8" i="9"/>
  <c r="N8" i="9"/>
  <c r="Q7" i="9"/>
  <c r="P7" i="9"/>
  <c r="O7" i="9"/>
  <c r="N7" i="9"/>
  <c r="Q6" i="9"/>
  <c r="P6" i="9"/>
  <c r="O6" i="9"/>
  <c r="Q5" i="9"/>
  <c r="P5" i="9"/>
  <c r="O5" i="9"/>
  <c r="Q4" i="9"/>
  <c r="P4" i="9"/>
  <c r="O4" i="9"/>
  <c r="Q3" i="9"/>
  <c r="P3" i="9"/>
  <c r="O3" i="9"/>
  <c r="Q2" i="9"/>
  <c r="P2" i="9"/>
  <c r="O2" i="9"/>
  <c r="Q1" i="9"/>
  <c r="P1" i="9"/>
  <c r="O1" i="9"/>
  <c r="L9" i="9"/>
  <c r="L7" i="9"/>
  <c r="CU16" i="9"/>
  <c r="CU17" i="9"/>
  <c r="CV17" i="9" s="1"/>
  <c r="CU18" i="9"/>
  <c r="CV18" i="9" s="1"/>
  <c r="CU19" i="9"/>
  <c r="CV19" i="9" s="1"/>
  <c r="CU20" i="9"/>
  <c r="CU21" i="9"/>
  <c r="CU22" i="9"/>
  <c r="CV22" i="9" s="1"/>
  <c r="CU23" i="9"/>
  <c r="CV23" i="9" s="1"/>
  <c r="CU24" i="9"/>
  <c r="CV24" i="9" s="1"/>
  <c r="CU25" i="9"/>
  <c r="CV25" i="9" s="1"/>
  <c r="CU26" i="9"/>
  <c r="CV26" i="9" s="1"/>
  <c r="CU27" i="9"/>
  <c r="CV27" i="9" s="1"/>
  <c r="CU28" i="9"/>
  <c r="CV28" i="9" s="1"/>
  <c r="CU29" i="9"/>
  <c r="CV29" i="9" s="1"/>
  <c r="CU30" i="9"/>
  <c r="CV30" i="9" s="1"/>
  <c r="CU31" i="9"/>
  <c r="CV31" i="9" s="1"/>
  <c r="CU32" i="9"/>
  <c r="CV32" i="9" s="1"/>
  <c r="CU33" i="9"/>
  <c r="CV33" i="9" s="1"/>
  <c r="CU34" i="9"/>
  <c r="CV34" i="9" s="1"/>
  <c r="CU35" i="9"/>
  <c r="CV35" i="9" s="1"/>
  <c r="CU36" i="9"/>
  <c r="CV36" i="9" s="1"/>
  <c r="CU37" i="9"/>
  <c r="CV37" i="9" s="1"/>
  <c r="CU38" i="9"/>
  <c r="CV38" i="9" s="1"/>
  <c r="CU39" i="9"/>
  <c r="CV39" i="9" s="1"/>
  <c r="CU40" i="9"/>
  <c r="CV40" i="9" s="1"/>
  <c r="CU41" i="9"/>
  <c r="CV41" i="9" s="1"/>
  <c r="CU42" i="9"/>
  <c r="CV42" i="9" s="1"/>
  <c r="CU43" i="9"/>
  <c r="CV43" i="9" s="1"/>
  <c r="CU44" i="9"/>
  <c r="CV44" i="9" s="1"/>
  <c r="CU45" i="9"/>
  <c r="CV45" i="9" s="1"/>
  <c r="CU46" i="9"/>
  <c r="CV46" i="9" s="1"/>
  <c r="CU47" i="9"/>
  <c r="CV47" i="9" s="1"/>
  <c r="CU48" i="9"/>
  <c r="CV48" i="9" s="1"/>
  <c r="CU49" i="9"/>
  <c r="CV49" i="9" s="1"/>
  <c r="CU50" i="9"/>
  <c r="CV50" i="9" s="1"/>
  <c r="CU51" i="9"/>
  <c r="CV51" i="9" s="1"/>
  <c r="CU52" i="9"/>
  <c r="CV52" i="9" s="1"/>
  <c r="CU53" i="9"/>
  <c r="CV53" i="9" s="1"/>
  <c r="CU54" i="9"/>
  <c r="CV54" i="9" s="1"/>
  <c r="CU55" i="9"/>
  <c r="CV55" i="9" s="1"/>
  <c r="CU56" i="9"/>
  <c r="CV56" i="9" s="1"/>
  <c r="CU57" i="9"/>
  <c r="CV57" i="9" s="1"/>
  <c r="CU58" i="9"/>
  <c r="CV58" i="9" s="1"/>
  <c r="CU59" i="9"/>
  <c r="CV59" i="9" s="1"/>
  <c r="CU60" i="9"/>
  <c r="CV60" i="9" s="1"/>
  <c r="CU61" i="9"/>
  <c r="CV61" i="9" s="1"/>
  <c r="CU62" i="9"/>
  <c r="CV62" i="9" s="1"/>
  <c r="CU63" i="9"/>
  <c r="CV63" i="9" s="1"/>
  <c r="CU64" i="9"/>
  <c r="CV64" i="9" s="1"/>
  <c r="CU65" i="9"/>
  <c r="CV65" i="9" s="1"/>
  <c r="CU66" i="9"/>
  <c r="CV66" i="9" s="1"/>
  <c r="CU67" i="9"/>
  <c r="CV67" i="9" s="1"/>
  <c r="CU68" i="9"/>
  <c r="CV68" i="9" s="1"/>
  <c r="CU69" i="9"/>
  <c r="CV69" i="9" s="1"/>
  <c r="CU70" i="9"/>
  <c r="CV70" i="9" s="1"/>
  <c r="CU71" i="9"/>
  <c r="CV71" i="9" s="1"/>
  <c r="CU72" i="9"/>
  <c r="CV72" i="9" s="1"/>
  <c r="CU73" i="9"/>
  <c r="CV73" i="9" s="1"/>
  <c r="CU74" i="9"/>
  <c r="CV74" i="9" s="1"/>
  <c r="CU75" i="9"/>
  <c r="CV75" i="9" s="1"/>
  <c r="CU76" i="9"/>
  <c r="CV76" i="9" s="1"/>
  <c r="CU77" i="9"/>
  <c r="CV77" i="9" s="1"/>
  <c r="CU78" i="9"/>
  <c r="CV78" i="9" s="1"/>
  <c r="CU79" i="9"/>
  <c r="CV79" i="9" s="1"/>
  <c r="CU80" i="9"/>
  <c r="CV80" i="9" s="1"/>
  <c r="CU81" i="9"/>
  <c r="CV81" i="9" s="1"/>
  <c r="CU82" i="9"/>
  <c r="CV82" i="9" s="1"/>
  <c r="CU83" i="9"/>
  <c r="CV83" i="9" s="1"/>
  <c r="CU84" i="9"/>
  <c r="CV84" i="9" s="1"/>
  <c r="CU85" i="9"/>
  <c r="CV85" i="9" s="1"/>
  <c r="CU86" i="9"/>
  <c r="CV86" i="9" s="1"/>
  <c r="CU87" i="9"/>
  <c r="CV87" i="9" s="1"/>
  <c r="CU88" i="9"/>
  <c r="CV88" i="9" s="1"/>
  <c r="CU89" i="9"/>
  <c r="CV89" i="9" s="1"/>
  <c r="CU90" i="9"/>
  <c r="CV90" i="9" s="1"/>
  <c r="CU91" i="9"/>
  <c r="CV91" i="9" s="1"/>
  <c r="CU92" i="9"/>
  <c r="CV92" i="9" s="1"/>
  <c r="CU93" i="9"/>
  <c r="CV93" i="9" s="1"/>
  <c r="CU94" i="9"/>
  <c r="CV94" i="9" s="1"/>
  <c r="CU95" i="9"/>
  <c r="CV95" i="9" s="1"/>
  <c r="CU96" i="9"/>
  <c r="CV96" i="9" s="1"/>
  <c r="CU97" i="9"/>
  <c r="CV97" i="9" s="1"/>
  <c r="CU98" i="9"/>
  <c r="CV98" i="9" s="1"/>
  <c r="CU99" i="9"/>
  <c r="CV99" i="9" s="1"/>
  <c r="CU100" i="9"/>
  <c r="CV100" i="9" s="1"/>
  <c r="CU101" i="9"/>
  <c r="CV101" i="9" s="1"/>
  <c r="CU102" i="9"/>
  <c r="CV102" i="9" s="1"/>
  <c r="CU103" i="9"/>
  <c r="CV103" i="9" s="1"/>
  <c r="CU104" i="9"/>
  <c r="CV104" i="9" s="1"/>
  <c r="CU105" i="9"/>
  <c r="CV105" i="9" s="1"/>
  <c r="CU106" i="9"/>
  <c r="CV106" i="9" s="1"/>
  <c r="CU107" i="9"/>
  <c r="CV107" i="9" s="1"/>
  <c r="CU108" i="9"/>
  <c r="CV108" i="9" s="1"/>
  <c r="CU109" i="9"/>
  <c r="CV109" i="9" s="1"/>
  <c r="CU110" i="9"/>
  <c r="CV110" i="9" s="1"/>
  <c r="CU111" i="9"/>
  <c r="CV111" i="9" s="1"/>
  <c r="CU112" i="9"/>
  <c r="CV112" i="9" s="1"/>
  <c r="CU113" i="9"/>
  <c r="CV113" i="9" s="1"/>
  <c r="CU114" i="9"/>
  <c r="CV114" i="9" s="1"/>
  <c r="CU15" i="9"/>
  <c r="CT17" i="9"/>
  <c r="CT18" i="9"/>
  <c r="CT19" i="9"/>
  <c r="CT22" i="9"/>
  <c r="CT23" i="9"/>
  <c r="CT24" i="9"/>
  <c r="CT25" i="9"/>
  <c r="CT26" i="9"/>
  <c r="CT27" i="9"/>
  <c r="CT28" i="9"/>
  <c r="CT29" i="9"/>
  <c r="CT30" i="9"/>
  <c r="CT31" i="9"/>
  <c r="CT32" i="9"/>
  <c r="CT33" i="9"/>
  <c r="CT34" i="9"/>
  <c r="CT35" i="9"/>
  <c r="CT36" i="9"/>
  <c r="CT37" i="9"/>
  <c r="CT38" i="9"/>
  <c r="CT39" i="9"/>
  <c r="CT40" i="9"/>
  <c r="CT41" i="9"/>
  <c r="CT42" i="9"/>
  <c r="CT43" i="9"/>
  <c r="CT44" i="9"/>
  <c r="CT45" i="9"/>
  <c r="CT46" i="9"/>
  <c r="CT47" i="9"/>
  <c r="CT48" i="9"/>
  <c r="CT49" i="9"/>
  <c r="CT50" i="9"/>
  <c r="CT51" i="9"/>
  <c r="CT52" i="9"/>
  <c r="CT53" i="9"/>
  <c r="CT54" i="9"/>
  <c r="CT55" i="9"/>
  <c r="CT56" i="9"/>
  <c r="CT57" i="9"/>
  <c r="CT58" i="9"/>
  <c r="CT59" i="9"/>
  <c r="CT60" i="9"/>
  <c r="CT61" i="9"/>
  <c r="CT62" i="9"/>
  <c r="CT63" i="9"/>
  <c r="CT64" i="9"/>
  <c r="CT65" i="9"/>
  <c r="CT66" i="9"/>
  <c r="CT67" i="9"/>
  <c r="CT68" i="9"/>
  <c r="CT69" i="9"/>
  <c r="CT70" i="9"/>
  <c r="CT71" i="9"/>
  <c r="CT72" i="9"/>
  <c r="CT73" i="9"/>
  <c r="CT74" i="9"/>
  <c r="CT75" i="9"/>
  <c r="CT76" i="9"/>
  <c r="CT77" i="9"/>
  <c r="CT78" i="9"/>
  <c r="CT79" i="9"/>
  <c r="CT80" i="9"/>
  <c r="CT81" i="9"/>
  <c r="CT82" i="9"/>
  <c r="CT83" i="9"/>
  <c r="CT84" i="9"/>
  <c r="CT85" i="9"/>
  <c r="CT86" i="9"/>
  <c r="CT87" i="9"/>
  <c r="CT88" i="9"/>
  <c r="CT89" i="9"/>
  <c r="CT90" i="9"/>
  <c r="CT91" i="9"/>
  <c r="CT92" i="9"/>
  <c r="CT93" i="9"/>
  <c r="CT94" i="9"/>
  <c r="CT95" i="9"/>
  <c r="CT96" i="9"/>
  <c r="CT97" i="9"/>
  <c r="CT98" i="9"/>
  <c r="CT99" i="9"/>
  <c r="CT100" i="9"/>
  <c r="CT101" i="9"/>
  <c r="CT102" i="9"/>
  <c r="CT103" i="9"/>
  <c r="CT104" i="9"/>
  <c r="CT105" i="9"/>
  <c r="CT106" i="9"/>
  <c r="CT107" i="9"/>
  <c r="CT108" i="9"/>
  <c r="CT109" i="9"/>
  <c r="CT110" i="9"/>
  <c r="CT111" i="9"/>
  <c r="CT112" i="9"/>
  <c r="CT113" i="9"/>
  <c r="CT114" i="9"/>
  <c r="CS17" i="9"/>
  <c r="CS18" i="9"/>
  <c r="CS19" i="9"/>
  <c r="CS22" i="9"/>
  <c r="CS23" i="9"/>
  <c r="CS24" i="9"/>
  <c r="CS25" i="9"/>
  <c r="CS26" i="9"/>
  <c r="CS27" i="9"/>
  <c r="CS29" i="9"/>
  <c r="CS30" i="9"/>
  <c r="CS31" i="9"/>
  <c r="CS32" i="9"/>
  <c r="CS33" i="9"/>
  <c r="CS34" i="9"/>
  <c r="CS35" i="9"/>
  <c r="CS36" i="9"/>
  <c r="CS37" i="9"/>
  <c r="CS38" i="9"/>
  <c r="CS39" i="9"/>
  <c r="CS40" i="9"/>
  <c r="CS41" i="9"/>
  <c r="CS42" i="9"/>
  <c r="CS43" i="9"/>
  <c r="CS44" i="9"/>
  <c r="CS45" i="9"/>
  <c r="CS46" i="9"/>
  <c r="CS47" i="9"/>
  <c r="CS48" i="9"/>
  <c r="CS49" i="9"/>
  <c r="CS50" i="9"/>
  <c r="CS51" i="9"/>
  <c r="CS52" i="9"/>
  <c r="CS53" i="9"/>
  <c r="CS54" i="9"/>
  <c r="CS55" i="9"/>
  <c r="CS56" i="9"/>
  <c r="CS57" i="9"/>
  <c r="CS58" i="9"/>
  <c r="CS59" i="9"/>
  <c r="CS60" i="9"/>
  <c r="CS61" i="9"/>
  <c r="CS62" i="9"/>
  <c r="CS63" i="9"/>
  <c r="CS64" i="9"/>
  <c r="CS65" i="9"/>
  <c r="CS66" i="9"/>
  <c r="CS67" i="9"/>
  <c r="CS68" i="9"/>
  <c r="CS69" i="9"/>
  <c r="CS70" i="9"/>
  <c r="CS71" i="9"/>
  <c r="CS72" i="9"/>
  <c r="CS73" i="9"/>
  <c r="CS74" i="9"/>
  <c r="CS75" i="9"/>
  <c r="CS76" i="9"/>
  <c r="CS77" i="9"/>
  <c r="CS78" i="9"/>
  <c r="CS79" i="9"/>
  <c r="CS80" i="9"/>
  <c r="CS81" i="9"/>
  <c r="CS82" i="9"/>
  <c r="CS83" i="9"/>
  <c r="CS84" i="9"/>
  <c r="CS85" i="9"/>
  <c r="CS86" i="9"/>
  <c r="CS87" i="9"/>
  <c r="CS88" i="9"/>
  <c r="CS89" i="9"/>
  <c r="CS90" i="9"/>
  <c r="CS91" i="9"/>
  <c r="CS92" i="9"/>
  <c r="CS93" i="9"/>
  <c r="CS94" i="9"/>
  <c r="CS95" i="9"/>
  <c r="CS96" i="9"/>
  <c r="CS97" i="9"/>
  <c r="CS98" i="9"/>
  <c r="CS99" i="9"/>
  <c r="CS100" i="9"/>
  <c r="CS101" i="9"/>
  <c r="CS102" i="9"/>
  <c r="CS103" i="9"/>
  <c r="CS104" i="9"/>
  <c r="CS105" i="9"/>
  <c r="CS106" i="9"/>
  <c r="CS107" i="9"/>
  <c r="CS108" i="9"/>
  <c r="CS109" i="9"/>
  <c r="CS110" i="9"/>
  <c r="CS111" i="9"/>
  <c r="CS112" i="9"/>
  <c r="CS113" i="9"/>
  <c r="CS114" i="9"/>
  <c r="CR17" i="9"/>
  <c r="CR18" i="9"/>
  <c r="CR19" i="9"/>
  <c r="CR22" i="9"/>
  <c r="CR24" i="9"/>
  <c r="CR25" i="9"/>
  <c r="CR26" i="9"/>
  <c r="CR27" i="9"/>
  <c r="CR29" i="9"/>
  <c r="CR30" i="9"/>
  <c r="CR31" i="9"/>
  <c r="CR32" i="9"/>
  <c r="CR33" i="9"/>
  <c r="CR34" i="9"/>
  <c r="CR35" i="9"/>
  <c r="CR36" i="9"/>
  <c r="CR37" i="9"/>
  <c r="CR38" i="9"/>
  <c r="CR39" i="9"/>
  <c r="CR40" i="9"/>
  <c r="CR41" i="9"/>
  <c r="CR42" i="9"/>
  <c r="CR43" i="9"/>
  <c r="CR44" i="9"/>
  <c r="CR45" i="9"/>
  <c r="CR46" i="9"/>
  <c r="CR47" i="9"/>
  <c r="CR48" i="9"/>
  <c r="CR49" i="9"/>
  <c r="CR50" i="9"/>
  <c r="CR51" i="9"/>
  <c r="CR52" i="9"/>
  <c r="CR53" i="9"/>
  <c r="CR54" i="9"/>
  <c r="CR55" i="9"/>
  <c r="CR56" i="9"/>
  <c r="CR57" i="9"/>
  <c r="CR58" i="9"/>
  <c r="CR59" i="9"/>
  <c r="CR60" i="9"/>
  <c r="CR61" i="9"/>
  <c r="CR62" i="9"/>
  <c r="CR63" i="9"/>
  <c r="CR64" i="9"/>
  <c r="CR65" i="9"/>
  <c r="CR66" i="9"/>
  <c r="CR67" i="9"/>
  <c r="CR68" i="9"/>
  <c r="CR69" i="9"/>
  <c r="CR70" i="9"/>
  <c r="CR71" i="9"/>
  <c r="CR72" i="9"/>
  <c r="CR73" i="9"/>
  <c r="CR74" i="9"/>
  <c r="CR75" i="9"/>
  <c r="CR76" i="9"/>
  <c r="CR77" i="9"/>
  <c r="CR78" i="9"/>
  <c r="CR79" i="9"/>
  <c r="CR80" i="9"/>
  <c r="CR81" i="9"/>
  <c r="CR82" i="9"/>
  <c r="CR83" i="9"/>
  <c r="CR84" i="9"/>
  <c r="CR85" i="9"/>
  <c r="CR86" i="9"/>
  <c r="CR87" i="9"/>
  <c r="CR88" i="9"/>
  <c r="CR89" i="9"/>
  <c r="CR90" i="9"/>
  <c r="CR91" i="9"/>
  <c r="CR92" i="9"/>
  <c r="CR93" i="9"/>
  <c r="CR94" i="9"/>
  <c r="CR95" i="9"/>
  <c r="CR96" i="9"/>
  <c r="CR97" i="9"/>
  <c r="CR98" i="9"/>
  <c r="CR99" i="9"/>
  <c r="CR100" i="9"/>
  <c r="CR101" i="9"/>
  <c r="CR102" i="9"/>
  <c r="CR103" i="9"/>
  <c r="CR104" i="9"/>
  <c r="CR105" i="9"/>
  <c r="CR106" i="9"/>
  <c r="CR107" i="9"/>
  <c r="CR108" i="9"/>
  <c r="CR109" i="9"/>
  <c r="CR110" i="9"/>
  <c r="CR111" i="9"/>
  <c r="CR112" i="9"/>
  <c r="CR113" i="9"/>
  <c r="CR114" i="9"/>
  <c r="CN15" i="9"/>
  <c r="CN16" i="9" s="1"/>
  <c r="CN17" i="9" s="1"/>
  <c r="CN18" i="9" s="1"/>
  <c r="CN19" i="9" s="1"/>
  <c r="CN20" i="9" s="1"/>
  <c r="CN22" i="9"/>
  <c r="CO22" i="9" s="1"/>
  <c r="CN23" i="9"/>
  <c r="CO23" i="9" s="1"/>
  <c r="CN31" i="9"/>
  <c r="CO31" i="9" s="1"/>
  <c r="CN32" i="9"/>
  <c r="CN33" i="9"/>
  <c r="CO33" i="9" s="1"/>
  <c r="CN36" i="9"/>
  <c r="CO36" i="9" s="1"/>
  <c r="CN37" i="9"/>
  <c r="CN38" i="9"/>
  <c r="CO38" i="9" s="1"/>
  <c r="CN39" i="9"/>
  <c r="CN40" i="9"/>
  <c r="CO40" i="9" s="1"/>
  <c r="CN41" i="9"/>
  <c r="CN42" i="9"/>
  <c r="CO42" i="9" s="1"/>
  <c r="CN43" i="9"/>
  <c r="CN44" i="9"/>
  <c r="CO44" i="9" s="1"/>
  <c r="CN45" i="9"/>
  <c r="CN46" i="9"/>
  <c r="CO46" i="9" s="1"/>
  <c r="CN47" i="9"/>
  <c r="CN48" i="9"/>
  <c r="CO48" i="9" s="1"/>
  <c r="CN49" i="9"/>
  <c r="CN50" i="9"/>
  <c r="CO50" i="9" s="1"/>
  <c r="CN51" i="9"/>
  <c r="CN52" i="9"/>
  <c r="CO52" i="9" s="1"/>
  <c r="CN53" i="9"/>
  <c r="CN54" i="9"/>
  <c r="CO54" i="9" s="1"/>
  <c r="CN55" i="9"/>
  <c r="CN56" i="9"/>
  <c r="CO56" i="9" s="1"/>
  <c r="CN57" i="9"/>
  <c r="CN58" i="9"/>
  <c r="CO58" i="9" s="1"/>
  <c r="CN59" i="9"/>
  <c r="CN60" i="9"/>
  <c r="CO60" i="9" s="1"/>
  <c r="CN61" i="9"/>
  <c r="CN62" i="9"/>
  <c r="CO62" i="9" s="1"/>
  <c r="CN63" i="9"/>
  <c r="CN64" i="9"/>
  <c r="CO64" i="9" s="1"/>
  <c r="CN65" i="9"/>
  <c r="CN66" i="9"/>
  <c r="CO66" i="9" s="1"/>
  <c r="CN67" i="9"/>
  <c r="CN68" i="9"/>
  <c r="CO68" i="9" s="1"/>
  <c r="CN69" i="9"/>
  <c r="CN70" i="9"/>
  <c r="CO70" i="9" s="1"/>
  <c r="CN71" i="9"/>
  <c r="CN72" i="9"/>
  <c r="CO72" i="9" s="1"/>
  <c r="CN73" i="9"/>
  <c r="CN74" i="9"/>
  <c r="CO74" i="9" s="1"/>
  <c r="CN75" i="9"/>
  <c r="CN76" i="9"/>
  <c r="CO76" i="9" s="1"/>
  <c r="CN77" i="9"/>
  <c r="CN78" i="9"/>
  <c r="CO78" i="9" s="1"/>
  <c r="CN79" i="9"/>
  <c r="CN80" i="9"/>
  <c r="CO80" i="9" s="1"/>
  <c r="CN81" i="9"/>
  <c r="CN82" i="9"/>
  <c r="CO82" i="9" s="1"/>
  <c r="CN83" i="9"/>
  <c r="CN84" i="9"/>
  <c r="CO84" i="9" s="1"/>
  <c r="CN85" i="9"/>
  <c r="CN86" i="9"/>
  <c r="CO86" i="9" s="1"/>
  <c r="CN87" i="9"/>
  <c r="CN88" i="9"/>
  <c r="CO88" i="9" s="1"/>
  <c r="CN89" i="9"/>
  <c r="CN90" i="9"/>
  <c r="CO90" i="9" s="1"/>
  <c r="CN91" i="9"/>
  <c r="CN92" i="9"/>
  <c r="CO92" i="9" s="1"/>
  <c r="CN93" i="9"/>
  <c r="CN94" i="9"/>
  <c r="CO94" i="9" s="1"/>
  <c r="CN95" i="9"/>
  <c r="CN96" i="9"/>
  <c r="CO96" i="9" s="1"/>
  <c r="CN97" i="9"/>
  <c r="CN98" i="9"/>
  <c r="CO98" i="9" s="1"/>
  <c r="CN99" i="9"/>
  <c r="CN100" i="9"/>
  <c r="CO100" i="9" s="1"/>
  <c r="CN101" i="9"/>
  <c r="CN102" i="9"/>
  <c r="CO102" i="9" s="1"/>
  <c r="CN103" i="9"/>
  <c r="CN104" i="9"/>
  <c r="CO104" i="9" s="1"/>
  <c r="CN105" i="9"/>
  <c r="CN106" i="9"/>
  <c r="CO106" i="9" s="1"/>
  <c r="CN107" i="9"/>
  <c r="CN108" i="9"/>
  <c r="CO108" i="9" s="1"/>
  <c r="CN109" i="9"/>
  <c r="CN110" i="9"/>
  <c r="CO110" i="9" s="1"/>
  <c r="CN111" i="9"/>
  <c r="CN112" i="9"/>
  <c r="CO112" i="9" s="1"/>
  <c r="CN113" i="9"/>
  <c r="CN114" i="9"/>
  <c r="CO114" i="9" s="1"/>
  <c r="CN21" i="9"/>
  <c r="AO114" i="9"/>
  <c r="AO113" i="9"/>
  <c r="AO112" i="9"/>
  <c r="AO111" i="9"/>
  <c r="AO110" i="9"/>
  <c r="AO109" i="9"/>
  <c r="AO108" i="9"/>
  <c r="AO107" i="9"/>
  <c r="AO106" i="9"/>
  <c r="AO105" i="9"/>
  <c r="AO104" i="9"/>
  <c r="AO103" i="9"/>
  <c r="AO102" i="9"/>
  <c r="AO101" i="9"/>
  <c r="AO100" i="9"/>
  <c r="AO99" i="9"/>
  <c r="AO98" i="9"/>
  <c r="AO97" i="9"/>
  <c r="AO96" i="9"/>
  <c r="AO95" i="9"/>
  <c r="AO94" i="9"/>
  <c r="AO93" i="9"/>
  <c r="AO92" i="9"/>
  <c r="AO91" i="9"/>
  <c r="AO90" i="9"/>
  <c r="AO89" i="9"/>
  <c r="AO88" i="9"/>
  <c r="AO87" i="9"/>
  <c r="AO86" i="9"/>
  <c r="AO85" i="9"/>
  <c r="AO84" i="9"/>
  <c r="AO83" i="9"/>
  <c r="AO82" i="9"/>
  <c r="AO81" i="9"/>
  <c r="AO80" i="9"/>
  <c r="AO79" i="9"/>
  <c r="AO78" i="9"/>
  <c r="AO77" i="9"/>
  <c r="AO76" i="9"/>
  <c r="AO75" i="9"/>
  <c r="AO74" i="9"/>
  <c r="AO73" i="9"/>
  <c r="AO72" i="9"/>
  <c r="AO71" i="9"/>
  <c r="AO70" i="9"/>
  <c r="AO69" i="9"/>
  <c r="AO68" i="9"/>
  <c r="AO67" i="9"/>
  <c r="AO66" i="9"/>
  <c r="AO6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CM22" i="9"/>
  <c r="CM23" i="9"/>
  <c r="CM24" i="9"/>
  <c r="CM25" i="9"/>
  <c r="CM26" i="9"/>
  <c r="CM27" i="9"/>
  <c r="CM29" i="9"/>
  <c r="CM30" i="9"/>
  <c r="CM31" i="9"/>
  <c r="CM32" i="9"/>
  <c r="CM33" i="9"/>
  <c r="CM34" i="9"/>
  <c r="CM35" i="9"/>
  <c r="CM36" i="9"/>
  <c r="CM37" i="9"/>
  <c r="CM38" i="9"/>
  <c r="CM39" i="9"/>
  <c r="CM40" i="9"/>
  <c r="CM41" i="9"/>
  <c r="CM42" i="9"/>
  <c r="CM43" i="9"/>
  <c r="CM44" i="9"/>
  <c r="CM45" i="9"/>
  <c r="CM46" i="9"/>
  <c r="CM47" i="9"/>
  <c r="CM48" i="9"/>
  <c r="CM49" i="9"/>
  <c r="CM50" i="9"/>
  <c r="CM51" i="9"/>
  <c r="CM52" i="9"/>
  <c r="CM53" i="9"/>
  <c r="CM54" i="9"/>
  <c r="CM55" i="9"/>
  <c r="CM56" i="9"/>
  <c r="CM57" i="9"/>
  <c r="CM58" i="9"/>
  <c r="CM59" i="9"/>
  <c r="CM60" i="9"/>
  <c r="CM61" i="9"/>
  <c r="CM62" i="9"/>
  <c r="CM63" i="9"/>
  <c r="CM64" i="9"/>
  <c r="CM65" i="9"/>
  <c r="CM66" i="9"/>
  <c r="CM67" i="9"/>
  <c r="CM68" i="9"/>
  <c r="CM69" i="9"/>
  <c r="CM70" i="9"/>
  <c r="CM71" i="9"/>
  <c r="CM72" i="9"/>
  <c r="CM73" i="9"/>
  <c r="CM74" i="9"/>
  <c r="CM75" i="9"/>
  <c r="CM76" i="9"/>
  <c r="CM77" i="9"/>
  <c r="CM78" i="9"/>
  <c r="CM79" i="9"/>
  <c r="CM80" i="9"/>
  <c r="CM81" i="9"/>
  <c r="CM82" i="9"/>
  <c r="CM83" i="9"/>
  <c r="CM84" i="9"/>
  <c r="CM85" i="9"/>
  <c r="CM86" i="9"/>
  <c r="CM87" i="9"/>
  <c r="CM88" i="9"/>
  <c r="CM89" i="9"/>
  <c r="CM90" i="9"/>
  <c r="CM91" i="9"/>
  <c r="CM92" i="9"/>
  <c r="CM93" i="9"/>
  <c r="CM94" i="9"/>
  <c r="CM95" i="9"/>
  <c r="CM96" i="9"/>
  <c r="CM97" i="9"/>
  <c r="CM98" i="9"/>
  <c r="CM99" i="9"/>
  <c r="CM100" i="9"/>
  <c r="CM101" i="9"/>
  <c r="CM102" i="9"/>
  <c r="CM103" i="9"/>
  <c r="CM104" i="9"/>
  <c r="CM105" i="9"/>
  <c r="CM106" i="9"/>
  <c r="CM107" i="9"/>
  <c r="CM108" i="9"/>
  <c r="CM109" i="9"/>
  <c r="CM110" i="9"/>
  <c r="CM111" i="9"/>
  <c r="CM112" i="9"/>
  <c r="CM113" i="9"/>
  <c r="CM114" i="9"/>
  <c r="CM17" i="9"/>
  <c r="CM18" i="9"/>
  <c r="CM19" i="9"/>
  <c r="O16" i="9"/>
  <c r="CK17" i="9"/>
  <c r="CK18" i="9"/>
  <c r="CK19" i="9"/>
  <c r="CK22" i="9"/>
  <c r="CK23" i="9"/>
  <c r="CK24" i="9"/>
  <c r="CK25" i="9"/>
  <c r="CK26" i="9"/>
  <c r="CK27" i="9"/>
  <c r="CK29" i="9"/>
  <c r="CK30" i="9"/>
  <c r="CK31" i="9"/>
  <c r="CK32" i="9"/>
  <c r="CK33" i="9"/>
  <c r="CK34" i="9"/>
  <c r="CK35" i="9"/>
  <c r="CK36" i="9"/>
  <c r="CK37" i="9"/>
  <c r="CK38" i="9"/>
  <c r="CK39" i="9"/>
  <c r="CK40" i="9"/>
  <c r="CK41" i="9"/>
  <c r="CK42" i="9"/>
  <c r="CK43" i="9"/>
  <c r="CK44" i="9"/>
  <c r="CK45" i="9"/>
  <c r="CK46" i="9"/>
  <c r="CK47" i="9"/>
  <c r="CK48" i="9"/>
  <c r="CK49" i="9"/>
  <c r="CK50" i="9"/>
  <c r="CK51" i="9"/>
  <c r="CK52" i="9"/>
  <c r="CK53" i="9"/>
  <c r="CK54" i="9"/>
  <c r="CK55" i="9"/>
  <c r="CK56" i="9"/>
  <c r="CK57" i="9"/>
  <c r="CK58" i="9"/>
  <c r="CK59" i="9"/>
  <c r="CK60" i="9"/>
  <c r="CK61" i="9"/>
  <c r="CK62" i="9"/>
  <c r="CK63" i="9"/>
  <c r="CK64" i="9"/>
  <c r="CK65" i="9"/>
  <c r="CK66" i="9"/>
  <c r="CK67" i="9"/>
  <c r="CK68" i="9"/>
  <c r="CK69" i="9"/>
  <c r="CK70" i="9"/>
  <c r="CK71" i="9"/>
  <c r="CK72" i="9"/>
  <c r="CK73" i="9"/>
  <c r="CK74" i="9"/>
  <c r="CK75" i="9"/>
  <c r="CK76" i="9"/>
  <c r="CK77" i="9"/>
  <c r="CK78" i="9"/>
  <c r="CK79" i="9"/>
  <c r="CK80" i="9"/>
  <c r="CK81" i="9"/>
  <c r="CK82" i="9"/>
  <c r="CK83" i="9"/>
  <c r="CK84" i="9"/>
  <c r="CK85" i="9"/>
  <c r="CK86" i="9"/>
  <c r="CK87" i="9"/>
  <c r="CK88" i="9"/>
  <c r="CK89" i="9"/>
  <c r="CK90" i="9"/>
  <c r="CK91" i="9"/>
  <c r="CK92" i="9"/>
  <c r="CK93" i="9"/>
  <c r="CK94" i="9"/>
  <c r="CK95" i="9"/>
  <c r="CK96" i="9"/>
  <c r="CK97" i="9"/>
  <c r="CK98" i="9"/>
  <c r="CK99" i="9"/>
  <c r="CK100" i="9"/>
  <c r="CK101" i="9"/>
  <c r="CK102" i="9"/>
  <c r="CK103" i="9"/>
  <c r="CK104" i="9"/>
  <c r="CK105" i="9"/>
  <c r="CK106" i="9"/>
  <c r="CK107" i="9"/>
  <c r="CK108" i="9"/>
  <c r="CK109" i="9"/>
  <c r="CK110" i="9"/>
  <c r="CK111" i="9"/>
  <c r="CK112" i="9"/>
  <c r="CK113" i="9"/>
  <c r="CK114" i="9"/>
  <c r="CJ17" i="9"/>
  <c r="CJ18" i="9"/>
  <c r="CJ19" i="9"/>
  <c r="CJ22" i="9"/>
  <c r="CJ24" i="9"/>
  <c r="CJ25" i="9"/>
  <c r="CJ26" i="9"/>
  <c r="CJ27" i="9"/>
  <c r="CJ29" i="9"/>
  <c r="CJ30" i="9"/>
  <c r="CJ31" i="9"/>
  <c r="CJ32" i="9"/>
  <c r="CJ33" i="9"/>
  <c r="CJ34" i="9"/>
  <c r="CJ35" i="9"/>
  <c r="CJ36" i="9"/>
  <c r="CJ37" i="9"/>
  <c r="CJ38" i="9"/>
  <c r="CJ39" i="9"/>
  <c r="CJ40" i="9"/>
  <c r="CJ41" i="9"/>
  <c r="CJ42" i="9"/>
  <c r="CJ43" i="9"/>
  <c r="CJ44" i="9"/>
  <c r="CJ45" i="9"/>
  <c r="CJ46" i="9"/>
  <c r="CJ47" i="9"/>
  <c r="CJ48" i="9"/>
  <c r="CJ49" i="9"/>
  <c r="CJ50" i="9"/>
  <c r="CJ51" i="9"/>
  <c r="CJ52" i="9"/>
  <c r="CJ53" i="9"/>
  <c r="CJ54" i="9"/>
  <c r="CJ55" i="9"/>
  <c r="CJ56" i="9"/>
  <c r="CJ57" i="9"/>
  <c r="CJ58" i="9"/>
  <c r="CJ59" i="9"/>
  <c r="CJ60" i="9"/>
  <c r="CJ61" i="9"/>
  <c r="CJ62" i="9"/>
  <c r="CJ63" i="9"/>
  <c r="CJ64" i="9"/>
  <c r="CJ65" i="9"/>
  <c r="CJ66" i="9"/>
  <c r="CJ67" i="9"/>
  <c r="CJ68" i="9"/>
  <c r="CJ69" i="9"/>
  <c r="CJ70" i="9"/>
  <c r="CJ71" i="9"/>
  <c r="CJ72" i="9"/>
  <c r="CJ73" i="9"/>
  <c r="CJ74" i="9"/>
  <c r="CJ75" i="9"/>
  <c r="CJ76" i="9"/>
  <c r="CJ77" i="9"/>
  <c r="CJ78" i="9"/>
  <c r="CJ79" i="9"/>
  <c r="CJ80" i="9"/>
  <c r="CJ81" i="9"/>
  <c r="CJ82" i="9"/>
  <c r="CJ83" i="9"/>
  <c r="CJ84" i="9"/>
  <c r="CJ85" i="9"/>
  <c r="CJ86" i="9"/>
  <c r="CJ87" i="9"/>
  <c r="CJ88" i="9"/>
  <c r="CJ89" i="9"/>
  <c r="CJ90" i="9"/>
  <c r="CJ91" i="9"/>
  <c r="CJ92" i="9"/>
  <c r="CJ93" i="9"/>
  <c r="CJ94" i="9"/>
  <c r="CJ95" i="9"/>
  <c r="CJ96" i="9"/>
  <c r="CJ97" i="9"/>
  <c r="CJ98" i="9"/>
  <c r="CJ99" i="9"/>
  <c r="CJ100" i="9"/>
  <c r="CJ101" i="9"/>
  <c r="CJ102" i="9"/>
  <c r="CJ103" i="9"/>
  <c r="CJ104" i="9"/>
  <c r="CJ105" i="9"/>
  <c r="CJ106" i="9"/>
  <c r="CJ107" i="9"/>
  <c r="CJ108" i="9"/>
  <c r="CJ109" i="9"/>
  <c r="CJ110" i="9"/>
  <c r="CJ111" i="9"/>
  <c r="CJ112" i="9"/>
  <c r="CJ113" i="9"/>
  <c r="CJ114" i="9"/>
  <c r="CG17" i="9"/>
  <c r="CG18" i="9"/>
  <c r="CG19" i="9"/>
  <c r="CG22" i="9"/>
  <c r="CG23" i="9"/>
  <c r="CG24" i="9"/>
  <c r="CG25" i="9"/>
  <c r="CG26" i="9"/>
  <c r="CG27" i="9"/>
  <c r="CG29" i="9"/>
  <c r="CG30" i="9"/>
  <c r="CG31" i="9"/>
  <c r="CG32" i="9"/>
  <c r="CG33" i="9"/>
  <c r="CG34" i="9"/>
  <c r="CG35" i="9"/>
  <c r="CG36" i="9"/>
  <c r="CG37" i="9"/>
  <c r="CG38" i="9"/>
  <c r="CG39" i="9"/>
  <c r="CG40" i="9"/>
  <c r="CG41" i="9"/>
  <c r="CG42" i="9"/>
  <c r="CG43" i="9"/>
  <c r="CG44" i="9"/>
  <c r="CG45" i="9"/>
  <c r="CG46" i="9"/>
  <c r="CG47" i="9"/>
  <c r="CG48" i="9"/>
  <c r="CG49" i="9"/>
  <c r="CG50" i="9"/>
  <c r="CG51" i="9"/>
  <c r="CG52" i="9"/>
  <c r="CG53" i="9"/>
  <c r="CG54" i="9"/>
  <c r="CG55" i="9"/>
  <c r="CG56" i="9"/>
  <c r="CG57" i="9"/>
  <c r="CG58" i="9"/>
  <c r="CG59" i="9"/>
  <c r="CG60" i="9"/>
  <c r="CG61" i="9"/>
  <c r="CG62" i="9"/>
  <c r="CG63" i="9"/>
  <c r="CG64" i="9"/>
  <c r="CG65" i="9"/>
  <c r="CG66" i="9"/>
  <c r="CG67" i="9"/>
  <c r="CG68" i="9"/>
  <c r="CG69" i="9"/>
  <c r="CG70" i="9"/>
  <c r="CG71" i="9"/>
  <c r="CG72" i="9"/>
  <c r="CG73" i="9"/>
  <c r="CG74" i="9"/>
  <c r="CG75" i="9"/>
  <c r="CG76" i="9"/>
  <c r="CG77" i="9"/>
  <c r="CG78" i="9"/>
  <c r="CG79" i="9"/>
  <c r="CG80" i="9"/>
  <c r="CG81" i="9"/>
  <c r="CG82" i="9"/>
  <c r="CG83" i="9"/>
  <c r="CG84" i="9"/>
  <c r="CG85" i="9"/>
  <c r="CG86" i="9"/>
  <c r="CG87" i="9"/>
  <c r="CG88" i="9"/>
  <c r="CG89" i="9"/>
  <c r="CG90" i="9"/>
  <c r="CG91" i="9"/>
  <c r="CG92" i="9"/>
  <c r="CG93" i="9"/>
  <c r="CG94" i="9"/>
  <c r="CG95" i="9"/>
  <c r="CG96" i="9"/>
  <c r="CG97" i="9"/>
  <c r="CG98" i="9"/>
  <c r="CG99" i="9"/>
  <c r="CG100" i="9"/>
  <c r="CG101" i="9"/>
  <c r="CG102" i="9"/>
  <c r="CG103" i="9"/>
  <c r="CG104" i="9"/>
  <c r="CG105" i="9"/>
  <c r="CG106" i="9"/>
  <c r="CG107" i="9"/>
  <c r="CG108" i="9"/>
  <c r="CG109" i="9"/>
  <c r="CG110" i="9"/>
  <c r="CG111" i="9"/>
  <c r="CG112" i="9"/>
  <c r="CG113" i="9"/>
  <c r="CG114" i="9"/>
  <c r="K11" i="9"/>
  <c r="M17" i="9"/>
  <c r="O22" i="9" s="1"/>
  <c r="M15" i="9"/>
  <c r="B779" i="9"/>
  <c r="B480" i="9"/>
  <c r="B479" i="9"/>
  <c r="B428" i="9"/>
  <c r="B272" i="9"/>
  <c r="CE114" i="9"/>
  <c r="CD114" i="9"/>
  <c r="CC114" i="9"/>
  <c r="CB114" i="9"/>
  <c r="BX114" i="9" s="1"/>
  <c r="BZ114" i="9"/>
  <c r="BY114" i="9"/>
  <c r="BW114" i="9"/>
  <c r="BP114" i="9"/>
  <c r="BK114" i="9"/>
  <c r="BQ114" i="9" s="1"/>
  <c r="BJ114" i="9"/>
  <c r="BH114" i="9"/>
  <c r="BG114" i="9"/>
  <c r="BE114" i="9"/>
  <c r="AR114" i="9"/>
  <c r="AQ114" i="9"/>
  <c r="AP114" i="9"/>
  <c r="AN114" i="9"/>
  <c r="AE114" i="9"/>
  <c r="AG114" i="9" s="1"/>
  <c r="CE113" i="9"/>
  <c r="CD113" i="9"/>
  <c r="CC113" i="9"/>
  <c r="CB113" i="9"/>
  <c r="BX113" i="9" s="1"/>
  <c r="B368" i="9" s="1"/>
  <c r="BZ113" i="9"/>
  <c r="BY113" i="9"/>
  <c r="BW113" i="9"/>
  <c r="BP113" i="9"/>
  <c r="BK113" i="9"/>
  <c r="BQ113" i="9" s="1"/>
  <c r="B691" i="9" s="1"/>
  <c r="BJ113" i="9"/>
  <c r="BH113" i="9"/>
  <c r="B674" i="9" s="1"/>
  <c r="BG113" i="9"/>
  <c r="BE113" i="9"/>
  <c r="AR113" i="9"/>
  <c r="AQ113" i="9"/>
  <c r="AP113" i="9"/>
  <c r="AN113" i="9"/>
  <c r="AE113" i="9"/>
  <c r="AG113" i="9" s="1"/>
  <c r="CE112" i="9"/>
  <c r="CD112" i="9"/>
  <c r="CC112" i="9"/>
  <c r="CB112" i="9"/>
  <c r="BX112" i="9" s="1"/>
  <c r="BZ112" i="9"/>
  <c r="BY112" i="9"/>
  <c r="BW112" i="9"/>
  <c r="BP112" i="9"/>
  <c r="DH112" i="9" s="1"/>
  <c r="BK112" i="9"/>
  <c r="BQ112" i="9" s="1"/>
  <c r="BJ112" i="9"/>
  <c r="BH112" i="9"/>
  <c r="BG112" i="9"/>
  <c r="BE112" i="9"/>
  <c r="AR112" i="9"/>
  <c r="AQ112" i="9"/>
  <c r="AP112" i="9"/>
  <c r="AN112" i="9"/>
  <c r="AE112" i="9"/>
  <c r="AG112" i="9" s="1"/>
  <c r="CE111" i="9"/>
  <c r="CD111" i="9"/>
  <c r="CC111" i="9"/>
  <c r="CB111" i="9"/>
  <c r="BX111" i="9" s="1"/>
  <c r="BZ111" i="9"/>
  <c r="BY111" i="9"/>
  <c r="BW111" i="9"/>
  <c r="BP111" i="9"/>
  <c r="DH111" i="9" s="1"/>
  <c r="BK111" i="9"/>
  <c r="BQ111" i="9" s="1"/>
  <c r="BJ111" i="9"/>
  <c r="BH111" i="9"/>
  <c r="BG111" i="9"/>
  <c r="BE111" i="9"/>
  <c r="AR111" i="9"/>
  <c r="AQ111" i="9"/>
  <c r="AP111" i="9"/>
  <c r="AN111" i="9"/>
  <c r="AE111" i="9"/>
  <c r="AG111" i="9" s="1"/>
  <c r="CE110" i="9"/>
  <c r="CD110" i="9"/>
  <c r="CC110" i="9"/>
  <c r="CB110" i="9"/>
  <c r="BX110" i="9" s="1"/>
  <c r="BZ110" i="9"/>
  <c r="BY110" i="9"/>
  <c r="BW110" i="9"/>
  <c r="BP110" i="9"/>
  <c r="DH110" i="9" s="1"/>
  <c r="BK110" i="9"/>
  <c r="BQ110" i="9" s="1"/>
  <c r="BJ110" i="9"/>
  <c r="BH110" i="9"/>
  <c r="BG110" i="9"/>
  <c r="BE110" i="9"/>
  <c r="AR110" i="9"/>
  <c r="AQ110" i="9"/>
  <c r="AP110" i="9"/>
  <c r="AN110" i="9"/>
  <c r="AE110" i="9"/>
  <c r="AG110" i="9" s="1"/>
  <c r="CE109" i="9"/>
  <c r="CD109" i="9"/>
  <c r="CC109" i="9"/>
  <c r="CB109" i="9"/>
  <c r="BX109" i="9" s="1"/>
  <c r="BZ109" i="9"/>
  <c r="BY109" i="9"/>
  <c r="BW109" i="9"/>
  <c r="BP109" i="9"/>
  <c r="DH109" i="9" s="1"/>
  <c r="BK109" i="9"/>
  <c r="BQ109" i="9" s="1"/>
  <c r="BJ109" i="9"/>
  <c r="BH109" i="9"/>
  <c r="BG109" i="9"/>
  <c r="BE109" i="9"/>
  <c r="AR109" i="9"/>
  <c r="AQ109" i="9"/>
  <c r="AP109" i="9"/>
  <c r="AN109" i="9"/>
  <c r="AE109" i="9"/>
  <c r="AG109" i="9" s="1"/>
  <c r="CE108" i="9"/>
  <c r="CD108" i="9"/>
  <c r="CC108" i="9"/>
  <c r="CB108" i="9"/>
  <c r="BX108" i="9" s="1"/>
  <c r="BZ108" i="9"/>
  <c r="BY108" i="9"/>
  <c r="BW108" i="9"/>
  <c r="BP108" i="9"/>
  <c r="DH108" i="9" s="1"/>
  <c r="BK108" i="9"/>
  <c r="BQ108" i="9" s="1"/>
  <c r="BJ108" i="9"/>
  <c r="BH108" i="9"/>
  <c r="BG108" i="9"/>
  <c r="BE108" i="9"/>
  <c r="AR108" i="9"/>
  <c r="AQ108" i="9"/>
  <c r="AP108" i="9"/>
  <c r="AN108" i="9"/>
  <c r="AE108" i="9"/>
  <c r="AG108" i="9" s="1"/>
  <c r="CE107" i="9"/>
  <c r="CD107" i="9"/>
  <c r="CC107" i="9"/>
  <c r="CB107" i="9"/>
  <c r="BX107" i="9" s="1"/>
  <c r="BZ107" i="9"/>
  <c r="BY107" i="9"/>
  <c r="BW107" i="9"/>
  <c r="BP107" i="9"/>
  <c r="DH107" i="9" s="1"/>
  <c r="BK107" i="9"/>
  <c r="BQ107" i="9" s="1"/>
  <c r="BJ107" i="9"/>
  <c r="BH107" i="9"/>
  <c r="BG107" i="9"/>
  <c r="BE107" i="9"/>
  <c r="AR107" i="9"/>
  <c r="AQ107" i="9"/>
  <c r="AP107" i="9"/>
  <c r="AN107" i="9"/>
  <c r="AE107" i="9"/>
  <c r="AG107" i="9" s="1"/>
  <c r="CE106" i="9"/>
  <c r="CD106" i="9"/>
  <c r="CC106" i="9"/>
  <c r="CB106" i="9"/>
  <c r="BX106" i="9" s="1"/>
  <c r="BZ106" i="9"/>
  <c r="BY106" i="9"/>
  <c r="BW106" i="9"/>
  <c r="BP106" i="9"/>
  <c r="DH106" i="9" s="1"/>
  <c r="BK106" i="9"/>
  <c r="BQ106" i="9" s="1"/>
  <c r="BJ106" i="9"/>
  <c r="BH106" i="9"/>
  <c r="B673" i="9" s="1"/>
  <c r="BG106" i="9"/>
  <c r="BE106" i="9"/>
  <c r="AR106" i="9"/>
  <c r="AQ106" i="9"/>
  <c r="AP106" i="9"/>
  <c r="AN106" i="9"/>
  <c r="AE106" i="9"/>
  <c r="AG106" i="9" s="1"/>
  <c r="CE105" i="9"/>
  <c r="CD105" i="9"/>
  <c r="CC105" i="9"/>
  <c r="CB105" i="9"/>
  <c r="BX105" i="9" s="1"/>
  <c r="BZ105" i="9"/>
  <c r="BY105" i="9"/>
  <c r="BW105" i="9"/>
  <c r="BP105" i="9"/>
  <c r="DH105" i="9" s="1"/>
  <c r="BK105" i="9"/>
  <c r="BQ105" i="9" s="1"/>
  <c r="BJ105" i="9"/>
  <c r="BH105" i="9"/>
  <c r="BG105" i="9"/>
  <c r="BE105" i="9"/>
  <c r="AR105" i="9"/>
  <c r="AQ105" i="9"/>
  <c r="AP105" i="9"/>
  <c r="AN105" i="9"/>
  <c r="AE105" i="9"/>
  <c r="AG105" i="9" s="1"/>
  <c r="CE104" i="9"/>
  <c r="CD104" i="9"/>
  <c r="CC104" i="9"/>
  <c r="CB104" i="9"/>
  <c r="BX104" i="9" s="1"/>
  <c r="BZ104" i="9"/>
  <c r="BY104" i="9"/>
  <c r="BW104" i="9"/>
  <c r="BP104" i="9"/>
  <c r="DH104" i="9" s="1"/>
  <c r="BK104" i="9"/>
  <c r="BQ104" i="9" s="1"/>
  <c r="BJ104" i="9"/>
  <c r="BH104" i="9"/>
  <c r="BG104" i="9"/>
  <c r="BE104" i="9"/>
  <c r="AR104" i="9"/>
  <c r="AQ104" i="9"/>
  <c r="AP104" i="9"/>
  <c r="AN104" i="9"/>
  <c r="AE104" i="9"/>
  <c r="AG104" i="9" s="1"/>
  <c r="CE103" i="9"/>
  <c r="CD103" i="9"/>
  <c r="CC103" i="9"/>
  <c r="CB103" i="9"/>
  <c r="BX103" i="9" s="1"/>
  <c r="BZ103" i="9"/>
  <c r="BY103" i="9"/>
  <c r="BW103" i="9"/>
  <c r="BP103" i="9"/>
  <c r="DH103" i="9" s="1"/>
  <c r="BK103" i="9"/>
  <c r="BQ103" i="9" s="1"/>
  <c r="BJ103" i="9"/>
  <c r="BH103" i="9"/>
  <c r="BG103" i="9"/>
  <c r="BE103" i="9"/>
  <c r="AR103" i="9"/>
  <c r="AQ103" i="9"/>
  <c r="AP103" i="9"/>
  <c r="AN103" i="9"/>
  <c r="AE103" i="9"/>
  <c r="AG103" i="9" s="1"/>
  <c r="CE102" i="9"/>
  <c r="CD102" i="9"/>
  <c r="CC102" i="9"/>
  <c r="CB102" i="9"/>
  <c r="BX102" i="9" s="1"/>
  <c r="BZ102" i="9"/>
  <c r="BY102" i="9"/>
  <c r="BW102" i="9"/>
  <c r="BP102" i="9"/>
  <c r="DH102" i="9" s="1"/>
  <c r="BK102" i="9"/>
  <c r="BQ102" i="9" s="1"/>
  <c r="BJ102" i="9"/>
  <c r="BH102" i="9"/>
  <c r="BG102" i="9"/>
  <c r="BE102" i="9"/>
  <c r="AR102" i="9"/>
  <c r="AQ102" i="9"/>
  <c r="AP102" i="9"/>
  <c r="AN102" i="9"/>
  <c r="AE102" i="9"/>
  <c r="AG102" i="9" s="1"/>
  <c r="CE101" i="9"/>
  <c r="CD101" i="9"/>
  <c r="CC101" i="9"/>
  <c r="CB101" i="9"/>
  <c r="BX101" i="9" s="1"/>
  <c r="BZ101" i="9"/>
  <c r="BY101" i="9"/>
  <c r="BW101" i="9"/>
  <c r="BP101" i="9"/>
  <c r="DH101" i="9" s="1"/>
  <c r="BK101" i="9"/>
  <c r="BQ101" i="9" s="1"/>
  <c r="BJ101" i="9"/>
  <c r="BH101" i="9"/>
  <c r="BG101" i="9"/>
  <c r="BE101" i="9"/>
  <c r="AR101" i="9"/>
  <c r="AQ101" i="9"/>
  <c r="AP101" i="9"/>
  <c r="AN101" i="9"/>
  <c r="AE101" i="9"/>
  <c r="AG101" i="9" s="1"/>
  <c r="CE100" i="9"/>
  <c r="CD100" i="9"/>
  <c r="CC100" i="9"/>
  <c r="CB100" i="9"/>
  <c r="BX100" i="9" s="1"/>
  <c r="BZ100" i="9"/>
  <c r="BY100" i="9"/>
  <c r="BW100" i="9"/>
  <c r="BP100" i="9"/>
  <c r="DH100" i="9" s="1"/>
  <c r="BK100" i="9"/>
  <c r="BQ100" i="9" s="1"/>
  <c r="BJ100" i="9"/>
  <c r="BH100" i="9"/>
  <c r="BG100" i="9"/>
  <c r="BE100" i="9"/>
  <c r="AR100" i="9"/>
  <c r="AQ100" i="9"/>
  <c r="AP100" i="9"/>
  <c r="AN100" i="9"/>
  <c r="AE100" i="9"/>
  <c r="AG100" i="9" s="1"/>
  <c r="CE99" i="9"/>
  <c r="CD99" i="9"/>
  <c r="CC99" i="9"/>
  <c r="CB99" i="9"/>
  <c r="BX99" i="9" s="1"/>
  <c r="BZ99" i="9"/>
  <c r="BY99" i="9"/>
  <c r="BW99" i="9"/>
  <c r="BP99" i="9"/>
  <c r="BK99" i="9"/>
  <c r="BQ99" i="9" s="1"/>
  <c r="B689" i="9" s="1"/>
  <c r="BJ99" i="9"/>
  <c r="BH99" i="9"/>
  <c r="B672" i="9" s="1"/>
  <c r="BG99" i="9"/>
  <c r="BE99" i="9"/>
  <c r="AR99" i="9"/>
  <c r="AQ99" i="9"/>
  <c r="AP99" i="9"/>
  <c r="AN99" i="9"/>
  <c r="AE99" i="9"/>
  <c r="AG99" i="9" s="1"/>
  <c r="CE98" i="9"/>
  <c r="CD98" i="9"/>
  <c r="CC98" i="9"/>
  <c r="CB98" i="9"/>
  <c r="BX98" i="9" s="1"/>
  <c r="BZ98" i="9"/>
  <c r="BY98" i="9"/>
  <c r="BW98" i="9"/>
  <c r="BP98" i="9"/>
  <c r="DH98" i="9" s="1"/>
  <c r="BK98" i="9"/>
  <c r="BQ98" i="9" s="1"/>
  <c r="BJ98" i="9"/>
  <c r="BH98" i="9"/>
  <c r="BG98" i="9"/>
  <c r="BE98" i="9"/>
  <c r="AR98" i="9"/>
  <c r="AQ98" i="9"/>
  <c r="AP98" i="9"/>
  <c r="AN98" i="9"/>
  <c r="AE98" i="9"/>
  <c r="AG98" i="9" s="1"/>
  <c r="CE97" i="9"/>
  <c r="CD97" i="9"/>
  <c r="CC97" i="9"/>
  <c r="CB97" i="9"/>
  <c r="BX97" i="9" s="1"/>
  <c r="BZ97" i="9"/>
  <c r="BY97" i="9"/>
  <c r="BW97" i="9"/>
  <c r="BP97" i="9"/>
  <c r="DH97" i="9" s="1"/>
  <c r="BK97" i="9"/>
  <c r="BQ97" i="9" s="1"/>
  <c r="BJ97" i="9"/>
  <c r="BH97" i="9"/>
  <c r="BG97" i="9"/>
  <c r="BE97" i="9"/>
  <c r="AR97" i="9"/>
  <c r="AQ97" i="9"/>
  <c r="AP97" i="9"/>
  <c r="AN97" i="9"/>
  <c r="AE97" i="9"/>
  <c r="AG97" i="9" s="1"/>
  <c r="CE96" i="9"/>
  <c r="CD96" i="9"/>
  <c r="CC96" i="9"/>
  <c r="CB96" i="9"/>
  <c r="BX96" i="9" s="1"/>
  <c r="BZ96" i="9"/>
  <c r="BY96" i="9"/>
  <c r="BW96" i="9"/>
  <c r="BP96" i="9"/>
  <c r="DH96" i="9" s="1"/>
  <c r="BK96" i="9"/>
  <c r="BQ96" i="9" s="1"/>
  <c r="BJ96" i="9"/>
  <c r="BH96" i="9"/>
  <c r="BG96" i="9"/>
  <c r="BE96" i="9"/>
  <c r="AR96" i="9"/>
  <c r="AQ96" i="9"/>
  <c r="AP96" i="9"/>
  <c r="AN96" i="9"/>
  <c r="AE96" i="9"/>
  <c r="AG96" i="9" s="1"/>
  <c r="CE95" i="9"/>
  <c r="CD95" i="9"/>
  <c r="CC95" i="9"/>
  <c r="CB95" i="9"/>
  <c r="BX95" i="9" s="1"/>
  <c r="BZ95" i="9"/>
  <c r="BY95" i="9"/>
  <c r="BW95" i="9"/>
  <c r="BP95" i="9"/>
  <c r="DH95" i="9" s="1"/>
  <c r="BK95" i="9"/>
  <c r="BQ95" i="9" s="1"/>
  <c r="BJ95" i="9"/>
  <c r="BH95" i="9"/>
  <c r="BG95" i="9"/>
  <c r="BE95" i="9"/>
  <c r="AR95" i="9"/>
  <c r="AQ95" i="9"/>
  <c r="AP95" i="9"/>
  <c r="AN95" i="9"/>
  <c r="AE95" i="9"/>
  <c r="AG95" i="9" s="1"/>
  <c r="CE94" i="9"/>
  <c r="CD94" i="9"/>
  <c r="CC94" i="9"/>
  <c r="CB94" i="9"/>
  <c r="BX94" i="9" s="1"/>
  <c r="BZ94" i="9"/>
  <c r="BY94" i="9"/>
  <c r="BW94" i="9"/>
  <c r="BP94" i="9"/>
  <c r="DH94" i="9" s="1"/>
  <c r="BK94" i="9"/>
  <c r="BQ94" i="9" s="1"/>
  <c r="BJ94" i="9"/>
  <c r="BH94" i="9"/>
  <c r="BG94" i="9"/>
  <c r="BE94" i="9"/>
  <c r="AR94" i="9"/>
  <c r="AQ94" i="9"/>
  <c r="AP94" i="9"/>
  <c r="AN94" i="9"/>
  <c r="AE94" i="9"/>
  <c r="AG94" i="9" s="1"/>
  <c r="CE93" i="9"/>
  <c r="CD93" i="9"/>
  <c r="CC93" i="9"/>
  <c r="CB93" i="9"/>
  <c r="BX93" i="9" s="1"/>
  <c r="BZ93" i="9"/>
  <c r="BY93" i="9"/>
  <c r="BW93" i="9"/>
  <c r="BP93" i="9"/>
  <c r="DH93" i="9" s="1"/>
  <c r="BK93" i="9"/>
  <c r="BQ93" i="9" s="1"/>
  <c r="BJ93" i="9"/>
  <c r="BH93" i="9"/>
  <c r="BG93" i="9"/>
  <c r="BE93" i="9"/>
  <c r="AR93" i="9"/>
  <c r="AQ93" i="9"/>
  <c r="AP93" i="9"/>
  <c r="AN93" i="9"/>
  <c r="AE93" i="9"/>
  <c r="AG93" i="9" s="1"/>
  <c r="CE92" i="9"/>
  <c r="CD92" i="9"/>
  <c r="CC92" i="9"/>
  <c r="CB92" i="9"/>
  <c r="BX92" i="9" s="1"/>
  <c r="BZ92" i="9"/>
  <c r="BY92" i="9"/>
  <c r="BW92" i="9"/>
  <c r="BP92" i="9"/>
  <c r="BK92" i="9"/>
  <c r="BQ92" i="9" s="1"/>
  <c r="BJ92" i="9"/>
  <c r="BH92" i="9"/>
  <c r="B671" i="9" s="1"/>
  <c r="BG92" i="9"/>
  <c r="BE92" i="9"/>
  <c r="AR92" i="9"/>
  <c r="AQ92" i="9"/>
  <c r="AP92" i="9"/>
  <c r="AN92" i="9"/>
  <c r="AE92" i="9"/>
  <c r="AG92" i="9" s="1"/>
  <c r="CE91" i="9"/>
  <c r="CD91" i="9"/>
  <c r="CC91" i="9"/>
  <c r="CB91" i="9"/>
  <c r="BX91" i="9" s="1"/>
  <c r="BZ91" i="9"/>
  <c r="BY91" i="9"/>
  <c r="BW91" i="9"/>
  <c r="BP91" i="9"/>
  <c r="DH91" i="9" s="1"/>
  <c r="BK91" i="9"/>
  <c r="BQ91" i="9" s="1"/>
  <c r="BJ91" i="9"/>
  <c r="BH91" i="9"/>
  <c r="BG91" i="9"/>
  <c r="BE91" i="9"/>
  <c r="AR91" i="9"/>
  <c r="AQ91" i="9"/>
  <c r="AP91" i="9"/>
  <c r="AN91" i="9"/>
  <c r="AE91" i="9"/>
  <c r="AG91" i="9" s="1"/>
  <c r="CE90" i="9"/>
  <c r="CD90" i="9"/>
  <c r="CC90" i="9"/>
  <c r="CB90" i="9"/>
  <c r="BX90" i="9" s="1"/>
  <c r="BZ90" i="9"/>
  <c r="BY90" i="9"/>
  <c r="BW90" i="9"/>
  <c r="BP90" i="9"/>
  <c r="DH90" i="9" s="1"/>
  <c r="BK90" i="9"/>
  <c r="BQ90" i="9" s="1"/>
  <c r="BJ90" i="9"/>
  <c r="BH90" i="9"/>
  <c r="BG90" i="9"/>
  <c r="BE90" i="9"/>
  <c r="AR90" i="9"/>
  <c r="AQ90" i="9"/>
  <c r="AP90" i="9"/>
  <c r="AN90" i="9"/>
  <c r="AE90" i="9"/>
  <c r="AG90" i="9" s="1"/>
  <c r="CE89" i="9"/>
  <c r="CD89" i="9"/>
  <c r="CC89" i="9"/>
  <c r="CB89" i="9"/>
  <c r="BX89" i="9" s="1"/>
  <c r="BZ89" i="9"/>
  <c r="BY89" i="9"/>
  <c r="BW89" i="9"/>
  <c r="BP89" i="9"/>
  <c r="DH89" i="9" s="1"/>
  <c r="BK89" i="9"/>
  <c r="BQ89" i="9" s="1"/>
  <c r="BJ89" i="9"/>
  <c r="BH89" i="9"/>
  <c r="BG89" i="9"/>
  <c r="BE89" i="9"/>
  <c r="AR89" i="9"/>
  <c r="AQ89" i="9"/>
  <c r="AP89" i="9"/>
  <c r="AN89" i="9"/>
  <c r="AE89" i="9"/>
  <c r="AG89" i="9" s="1"/>
  <c r="CE88" i="9"/>
  <c r="CD88" i="9"/>
  <c r="CC88" i="9"/>
  <c r="CB88" i="9"/>
  <c r="BX88" i="9" s="1"/>
  <c r="BZ88" i="9"/>
  <c r="BY88" i="9"/>
  <c r="BW88" i="9"/>
  <c r="BP88" i="9"/>
  <c r="DH88" i="9" s="1"/>
  <c r="BK88" i="9"/>
  <c r="BQ88" i="9" s="1"/>
  <c r="BJ88" i="9"/>
  <c r="BH88" i="9"/>
  <c r="BG88" i="9"/>
  <c r="BE88" i="9"/>
  <c r="AR88" i="9"/>
  <c r="AQ88" i="9"/>
  <c r="AP88" i="9"/>
  <c r="AN88" i="9"/>
  <c r="AE88" i="9"/>
  <c r="AG88" i="9" s="1"/>
  <c r="CE87" i="9"/>
  <c r="CD87" i="9"/>
  <c r="CC87" i="9"/>
  <c r="CB87" i="9"/>
  <c r="BX87" i="9" s="1"/>
  <c r="BZ87" i="9"/>
  <c r="BY87" i="9"/>
  <c r="BW87" i="9"/>
  <c r="BP87" i="9"/>
  <c r="DH87" i="9" s="1"/>
  <c r="BK87" i="9"/>
  <c r="BQ87" i="9" s="1"/>
  <c r="BJ87" i="9"/>
  <c r="BH87" i="9"/>
  <c r="BG87" i="9"/>
  <c r="BE87" i="9"/>
  <c r="AR87" i="9"/>
  <c r="AQ87" i="9"/>
  <c r="AP87" i="9"/>
  <c r="AN87" i="9"/>
  <c r="AE87" i="9"/>
  <c r="AG87" i="9" s="1"/>
  <c r="CE86" i="9"/>
  <c r="CD86" i="9"/>
  <c r="CC86" i="9"/>
  <c r="CB86" i="9"/>
  <c r="BX86" i="9" s="1"/>
  <c r="BZ86" i="9"/>
  <c r="BY86" i="9"/>
  <c r="BW86" i="9"/>
  <c r="BP86" i="9"/>
  <c r="DH86" i="9" s="1"/>
  <c r="BK86" i="9"/>
  <c r="BQ86" i="9" s="1"/>
  <c r="BJ86" i="9"/>
  <c r="BH86" i="9"/>
  <c r="BG86" i="9"/>
  <c r="BE86" i="9"/>
  <c r="AR86" i="9"/>
  <c r="AQ86" i="9"/>
  <c r="AP86" i="9"/>
  <c r="AN86" i="9"/>
  <c r="AE86" i="9"/>
  <c r="AG86" i="9" s="1"/>
  <c r="CE85" i="9"/>
  <c r="CD85" i="9"/>
  <c r="CC85" i="9"/>
  <c r="CB85" i="9"/>
  <c r="BX85" i="9" s="1"/>
  <c r="BZ85" i="9"/>
  <c r="BY85" i="9"/>
  <c r="BW85" i="9"/>
  <c r="BP85" i="9"/>
  <c r="DH85" i="9" s="1"/>
  <c r="BK85" i="9"/>
  <c r="BQ85" i="9" s="1"/>
  <c r="B687" i="9" s="1"/>
  <c r="BJ85" i="9"/>
  <c r="BH85" i="9"/>
  <c r="B670" i="9" s="1"/>
  <c r="BG85" i="9"/>
  <c r="BE85" i="9"/>
  <c r="AR85" i="9"/>
  <c r="AQ85" i="9"/>
  <c r="AP85" i="9"/>
  <c r="AN85" i="9"/>
  <c r="AE85" i="9"/>
  <c r="AG85" i="9" s="1"/>
  <c r="CE84" i="9"/>
  <c r="CD84" i="9"/>
  <c r="CC84" i="9"/>
  <c r="CB84" i="9"/>
  <c r="BX84" i="9" s="1"/>
  <c r="BZ84" i="9"/>
  <c r="BY84" i="9"/>
  <c r="BW84" i="9"/>
  <c r="BP84" i="9"/>
  <c r="DH84" i="9" s="1"/>
  <c r="BK84" i="9"/>
  <c r="BR84" i="9" s="1"/>
  <c r="BJ84" i="9"/>
  <c r="BH84" i="9"/>
  <c r="BG84" i="9"/>
  <c r="BE84" i="9"/>
  <c r="AR84" i="9"/>
  <c r="AQ84" i="9"/>
  <c r="AP84" i="9"/>
  <c r="AN84" i="9"/>
  <c r="AE84" i="9"/>
  <c r="AG84" i="9" s="1"/>
  <c r="CE83" i="9"/>
  <c r="CD83" i="9"/>
  <c r="CC83" i="9"/>
  <c r="CB83" i="9"/>
  <c r="BX83" i="9" s="1"/>
  <c r="BZ83" i="9"/>
  <c r="BY83" i="9"/>
  <c r="BW83" i="9"/>
  <c r="BP83" i="9"/>
  <c r="DH83" i="9" s="1"/>
  <c r="BK83" i="9"/>
  <c r="BR83" i="9" s="1"/>
  <c r="BJ83" i="9"/>
  <c r="BH83" i="9"/>
  <c r="BG83" i="9"/>
  <c r="BE83" i="9"/>
  <c r="AR83" i="9"/>
  <c r="AQ83" i="9"/>
  <c r="AP83" i="9"/>
  <c r="AN83" i="9"/>
  <c r="AE83" i="9"/>
  <c r="AG83" i="9" s="1"/>
  <c r="CE82" i="9"/>
  <c r="CD82" i="9"/>
  <c r="CC82" i="9"/>
  <c r="CB82" i="9"/>
  <c r="BX82" i="9" s="1"/>
  <c r="BZ82" i="9"/>
  <c r="BY82" i="9"/>
  <c r="BW82" i="9"/>
  <c r="BP82" i="9"/>
  <c r="DH82" i="9" s="1"/>
  <c r="BK82" i="9"/>
  <c r="BR82" i="9" s="1"/>
  <c r="BJ82" i="9"/>
  <c r="BH82" i="9"/>
  <c r="BG82" i="9"/>
  <c r="BE82" i="9"/>
  <c r="AR82" i="9"/>
  <c r="AQ82" i="9"/>
  <c r="AP82" i="9"/>
  <c r="AN82" i="9"/>
  <c r="AE82" i="9"/>
  <c r="AG82" i="9" s="1"/>
  <c r="CE81" i="9"/>
  <c r="CD81" i="9"/>
  <c r="CC81" i="9"/>
  <c r="CB81" i="9"/>
  <c r="BX81" i="9" s="1"/>
  <c r="BZ81" i="9"/>
  <c r="BY81" i="9"/>
  <c r="BW81" i="9"/>
  <c r="BP81" i="9"/>
  <c r="DH81" i="9" s="1"/>
  <c r="BK81" i="9"/>
  <c r="BR81" i="9" s="1"/>
  <c r="BJ81" i="9"/>
  <c r="BH81" i="9"/>
  <c r="BG81" i="9"/>
  <c r="BE81" i="9"/>
  <c r="AR81" i="9"/>
  <c r="AQ81" i="9"/>
  <c r="AP81" i="9"/>
  <c r="AN81" i="9"/>
  <c r="AE81" i="9"/>
  <c r="AG81" i="9" s="1"/>
  <c r="CE80" i="9"/>
  <c r="CD80" i="9"/>
  <c r="CC80" i="9"/>
  <c r="CB80" i="9"/>
  <c r="BX80" i="9" s="1"/>
  <c r="BZ80" i="9"/>
  <c r="BY80" i="9"/>
  <c r="BW80" i="9"/>
  <c r="BP80" i="9"/>
  <c r="DH80" i="9" s="1"/>
  <c r="BK80" i="9"/>
  <c r="BR80" i="9" s="1"/>
  <c r="BJ80" i="9"/>
  <c r="BH80" i="9"/>
  <c r="BG80" i="9"/>
  <c r="BE80" i="9"/>
  <c r="AR80" i="9"/>
  <c r="AQ80" i="9"/>
  <c r="AP80" i="9"/>
  <c r="AN80" i="9"/>
  <c r="AE80" i="9"/>
  <c r="AG80" i="9" s="1"/>
  <c r="CE79" i="9"/>
  <c r="CD79" i="9"/>
  <c r="CC79" i="9"/>
  <c r="CB79" i="9"/>
  <c r="BX79" i="9" s="1"/>
  <c r="BZ79" i="9"/>
  <c r="BY79" i="9"/>
  <c r="BW79" i="9"/>
  <c r="BP79" i="9"/>
  <c r="DH79" i="9" s="1"/>
  <c r="BK79" i="9"/>
  <c r="BR79" i="9" s="1"/>
  <c r="BJ79" i="9"/>
  <c r="BH79" i="9"/>
  <c r="BG79" i="9"/>
  <c r="BE79" i="9"/>
  <c r="AR79" i="9"/>
  <c r="AQ79" i="9"/>
  <c r="AP79" i="9"/>
  <c r="AN79" i="9"/>
  <c r="AE79" i="9"/>
  <c r="AG79" i="9" s="1"/>
  <c r="CE78" i="9"/>
  <c r="CD78" i="9"/>
  <c r="CC78" i="9"/>
  <c r="CB78" i="9"/>
  <c r="BX78" i="9" s="1"/>
  <c r="BZ78" i="9"/>
  <c r="BY78" i="9"/>
  <c r="BW78" i="9"/>
  <c r="BP78" i="9"/>
  <c r="BK78" i="9"/>
  <c r="BQ78" i="9" s="1"/>
  <c r="BJ78" i="9"/>
  <c r="BH78" i="9"/>
  <c r="B669" i="9" s="1"/>
  <c r="BG78" i="9"/>
  <c r="BE78" i="9"/>
  <c r="AR78" i="9"/>
  <c r="AQ78" i="9"/>
  <c r="AP78" i="9"/>
  <c r="AN78" i="9"/>
  <c r="AE78" i="9"/>
  <c r="AG78" i="9" s="1"/>
  <c r="CE77" i="9"/>
  <c r="CD77" i="9"/>
  <c r="CC77" i="9"/>
  <c r="CB77" i="9"/>
  <c r="BX77" i="9" s="1"/>
  <c r="BZ77" i="9"/>
  <c r="BY77" i="9"/>
  <c r="BW77" i="9"/>
  <c r="BP77" i="9"/>
  <c r="DH77" i="9" s="1"/>
  <c r="BK77" i="9"/>
  <c r="BQ77" i="9" s="1"/>
  <c r="BJ77" i="9"/>
  <c r="BH77" i="9"/>
  <c r="BG77" i="9"/>
  <c r="BE77" i="9"/>
  <c r="AR77" i="9"/>
  <c r="AQ77" i="9"/>
  <c r="AP77" i="9"/>
  <c r="AN77" i="9"/>
  <c r="AE77" i="9"/>
  <c r="AG77" i="9" s="1"/>
  <c r="CE76" i="9"/>
  <c r="CD76" i="9"/>
  <c r="CC76" i="9"/>
  <c r="CB76" i="9"/>
  <c r="BX76" i="9" s="1"/>
  <c r="BZ76" i="9"/>
  <c r="BY76" i="9"/>
  <c r="BW76" i="9"/>
  <c r="BP76" i="9"/>
  <c r="DH76" i="9" s="1"/>
  <c r="BK76" i="9"/>
  <c r="BQ76" i="9" s="1"/>
  <c r="BJ76" i="9"/>
  <c r="BH76" i="9"/>
  <c r="BG76" i="9"/>
  <c r="BE76" i="9"/>
  <c r="AR76" i="9"/>
  <c r="AQ76" i="9"/>
  <c r="AP76" i="9"/>
  <c r="AN76" i="9"/>
  <c r="AE76" i="9"/>
  <c r="AG76" i="9" s="1"/>
  <c r="CE75" i="9"/>
  <c r="CD75" i="9"/>
  <c r="CC75" i="9"/>
  <c r="CB75" i="9"/>
  <c r="BX75" i="9" s="1"/>
  <c r="BZ75" i="9"/>
  <c r="BY75" i="9"/>
  <c r="BW75" i="9"/>
  <c r="BP75" i="9"/>
  <c r="DH75" i="9" s="1"/>
  <c r="BK75" i="9"/>
  <c r="BQ75" i="9" s="1"/>
  <c r="BJ75" i="9"/>
  <c r="BH75" i="9"/>
  <c r="BG75" i="9"/>
  <c r="BE75" i="9"/>
  <c r="AR75" i="9"/>
  <c r="AQ75" i="9"/>
  <c r="AP75" i="9"/>
  <c r="AN75" i="9"/>
  <c r="AE75" i="9"/>
  <c r="AG75" i="9" s="1"/>
  <c r="CE74" i="9"/>
  <c r="CD74" i="9"/>
  <c r="CC74" i="9"/>
  <c r="CB74" i="9"/>
  <c r="BX74" i="9" s="1"/>
  <c r="BZ74" i="9"/>
  <c r="BY74" i="9"/>
  <c r="BW74" i="9"/>
  <c r="BP74" i="9"/>
  <c r="DH74" i="9" s="1"/>
  <c r="BK74" i="9"/>
  <c r="BQ74" i="9" s="1"/>
  <c r="BJ74" i="9"/>
  <c r="BH74" i="9"/>
  <c r="BG74" i="9"/>
  <c r="BE74" i="9"/>
  <c r="AR74" i="9"/>
  <c r="AQ74" i="9"/>
  <c r="AP74" i="9"/>
  <c r="AN74" i="9"/>
  <c r="AE74" i="9"/>
  <c r="AG74" i="9" s="1"/>
  <c r="CE73" i="9"/>
  <c r="CD73" i="9"/>
  <c r="CC73" i="9"/>
  <c r="CB73" i="9"/>
  <c r="BX73" i="9" s="1"/>
  <c r="BZ73" i="9"/>
  <c r="BY73" i="9"/>
  <c r="BW73" i="9"/>
  <c r="BP73" i="9"/>
  <c r="DH73" i="9" s="1"/>
  <c r="BK73" i="9"/>
  <c r="BQ73" i="9" s="1"/>
  <c r="BJ73" i="9"/>
  <c r="BH73" i="9"/>
  <c r="BG73" i="9"/>
  <c r="BE73" i="9"/>
  <c r="AR73" i="9"/>
  <c r="AQ73" i="9"/>
  <c r="AP73" i="9"/>
  <c r="AN73" i="9"/>
  <c r="AE73" i="9"/>
  <c r="AG73" i="9" s="1"/>
  <c r="CE72" i="9"/>
  <c r="CD72" i="9"/>
  <c r="CC72" i="9"/>
  <c r="CB72" i="9"/>
  <c r="BX72" i="9" s="1"/>
  <c r="BZ72" i="9"/>
  <c r="BY72" i="9"/>
  <c r="BW72" i="9"/>
  <c r="BP72" i="9"/>
  <c r="DH72" i="9" s="1"/>
  <c r="BK72" i="9"/>
  <c r="BQ72" i="9" s="1"/>
  <c r="BJ72" i="9"/>
  <c r="BH72" i="9"/>
  <c r="BG72" i="9"/>
  <c r="BE72" i="9"/>
  <c r="AR72" i="9"/>
  <c r="AQ72" i="9"/>
  <c r="AP72" i="9"/>
  <c r="AN72" i="9"/>
  <c r="AE72" i="9"/>
  <c r="AG72" i="9" s="1"/>
  <c r="CE71" i="9"/>
  <c r="CD71" i="9"/>
  <c r="CC71" i="9"/>
  <c r="CB71" i="9"/>
  <c r="BX71" i="9" s="1"/>
  <c r="BZ71" i="9"/>
  <c r="BY71" i="9"/>
  <c r="BW71" i="9"/>
  <c r="BP71" i="9"/>
  <c r="BK71" i="9"/>
  <c r="BQ71" i="9" s="1"/>
  <c r="B685" i="9" s="1"/>
  <c r="BJ71" i="9"/>
  <c r="BH71" i="9"/>
  <c r="B668" i="9" s="1"/>
  <c r="BG71" i="9"/>
  <c r="BE71" i="9"/>
  <c r="AR71" i="9"/>
  <c r="AQ71" i="9"/>
  <c r="AP71" i="9"/>
  <c r="AN71" i="9"/>
  <c r="AE71" i="9"/>
  <c r="AG71" i="9" s="1"/>
  <c r="CE70" i="9"/>
  <c r="CD70" i="9"/>
  <c r="CC70" i="9"/>
  <c r="CB70" i="9"/>
  <c r="BX70" i="9" s="1"/>
  <c r="BZ70" i="9"/>
  <c r="BY70" i="9"/>
  <c r="BW70" i="9"/>
  <c r="BP70" i="9"/>
  <c r="DH70" i="9" s="1"/>
  <c r="BK70" i="9"/>
  <c r="BQ70" i="9" s="1"/>
  <c r="BJ70" i="9"/>
  <c r="BH70" i="9"/>
  <c r="BG70" i="9"/>
  <c r="BE70" i="9"/>
  <c r="AR70" i="9"/>
  <c r="AQ70" i="9"/>
  <c r="AP70" i="9"/>
  <c r="AN70" i="9"/>
  <c r="AE70" i="9"/>
  <c r="AG70" i="9" s="1"/>
  <c r="CE69" i="9"/>
  <c r="CD69" i="9"/>
  <c r="CC69" i="9"/>
  <c r="CB69" i="9"/>
  <c r="BX69" i="9" s="1"/>
  <c r="BZ69" i="9"/>
  <c r="BY69" i="9"/>
  <c r="BW69" i="9"/>
  <c r="BP69" i="9"/>
  <c r="DH69" i="9" s="1"/>
  <c r="BK69" i="9"/>
  <c r="BQ69" i="9" s="1"/>
  <c r="BJ69" i="9"/>
  <c r="BH69" i="9"/>
  <c r="BG69" i="9"/>
  <c r="BE69" i="9"/>
  <c r="AR69" i="9"/>
  <c r="AQ69" i="9"/>
  <c r="AP69" i="9"/>
  <c r="AN69" i="9"/>
  <c r="AE69" i="9"/>
  <c r="AG69" i="9" s="1"/>
  <c r="CE68" i="9"/>
  <c r="CD68" i="9"/>
  <c r="CC68" i="9"/>
  <c r="CB68" i="9"/>
  <c r="BX68" i="9" s="1"/>
  <c r="BZ68" i="9"/>
  <c r="BY68" i="9"/>
  <c r="BW68" i="9"/>
  <c r="BP68" i="9"/>
  <c r="DH68" i="9" s="1"/>
  <c r="BK68" i="9"/>
  <c r="BQ68" i="9" s="1"/>
  <c r="BJ68" i="9"/>
  <c r="BH68" i="9"/>
  <c r="BG68" i="9"/>
  <c r="BE68" i="9"/>
  <c r="AR68" i="9"/>
  <c r="AQ68" i="9"/>
  <c r="AP68" i="9"/>
  <c r="AN68" i="9"/>
  <c r="AE68" i="9"/>
  <c r="AG68" i="9" s="1"/>
  <c r="CE67" i="9"/>
  <c r="CD67" i="9"/>
  <c r="CC67" i="9"/>
  <c r="CB67" i="9"/>
  <c r="BX67" i="9" s="1"/>
  <c r="BZ67" i="9"/>
  <c r="BY67" i="9"/>
  <c r="BW67" i="9"/>
  <c r="BP67" i="9"/>
  <c r="DH67" i="9" s="1"/>
  <c r="BK67" i="9"/>
  <c r="BQ67" i="9" s="1"/>
  <c r="BJ67" i="9"/>
  <c r="BH67" i="9"/>
  <c r="BG67" i="9"/>
  <c r="BE67" i="9"/>
  <c r="AR67" i="9"/>
  <c r="AQ67" i="9"/>
  <c r="AP67" i="9"/>
  <c r="AN67" i="9"/>
  <c r="AE67" i="9"/>
  <c r="AG67" i="9" s="1"/>
  <c r="CE66" i="9"/>
  <c r="CD66" i="9"/>
  <c r="CC66" i="9"/>
  <c r="CB66" i="9"/>
  <c r="BX66" i="9" s="1"/>
  <c r="BZ66" i="9"/>
  <c r="BY66" i="9"/>
  <c r="BW66" i="9"/>
  <c r="BP66" i="9"/>
  <c r="DH66" i="9" s="1"/>
  <c r="BK66" i="9"/>
  <c r="BQ66" i="9" s="1"/>
  <c r="BJ66" i="9"/>
  <c r="BH66" i="9"/>
  <c r="BG66" i="9"/>
  <c r="BE66" i="9"/>
  <c r="AR66" i="9"/>
  <c r="AQ66" i="9"/>
  <c r="AP66" i="9"/>
  <c r="AN66" i="9"/>
  <c r="AE66" i="9"/>
  <c r="AG66" i="9" s="1"/>
  <c r="CE65" i="9"/>
  <c r="CD65" i="9"/>
  <c r="CC65" i="9"/>
  <c r="CB65" i="9"/>
  <c r="BX65" i="9" s="1"/>
  <c r="BZ65" i="9"/>
  <c r="BY65" i="9"/>
  <c r="BW65" i="9"/>
  <c r="BP65" i="9"/>
  <c r="DH65" i="9" s="1"/>
  <c r="BK65" i="9"/>
  <c r="BQ65" i="9" s="1"/>
  <c r="BJ65" i="9"/>
  <c r="BH65" i="9"/>
  <c r="BG65" i="9"/>
  <c r="BE65" i="9"/>
  <c r="AR65" i="9"/>
  <c r="AQ65" i="9"/>
  <c r="AP65" i="9"/>
  <c r="AN65" i="9"/>
  <c r="AE65" i="9"/>
  <c r="AG65" i="9" s="1"/>
  <c r="CE64" i="9"/>
  <c r="CD64" i="9"/>
  <c r="CC64" i="9"/>
  <c r="CB64" i="9"/>
  <c r="BX64" i="9" s="1"/>
  <c r="BZ64" i="9"/>
  <c r="BY64" i="9"/>
  <c r="BW64" i="9"/>
  <c r="BP64" i="9"/>
  <c r="BK64" i="9"/>
  <c r="BQ64" i="9" s="1"/>
  <c r="BJ64" i="9"/>
  <c r="BH64" i="9"/>
  <c r="B667" i="9" s="1"/>
  <c r="BG64" i="9"/>
  <c r="BE64" i="9"/>
  <c r="AR64" i="9"/>
  <c r="AQ64" i="9"/>
  <c r="AP64" i="9"/>
  <c r="AN64" i="9"/>
  <c r="AE64" i="9"/>
  <c r="AG64" i="9" s="1"/>
  <c r="CE63" i="9"/>
  <c r="CD63" i="9"/>
  <c r="CC63" i="9"/>
  <c r="CB63" i="9"/>
  <c r="BX63" i="9" s="1"/>
  <c r="BZ63" i="9"/>
  <c r="BY63" i="9"/>
  <c r="BW63" i="9"/>
  <c r="BP63" i="9"/>
  <c r="DH63" i="9" s="1"/>
  <c r="BK63" i="9"/>
  <c r="BQ63" i="9" s="1"/>
  <c r="BJ63" i="9"/>
  <c r="BH63" i="9"/>
  <c r="BG63" i="9"/>
  <c r="BE63" i="9"/>
  <c r="AR63" i="9"/>
  <c r="AQ63" i="9"/>
  <c r="AP63" i="9"/>
  <c r="AN63" i="9"/>
  <c r="AE63" i="9"/>
  <c r="AG63" i="9" s="1"/>
  <c r="CE62" i="9"/>
  <c r="CD62" i="9"/>
  <c r="CC62" i="9"/>
  <c r="CB62" i="9"/>
  <c r="BX62" i="9" s="1"/>
  <c r="BZ62" i="9"/>
  <c r="BY62" i="9"/>
  <c r="BW62" i="9"/>
  <c r="BP62" i="9"/>
  <c r="DH62" i="9" s="1"/>
  <c r="BK62" i="9"/>
  <c r="BQ62" i="9" s="1"/>
  <c r="BJ62" i="9"/>
  <c r="BH62" i="9"/>
  <c r="BG62" i="9"/>
  <c r="BE62" i="9"/>
  <c r="AR62" i="9"/>
  <c r="AQ62" i="9"/>
  <c r="AP62" i="9"/>
  <c r="AN62" i="9"/>
  <c r="AE62" i="9"/>
  <c r="AG62" i="9" s="1"/>
  <c r="CE61" i="9"/>
  <c r="CD61" i="9"/>
  <c r="CC61" i="9"/>
  <c r="CB61" i="9"/>
  <c r="BX61" i="9" s="1"/>
  <c r="BZ61" i="9"/>
  <c r="BY61" i="9"/>
  <c r="BW61" i="9"/>
  <c r="BP61" i="9"/>
  <c r="DH61" i="9" s="1"/>
  <c r="BK61" i="9"/>
  <c r="BQ61" i="9" s="1"/>
  <c r="BJ61" i="9"/>
  <c r="BH61" i="9"/>
  <c r="BG61" i="9"/>
  <c r="BE61" i="9"/>
  <c r="AR61" i="9"/>
  <c r="AQ61" i="9"/>
  <c r="AP61" i="9"/>
  <c r="AN61" i="9"/>
  <c r="AE61" i="9"/>
  <c r="AG61" i="9" s="1"/>
  <c r="CE60" i="9"/>
  <c r="CD60" i="9"/>
  <c r="CC60" i="9"/>
  <c r="CB60" i="9"/>
  <c r="BX60" i="9" s="1"/>
  <c r="BZ60" i="9"/>
  <c r="BY60" i="9"/>
  <c r="BW60" i="9"/>
  <c r="BP60" i="9"/>
  <c r="DH60" i="9" s="1"/>
  <c r="BK60" i="9"/>
  <c r="BQ60" i="9" s="1"/>
  <c r="BJ60" i="9"/>
  <c r="BH60" i="9"/>
  <c r="BG60" i="9"/>
  <c r="BE60" i="9"/>
  <c r="AR60" i="9"/>
  <c r="AQ60" i="9"/>
  <c r="AP60" i="9"/>
  <c r="AN60" i="9"/>
  <c r="AE60" i="9"/>
  <c r="AG60" i="9" s="1"/>
  <c r="CE59" i="9"/>
  <c r="CD59" i="9"/>
  <c r="CC59" i="9"/>
  <c r="CB59" i="9"/>
  <c r="BX59" i="9" s="1"/>
  <c r="BZ59" i="9"/>
  <c r="BY59" i="9"/>
  <c r="BW59" i="9"/>
  <c r="BP59" i="9"/>
  <c r="DH59" i="9" s="1"/>
  <c r="BK59" i="9"/>
  <c r="BQ59" i="9" s="1"/>
  <c r="BJ59" i="9"/>
  <c r="BH59" i="9"/>
  <c r="BG59" i="9"/>
  <c r="BE59" i="9"/>
  <c r="AR59" i="9"/>
  <c r="AQ59" i="9"/>
  <c r="AP59" i="9"/>
  <c r="AN59" i="9"/>
  <c r="AE59" i="9"/>
  <c r="AG59" i="9" s="1"/>
  <c r="CE58" i="9"/>
  <c r="CD58" i="9"/>
  <c r="CC58" i="9"/>
  <c r="CB58" i="9"/>
  <c r="BX58" i="9" s="1"/>
  <c r="BZ58" i="9"/>
  <c r="BY58" i="9"/>
  <c r="BW58" i="9"/>
  <c r="BP58" i="9"/>
  <c r="DH58" i="9" s="1"/>
  <c r="BK58" i="9"/>
  <c r="BQ58" i="9" s="1"/>
  <c r="BJ58" i="9"/>
  <c r="BH58" i="9"/>
  <c r="BG58" i="9"/>
  <c r="BE58" i="9"/>
  <c r="AR58" i="9"/>
  <c r="AQ58" i="9"/>
  <c r="AP58" i="9"/>
  <c r="AN58" i="9"/>
  <c r="AE58" i="9"/>
  <c r="AG58" i="9" s="1"/>
  <c r="CE57" i="9"/>
  <c r="CD57" i="9"/>
  <c r="CC57" i="9"/>
  <c r="CB57" i="9"/>
  <c r="BX57" i="9" s="1"/>
  <c r="BZ57" i="9"/>
  <c r="BY57" i="9"/>
  <c r="BW57" i="9"/>
  <c r="BP57" i="9"/>
  <c r="DH57" i="9" s="1"/>
  <c r="BK57" i="9"/>
  <c r="BQ57" i="9" s="1"/>
  <c r="B683" i="9" s="1"/>
  <c r="BJ57" i="9"/>
  <c r="BH57" i="9"/>
  <c r="B666" i="9" s="1"/>
  <c r="BG57" i="9"/>
  <c r="BE57" i="9"/>
  <c r="AR57" i="9"/>
  <c r="AQ57" i="9"/>
  <c r="AP57" i="9"/>
  <c r="AN57" i="9"/>
  <c r="AE57" i="9"/>
  <c r="AG57" i="9" s="1"/>
  <c r="CE56" i="9"/>
  <c r="CD56" i="9"/>
  <c r="CC56" i="9"/>
  <c r="CB56" i="9"/>
  <c r="BX56" i="9" s="1"/>
  <c r="BZ56" i="9"/>
  <c r="BY56" i="9"/>
  <c r="BW56" i="9"/>
  <c r="BP56" i="9"/>
  <c r="DH56" i="9" s="1"/>
  <c r="BK56" i="9"/>
  <c r="BQ56" i="9" s="1"/>
  <c r="BJ56" i="9"/>
  <c r="BH56" i="9"/>
  <c r="BG56" i="9"/>
  <c r="BE56" i="9"/>
  <c r="AR56" i="9"/>
  <c r="AQ56" i="9"/>
  <c r="AP56" i="9"/>
  <c r="AN56" i="9"/>
  <c r="AE56" i="9"/>
  <c r="AG56" i="9" s="1"/>
  <c r="CE55" i="9"/>
  <c r="CD55" i="9"/>
  <c r="CC55" i="9"/>
  <c r="CB55" i="9"/>
  <c r="BX55" i="9" s="1"/>
  <c r="BZ55" i="9"/>
  <c r="BY55" i="9"/>
  <c r="BW55" i="9"/>
  <c r="BP55" i="9"/>
  <c r="DH55" i="9" s="1"/>
  <c r="BK55" i="9"/>
  <c r="BQ55" i="9" s="1"/>
  <c r="BJ55" i="9"/>
  <c r="BH55" i="9"/>
  <c r="BG55" i="9"/>
  <c r="BE55" i="9"/>
  <c r="AR55" i="9"/>
  <c r="AQ55" i="9"/>
  <c r="AP55" i="9"/>
  <c r="AN55" i="9"/>
  <c r="AE55" i="9"/>
  <c r="AG55" i="9" s="1"/>
  <c r="CE54" i="9"/>
  <c r="CD54" i="9"/>
  <c r="CC54" i="9"/>
  <c r="CB54" i="9"/>
  <c r="BX54" i="9" s="1"/>
  <c r="BZ54" i="9"/>
  <c r="BY54" i="9"/>
  <c r="BW54" i="9"/>
  <c r="BP54" i="9"/>
  <c r="DH54" i="9" s="1"/>
  <c r="BK54" i="9"/>
  <c r="BQ54" i="9" s="1"/>
  <c r="BJ54" i="9"/>
  <c r="BH54" i="9"/>
  <c r="BG54" i="9"/>
  <c r="BE54" i="9"/>
  <c r="AR54" i="9"/>
  <c r="AQ54" i="9"/>
  <c r="AP54" i="9"/>
  <c r="AN54" i="9"/>
  <c r="AE54" i="9"/>
  <c r="AG54" i="9" s="1"/>
  <c r="CE53" i="9"/>
  <c r="CD53" i="9"/>
  <c r="CC53" i="9"/>
  <c r="CB53" i="9"/>
  <c r="BX53" i="9" s="1"/>
  <c r="BZ53" i="9"/>
  <c r="BY53" i="9"/>
  <c r="BW53" i="9"/>
  <c r="BP53" i="9"/>
  <c r="DH53" i="9" s="1"/>
  <c r="BK53" i="9"/>
  <c r="BQ53" i="9" s="1"/>
  <c r="BJ53" i="9"/>
  <c r="BH53" i="9"/>
  <c r="BG53" i="9"/>
  <c r="BE53" i="9"/>
  <c r="AR53" i="9"/>
  <c r="AQ53" i="9"/>
  <c r="AP53" i="9"/>
  <c r="AN53" i="9"/>
  <c r="AE53" i="9"/>
  <c r="AG53" i="9" s="1"/>
  <c r="CE52" i="9"/>
  <c r="CD52" i="9"/>
  <c r="CC52" i="9"/>
  <c r="CB52" i="9"/>
  <c r="BX52" i="9" s="1"/>
  <c r="BZ52" i="9"/>
  <c r="BY52" i="9"/>
  <c r="BW52" i="9"/>
  <c r="BP52" i="9"/>
  <c r="DH52" i="9" s="1"/>
  <c r="BK52" i="9"/>
  <c r="BQ52" i="9" s="1"/>
  <c r="BJ52" i="9"/>
  <c r="BH52" i="9"/>
  <c r="BG52" i="9"/>
  <c r="BE52" i="9"/>
  <c r="AR52" i="9"/>
  <c r="AQ52" i="9"/>
  <c r="AP52" i="9"/>
  <c r="AN52" i="9"/>
  <c r="AE52" i="9"/>
  <c r="AG52" i="9" s="1"/>
  <c r="CE51" i="9"/>
  <c r="CD51" i="9"/>
  <c r="CC51" i="9"/>
  <c r="CB51" i="9"/>
  <c r="BX51" i="9" s="1"/>
  <c r="BZ51" i="9"/>
  <c r="BY51" i="9"/>
  <c r="BW51" i="9"/>
  <c r="BP51" i="9"/>
  <c r="DH51" i="9" s="1"/>
  <c r="BK51" i="9"/>
  <c r="BQ51" i="9" s="1"/>
  <c r="BJ51" i="9"/>
  <c r="BH51" i="9"/>
  <c r="BG51" i="9"/>
  <c r="BE51" i="9"/>
  <c r="AR51" i="9"/>
  <c r="AQ51" i="9"/>
  <c r="AP51" i="9"/>
  <c r="AN51" i="9"/>
  <c r="AE51" i="9"/>
  <c r="AG51" i="9" s="1"/>
  <c r="CE50" i="9"/>
  <c r="CD50" i="9"/>
  <c r="CC50" i="9"/>
  <c r="CB50" i="9"/>
  <c r="BX50" i="9" s="1"/>
  <c r="BZ50" i="9"/>
  <c r="BY50" i="9"/>
  <c r="BW50" i="9"/>
  <c r="BP50" i="9"/>
  <c r="DH50" i="9" s="1"/>
  <c r="BK50" i="9"/>
  <c r="BQ50" i="9" s="1"/>
  <c r="BJ50" i="9"/>
  <c r="BH50" i="9"/>
  <c r="B665" i="9" s="1"/>
  <c r="BG50" i="9"/>
  <c r="BE50" i="9"/>
  <c r="AR50" i="9"/>
  <c r="AQ50" i="9"/>
  <c r="AP50" i="9"/>
  <c r="AN50" i="9"/>
  <c r="AE50" i="9"/>
  <c r="AG50" i="9" s="1"/>
  <c r="CE49" i="9"/>
  <c r="CD49" i="9"/>
  <c r="CC49" i="9"/>
  <c r="CB49" i="9"/>
  <c r="BX49" i="9" s="1"/>
  <c r="BZ49" i="9"/>
  <c r="BY49" i="9"/>
  <c r="BW49" i="9"/>
  <c r="BP49" i="9"/>
  <c r="DH49" i="9" s="1"/>
  <c r="BK49" i="9"/>
  <c r="BQ49" i="9" s="1"/>
  <c r="BJ49" i="9"/>
  <c r="BH49" i="9"/>
  <c r="BG49" i="9"/>
  <c r="BE49" i="9"/>
  <c r="AR49" i="9"/>
  <c r="AQ49" i="9"/>
  <c r="AP49" i="9"/>
  <c r="AN49" i="9"/>
  <c r="AE49" i="9"/>
  <c r="AG49" i="9" s="1"/>
  <c r="CE48" i="9"/>
  <c r="CD48" i="9"/>
  <c r="CC48" i="9"/>
  <c r="CB48" i="9"/>
  <c r="BX48" i="9" s="1"/>
  <c r="BZ48" i="9"/>
  <c r="BY48" i="9"/>
  <c r="BW48" i="9"/>
  <c r="BP48" i="9"/>
  <c r="DH48" i="9" s="1"/>
  <c r="BK48" i="9"/>
  <c r="BQ48" i="9" s="1"/>
  <c r="BJ48" i="9"/>
  <c r="BH48" i="9"/>
  <c r="BG48" i="9"/>
  <c r="BE48" i="9"/>
  <c r="AR48" i="9"/>
  <c r="AQ48" i="9"/>
  <c r="AP48" i="9"/>
  <c r="AN48" i="9"/>
  <c r="AE48" i="9"/>
  <c r="AG48" i="9" s="1"/>
  <c r="CE47" i="9"/>
  <c r="CD47" i="9"/>
  <c r="CC47" i="9"/>
  <c r="CB47" i="9"/>
  <c r="BX47" i="9" s="1"/>
  <c r="BZ47" i="9"/>
  <c r="BY47" i="9"/>
  <c r="BW47" i="9"/>
  <c r="BP47" i="9"/>
  <c r="DH47" i="9" s="1"/>
  <c r="BK47" i="9"/>
  <c r="BQ47" i="9" s="1"/>
  <c r="BJ47" i="9"/>
  <c r="BH47" i="9"/>
  <c r="BG47" i="9"/>
  <c r="BE47" i="9"/>
  <c r="AR47" i="9"/>
  <c r="AQ47" i="9"/>
  <c r="AP47" i="9"/>
  <c r="AN47" i="9"/>
  <c r="AE47" i="9"/>
  <c r="AG47" i="9" s="1"/>
  <c r="CE46" i="9"/>
  <c r="CD46" i="9"/>
  <c r="CC46" i="9"/>
  <c r="CB46" i="9"/>
  <c r="BX46" i="9" s="1"/>
  <c r="BZ46" i="9"/>
  <c r="BY46" i="9"/>
  <c r="BW46" i="9"/>
  <c r="BP46" i="9"/>
  <c r="DH46" i="9" s="1"/>
  <c r="BK46" i="9"/>
  <c r="BQ46" i="9" s="1"/>
  <c r="BJ46" i="9"/>
  <c r="BH46" i="9"/>
  <c r="BG46" i="9"/>
  <c r="BE46" i="9"/>
  <c r="AR46" i="9"/>
  <c r="AQ46" i="9"/>
  <c r="AP46" i="9"/>
  <c r="AN46" i="9"/>
  <c r="AE46" i="9"/>
  <c r="AG46" i="9" s="1"/>
  <c r="CE45" i="9"/>
  <c r="CD45" i="9"/>
  <c r="CC45" i="9"/>
  <c r="CB45" i="9"/>
  <c r="BX45" i="9" s="1"/>
  <c r="BZ45" i="9"/>
  <c r="BY45" i="9"/>
  <c r="BW45" i="9"/>
  <c r="BP45" i="9"/>
  <c r="DH45" i="9" s="1"/>
  <c r="BK45" i="9"/>
  <c r="BQ45" i="9" s="1"/>
  <c r="BJ45" i="9"/>
  <c r="BH45" i="9"/>
  <c r="BG45" i="9"/>
  <c r="BE45" i="9"/>
  <c r="AR45" i="9"/>
  <c r="AQ45" i="9"/>
  <c r="AP45" i="9"/>
  <c r="AN45" i="9"/>
  <c r="AE45" i="9"/>
  <c r="AG45" i="9" s="1"/>
  <c r="CE44" i="9"/>
  <c r="CD44" i="9"/>
  <c r="CC44" i="9"/>
  <c r="CB44" i="9"/>
  <c r="BX44" i="9" s="1"/>
  <c r="BZ44" i="9"/>
  <c r="BY44" i="9"/>
  <c r="BW44" i="9"/>
  <c r="BP44" i="9"/>
  <c r="DH44" i="9" s="1"/>
  <c r="BK44" i="9"/>
  <c r="BQ44" i="9" s="1"/>
  <c r="BJ44" i="9"/>
  <c r="BH44" i="9"/>
  <c r="BG44" i="9"/>
  <c r="BE44" i="9"/>
  <c r="AR44" i="9"/>
  <c r="AQ44" i="9"/>
  <c r="AP44" i="9"/>
  <c r="AN44" i="9"/>
  <c r="AE44" i="9"/>
  <c r="AG44" i="9" s="1"/>
  <c r="CE43" i="9"/>
  <c r="CD43" i="9"/>
  <c r="CC43" i="9"/>
  <c r="CB43" i="9"/>
  <c r="BX43" i="9" s="1"/>
  <c r="BZ43" i="9"/>
  <c r="BY43" i="9"/>
  <c r="BW43" i="9"/>
  <c r="BP43" i="9"/>
  <c r="BK43" i="9"/>
  <c r="BQ43" i="9" s="1"/>
  <c r="B681" i="9" s="1"/>
  <c r="BJ43" i="9"/>
  <c r="BH43" i="9"/>
  <c r="B664" i="9" s="1"/>
  <c r="BG43" i="9"/>
  <c r="BE43" i="9"/>
  <c r="AR43" i="9"/>
  <c r="AQ43" i="9"/>
  <c r="AP43" i="9"/>
  <c r="AN43" i="9"/>
  <c r="AE43" i="9"/>
  <c r="AG43" i="9" s="1"/>
  <c r="CE42" i="9"/>
  <c r="CD42" i="9"/>
  <c r="CC42" i="9"/>
  <c r="CB42" i="9"/>
  <c r="BX42" i="9" s="1"/>
  <c r="BZ42" i="9"/>
  <c r="BY42" i="9"/>
  <c r="BW42" i="9"/>
  <c r="BP42" i="9"/>
  <c r="DH42" i="9" s="1"/>
  <c r="BK42" i="9"/>
  <c r="BQ42" i="9" s="1"/>
  <c r="BJ42" i="9"/>
  <c r="BH42" i="9"/>
  <c r="BG42" i="9"/>
  <c r="BE42" i="9"/>
  <c r="AR42" i="9"/>
  <c r="AQ42" i="9"/>
  <c r="AP42" i="9"/>
  <c r="AN42" i="9"/>
  <c r="AE42" i="9"/>
  <c r="AG42" i="9" s="1"/>
  <c r="CE41" i="9"/>
  <c r="CD41" i="9"/>
  <c r="CC41" i="9"/>
  <c r="CB41" i="9"/>
  <c r="BX41" i="9" s="1"/>
  <c r="BZ41" i="9"/>
  <c r="BY41" i="9"/>
  <c r="BW41" i="9"/>
  <c r="BP41" i="9"/>
  <c r="DH41" i="9" s="1"/>
  <c r="BK41" i="9"/>
  <c r="BQ41" i="9" s="1"/>
  <c r="BJ41" i="9"/>
  <c r="BH41" i="9"/>
  <c r="BG41" i="9"/>
  <c r="BE41" i="9"/>
  <c r="AR41" i="9"/>
  <c r="AQ41" i="9"/>
  <c r="AP41" i="9"/>
  <c r="AN41" i="9"/>
  <c r="AE41" i="9"/>
  <c r="AG41" i="9" s="1"/>
  <c r="CE40" i="9"/>
  <c r="CD40" i="9"/>
  <c r="CC40" i="9"/>
  <c r="CB40" i="9"/>
  <c r="BX40" i="9" s="1"/>
  <c r="BZ40" i="9"/>
  <c r="BY40" i="9"/>
  <c r="BW40" i="9"/>
  <c r="BP40" i="9"/>
  <c r="DH40" i="9" s="1"/>
  <c r="BK40" i="9"/>
  <c r="BQ40" i="9" s="1"/>
  <c r="BJ40" i="9"/>
  <c r="BH40" i="9"/>
  <c r="BG40" i="9"/>
  <c r="BE40" i="9"/>
  <c r="AR40" i="9"/>
  <c r="AQ40" i="9"/>
  <c r="AP40" i="9"/>
  <c r="AN40" i="9"/>
  <c r="AE40" i="9"/>
  <c r="AG40" i="9" s="1"/>
  <c r="CE39" i="9"/>
  <c r="CD39" i="9"/>
  <c r="CC39" i="9"/>
  <c r="CB39" i="9"/>
  <c r="BX39" i="9" s="1"/>
  <c r="BZ39" i="9"/>
  <c r="BY39" i="9"/>
  <c r="BW39" i="9"/>
  <c r="BP39" i="9"/>
  <c r="DH39" i="9" s="1"/>
  <c r="BK39" i="9"/>
  <c r="BQ39" i="9" s="1"/>
  <c r="BJ39" i="9"/>
  <c r="BH39" i="9"/>
  <c r="BG39" i="9"/>
  <c r="BE39" i="9"/>
  <c r="AR39" i="9"/>
  <c r="AQ39" i="9"/>
  <c r="AP39" i="9"/>
  <c r="AN39" i="9"/>
  <c r="AE39" i="9"/>
  <c r="AG39" i="9" s="1"/>
  <c r="CE38" i="9"/>
  <c r="CD38" i="9"/>
  <c r="CC38" i="9"/>
  <c r="CB38" i="9"/>
  <c r="BX38" i="9" s="1"/>
  <c r="BZ38" i="9"/>
  <c r="BY38" i="9"/>
  <c r="BW38" i="9"/>
  <c r="BP38" i="9"/>
  <c r="DH38" i="9" s="1"/>
  <c r="BK38" i="9"/>
  <c r="BQ38" i="9" s="1"/>
  <c r="BJ38" i="9"/>
  <c r="BH38" i="9"/>
  <c r="BG38" i="9"/>
  <c r="BE38" i="9"/>
  <c r="AR38" i="9"/>
  <c r="AQ38" i="9"/>
  <c r="AP38" i="9"/>
  <c r="AN38" i="9"/>
  <c r="AE38" i="9"/>
  <c r="AG38" i="9" s="1"/>
  <c r="CE37" i="9"/>
  <c r="CD37" i="9"/>
  <c r="CC37" i="9"/>
  <c r="CB37" i="9"/>
  <c r="BX37" i="9" s="1"/>
  <c r="BZ37" i="9"/>
  <c r="BY37" i="9"/>
  <c r="BW37" i="9"/>
  <c r="BP37" i="9"/>
  <c r="DH37" i="9" s="1"/>
  <c r="BK37" i="9"/>
  <c r="BQ37" i="9" s="1"/>
  <c r="BJ37" i="9"/>
  <c r="BH37" i="9"/>
  <c r="BG37" i="9"/>
  <c r="BE37" i="9"/>
  <c r="AR37" i="9"/>
  <c r="AQ37" i="9"/>
  <c r="AP37" i="9"/>
  <c r="AN37" i="9"/>
  <c r="AE37" i="9"/>
  <c r="AG37" i="9" s="1"/>
  <c r="CC36" i="9"/>
  <c r="CB36" i="9"/>
  <c r="BZ36" i="9"/>
  <c r="BY36" i="9"/>
  <c r="BW36" i="9"/>
  <c r="BP36" i="9"/>
  <c r="BK36" i="9"/>
  <c r="BQ36" i="9" s="1"/>
  <c r="BJ36" i="9"/>
  <c r="AR36" i="9"/>
  <c r="AQ36" i="9"/>
  <c r="AP36" i="9"/>
  <c r="BE36" i="9" s="1"/>
  <c r="AN36" i="9"/>
  <c r="AE36" i="9"/>
  <c r="CC35" i="9"/>
  <c r="CB35" i="9"/>
  <c r="BZ35" i="9"/>
  <c r="BY35" i="9"/>
  <c r="BW35" i="9"/>
  <c r="BP35" i="9"/>
  <c r="BK35" i="9"/>
  <c r="BQ35" i="9" s="1"/>
  <c r="BJ35" i="9"/>
  <c r="AR35" i="9"/>
  <c r="AQ35" i="9"/>
  <c r="AP35" i="9"/>
  <c r="AN35" i="9"/>
  <c r="AE35" i="9"/>
  <c r="CC34" i="9"/>
  <c r="CB34" i="9"/>
  <c r="BZ34" i="9"/>
  <c r="BY34" i="9"/>
  <c r="BW34" i="9"/>
  <c r="BP34" i="9"/>
  <c r="BK34" i="9"/>
  <c r="BQ34" i="9" s="1"/>
  <c r="BJ34" i="9"/>
  <c r="AR34" i="9"/>
  <c r="AQ34" i="9"/>
  <c r="AP34" i="9"/>
  <c r="AN34" i="9"/>
  <c r="AE34" i="9"/>
  <c r="CC33" i="9"/>
  <c r="CB33" i="9"/>
  <c r="BZ33" i="9"/>
  <c r="BY33" i="9"/>
  <c r="BW33" i="9"/>
  <c r="BP33" i="9"/>
  <c r="BK33" i="9"/>
  <c r="BQ33" i="9" s="1"/>
  <c r="BJ33" i="9"/>
  <c r="AR33" i="9"/>
  <c r="AQ33" i="9"/>
  <c r="AP33" i="9"/>
  <c r="AN33" i="9"/>
  <c r="AE33" i="9"/>
  <c r="CC32" i="9"/>
  <c r="CB32" i="9"/>
  <c r="BZ32" i="9"/>
  <c r="BY32" i="9"/>
  <c r="BW32" i="9"/>
  <c r="BP32" i="9"/>
  <c r="BK32" i="9"/>
  <c r="BQ32" i="9" s="1"/>
  <c r="BJ32" i="9"/>
  <c r="AR32" i="9"/>
  <c r="AQ32" i="9"/>
  <c r="AP32" i="9"/>
  <c r="AN32" i="9"/>
  <c r="AE32" i="9"/>
  <c r="CC31" i="9"/>
  <c r="CB31" i="9"/>
  <c r="BZ31" i="9"/>
  <c r="BY31" i="9"/>
  <c r="BW31" i="9"/>
  <c r="BP31" i="9"/>
  <c r="BK31" i="9"/>
  <c r="BQ31" i="9" s="1"/>
  <c r="BJ31" i="9"/>
  <c r="AR31" i="9"/>
  <c r="AQ31" i="9"/>
  <c r="AP31" i="9"/>
  <c r="BE31" i="9" s="1"/>
  <c r="AN31" i="9"/>
  <c r="AE31" i="9"/>
  <c r="CE30" i="9"/>
  <c r="CC30" i="9"/>
  <c r="CB30" i="9"/>
  <c r="BZ30" i="9"/>
  <c r="BY30" i="9"/>
  <c r="BW30" i="9"/>
  <c r="BP30" i="9"/>
  <c r="BK30" i="9"/>
  <c r="BQ30" i="9" s="1"/>
  <c r="BJ30" i="9"/>
  <c r="AR30" i="9"/>
  <c r="AQ30" i="9"/>
  <c r="AP30" i="9"/>
  <c r="AN30" i="9"/>
  <c r="AE30" i="9"/>
  <c r="CC29" i="9"/>
  <c r="CB29" i="9"/>
  <c r="BZ29" i="9"/>
  <c r="BY29" i="9"/>
  <c r="BW29" i="9"/>
  <c r="BP29" i="9"/>
  <c r="BK29" i="9"/>
  <c r="BQ29" i="9" s="1"/>
  <c r="BJ29" i="9"/>
  <c r="AR29" i="9"/>
  <c r="AQ29" i="9"/>
  <c r="AP29" i="9"/>
  <c r="AN29" i="9"/>
  <c r="AE29" i="9"/>
  <c r="CC28" i="9"/>
  <c r="CB28" i="9"/>
  <c r="BZ28" i="9"/>
  <c r="CM28" i="9" s="1"/>
  <c r="BY28" i="9"/>
  <c r="BW28" i="9"/>
  <c r="BP28" i="9"/>
  <c r="BK28" i="9"/>
  <c r="BJ28" i="9"/>
  <c r="AR28" i="9"/>
  <c r="AQ28" i="9"/>
  <c r="AP28" i="9"/>
  <c r="AN28" i="9"/>
  <c r="AE28" i="9"/>
  <c r="CC27" i="9"/>
  <c r="CB27" i="9"/>
  <c r="BZ27" i="9"/>
  <c r="BY27" i="9"/>
  <c r="BW27" i="9"/>
  <c r="BP27" i="9"/>
  <c r="BK27" i="9"/>
  <c r="BQ27" i="9" s="1"/>
  <c r="BJ27" i="9"/>
  <c r="AR27" i="9"/>
  <c r="AQ27" i="9"/>
  <c r="AP27" i="9"/>
  <c r="AN27" i="9"/>
  <c r="AE27" i="9"/>
  <c r="CC26" i="9"/>
  <c r="CB26" i="9"/>
  <c r="BZ26" i="9"/>
  <c r="BY26" i="9"/>
  <c r="BW26" i="9"/>
  <c r="BP26" i="9"/>
  <c r="DH26" i="9" s="1"/>
  <c r="BK26" i="9"/>
  <c r="BQ26" i="9" s="1"/>
  <c r="BJ26" i="9"/>
  <c r="AR26" i="9"/>
  <c r="AQ26" i="9"/>
  <c r="AP26" i="9"/>
  <c r="AN26" i="9"/>
  <c r="AE26" i="9"/>
  <c r="CC25" i="9"/>
  <c r="CB25" i="9"/>
  <c r="BZ25" i="9"/>
  <c r="BY25" i="9"/>
  <c r="BW25" i="9"/>
  <c r="BP25" i="9"/>
  <c r="BK25" i="9"/>
  <c r="BQ25" i="9" s="1"/>
  <c r="BJ25" i="9"/>
  <c r="AR25" i="9"/>
  <c r="AQ25" i="9"/>
  <c r="AP25" i="9"/>
  <c r="AN25" i="9"/>
  <c r="AE25" i="9"/>
  <c r="CC24" i="9"/>
  <c r="CB24" i="9"/>
  <c r="BZ24" i="9"/>
  <c r="BY24" i="9"/>
  <c r="BW24" i="9"/>
  <c r="BP24" i="9"/>
  <c r="DH24" i="9" s="1"/>
  <c r="BK24" i="9"/>
  <c r="BQ24" i="9" s="1"/>
  <c r="BJ24" i="9"/>
  <c r="AR24" i="9"/>
  <c r="AQ24" i="9"/>
  <c r="AP24" i="9"/>
  <c r="AN24" i="9"/>
  <c r="AE24" i="9"/>
  <c r="CC23" i="9"/>
  <c r="CB23" i="9"/>
  <c r="BZ23" i="9"/>
  <c r="BY23" i="9"/>
  <c r="BW23" i="9"/>
  <c r="BP23" i="9"/>
  <c r="DH23" i="9" s="1"/>
  <c r="BK23" i="9"/>
  <c r="BQ23" i="9" s="1"/>
  <c r="BJ23" i="9"/>
  <c r="AR23" i="9"/>
  <c r="AQ23" i="9"/>
  <c r="AP23" i="9"/>
  <c r="AN23" i="9"/>
  <c r="AE23" i="9"/>
  <c r="CC22" i="9"/>
  <c r="CB22" i="9"/>
  <c r="BZ22" i="9"/>
  <c r="BY22" i="9"/>
  <c r="BW22" i="9"/>
  <c r="BP22" i="9"/>
  <c r="DH22" i="9" s="1"/>
  <c r="BK22" i="9"/>
  <c r="BQ22" i="9" s="1"/>
  <c r="BJ22" i="9"/>
  <c r="AR22" i="9"/>
  <c r="AQ22" i="9"/>
  <c r="AP22" i="9"/>
  <c r="AN22" i="9"/>
  <c r="AE22" i="9"/>
  <c r="CC21" i="9"/>
  <c r="CB21" i="9"/>
  <c r="BZ21" i="9"/>
  <c r="CM21" i="9" s="1"/>
  <c r="BY21" i="9"/>
  <c r="BW21" i="9"/>
  <c r="BP21" i="9"/>
  <c r="DH21" i="9" s="1"/>
  <c r="BK21" i="9"/>
  <c r="BJ21" i="9"/>
  <c r="AR21" i="9"/>
  <c r="AQ21" i="9"/>
  <c r="AP21" i="9"/>
  <c r="AN21" i="9"/>
  <c r="AE21" i="9"/>
  <c r="CC20" i="9"/>
  <c r="CB20" i="9"/>
  <c r="BZ20" i="9"/>
  <c r="CM20" i="9" s="1"/>
  <c r="BY20" i="9"/>
  <c r="BW20" i="9"/>
  <c r="BP20" i="9"/>
  <c r="BK20" i="9"/>
  <c r="BJ20" i="9"/>
  <c r="AR20" i="9"/>
  <c r="AQ20" i="9"/>
  <c r="AP20" i="9"/>
  <c r="AN20" i="9"/>
  <c r="AE20" i="9"/>
  <c r="CE19" i="9"/>
  <c r="CD19" i="9"/>
  <c r="CC19" i="9"/>
  <c r="CB19" i="9"/>
  <c r="BX19" i="9" s="1"/>
  <c r="BZ19" i="9"/>
  <c r="BY19" i="9"/>
  <c r="BW19" i="9"/>
  <c r="BP19" i="9"/>
  <c r="BK19" i="9"/>
  <c r="BQ19" i="9" s="1"/>
  <c r="BJ19" i="9"/>
  <c r="AR19" i="9"/>
  <c r="AQ19" i="9"/>
  <c r="AP19" i="9"/>
  <c r="AN19" i="9"/>
  <c r="AE19" i="9"/>
  <c r="AG19" i="9" s="1"/>
  <c r="O19" i="9"/>
  <c r="B243" i="9" s="1"/>
  <c r="CE18" i="9"/>
  <c r="CD18" i="9"/>
  <c r="CC18" i="9"/>
  <c r="CB18" i="9"/>
  <c r="BX18" i="9" s="1"/>
  <c r="BZ18" i="9"/>
  <c r="BY18" i="9"/>
  <c r="BW18" i="9"/>
  <c r="BP18" i="9"/>
  <c r="BK18" i="9"/>
  <c r="BJ18" i="9"/>
  <c r="AR18" i="9"/>
  <c r="AQ18" i="9"/>
  <c r="AP18" i="9"/>
  <c r="AN18" i="9"/>
  <c r="AE18" i="9"/>
  <c r="AG18" i="9" s="1"/>
  <c r="CE17" i="9"/>
  <c r="CD17" i="9"/>
  <c r="CC17" i="9"/>
  <c r="CB17" i="9"/>
  <c r="BX17" i="9" s="1"/>
  <c r="BZ17" i="9"/>
  <c r="BY17" i="9"/>
  <c r="BW17" i="9"/>
  <c r="BP17" i="9"/>
  <c r="BK17" i="9"/>
  <c r="BJ17" i="9"/>
  <c r="AR17" i="9"/>
  <c r="AQ17" i="9"/>
  <c r="AP17" i="9"/>
  <c r="AN17" i="9"/>
  <c r="AE17" i="9"/>
  <c r="AG17" i="9" s="1"/>
  <c r="CC16" i="9"/>
  <c r="CB16" i="9"/>
  <c r="BX16" i="9" s="1"/>
  <c r="BZ16" i="9"/>
  <c r="CM16" i="9" s="1"/>
  <c r="BY16" i="9"/>
  <c r="BW16" i="9"/>
  <c r="BP16" i="9"/>
  <c r="BK16" i="9"/>
  <c r="BJ16" i="9"/>
  <c r="AR16" i="9"/>
  <c r="AQ16" i="9"/>
  <c r="AP16" i="9"/>
  <c r="AN16" i="9"/>
  <c r="AE16" i="9"/>
  <c r="AG16" i="9" s="1"/>
  <c r="CK16" i="9" s="1"/>
  <c r="CC15" i="9"/>
  <c r="CB15" i="9"/>
  <c r="BZ15" i="9"/>
  <c r="CM15" i="9" s="1"/>
  <c r="BY15" i="9"/>
  <c r="BW15" i="9"/>
  <c r="BP15" i="9"/>
  <c r="DH15" i="9" s="1"/>
  <c r="BO15" i="9"/>
  <c r="BM15" i="9"/>
  <c r="BN15" i="9" s="1"/>
  <c r="BK15" i="9"/>
  <c r="BJ15" i="9"/>
  <c r="AT15" i="9"/>
  <c r="AY15" i="9" s="1"/>
  <c r="AW15" i="9" s="1"/>
  <c r="AR15" i="9"/>
  <c r="AQ15" i="9"/>
  <c r="AP15" i="9"/>
  <c r="AN15" i="9"/>
  <c r="AJ15" i="9"/>
  <c r="AE15" i="9"/>
  <c r="AF15" i="9" s="1"/>
  <c r="F12" i="9"/>
  <c r="D11" i="9"/>
  <c r="J10" i="9"/>
  <c r="G10" i="9"/>
  <c r="B7" i="9" s="1"/>
  <c r="B336" i="9" s="1"/>
  <c r="D9" i="9"/>
  <c r="B9" i="9"/>
  <c r="K7" i="9"/>
  <c r="G3" i="9"/>
  <c r="B369" i="9" s="1"/>
  <c r="K2" i="9"/>
  <c r="F2" i="9"/>
  <c r="DE25" i="5" l="1"/>
  <c r="DF25" i="5"/>
  <c r="DH18" i="9"/>
  <c r="BO18" i="9"/>
  <c r="BS18" i="9" s="1"/>
  <c r="DH19" i="9"/>
  <c r="BO19" i="9"/>
  <c r="BS19" i="9" s="1"/>
  <c r="DH25" i="9"/>
  <c r="BO25" i="9"/>
  <c r="BS25" i="9" s="1"/>
  <c r="DH29" i="9"/>
  <c r="BO29" i="9"/>
  <c r="DH32" i="9"/>
  <c r="BO32" i="9"/>
  <c r="DH34" i="9"/>
  <c r="BO34" i="9"/>
  <c r="DH114" i="9"/>
  <c r="BO114" i="9"/>
  <c r="DH16" i="9"/>
  <c r="CX16" i="9"/>
  <c r="CY16" i="9"/>
  <c r="DH17" i="9"/>
  <c r="BO17" i="9"/>
  <c r="DH20" i="9"/>
  <c r="BO20" i="9"/>
  <c r="BS20" i="9" s="1"/>
  <c r="DH30" i="9"/>
  <c r="BO30" i="9"/>
  <c r="BS30" i="9" s="1"/>
  <c r="DH31" i="9"/>
  <c r="BO31" i="9"/>
  <c r="BS31" i="9" s="1"/>
  <c r="DH33" i="9"/>
  <c r="BO33" i="9"/>
  <c r="BS33" i="9" s="1"/>
  <c r="DH35" i="9"/>
  <c r="BO35" i="9"/>
  <c r="BS35" i="9" s="1"/>
  <c r="CG16" i="9"/>
  <c r="AF14" i="16"/>
  <c r="AG14" i="16" s="1"/>
  <c r="AH14" i="16" s="1"/>
  <c r="V14" i="16"/>
  <c r="AJ14" i="16"/>
  <c r="AI14" i="16"/>
  <c r="A1036" i="16" s="1"/>
  <c r="AD14" i="16"/>
  <c r="Q15" i="16"/>
  <c r="A614" i="16"/>
  <c r="R15" i="16"/>
  <c r="AA15" i="16" s="1"/>
  <c r="A1149" i="16"/>
  <c r="AL13" i="16"/>
  <c r="A1357" i="16" s="1"/>
  <c r="AK13" i="16"/>
  <c r="A1253" i="16" s="1"/>
  <c r="AB13" i="16"/>
  <c r="AE13" i="16" s="1"/>
  <c r="A934" i="16" s="1"/>
  <c r="A829" i="16"/>
  <c r="BB59" i="5"/>
  <c r="L53" i="16"/>
  <c r="BB57" i="5"/>
  <c r="L21" i="16"/>
  <c r="BA26" i="5"/>
  <c r="N16" i="16"/>
  <c r="O16" i="16" s="1"/>
  <c r="AV21" i="5"/>
  <c r="T97" i="14"/>
  <c r="U97" i="14"/>
  <c r="V97" i="14" s="1"/>
  <c r="F97" i="14" s="1"/>
  <c r="B319" i="14" s="1"/>
  <c r="R96" i="14"/>
  <c r="S97" i="14"/>
  <c r="AC20" i="5"/>
  <c r="J20" i="12"/>
  <c r="L20" i="12"/>
  <c r="O21" i="12"/>
  <c r="N22" i="12"/>
  <c r="B409" i="9"/>
  <c r="B607" i="5" s="1"/>
  <c r="B157" i="9"/>
  <c r="BB21" i="5"/>
  <c r="AX20" i="5"/>
  <c r="DH28" i="9"/>
  <c r="AU22" i="5"/>
  <c r="DH36" i="9"/>
  <c r="B414" i="9" s="1"/>
  <c r="B612" i="5" s="1"/>
  <c r="DH43" i="9"/>
  <c r="B415" i="9" s="1"/>
  <c r="B613" i="5" s="1"/>
  <c r="DH64" i="9"/>
  <c r="B418" i="9" s="1"/>
  <c r="B616" i="5" s="1"/>
  <c r="DH71" i="9"/>
  <c r="B419" i="9" s="1"/>
  <c r="B617" i="5" s="1"/>
  <c r="DH78" i="9"/>
  <c r="B420" i="9" s="1"/>
  <c r="B618" i="5" s="1"/>
  <c r="DH92" i="9"/>
  <c r="B422" i="9" s="1"/>
  <c r="B620" i="5" s="1"/>
  <c r="DH99" i="9"/>
  <c r="B423" i="9" s="1"/>
  <c r="B621" i="5" s="1"/>
  <c r="DH113" i="9"/>
  <c r="N5" i="9"/>
  <c r="CF21" i="9"/>
  <c r="CF52" i="9"/>
  <c r="CF54" i="9"/>
  <c r="CF56" i="9"/>
  <c r="CF58" i="9"/>
  <c r="CF85" i="9"/>
  <c r="CF87" i="9"/>
  <c r="CF88" i="9"/>
  <c r="CF89" i="9"/>
  <c r="CF107" i="9"/>
  <c r="CF108" i="9"/>
  <c r="B416" i="9"/>
  <c r="B614" i="5" s="1"/>
  <c r="B417" i="9"/>
  <c r="B615" i="5" s="1"/>
  <c r="B424" i="9"/>
  <c r="B622" i="5" s="1"/>
  <c r="CF16" i="9"/>
  <c r="CF20" i="9"/>
  <c r="CF22" i="9"/>
  <c r="CF24" i="9"/>
  <c r="CF31" i="9"/>
  <c r="B413" i="9"/>
  <c r="B611" i="5" s="1"/>
  <c r="CF15" i="9"/>
  <c r="CN24" i="9"/>
  <c r="CN25" i="9" s="1"/>
  <c r="CO25" i="9" s="1"/>
  <c r="BV18" i="9"/>
  <c r="CF18" i="9"/>
  <c r="BV19" i="9"/>
  <c r="CF19" i="9"/>
  <c r="CE27" i="9"/>
  <c r="CF27" i="9"/>
  <c r="CE29" i="9"/>
  <c r="CF29" i="9"/>
  <c r="CW32" i="9"/>
  <c r="CF32" i="9"/>
  <c r="CW34" i="9"/>
  <c r="CF34" i="9"/>
  <c r="CW36" i="9"/>
  <c r="CF36" i="9"/>
  <c r="BV37" i="9"/>
  <c r="CF37" i="9"/>
  <c r="BV38" i="9"/>
  <c r="CF38" i="9"/>
  <c r="BV39" i="9"/>
  <c r="CF39" i="9"/>
  <c r="BV40" i="9"/>
  <c r="CF40" i="9"/>
  <c r="BV41" i="9"/>
  <c r="CF41" i="9"/>
  <c r="BV42" i="9"/>
  <c r="CF42" i="9"/>
  <c r="BV43" i="9"/>
  <c r="CF43" i="9"/>
  <c r="BV44" i="9"/>
  <c r="CF44" i="9"/>
  <c r="BV45" i="9"/>
  <c r="CF45" i="9"/>
  <c r="BV46" i="9"/>
  <c r="CF46" i="9"/>
  <c r="BV47" i="9"/>
  <c r="CF47" i="9"/>
  <c r="BV48" i="9"/>
  <c r="CF48" i="9"/>
  <c r="BV49" i="9"/>
  <c r="CF49" i="9"/>
  <c r="BV50" i="9"/>
  <c r="CF50" i="9"/>
  <c r="BV51" i="9"/>
  <c r="CF51" i="9"/>
  <c r="BV53" i="9"/>
  <c r="CF53" i="9"/>
  <c r="BV55" i="9"/>
  <c r="CF55" i="9"/>
  <c r="BV57" i="9"/>
  <c r="CF57" i="9"/>
  <c r="BV59" i="9"/>
  <c r="CF59" i="9"/>
  <c r="BV60" i="9"/>
  <c r="CF60" i="9"/>
  <c r="BV61" i="9"/>
  <c r="CF61" i="9"/>
  <c r="BV62" i="9"/>
  <c r="CF62" i="9"/>
  <c r="BV63" i="9"/>
  <c r="CF63" i="9"/>
  <c r="BV64" i="9"/>
  <c r="CF64" i="9"/>
  <c r="BV65" i="9"/>
  <c r="CF65" i="9"/>
  <c r="BV66" i="9"/>
  <c r="CF66" i="9"/>
  <c r="BV67" i="9"/>
  <c r="CF67" i="9"/>
  <c r="BV68" i="9"/>
  <c r="CF68" i="9"/>
  <c r="BV69" i="9"/>
  <c r="CF69" i="9"/>
  <c r="BV70" i="9"/>
  <c r="CF70" i="9"/>
  <c r="BV71" i="9"/>
  <c r="CF71" i="9"/>
  <c r="BV72" i="9"/>
  <c r="CF72" i="9"/>
  <c r="BV73" i="9"/>
  <c r="CF73" i="9"/>
  <c r="BV74" i="9"/>
  <c r="CF74" i="9"/>
  <c r="BV75" i="9"/>
  <c r="CF75" i="9"/>
  <c r="BV76" i="9"/>
  <c r="CF76" i="9"/>
  <c r="BV77" i="9"/>
  <c r="CF77" i="9"/>
  <c r="BV78" i="9"/>
  <c r="CF78" i="9"/>
  <c r="BV79" i="9"/>
  <c r="CF79" i="9"/>
  <c r="BV80" i="9"/>
  <c r="CF80" i="9"/>
  <c r="BV81" i="9"/>
  <c r="CF81" i="9"/>
  <c r="BV82" i="9"/>
  <c r="CF82" i="9"/>
  <c r="BV83" i="9"/>
  <c r="CF83" i="9"/>
  <c r="BU84" i="9"/>
  <c r="CF84" i="9"/>
  <c r="BV86" i="9"/>
  <c r="CF86" i="9"/>
  <c r="BV90" i="9"/>
  <c r="CF90" i="9"/>
  <c r="BU91" i="9"/>
  <c r="CF91" i="9"/>
  <c r="BU92" i="9"/>
  <c r="CF92" i="9"/>
  <c r="BU93" i="9"/>
  <c r="CF93" i="9"/>
  <c r="BU94" i="9"/>
  <c r="CF94" i="9"/>
  <c r="BU95" i="9"/>
  <c r="CF95" i="9"/>
  <c r="BU96" i="9"/>
  <c r="CF96" i="9"/>
  <c r="BU97" i="9"/>
  <c r="CF97" i="9"/>
  <c r="BU98" i="9"/>
  <c r="CF98" i="9"/>
  <c r="BU99" i="9"/>
  <c r="CF99" i="9"/>
  <c r="BU100" i="9"/>
  <c r="CF100" i="9"/>
  <c r="BU101" i="9"/>
  <c r="CF101" i="9"/>
  <c r="BU102" i="9"/>
  <c r="CF102" i="9"/>
  <c r="BU103" i="9"/>
  <c r="CF103" i="9"/>
  <c r="BU104" i="9"/>
  <c r="CF104" i="9"/>
  <c r="BU105" i="9"/>
  <c r="CF105" i="9"/>
  <c r="BU106" i="9"/>
  <c r="CF106" i="9"/>
  <c r="BV109" i="9"/>
  <c r="CF109" i="9"/>
  <c r="BU110" i="9"/>
  <c r="CF110" i="9"/>
  <c r="BU111" i="9"/>
  <c r="CF111" i="9"/>
  <c r="BU112" i="9"/>
  <c r="CF112" i="9"/>
  <c r="BU113" i="9"/>
  <c r="CF113" i="9"/>
  <c r="BU114" i="9"/>
  <c r="CF114" i="9"/>
  <c r="CW23" i="9"/>
  <c r="CF23" i="9"/>
  <c r="CE25" i="9"/>
  <c r="CF25" i="9"/>
  <c r="BV17" i="9"/>
  <c r="CF17" i="9"/>
  <c r="CD26" i="9"/>
  <c r="CF26" i="9"/>
  <c r="CG28" i="9"/>
  <c r="CF28" i="9"/>
  <c r="CW30" i="9"/>
  <c r="CF30" i="9"/>
  <c r="CE33" i="9"/>
  <c r="CF33" i="9"/>
  <c r="CW35" i="9"/>
  <c r="CF35" i="9"/>
  <c r="CG20" i="9"/>
  <c r="CY20" i="9"/>
  <c r="CX20" i="9"/>
  <c r="B723" i="9"/>
  <c r="B721" i="9"/>
  <c r="B719" i="9"/>
  <c r="B717" i="9"/>
  <c r="B715" i="9"/>
  <c r="B713" i="9"/>
  <c r="B711" i="9"/>
  <c r="B724" i="9"/>
  <c r="B722" i="9"/>
  <c r="B720" i="9"/>
  <c r="B718" i="9"/>
  <c r="B716" i="9"/>
  <c r="B714" i="9"/>
  <c r="B712" i="9"/>
  <c r="CD16" i="9"/>
  <c r="CD20" i="9"/>
  <c r="CE20" i="9"/>
  <c r="CD24" i="9"/>
  <c r="CE31" i="9"/>
  <c r="DC33" i="9"/>
  <c r="DE34" i="9"/>
  <c r="CN34" i="9"/>
  <c r="CN35" i="9" s="1"/>
  <c r="CO35" i="9" s="1"/>
  <c r="CN26" i="9"/>
  <c r="CN27" i="9" s="1"/>
  <c r="DC26" i="9"/>
  <c r="DE27" i="9"/>
  <c r="CG21" i="9"/>
  <c r="CY21" i="9"/>
  <c r="CX21" i="9"/>
  <c r="CY15" i="9"/>
  <c r="CX15" i="9"/>
  <c r="B583" i="9"/>
  <c r="B581" i="9"/>
  <c r="B579" i="9"/>
  <c r="B577" i="9"/>
  <c r="B575" i="9"/>
  <c r="B646" i="9"/>
  <c r="B337" i="9"/>
  <c r="B651" i="9"/>
  <c r="B255" i="9"/>
  <c r="B535" i="9"/>
  <c r="B246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L5" i="9"/>
  <c r="B537" i="9" s="1"/>
  <c r="B644" i="9"/>
  <c r="B642" i="9"/>
  <c r="B640" i="9"/>
  <c r="B638" i="9"/>
  <c r="B636" i="9"/>
  <c r="B634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645" i="9"/>
  <c r="B643" i="9"/>
  <c r="B641" i="9"/>
  <c r="B639" i="9"/>
  <c r="B637" i="9"/>
  <c r="B635" i="9"/>
  <c r="B633" i="9"/>
  <c r="B892" i="5" s="1"/>
  <c r="B624" i="9"/>
  <c r="B622" i="9"/>
  <c r="B620" i="9"/>
  <c r="B618" i="9"/>
  <c r="B616" i="9"/>
  <c r="B614" i="9"/>
  <c r="B612" i="9"/>
  <c r="CW114" i="9"/>
  <c r="CW112" i="9"/>
  <c r="CW110" i="9"/>
  <c r="CW108" i="9"/>
  <c r="CW106" i="9"/>
  <c r="CW104" i="9"/>
  <c r="CW102" i="9"/>
  <c r="CW100" i="9"/>
  <c r="CW98" i="9"/>
  <c r="CW96" i="9"/>
  <c r="CW94" i="9"/>
  <c r="CW92" i="9"/>
  <c r="CW90" i="9"/>
  <c r="CW88" i="9"/>
  <c r="CW86" i="9"/>
  <c r="CW84" i="9"/>
  <c r="CW82" i="9"/>
  <c r="CW80" i="9"/>
  <c r="CW78" i="9"/>
  <c r="CW76" i="9"/>
  <c r="CW74" i="9"/>
  <c r="CW72" i="9"/>
  <c r="CW70" i="9"/>
  <c r="CW68" i="9"/>
  <c r="CW66" i="9"/>
  <c r="CW64" i="9"/>
  <c r="CW62" i="9"/>
  <c r="CW60" i="9"/>
  <c r="CW58" i="9"/>
  <c r="CW56" i="9"/>
  <c r="CW54" i="9"/>
  <c r="CW52" i="9"/>
  <c r="CW50" i="9"/>
  <c r="CW48" i="9"/>
  <c r="CW46" i="9"/>
  <c r="CW44" i="9"/>
  <c r="CW42" i="9"/>
  <c r="CW40" i="9"/>
  <c r="CW38" i="9"/>
  <c r="CW28" i="9"/>
  <c r="CW26" i="9"/>
  <c r="CW24" i="9"/>
  <c r="CW22" i="9"/>
  <c r="CW20" i="9"/>
  <c r="CW18" i="9"/>
  <c r="CW16" i="9"/>
  <c r="B679" i="9"/>
  <c r="B258" i="9"/>
  <c r="B251" i="9"/>
  <c r="CW15" i="9"/>
  <c r="CW113" i="9"/>
  <c r="CW111" i="9"/>
  <c r="CW109" i="9"/>
  <c r="CW107" i="9"/>
  <c r="CW105" i="9"/>
  <c r="CW103" i="9"/>
  <c r="CW101" i="9"/>
  <c r="CW99" i="9"/>
  <c r="CW97" i="9"/>
  <c r="CW95" i="9"/>
  <c r="CW93" i="9"/>
  <c r="CW91" i="9"/>
  <c r="CW89" i="9"/>
  <c r="CW87" i="9"/>
  <c r="CW85" i="9"/>
  <c r="CW83" i="9"/>
  <c r="CW81" i="9"/>
  <c r="CW79" i="9"/>
  <c r="CW77" i="9"/>
  <c r="CW75" i="9"/>
  <c r="CW73" i="9"/>
  <c r="CW71" i="9"/>
  <c r="CW69" i="9"/>
  <c r="CW67" i="9"/>
  <c r="CW65" i="9"/>
  <c r="CW63" i="9"/>
  <c r="CW61" i="9"/>
  <c r="CW59" i="9"/>
  <c r="CW57" i="9"/>
  <c r="CW55" i="9"/>
  <c r="CW53" i="9"/>
  <c r="CW51" i="9"/>
  <c r="CW49" i="9"/>
  <c r="CW47" i="9"/>
  <c r="CW45" i="9"/>
  <c r="CW43" i="9"/>
  <c r="CW41" i="9"/>
  <c r="CW39" i="9"/>
  <c r="CW37" i="9"/>
  <c r="CW33" i="9"/>
  <c r="CW31" i="9"/>
  <c r="CW29" i="9"/>
  <c r="CW27" i="9"/>
  <c r="CW25" i="9"/>
  <c r="CW21" i="9"/>
  <c r="CW19" i="9"/>
  <c r="CW17" i="9"/>
  <c r="B552" i="9"/>
  <c r="B550" i="9"/>
  <c r="B548" i="9"/>
  <c r="B546" i="9"/>
  <c r="B544" i="9"/>
  <c r="B542" i="9"/>
  <c r="B540" i="9"/>
  <c r="B551" i="9"/>
  <c r="B549" i="9"/>
  <c r="B547" i="9"/>
  <c r="B545" i="9"/>
  <c r="B543" i="9"/>
  <c r="B541" i="9"/>
  <c r="B539" i="9"/>
  <c r="B680" i="9"/>
  <c r="B682" i="9"/>
  <c r="B684" i="9"/>
  <c r="B688" i="9"/>
  <c r="B690" i="9"/>
  <c r="B518" i="9"/>
  <c r="B516" i="9"/>
  <c r="B514" i="9"/>
  <c r="B512" i="9"/>
  <c r="B510" i="9"/>
  <c r="B508" i="9"/>
  <c r="B506" i="9"/>
  <c r="BI114" i="9"/>
  <c r="BI112" i="9"/>
  <c r="BI110" i="9"/>
  <c r="BI108" i="9"/>
  <c r="BI106" i="9"/>
  <c r="BI104" i="9"/>
  <c r="BI102" i="9"/>
  <c r="BI100" i="9"/>
  <c r="BI98" i="9"/>
  <c r="BI96" i="9"/>
  <c r="BI94" i="9"/>
  <c r="BI92" i="9"/>
  <c r="BI90" i="9"/>
  <c r="BI88" i="9"/>
  <c r="BI86" i="9"/>
  <c r="BI84" i="9"/>
  <c r="BI82" i="9"/>
  <c r="BI80" i="9"/>
  <c r="BI78" i="9"/>
  <c r="BI76" i="9"/>
  <c r="BI74" i="9"/>
  <c r="BI72" i="9"/>
  <c r="BI70" i="9"/>
  <c r="BI68" i="9"/>
  <c r="BI66" i="9"/>
  <c r="BI64" i="9"/>
  <c r="BI62" i="9"/>
  <c r="BI60" i="9"/>
  <c r="BI58" i="9"/>
  <c r="BI56" i="9"/>
  <c r="BI54" i="9"/>
  <c r="BI52" i="9"/>
  <c r="BI50" i="9"/>
  <c r="BI48" i="9"/>
  <c r="BI46" i="9"/>
  <c r="BI44" i="9"/>
  <c r="BI42" i="9"/>
  <c r="BI40" i="9"/>
  <c r="BI38" i="9"/>
  <c r="BI36" i="9"/>
  <c r="B517" i="9"/>
  <c r="B515" i="9"/>
  <c r="B513" i="9"/>
  <c r="B511" i="9"/>
  <c r="B509" i="9"/>
  <c r="B507" i="9"/>
  <c r="B120" i="9"/>
  <c r="O15" i="9"/>
  <c r="B227" i="9" s="1"/>
  <c r="CO15" i="9"/>
  <c r="CO16" i="9"/>
  <c r="CO21" i="9"/>
  <c r="CO117" i="9" s="1"/>
  <c r="CO32" i="9"/>
  <c r="B5" i="9"/>
  <c r="CO113" i="9"/>
  <c r="BI113" i="9" s="1"/>
  <c r="CO111" i="9"/>
  <c r="CO109" i="9"/>
  <c r="CO107" i="9"/>
  <c r="CO105" i="9"/>
  <c r="CO103" i="9"/>
  <c r="CO101" i="9"/>
  <c r="CO99" i="9"/>
  <c r="CO97" i="9"/>
  <c r="CO95" i="9"/>
  <c r="CO93" i="9"/>
  <c r="CO91" i="9"/>
  <c r="CO89" i="9"/>
  <c r="CO87" i="9"/>
  <c r="CO85" i="9"/>
  <c r="CO83" i="9"/>
  <c r="BI83" i="9" s="1"/>
  <c r="CO81" i="9"/>
  <c r="BI81" i="9" s="1"/>
  <c r="CO79" i="9"/>
  <c r="BI79" i="9" s="1"/>
  <c r="CO77" i="9"/>
  <c r="BI77" i="9" s="1"/>
  <c r="CO75" i="9"/>
  <c r="BI75" i="9" s="1"/>
  <c r="CO73" i="9"/>
  <c r="BI73" i="9" s="1"/>
  <c r="CO71" i="9"/>
  <c r="BI71" i="9" s="1"/>
  <c r="CO69" i="9"/>
  <c r="BI69" i="9" s="1"/>
  <c r="CO67" i="9"/>
  <c r="BI67" i="9" s="1"/>
  <c r="CO65" i="9"/>
  <c r="BI65" i="9" s="1"/>
  <c r="CO63" i="9"/>
  <c r="BI63" i="9" s="1"/>
  <c r="CO61" i="9"/>
  <c r="BI61" i="9" s="1"/>
  <c r="CO59" i="9"/>
  <c r="CO57" i="9"/>
  <c r="CO55" i="9"/>
  <c r="CO53" i="9"/>
  <c r="CO51" i="9"/>
  <c r="BI51" i="9" s="1"/>
  <c r="CO49" i="9"/>
  <c r="BI49" i="9" s="1"/>
  <c r="CO47" i="9"/>
  <c r="BI47" i="9" s="1"/>
  <c r="CO45" i="9"/>
  <c r="BI45" i="9" s="1"/>
  <c r="CO43" i="9"/>
  <c r="BI43" i="9" s="1"/>
  <c r="CO41" i="9"/>
  <c r="BI41" i="9" s="1"/>
  <c r="CO39" i="9"/>
  <c r="BI39" i="9" s="1"/>
  <c r="CO37" i="9"/>
  <c r="BI37" i="9" s="1"/>
  <c r="B257" i="9"/>
  <c r="B253" i="9"/>
  <c r="B249" i="9"/>
  <c r="B6" i="9"/>
  <c r="I11" i="9"/>
  <c r="B123" i="9" s="1"/>
  <c r="B256" i="9"/>
  <c r="B254" i="9"/>
  <c r="B252" i="9"/>
  <c r="B250" i="9"/>
  <c r="B248" i="9"/>
  <c r="B245" i="9"/>
  <c r="CE35" i="9"/>
  <c r="B362" i="9"/>
  <c r="B363" i="9"/>
  <c r="B365" i="9"/>
  <c r="B367" i="9"/>
  <c r="B358" i="9"/>
  <c r="B360" i="9"/>
  <c r="B352" i="9"/>
  <c r="B247" i="9"/>
  <c r="CD30" i="9"/>
  <c r="CD32" i="9"/>
  <c r="CD34" i="9"/>
  <c r="CD36" i="9"/>
  <c r="CD31" i="9"/>
  <c r="CE32" i="9"/>
  <c r="CD33" i="9"/>
  <c r="CE34" i="9"/>
  <c r="CD35" i="9"/>
  <c r="CE36" i="9"/>
  <c r="CD29" i="9"/>
  <c r="CD28" i="9"/>
  <c r="CE28" i="9"/>
  <c r="B342" i="9"/>
  <c r="B326" i="9"/>
  <c r="B344" i="9"/>
  <c r="B328" i="9"/>
  <c r="B346" i="9"/>
  <c r="B347" i="9"/>
  <c r="B331" i="9"/>
  <c r="B283" i="9"/>
  <c r="B349" i="9"/>
  <c r="B333" i="9"/>
  <c r="B335" i="9"/>
  <c r="CD27" i="9"/>
  <c r="CD25" i="9"/>
  <c r="CE26" i="9"/>
  <c r="CE24" i="9"/>
  <c r="B351" i="9"/>
  <c r="B287" i="9"/>
  <c r="B325" i="9"/>
  <c r="B343" i="9"/>
  <c r="B359" i="9"/>
  <c r="B345" i="9"/>
  <c r="B361" i="9"/>
  <c r="B330" i="9"/>
  <c r="B348" i="9"/>
  <c r="B364" i="9"/>
  <c r="B332" i="9"/>
  <c r="B350" i="9"/>
  <c r="B366" i="9"/>
  <c r="B334" i="9"/>
  <c r="B226" i="9"/>
  <c r="B224" i="9"/>
  <c r="B222" i="9"/>
  <c r="B220" i="9"/>
  <c r="B218" i="9"/>
  <c r="B216" i="9"/>
  <c r="B214" i="9"/>
  <c r="B327" i="9"/>
  <c r="B329" i="9"/>
  <c r="B225" i="9"/>
  <c r="B223" i="9"/>
  <c r="B221" i="9"/>
  <c r="B219" i="9"/>
  <c r="B217" i="9"/>
  <c r="B215" i="9"/>
  <c r="B209" i="9"/>
  <c r="B207" i="9"/>
  <c r="B205" i="9"/>
  <c r="B203" i="9"/>
  <c r="B201" i="9"/>
  <c r="B199" i="9"/>
  <c r="B210" i="9"/>
  <c r="B208" i="9"/>
  <c r="B206" i="9"/>
  <c r="B204" i="9"/>
  <c r="B202" i="9"/>
  <c r="B200" i="9"/>
  <c r="B198" i="9"/>
  <c r="CG15" i="9"/>
  <c r="CH15" i="9" s="1"/>
  <c r="CI15" i="9" s="1"/>
  <c r="B725" i="9"/>
  <c r="D117" i="9"/>
  <c r="E1" i="9"/>
  <c r="CA18" i="9"/>
  <c r="CA30" i="9"/>
  <c r="BX30" i="9" s="1"/>
  <c r="CA70" i="9"/>
  <c r="B281" i="9"/>
  <c r="BO83" i="9"/>
  <c r="BS83" i="9" s="1"/>
  <c r="BU83" i="9"/>
  <c r="CA83" i="9"/>
  <c r="CA89" i="9"/>
  <c r="CA92" i="9"/>
  <c r="CA46" i="9"/>
  <c r="CA104" i="9"/>
  <c r="CA38" i="9"/>
  <c r="CA62" i="9"/>
  <c r="CA78" i="9"/>
  <c r="BO80" i="9"/>
  <c r="BS80" i="9" s="1"/>
  <c r="BU80" i="9"/>
  <c r="CA80" i="9"/>
  <c r="CA96" i="9"/>
  <c r="CA112" i="9"/>
  <c r="CA94" i="9"/>
  <c r="CA98" i="9"/>
  <c r="B285" i="9"/>
  <c r="CA100" i="9"/>
  <c r="CA108" i="9"/>
  <c r="CA114" i="9"/>
  <c r="CA26" i="9"/>
  <c r="BX26" i="9" s="1"/>
  <c r="CA34" i="9"/>
  <c r="BX34" i="9" s="1"/>
  <c r="CA42" i="9"/>
  <c r="B277" i="9"/>
  <c r="CA50" i="9"/>
  <c r="CA66" i="9"/>
  <c r="CA74" i="9"/>
  <c r="AS22" i="9"/>
  <c r="BR22" i="9"/>
  <c r="CE23" i="9"/>
  <c r="BR26" i="9"/>
  <c r="BR27" i="9"/>
  <c r="BR30" i="9"/>
  <c r="BR31" i="9"/>
  <c r="BR34" i="9"/>
  <c r="BR35" i="9"/>
  <c r="BR38" i="9"/>
  <c r="BR39" i="9"/>
  <c r="BR42" i="9"/>
  <c r="BR43" i="9"/>
  <c r="BR46" i="9"/>
  <c r="BR47" i="9"/>
  <c r="BR50" i="9"/>
  <c r="BR51" i="9"/>
  <c r="BR62" i="9"/>
  <c r="BR63" i="9"/>
  <c r="BR66" i="9"/>
  <c r="BR67" i="9"/>
  <c r="BR70" i="9"/>
  <c r="BR71" i="9"/>
  <c r="BR74" i="9"/>
  <c r="BR75" i="9"/>
  <c r="BR78" i="9"/>
  <c r="B703" i="9" s="1"/>
  <c r="BO82" i="9"/>
  <c r="BS82" i="9" s="1"/>
  <c r="BU82" i="9"/>
  <c r="CA82" i="9"/>
  <c r="BO84" i="9"/>
  <c r="BS84" i="9" s="1"/>
  <c r="BV84" i="9"/>
  <c r="B769" i="9" s="1"/>
  <c r="BR85" i="9"/>
  <c r="CA85" i="9"/>
  <c r="BR86" i="9"/>
  <c r="BV88" i="9"/>
  <c r="BR89" i="9"/>
  <c r="BR90" i="9"/>
  <c r="BR92" i="9"/>
  <c r="BR93" i="9"/>
  <c r="BR96" i="9"/>
  <c r="BR97" i="9"/>
  <c r="BR100" i="9"/>
  <c r="BR101" i="9"/>
  <c r="BR104" i="9"/>
  <c r="BR105" i="9"/>
  <c r="BV107" i="9"/>
  <c r="BR108" i="9"/>
  <c r="BR109" i="9"/>
  <c r="BR112" i="9"/>
  <c r="BR113" i="9"/>
  <c r="CD15" i="9"/>
  <c r="E9" i="9"/>
  <c r="B778" i="9" s="1"/>
  <c r="BR19" i="9"/>
  <c r="CE21" i="9"/>
  <c r="CD22" i="9"/>
  <c r="BR23" i="9"/>
  <c r="BR24" i="9"/>
  <c r="CA24" i="9"/>
  <c r="BX24" i="9" s="1"/>
  <c r="BR25" i="9"/>
  <c r="CA28" i="9"/>
  <c r="BX28" i="9" s="1"/>
  <c r="BR29" i="9"/>
  <c r="BR32" i="9"/>
  <c r="CA32" i="9"/>
  <c r="BX32" i="9" s="1"/>
  <c r="BR33" i="9"/>
  <c r="BR36" i="9"/>
  <c r="CA36" i="9"/>
  <c r="BX36" i="9" s="1"/>
  <c r="B357" i="9" s="1"/>
  <c r="BR37" i="9"/>
  <c r="BR40" i="9"/>
  <c r="CA40" i="9"/>
  <c r="BR41" i="9"/>
  <c r="BR44" i="9"/>
  <c r="CA44" i="9"/>
  <c r="BR45" i="9"/>
  <c r="BR48" i="9"/>
  <c r="CA48" i="9"/>
  <c r="BR49" i="9"/>
  <c r="BR52" i="9"/>
  <c r="BR53" i="9"/>
  <c r="BR54" i="9"/>
  <c r="BR55" i="9"/>
  <c r="BR56" i="9"/>
  <c r="BR57" i="9"/>
  <c r="BR58" i="9"/>
  <c r="BR59" i="9"/>
  <c r="BR60" i="9"/>
  <c r="CA60" i="9"/>
  <c r="BR61" i="9"/>
  <c r="BR64" i="9"/>
  <c r="CA64" i="9"/>
  <c r="BR65" i="9"/>
  <c r="BR68" i="9"/>
  <c r="CA68" i="9"/>
  <c r="BR69" i="9"/>
  <c r="BR72" i="9"/>
  <c r="CA72" i="9"/>
  <c r="BR73" i="9"/>
  <c r="BR76" i="9"/>
  <c r="CA76" i="9"/>
  <c r="BR77" i="9"/>
  <c r="CA79" i="9"/>
  <c r="BO81" i="9"/>
  <c r="BS81" i="9" s="1"/>
  <c r="BU81" i="9"/>
  <c r="CA81" i="9"/>
  <c r="BR87" i="9"/>
  <c r="CA87" i="9"/>
  <c r="BR88" i="9"/>
  <c r="BR91" i="9"/>
  <c r="BR94" i="9"/>
  <c r="BR95" i="9"/>
  <c r="BR98" i="9"/>
  <c r="BR99" i="9"/>
  <c r="BR102" i="9"/>
  <c r="CA102" i="9"/>
  <c r="BR103" i="9"/>
  <c r="BR106" i="9"/>
  <c r="CA106" i="9"/>
  <c r="BR107" i="9"/>
  <c r="BR110" i="9"/>
  <c r="CA110" i="9"/>
  <c r="BR111" i="9"/>
  <c r="BR114" i="9"/>
  <c r="CA17" i="9"/>
  <c r="CA19" i="9"/>
  <c r="CA20" i="9"/>
  <c r="BX20" i="9" s="1"/>
  <c r="CA22" i="9"/>
  <c r="BX22" i="9" s="1"/>
  <c r="CA25" i="9"/>
  <c r="BX25" i="9" s="1"/>
  <c r="CA27" i="9"/>
  <c r="CA29" i="9"/>
  <c r="BX29" i="9" s="1"/>
  <c r="CA31" i="9"/>
  <c r="BX31" i="9" s="1"/>
  <c r="CA33" i="9"/>
  <c r="BX33" i="9" s="1"/>
  <c r="CA35" i="9"/>
  <c r="BX35" i="9" s="1"/>
  <c r="CA37" i="9"/>
  <c r="CA39" i="9"/>
  <c r="CA41" i="9"/>
  <c r="B764" i="9"/>
  <c r="B656" i="9"/>
  <c r="CA43" i="9"/>
  <c r="CA45" i="9"/>
  <c r="CA47" i="9"/>
  <c r="CA49" i="9"/>
  <c r="CA51" i="9"/>
  <c r="CA52" i="9"/>
  <c r="CA53" i="9"/>
  <c r="CA54" i="9"/>
  <c r="CA55" i="9"/>
  <c r="CA56" i="9"/>
  <c r="CA57" i="9"/>
  <c r="CA58" i="9"/>
  <c r="CA59" i="9"/>
  <c r="CA61" i="9"/>
  <c r="CA63" i="9"/>
  <c r="CA65" i="9"/>
  <c r="CA67" i="9"/>
  <c r="CA69" i="9"/>
  <c r="B768" i="9"/>
  <c r="B657" i="9"/>
  <c r="CA71" i="9"/>
  <c r="CA73" i="9"/>
  <c r="CA75" i="9"/>
  <c r="CA77" i="9"/>
  <c r="CA91" i="9"/>
  <c r="CA93" i="9"/>
  <c r="CA95" i="9"/>
  <c r="CA97" i="9"/>
  <c r="B658" i="9"/>
  <c r="CA99" i="9"/>
  <c r="CA101" i="9"/>
  <c r="CA103" i="9"/>
  <c r="CA105" i="9"/>
  <c r="CA109" i="9"/>
  <c r="CA111" i="9"/>
  <c r="CA113" i="9"/>
  <c r="CA23" i="9"/>
  <c r="BX23" i="9" s="1"/>
  <c r="CD23" i="9"/>
  <c r="CE22" i="9"/>
  <c r="CA21" i="9"/>
  <c r="BX21" i="9" s="1"/>
  <c r="CD21" i="9"/>
  <c r="BU18" i="9"/>
  <c r="BS17" i="9"/>
  <c r="BU17" i="9"/>
  <c r="B276" i="9"/>
  <c r="B278" i="9"/>
  <c r="B279" i="9"/>
  <c r="B280" i="9"/>
  <c r="B282" i="9"/>
  <c r="B286" i="9"/>
  <c r="B3" i="9"/>
  <c r="AF16" i="9"/>
  <c r="AF17" i="9" s="1"/>
  <c r="AF18" i="9" s="1"/>
  <c r="AF19" i="9" s="1"/>
  <c r="AF20" i="9" s="1"/>
  <c r="AF21" i="9" s="1"/>
  <c r="AF22" i="9" s="1"/>
  <c r="AF23" i="9" s="1"/>
  <c r="AF24" i="9" s="1"/>
  <c r="AF25" i="9" s="1"/>
  <c r="AF26" i="9" s="1"/>
  <c r="AF27" i="9" s="1"/>
  <c r="AF28" i="9" s="1"/>
  <c r="AF29" i="9" s="1"/>
  <c r="AF30" i="9" s="1"/>
  <c r="AF31" i="9" s="1"/>
  <c r="AF32" i="9" s="1"/>
  <c r="AF33" i="9" s="1"/>
  <c r="AF34" i="9" s="1"/>
  <c r="AF35" i="9" s="1"/>
  <c r="AF36" i="9" s="1"/>
  <c r="AF37" i="9" s="1"/>
  <c r="AF38" i="9" s="1"/>
  <c r="AF39" i="9" s="1"/>
  <c r="AF40" i="9" s="1"/>
  <c r="AF41" i="9" s="1"/>
  <c r="AF42" i="9" s="1"/>
  <c r="AF43" i="9" s="1"/>
  <c r="AF44" i="9" s="1"/>
  <c r="AF45" i="9" s="1"/>
  <c r="AF46" i="9" s="1"/>
  <c r="AF47" i="9" s="1"/>
  <c r="AF48" i="9" s="1"/>
  <c r="AF49" i="9" s="1"/>
  <c r="AF50" i="9" s="1"/>
  <c r="AF51" i="9" s="1"/>
  <c r="AF52" i="9" s="1"/>
  <c r="AF53" i="9" s="1"/>
  <c r="AF54" i="9" s="1"/>
  <c r="AF55" i="9" s="1"/>
  <c r="AF56" i="9" s="1"/>
  <c r="AF57" i="9" s="1"/>
  <c r="AF58" i="9" s="1"/>
  <c r="AF59" i="9" s="1"/>
  <c r="AF60" i="9" s="1"/>
  <c r="AF61" i="9" s="1"/>
  <c r="AF62" i="9" s="1"/>
  <c r="AF63" i="9" s="1"/>
  <c r="AF64" i="9" s="1"/>
  <c r="AF65" i="9" s="1"/>
  <c r="AF66" i="9" s="1"/>
  <c r="AF67" i="9" s="1"/>
  <c r="AF68" i="9" s="1"/>
  <c r="AF69" i="9" s="1"/>
  <c r="AF70" i="9" s="1"/>
  <c r="AF71" i="9" s="1"/>
  <c r="AF72" i="9" s="1"/>
  <c r="AF73" i="9" s="1"/>
  <c r="AF74" i="9" s="1"/>
  <c r="AF75" i="9" s="1"/>
  <c r="AF76" i="9" s="1"/>
  <c r="AF77" i="9" s="1"/>
  <c r="AF78" i="9" s="1"/>
  <c r="AF79" i="9" s="1"/>
  <c r="AF80" i="9" s="1"/>
  <c r="AF81" i="9" s="1"/>
  <c r="AF82" i="9" s="1"/>
  <c r="AF83" i="9" s="1"/>
  <c r="AF84" i="9" s="1"/>
  <c r="AF85" i="9" s="1"/>
  <c r="AF86" i="9" s="1"/>
  <c r="AF87" i="9" s="1"/>
  <c r="AF88" i="9" s="1"/>
  <c r="AF89" i="9" s="1"/>
  <c r="AF90" i="9" s="1"/>
  <c r="AF91" i="9" s="1"/>
  <c r="AF92" i="9" s="1"/>
  <c r="AF93" i="9" s="1"/>
  <c r="AF94" i="9" s="1"/>
  <c r="AF95" i="9" s="1"/>
  <c r="AF96" i="9" s="1"/>
  <c r="AF97" i="9" s="1"/>
  <c r="AF98" i="9" s="1"/>
  <c r="AF99" i="9" s="1"/>
  <c r="AF100" i="9" s="1"/>
  <c r="AF101" i="9" s="1"/>
  <c r="AF102" i="9" s="1"/>
  <c r="AF103" i="9" s="1"/>
  <c r="AF104" i="9" s="1"/>
  <c r="AF105" i="9" s="1"/>
  <c r="AF106" i="9" s="1"/>
  <c r="AF107" i="9" s="1"/>
  <c r="AF108" i="9" s="1"/>
  <c r="AF109" i="9" s="1"/>
  <c r="AF110" i="9" s="1"/>
  <c r="AF111" i="9" s="1"/>
  <c r="AF112" i="9" s="1"/>
  <c r="AF113" i="9" s="1"/>
  <c r="AF114" i="9" s="1"/>
  <c r="B8" i="9"/>
  <c r="B371" i="9" s="1"/>
  <c r="CA16" i="9"/>
  <c r="BS15" i="9"/>
  <c r="BU15" i="9"/>
  <c r="CA15" i="9"/>
  <c r="BX15" i="9" s="1"/>
  <c r="BU16" i="9"/>
  <c r="BV16" i="9" s="1"/>
  <c r="CE16" i="9"/>
  <c r="B284" i="9"/>
  <c r="CE15" i="9"/>
  <c r="K14" i="9"/>
  <c r="G1" i="9"/>
  <c r="AU15" i="9"/>
  <c r="BR15" i="9"/>
  <c r="BL15" i="9"/>
  <c r="BL16" i="9" s="1"/>
  <c r="E4" i="9"/>
  <c r="B709" i="9" s="1"/>
  <c r="E3" i="9"/>
  <c r="B693" i="9" s="1"/>
  <c r="E2" i="9"/>
  <c r="BR17" i="9"/>
  <c r="BU20" i="9"/>
  <c r="AG15" i="9"/>
  <c r="BQ15" i="9"/>
  <c r="BQ17" i="9"/>
  <c r="AS19" i="9"/>
  <c r="AS21" i="9"/>
  <c r="BR18" i="9"/>
  <c r="BU19" i="9"/>
  <c r="B655" i="9"/>
  <c r="AT16" i="9"/>
  <c r="AY16" i="9" s="1"/>
  <c r="BQ18" i="9"/>
  <c r="BT19" i="9"/>
  <c r="AS20" i="9"/>
  <c r="BV20" i="9"/>
  <c r="AS114" i="9"/>
  <c r="AS113" i="9"/>
  <c r="AS112" i="9"/>
  <c r="AS111" i="9"/>
  <c r="AS110" i="9"/>
  <c r="AS108" i="9"/>
  <c r="AS109" i="9"/>
  <c r="AS107" i="9"/>
  <c r="AS106" i="9"/>
  <c r="AS105" i="9"/>
  <c r="AS104" i="9"/>
  <c r="AS103" i="9"/>
  <c r="AS102" i="9"/>
  <c r="AS101" i="9"/>
  <c r="AS100" i="9"/>
  <c r="AS99" i="9"/>
  <c r="AS98" i="9"/>
  <c r="AS97" i="9"/>
  <c r="AS96" i="9"/>
  <c r="AS95" i="9"/>
  <c r="AS94" i="9"/>
  <c r="AS93" i="9"/>
  <c r="AS92" i="9"/>
  <c r="AS91" i="9"/>
  <c r="AS89" i="9"/>
  <c r="AS87" i="9"/>
  <c r="AS85" i="9"/>
  <c r="AS84" i="9"/>
  <c r="AS83" i="9"/>
  <c r="AS82" i="9"/>
  <c r="AS81" i="9"/>
  <c r="AS80" i="9"/>
  <c r="AS79" i="9"/>
  <c r="AS78" i="9"/>
  <c r="AS77" i="9"/>
  <c r="AS76" i="9"/>
  <c r="AS75" i="9"/>
  <c r="AS74" i="9"/>
  <c r="AS73" i="9"/>
  <c r="AS72" i="9"/>
  <c r="AS71" i="9"/>
  <c r="AS70" i="9"/>
  <c r="AS69" i="9"/>
  <c r="AS68" i="9"/>
  <c r="AS67" i="9"/>
  <c r="AS66" i="9"/>
  <c r="AS65" i="9"/>
  <c r="AS64" i="9"/>
  <c r="AS63" i="9"/>
  <c r="AS62" i="9"/>
  <c r="AS61" i="9"/>
  <c r="AS60" i="9"/>
  <c r="AS90" i="9"/>
  <c r="AS88" i="9"/>
  <c r="AS86" i="9"/>
  <c r="B427" i="9"/>
  <c r="B353" i="9"/>
  <c r="BU52" i="9"/>
  <c r="BO52" i="9"/>
  <c r="BS52" i="9" s="1"/>
  <c r="BU54" i="9"/>
  <c r="BO54" i="9"/>
  <c r="BS54" i="9" s="1"/>
  <c r="BU56" i="9"/>
  <c r="BO56" i="9"/>
  <c r="BS56" i="9" s="1"/>
  <c r="BU58" i="9"/>
  <c r="BO58" i="9"/>
  <c r="BS58" i="9" s="1"/>
  <c r="AS15" i="9"/>
  <c r="BT15" i="9"/>
  <c r="BV15" i="9"/>
  <c r="AS16" i="9"/>
  <c r="AS17" i="9"/>
  <c r="BT17" i="9"/>
  <c r="AS18" i="9"/>
  <c r="BT18" i="9"/>
  <c r="BU21" i="9"/>
  <c r="BV21" i="9" s="1"/>
  <c r="BU22" i="9"/>
  <c r="BV22" i="9" s="1"/>
  <c r="BU23" i="9"/>
  <c r="BV23" i="9" s="1"/>
  <c r="BU24" i="9"/>
  <c r="BV24" i="9" s="1"/>
  <c r="BU25" i="9"/>
  <c r="BV25" i="9" s="1"/>
  <c r="BU26" i="9"/>
  <c r="BV26" i="9" s="1"/>
  <c r="BU27" i="9"/>
  <c r="BV27" i="9" s="1"/>
  <c r="BU28" i="9"/>
  <c r="BV28" i="9" s="1"/>
  <c r="BS29" i="9"/>
  <c r="BU29" i="9"/>
  <c r="BV29" i="9" s="1"/>
  <c r="BU30" i="9"/>
  <c r="BV30" i="9" s="1"/>
  <c r="BU31" i="9"/>
  <c r="BV31" i="9" s="1"/>
  <c r="BS32" i="9"/>
  <c r="BU32" i="9"/>
  <c r="BV32" i="9" s="1"/>
  <c r="BU33" i="9"/>
  <c r="BV33" i="9" s="1"/>
  <c r="BS34" i="9"/>
  <c r="BU34" i="9"/>
  <c r="BV34" i="9" s="1"/>
  <c r="BU35" i="9"/>
  <c r="BV35" i="9" s="1"/>
  <c r="BO36" i="9"/>
  <c r="BS36" i="9" s="1"/>
  <c r="BU36" i="9"/>
  <c r="BV36" i="9" s="1"/>
  <c r="B763" i="9" s="1"/>
  <c r="BO37" i="9"/>
  <c r="BS37" i="9" s="1"/>
  <c r="BU37" i="9"/>
  <c r="BO38" i="9"/>
  <c r="BS38" i="9" s="1"/>
  <c r="BU38" i="9"/>
  <c r="BO39" i="9"/>
  <c r="BS39" i="9" s="1"/>
  <c r="BU39" i="9"/>
  <c r="BO40" i="9"/>
  <c r="BS40" i="9" s="1"/>
  <c r="BU40" i="9"/>
  <c r="BO41" i="9"/>
  <c r="BS41" i="9" s="1"/>
  <c r="BU41" i="9"/>
  <c r="BO42" i="9"/>
  <c r="BS42" i="9" s="1"/>
  <c r="BU42" i="9"/>
  <c r="BO43" i="9"/>
  <c r="BS43" i="9" s="1"/>
  <c r="BU43" i="9"/>
  <c r="BO44" i="9"/>
  <c r="BS44" i="9" s="1"/>
  <c r="BU44" i="9"/>
  <c r="BO45" i="9"/>
  <c r="BS45" i="9" s="1"/>
  <c r="BU45" i="9"/>
  <c r="BO46" i="9"/>
  <c r="BS46" i="9" s="1"/>
  <c r="BU46" i="9"/>
  <c r="BO47" i="9"/>
  <c r="BS47" i="9" s="1"/>
  <c r="BU47" i="9"/>
  <c r="BO48" i="9"/>
  <c r="BS48" i="9" s="1"/>
  <c r="BU48" i="9"/>
  <c r="BO49" i="9"/>
  <c r="BS49" i="9" s="1"/>
  <c r="BU49" i="9"/>
  <c r="BO50" i="9"/>
  <c r="BS50" i="9" s="1"/>
  <c r="BU50" i="9"/>
  <c r="BO51" i="9"/>
  <c r="BS51" i="9" s="1"/>
  <c r="BU51" i="9"/>
  <c r="BT52" i="9"/>
  <c r="AS53" i="9"/>
  <c r="BT54" i="9"/>
  <c r="AS55" i="9"/>
  <c r="BT56" i="9"/>
  <c r="AS57" i="9"/>
  <c r="BT58" i="9"/>
  <c r="AS59" i="9"/>
  <c r="BU53" i="9"/>
  <c r="BO53" i="9"/>
  <c r="BS53" i="9" s="1"/>
  <c r="BU55" i="9"/>
  <c r="BO55" i="9"/>
  <c r="BS55" i="9" s="1"/>
  <c r="BU57" i="9"/>
  <c r="BO57" i="9"/>
  <c r="BS57" i="9" s="1"/>
  <c r="BU59" i="9"/>
  <c r="BO59" i="9"/>
  <c r="BS59" i="9" s="1"/>
  <c r="AS23" i="9"/>
  <c r="AS24" i="9"/>
  <c r="AS25" i="9"/>
  <c r="AS26" i="9"/>
  <c r="AS27" i="9"/>
  <c r="AS28" i="9"/>
  <c r="AS29" i="9"/>
  <c r="AS30" i="9"/>
  <c r="BT30" i="9"/>
  <c r="AS31" i="9"/>
  <c r="BH31" i="9" s="1"/>
  <c r="AS32" i="9"/>
  <c r="BT32" i="9"/>
  <c r="AS33" i="9"/>
  <c r="BT33" i="9"/>
  <c r="AS34" i="9"/>
  <c r="BT34" i="9"/>
  <c r="AS35" i="9"/>
  <c r="AS36" i="9"/>
  <c r="BH36" i="9" s="1"/>
  <c r="B663" i="9" s="1"/>
  <c r="BT36" i="9"/>
  <c r="AS37" i="9"/>
  <c r="BT37" i="9"/>
  <c r="AS38" i="9"/>
  <c r="BT38" i="9"/>
  <c r="AS39" i="9"/>
  <c r="BT39" i="9"/>
  <c r="AS40" i="9"/>
  <c r="BT40" i="9"/>
  <c r="AS41" i="9"/>
  <c r="BT41" i="9"/>
  <c r="AS42" i="9"/>
  <c r="BT42" i="9"/>
  <c r="AS43" i="9"/>
  <c r="BT43" i="9"/>
  <c r="AS44" i="9"/>
  <c r="BT44" i="9"/>
  <c r="AS45" i="9"/>
  <c r="BT45" i="9"/>
  <c r="AS46" i="9"/>
  <c r="BT46" i="9"/>
  <c r="AS47" i="9"/>
  <c r="BT47" i="9"/>
  <c r="AS48" i="9"/>
  <c r="BT48" i="9"/>
  <c r="AS49" i="9"/>
  <c r="BT49" i="9"/>
  <c r="AS50" i="9"/>
  <c r="BT50" i="9"/>
  <c r="AS51" i="9"/>
  <c r="BT51" i="9"/>
  <c r="AS52" i="9"/>
  <c r="BV52" i="9"/>
  <c r="BT53" i="9"/>
  <c r="AS54" i="9"/>
  <c r="BV54" i="9"/>
  <c r="BT55" i="9"/>
  <c r="AS56" i="9"/>
  <c r="BV56" i="9"/>
  <c r="BT57" i="9"/>
  <c r="AS58" i="9"/>
  <c r="BV58" i="9"/>
  <c r="B766" i="9" s="1"/>
  <c r="BT59" i="9"/>
  <c r="BU85" i="9"/>
  <c r="BO85" i="9"/>
  <c r="BS85" i="9" s="1"/>
  <c r="BU87" i="9"/>
  <c r="BO87" i="9"/>
  <c r="BS87" i="9" s="1"/>
  <c r="BU89" i="9"/>
  <c r="BO89" i="9"/>
  <c r="BS89" i="9" s="1"/>
  <c r="BO60" i="9"/>
  <c r="BS60" i="9" s="1"/>
  <c r="BU60" i="9"/>
  <c r="BO61" i="9"/>
  <c r="BS61" i="9" s="1"/>
  <c r="BU61" i="9"/>
  <c r="BO62" i="9"/>
  <c r="BS62" i="9" s="1"/>
  <c r="BU62" i="9"/>
  <c r="BO63" i="9"/>
  <c r="BS63" i="9" s="1"/>
  <c r="BU63" i="9"/>
  <c r="BO64" i="9"/>
  <c r="BS64" i="9" s="1"/>
  <c r="BU64" i="9"/>
  <c r="BO65" i="9"/>
  <c r="BS65" i="9" s="1"/>
  <c r="BU65" i="9"/>
  <c r="BO66" i="9"/>
  <c r="BS66" i="9" s="1"/>
  <c r="BU66" i="9"/>
  <c r="BO67" i="9"/>
  <c r="BS67" i="9" s="1"/>
  <c r="BU67" i="9"/>
  <c r="BO68" i="9"/>
  <c r="BS68" i="9" s="1"/>
  <c r="BU68" i="9"/>
  <c r="BO69" i="9"/>
  <c r="BS69" i="9" s="1"/>
  <c r="BU69" i="9"/>
  <c r="BO70" i="9"/>
  <c r="BS70" i="9" s="1"/>
  <c r="BU70" i="9"/>
  <c r="BO71" i="9"/>
  <c r="BS71" i="9" s="1"/>
  <c r="BU71" i="9"/>
  <c r="BO72" i="9"/>
  <c r="BS72" i="9" s="1"/>
  <c r="BU72" i="9"/>
  <c r="BO73" i="9"/>
  <c r="BS73" i="9" s="1"/>
  <c r="BU73" i="9"/>
  <c r="BO74" i="9"/>
  <c r="BS74" i="9" s="1"/>
  <c r="BU74" i="9"/>
  <c r="BO75" i="9"/>
  <c r="BS75" i="9" s="1"/>
  <c r="BU75" i="9"/>
  <c r="BO76" i="9"/>
  <c r="BS76" i="9" s="1"/>
  <c r="BU76" i="9"/>
  <c r="BO77" i="9"/>
  <c r="BS77" i="9" s="1"/>
  <c r="BU77" i="9"/>
  <c r="BO78" i="9"/>
  <c r="BS78" i="9" s="1"/>
  <c r="BU78" i="9"/>
  <c r="BO79" i="9"/>
  <c r="BS79" i="9" s="1"/>
  <c r="BQ79" i="9"/>
  <c r="BU79" i="9"/>
  <c r="BQ80" i="9"/>
  <c r="BQ81" i="9"/>
  <c r="BQ82" i="9"/>
  <c r="BQ83" i="9"/>
  <c r="BQ84" i="9"/>
  <c r="BT85" i="9"/>
  <c r="BT87" i="9"/>
  <c r="BT89" i="9"/>
  <c r="BU86" i="9"/>
  <c r="BO86" i="9"/>
  <c r="BS86" i="9" s="1"/>
  <c r="BU88" i="9"/>
  <c r="BO88" i="9"/>
  <c r="BS88" i="9" s="1"/>
  <c r="BU90" i="9"/>
  <c r="BO90" i="9"/>
  <c r="BS90" i="9" s="1"/>
  <c r="BT60" i="9"/>
  <c r="BT61" i="9"/>
  <c r="BT62" i="9"/>
  <c r="BT63" i="9"/>
  <c r="BT64" i="9"/>
  <c r="BT65" i="9"/>
  <c r="BT66" i="9"/>
  <c r="BT67" i="9"/>
  <c r="BT68" i="9"/>
  <c r="BT69" i="9"/>
  <c r="BT70" i="9"/>
  <c r="BT71" i="9"/>
  <c r="BT72" i="9"/>
  <c r="BT73" i="9"/>
  <c r="BT74" i="9"/>
  <c r="BT75" i="9"/>
  <c r="BT76" i="9"/>
  <c r="BT77" i="9"/>
  <c r="BT78" i="9"/>
  <c r="BT79" i="9"/>
  <c r="BT80" i="9"/>
  <c r="BT81" i="9"/>
  <c r="BT82" i="9"/>
  <c r="BT83" i="9"/>
  <c r="BT84" i="9"/>
  <c r="CA84" i="9"/>
  <c r="BV85" i="9"/>
  <c r="BT86" i="9"/>
  <c r="CA86" i="9"/>
  <c r="BV87" i="9"/>
  <c r="BT88" i="9"/>
  <c r="CA88" i="9"/>
  <c r="BV89" i="9"/>
  <c r="BT90" i="9"/>
  <c r="CA90" i="9"/>
  <c r="BU108" i="9"/>
  <c r="BO108" i="9"/>
  <c r="BS108" i="9" s="1"/>
  <c r="BT91" i="9"/>
  <c r="BV91" i="9"/>
  <c r="BT92" i="9"/>
  <c r="BV92" i="9"/>
  <c r="BT93" i="9"/>
  <c r="BV93" i="9"/>
  <c r="BT94" i="9"/>
  <c r="BV94" i="9"/>
  <c r="BT95" i="9"/>
  <c r="BV95" i="9"/>
  <c r="BT96" i="9"/>
  <c r="BV96" i="9"/>
  <c r="BT97" i="9"/>
  <c r="BV97" i="9"/>
  <c r="BT98" i="9"/>
  <c r="BV98" i="9"/>
  <c r="BT99" i="9"/>
  <c r="BV99" i="9"/>
  <c r="BT100" i="9"/>
  <c r="BV100" i="9"/>
  <c r="BT101" i="9"/>
  <c r="BV101" i="9"/>
  <c r="BT102" i="9"/>
  <c r="BV102" i="9"/>
  <c r="BT103" i="9"/>
  <c r="BV103" i="9"/>
  <c r="BT104" i="9"/>
  <c r="BV104" i="9"/>
  <c r="BT105" i="9"/>
  <c r="BV105" i="9"/>
  <c r="BT106" i="9"/>
  <c r="BV106" i="9"/>
  <c r="BT108" i="9"/>
  <c r="BU107" i="9"/>
  <c r="BO107" i="9"/>
  <c r="BS107" i="9" s="1"/>
  <c r="BU109" i="9"/>
  <c r="BO109" i="9"/>
  <c r="BS109" i="9" s="1"/>
  <c r="BO91" i="9"/>
  <c r="BS91" i="9" s="1"/>
  <c r="BO92" i="9"/>
  <c r="BS92" i="9" s="1"/>
  <c r="BO93" i="9"/>
  <c r="BS93" i="9" s="1"/>
  <c r="BO94" i="9"/>
  <c r="BS94" i="9" s="1"/>
  <c r="BO95" i="9"/>
  <c r="BS95" i="9" s="1"/>
  <c r="BO96" i="9"/>
  <c r="BS96" i="9" s="1"/>
  <c r="BO97" i="9"/>
  <c r="BS97" i="9" s="1"/>
  <c r="BO98" i="9"/>
  <c r="BS98" i="9" s="1"/>
  <c r="BO99" i="9"/>
  <c r="BS99" i="9" s="1"/>
  <c r="BO100" i="9"/>
  <c r="BS100" i="9" s="1"/>
  <c r="BO101" i="9"/>
  <c r="BS101" i="9" s="1"/>
  <c r="BO102" i="9"/>
  <c r="BS102" i="9" s="1"/>
  <c r="BO103" i="9"/>
  <c r="BS103" i="9" s="1"/>
  <c r="BO104" i="9"/>
  <c r="BS104" i="9" s="1"/>
  <c r="BO105" i="9"/>
  <c r="BS105" i="9" s="1"/>
  <c r="BO106" i="9"/>
  <c r="BS106" i="9" s="1"/>
  <c r="BT107" i="9"/>
  <c r="CA107" i="9"/>
  <c r="BV108" i="9"/>
  <c r="BT109" i="9"/>
  <c r="BT110" i="9"/>
  <c r="BV110" i="9"/>
  <c r="BT111" i="9"/>
  <c r="BV111" i="9"/>
  <c r="BT112" i="9"/>
  <c r="BV112" i="9"/>
  <c r="BT113" i="9"/>
  <c r="BV113" i="9"/>
  <c r="BT114" i="9"/>
  <c r="BV114" i="9"/>
  <c r="BO110" i="9"/>
  <c r="BS110" i="9" s="1"/>
  <c r="BO111" i="9"/>
  <c r="BS111" i="9" s="1"/>
  <c r="BO112" i="9"/>
  <c r="BS112" i="9" s="1"/>
  <c r="BO113" i="9"/>
  <c r="BS113" i="9" s="1"/>
  <c r="BS114" i="9"/>
  <c r="CO34" i="9" l="1"/>
  <c r="N17" i="16"/>
  <c r="O17" i="16" s="1"/>
  <c r="DE26" i="5"/>
  <c r="DF26" i="5"/>
  <c r="B411" i="9"/>
  <c r="B609" i="5" s="1"/>
  <c r="B767" i="9"/>
  <c r="B425" i="9"/>
  <c r="B623" i="5" s="1"/>
  <c r="CZ16" i="9"/>
  <c r="AL14" i="16"/>
  <c r="A1358" i="16" s="1"/>
  <c r="A1150" i="16"/>
  <c r="AK14" i="16"/>
  <c r="A1254" i="16" s="1"/>
  <c r="AF15" i="16"/>
  <c r="AG15" i="16" s="1"/>
  <c r="AH15" i="16" s="1"/>
  <c r="AI15" i="16" s="1"/>
  <c r="A1037" i="16" s="1"/>
  <c r="Q16" i="16"/>
  <c r="R16" i="16" s="1"/>
  <c r="AA16" i="16" s="1"/>
  <c r="V15" i="16"/>
  <c r="AJ15" i="16"/>
  <c r="AD15" i="16"/>
  <c r="A615" i="16"/>
  <c r="AB14" i="16"/>
  <c r="AE14" i="16" s="1"/>
  <c r="A935" i="16" s="1"/>
  <c r="A830" i="16"/>
  <c r="L22" i="16"/>
  <c r="BA27" i="5"/>
  <c r="AV22" i="5"/>
  <c r="T96" i="14"/>
  <c r="U96" i="14"/>
  <c r="V96" i="14" s="1"/>
  <c r="F96" i="14" s="1"/>
  <c r="B318" i="14" s="1"/>
  <c r="R95" i="14"/>
  <c r="S96" i="14"/>
  <c r="AC21" i="5"/>
  <c r="J21" i="12"/>
  <c r="L21" i="12"/>
  <c r="O22" i="12"/>
  <c r="N23" i="12"/>
  <c r="BB22" i="5"/>
  <c r="DA21" i="9"/>
  <c r="DA16" i="9"/>
  <c r="AU23" i="5"/>
  <c r="AX21" i="5"/>
  <c r="B195" i="9"/>
  <c r="CO24" i="9"/>
  <c r="B519" i="9"/>
  <c r="B675" i="9"/>
  <c r="B125" i="9"/>
  <c r="CO26" i="9"/>
  <c r="B412" i="9"/>
  <c r="B610" i="5" s="1"/>
  <c r="B421" i="9"/>
  <c r="B619" i="5" s="1"/>
  <c r="J263" i="5"/>
  <c r="B647" i="9"/>
  <c r="CZ20" i="9"/>
  <c r="B502" i="9"/>
  <c r="B777" i="9"/>
  <c r="B568" i="9"/>
  <c r="B557" i="9"/>
  <c r="AG20" i="9"/>
  <c r="CK20" i="9" s="1"/>
  <c r="CK194" i="9" s="1"/>
  <c r="BT20" i="9"/>
  <c r="CZ21" i="9"/>
  <c r="DC34" i="9"/>
  <c r="B304" i="9"/>
  <c r="BT31" i="9"/>
  <c r="CO27" i="9"/>
  <c r="CN28" i="9"/>
  <c r="DC27" i="9"/>
  <c r="DE28" i="9"/>
  <c r="CZ15" i="9"/>
  <c r="B585" i="9"/>
  <c r="B587" i="9"/>
  <c r="B574" i="9"/>
  <c r="B613" i="9"/>
  <c r="B576" i="9"/>
  <c r="B615" i="9"/>
  <c r="B578" i="9"/>
  <c r="B617" i="9"/>
  <c r="B580" i="9"/>
  <c r="B619" i="9"/>
  <c r="B582" i="9"/>
  <c r="B621" i="9"/>
  <c r="B584" i="9"/>
  <c r="B623" i="9"/>
  <c r="B586" i="9"/>
  <c r="B625" i="9"/>
  <c r="CH16" i="9"/>
  <c r="CI16" i="9" s="1"/>
  <c r="B556" i="9"/>
  <c r="B558" i="9"/>
  <c r="B562" i="9"/>
  <c r="B566" i="9"/>
  <c r="L6" i="9"/>
  <c r="B692" i="9"/>
  <c r="B536" i="9"/>
  <c r="B707" i="9"/>
  <c r="B706" i="9"/>
  <c r="B701" i="9"/>
  <c r="B700" i="9"/>
  <c r="B697" i="9"/>
  <c r="B696" i="9"/>
  <c r="B708" i="9"/>
  <c r="B705" i="9"/>
  <c r="B702" i="9"/>
  <c r="B698" i="9"/>
  <c r="B560" i="9"/>
  <c r="B564" i="9"/>
  <c r="B555" i="9"/>
  <c r="B559" i="9"/>
  <c r="B563" i="9"/>
  <c r="B567" i="9"/>
  <c r="B704" i="9"/>
  <c r="B699" i="9"/>
  <c r="B554" i="9"/>
  <c r="B561" i="9"/>
  <c r="B565" i="9"/>
  <c r="B630" i="9"/>
  <c r="B571" i="9"/>
  <c r="CS15" i="9"/>
  <c r="CT15" i="9"/>
  <c r="B686" i="9"/>
  <c r="B676" i="9"/>
  <c r="B520" i="9"/>
  <c r="CR28" i="9"/>
  <c r="BI53" i="9"/>
  <c r="B448" i="9" s="1"/>
  <c r="BI57" i="9"/>
  <c r="B450" i="9" s="1"/>
  <c r="BI85" i="9"/>
  <c r="B464" i="9" s="1"/>
  <c r="BI89" i="9"/>
  <c r="B466" i="9" s="1"/>
  <c r="BI93" i="9"/>
  <c r="B468" i="9" s="1"/>
  <c r="BI97" i="9"/>
  <c r="B470" i="9" s="1"/>
  <c r="BI101" i="9"/>
  <c r="B472" i="9" s="1"/>
  <c r="BI105" i="9"/>
  <c r="B474" i="9" s="1"/>
  <c r="BI109" i="9"/>
  <c r="B476" i="9" s="1"/>
  <c r="BI55" i="9"/>
  <c r="B449" i="9" s="1"/>
  <c r="BI59" i="9"/>
  <c r="B451" i="9" s="1"/>
  <c r="BI87" i="9"/>
  <c r="B465" i="9" s="1"/>
  <c r="BI91" i="9"/>
  <c r="B467" i="9" s="1"/>
  <c r="BI95" i="9"/>
  <c r="B469" i="9" s="1"/>
  <c r="BI99" i="9"/>
  <c r="B471" i="9" s="1"/>
  <c r="BI103" i="9"/>
  <c r="B473" i="9" s="1"/>
  <c r="BI107" i="9"/>
  <c r="B475" i="9" s="1"/>
  <c r="BI111" i="9"/>
  <c r="B477" i="9" s="1"/>
  <c r="B483" i="9"/>
  <c r="B716" i="5" s="1"/>
  <c r="CO17" i="9"/>
  <c r="B441" i="9"/>
  <c r="B443" i="9"/>
  <c r="B445" i="9"/>
  <c r="B447" i="9"/>
  <c r="B453" i="9"/>
  <c r="B455" i="9"/>
  <c r="B457" i="9"/>
  <c r="B459" i="9"/>
  <c r="B461" i="9"/>
  <c r="B463" i="9"/>
  <c r="B440" i="9"/>
  <c r="B442" i="9"/>
  <c r="B444" i="9"/>
  <c r="B446" i="9"/>
  <c r="B452" i="9"/>
  <c r="B454" i="9"/>
  <c r="B456" i="9"/>
  <c r="B458" i="9"/>
  <c r="B460" i="9"/>
  <c r="B462" i="9"/>
  <c r="B478" i="9"/>
  <c r="B136" i="9"/>
  <c r="BT35" i="9"/>
  <c r="B356" i="9"/>
  <c r="AG34" i="9"/>
  <c r="B762" i="9"/>
  <c r="AG36" i="9"/>
  <c r="B324" i="9" s="1"/>
  <c r="AG32" i="9"/>
  <c r="AG30" i="9"/>
  <c r="AG35" i="9"/>
  <c r="AG33" i="9"/>
  <c r="AG31" i="9"/>
  <c r="AG29" i="9"/>
  <c r="BT29" i="9"/>
  <c r="AG28" i="9"/>
  <c r="CK28" i="9" s="1"/>
  <c r="B213" i="9" s="1"/>
  <c r="AG27" i="9"/>
  <c r="BT25" i="9"/>
  <c r="B355" i="9"/>
  <c r="AG26" i="9"/>
  <c r="AG24" i="9"/>
  <c r="AG25" i="9"/>
  <c r="CL15" i="9"/>
  <c r="B354" i="9"/>
  <c r="B244" i="9"/>
  <c r="CK15" i="9"/>
  <c r="B127" i="9"/>
  <c r="B288" i="9"/>
  <c r="B179" i="9"/>
  <c r="B130" i="9"/>
  <c r="B134" i="9"/>
  <c r="B126" i="9"/>
  <c r="B128" i="9"/>
  <c r="B132" i="9"/>
  <c r="B138" i="9"/>
  <c r="B131" i="9"/>
  <c r="B135" i="9"/>
  <c r="B137" i="9"/>
  <c r="B129" i="9"/>
  <c r="B133" i="9"/>
  <c r="B139" i="9"/>
  <c r="B773" i="9"/>
  <c r="B765" i="9"/>
  <c r="AG23" i="9"/>
  <c r="AG22" i="9"/>
  <c r="B761" i="9"/>
  <c r="AG21" i="9"/>
  <c r="CK21" i="9" s="1"/>
  <c r="B760" i="9"/>
  <c r="AU16" i="9"/>
  <c r="AT17" i="9"/>
  <c r="AY17" i="9" s="1"/>
  <c r="AW17" i="9" s="1"/>
  <c r="B736" i="9"/>
  <c r="B747" i="9"/>
  <c r="BL17" i="9"/>
  <c r="B756" i="9"/>
  <c r="B739" i="9"/>
  <c r="B738" i="9"/>
  <c r="B754" i="9"/>
  <c r="B753" i="9"/>
  <c r="B770" i="9"/>
  <c r="B751" i="9"/>
  <c r="B749" i="9"/>
  <c r="B740" i="9"/>
  <c r="B774" i="9"/>
  <c r="B737" i="9"/>
  <c r="B755" i="9"/>
  <c r="B772" i="9"/>
  <c r="B771" i="9"/>
  <c r="B750" i="9"/>
  <c r="B752" i="9"/>
  <c r="B735" i="9"/>
  <c r="B734" i="9"/>
  <c r="B733" i="9"/>
  <c r="B748" i="9"/>
  <c r="B746" i="9"/>
  <c r="B745" i="9"/>
  <c r="B732" i="9"/>
  <c r="B731" i="9"/>
  <c r="B730" i="9"/>
  <c r="B729" i="9"/>
  <c r="B728" i="9"/>
  <c r="BM16" i="9"/>
  <c r="D117" i="5"/>
  <c r="K7" i="5"/>
  <c r="CN49" i="5"/>
  <c r="CN50" i="5"/>
  <c r="CN61" i="5"/>
  <c r="CN62" i="5"/>
  <c r="CN63" i="5"/>
  <c r="CN64" i="5"/>
  <c r="CN65" i="5"/>
  <c r="CN66" i="5"/>
  <c r="CN67" i="5"/>
  <c r="CN68" i="5"/>
  <c r="CN69" i="5"/>
  <c r="CN70" i="5"/>
  <c r="CN71" i="5"/>
  <c r="CN72" i="5"/>
  <c r="CN73" i="5"/>
  <c r="CN74" i="5"/>
  <c r="CN75" i="5"/>
  <c r="CN76" i="5"/>
  <c r="CN77" i="5"/>
  <c r="CN78" i="5"/>
  <c r="CN79" i="5"/>
  <c r="CN80" i="5"/>
  <c r="CN81" i="5"/>
  <c r="CN82" i="5"/>
  <c r="CN83" i="5"/>
  <c r="CN84" i="5"/>
  <c r="CN85" i="5"/>
  <c r="CN86" i="5"/>
  <c r="CN87" i="5"/>
  <c r="CN88" i="5"/>
  <c r="CN89" i="5"/>
  <c r="CN90" i="5"/>
  <c r="CN91" i="5"/>
  <c r="CN92" i="5"/>
  <c r="CN93" i="5"/>
  <c r="CN94" i="5"/>
  <c r="CN95" i="5"/>
  <c r="CN96" i="5"/>
  <c r="CN97" i="5"/>
  <c r="CN98" i="5"/>
  <c r="CN99" i="5"/>
  <c r="CN100" i="5"/>
  <c r="CN101" i="5"/>
  <c r="CN102" i="5"/>
  <c r="CN103" i="5"/>
  <c r="CN104" i="5"/>
  <c r="CN105" i="5"/>
  <c r="CN106" i="5"/>
  <c r="CN107" i="5"/>
  <c r="CN108" i="5"/>
  <c r="CN109" i="5"/>
  <c r="CN110" i="5"/>
  <c r="CN111" i="5"/>
  <c r="CN112" i="5"/>
  <c r="CN113" i="5"/>
  <c r="CN114" i="5"/>
  <c r="CM49" i="5"/>
  <c r="CM50" i="5"/>
  <c r="CM61" i="5"/>
  <c r="CM62" i="5"/>
  <c r="CM63" i="5"/>
  <c r="CM64" i="5"/>
  <c r="CM65" i="5"/>
  <c r="CM66" i="5"/>
  <c r="CM67" i="5"/>
  <c r="CM68" i="5"/>
  <c r="CM69" i="5"/>
  <c r="CM70" i="5"/>
  <c r="CM71" i="5"/>
  <c r="CM72" i="5"/>
  <c r="CM73" i="5"/>
  <c r="CM74" i="5"/>
  <c r="CM75" i="5"/>
  <c r="CM76" i="5"/>
  <c r="CM77" i="5"/>
  <c r="CM78" i="5"/>
  <c r="CM79" i="5"/>
  <c r="CM80" i="5"/>
  <c r="CM81" i="5"/>
  <c r="CM82" i="5"/>
  <c r="CM83" i="5"/>
  <c r="CM84" i="5"/>
  <c r="CM85" i="5"/>
  <c r="CM86" i="5"/>
  <c r="CM87" i="5"/>
  <c r="CM88" i="5"/>
  <c r="CM89" i="5"/>
  <c r="CM90" i="5"/>
  <c r="CM91" i="5"/>
  <c r="CM92" i="5"/>
  <c r="CM93" i="5"/>
  <c r="CM94" i="5"/>
  <c r="CM95" i="5"/>
  <c r="CM96" i="5"/>
  <c r="CM97" i="5"/>
  <c r="CM98" i="5"/>
  <c r="CM99" i="5"/>
  <c r="CM100" i="5"/>
  <c r="CM101" i="5"/>
  <c r="CM102" i="5"/>
  <c r="CM103" i="5"/>
  <c r="CM104" i="5"/>
  <c r="CM105" i="5"/>
  <c r="CM106" i="5"/>
  <c r="CM107" i="5"/>
  <c r="CM108" i="5"/>
  <c r="CM109" i="5"/>
  <c r="CM110" i="5"/>
  <c r="CM111" i="5"/>
  <c r="CM112" i="5"/>
  <c r="CM113" i="5"/>
  <c r="CM114" i="5"/>
  <c r="K2" i="5"/>
  <c r="CN19" i="5" s="1"/>
  <c r="DE27" i="5" l="1"/>
  <c r="B854" i="5" s="1"/>
  <c r="G24" i="16"/>
  <c r="A262" i="16" s="1"/>
  <c r="DF27" i="5"/>
  <c r="B630" i="5" s="1"/>
  <c r="AL15" i="16"/>
  <c r="A1359" i="16" s="1"/>
  <c r="AK15" i="16"/>
  <c r="A1255" i="16" s="1"/>
  <c r="A1151" i="16"/>
  <c r="CN60" i="5"/>
  <c r="CN58" i="5"/>
  <c r="CN56" i="5"/>
  <c r="CN53" i="5"/>
  <c r="CN51" i="5"/>
  <c r="CN47" i="5"/>
  <c r="CN45" i="5"/>
  <c r="CN43" i="5"/>
  <c r="CN41" i="5"/>
  <c r="CN39" i="5"/>
  <c r="AF16" i="16"/>
  <c r="AG16" i="16" s="1"/>
  <c r="AH16" i="16" s="1"/>
  <c r="AI16" i="16" s="1"/>
  <c r="A1038" i="16" s="1"/>
  <c r="A616" i="16"/>
  <c r="AJ16" i="16"/>
  <c r="AD16" i="16"/>
  <c r="Q17" i="16"/>
  <c r="R17" i="16" s="1"/>
  <c r="AA17" i="16" s="1"/>
  <c r="AB15" i="16"/>
  <c r="AE15" i="16" s="1"/>
  <c r="A936" i="16" s="1"/>
  <c r="A831" i="16"/>
  <c r="CN59" i="5"/>
  <c r="CN57" i="5"/>
  <c r="CN54" i="5"/>
  <c r="CN52" i="5"/>
  <c r="CN48" i="5"/>
  <c r="CN46" i="5"/>
  <c r="CN44" i="5"/>
  <c r="CN42" i="5"/>
  <c r="CN40" i="5"/>
  <c r="CN38" i="5"/>
  <c r="L23" i="16"/>
  <c r="BA28" i="5"/>
  <c r="AV23" i="5"/>
  <c r="N18" i="16"/>
  <c r="O18" i="16" s="1"/>
  <c r="T95" i="14"/>
  <c r="U95" i="14"/>
  <c r="V95" i="14" s="1"/>
  <c r="F95" i="14" s="1"/>
  <c r="B317" i="14" s="1"/>
  <c r="R94" i="14"/>
  <c r="S95" i="14"/>
  <c r="AC22" i="5"/>
  <c r="CN37" i="5"/>
  <c r="CN35" i="5"/>
  <c r="CN32" i="5"/>
  <c r="CN36" i="5"/>
  <c r="CN34" i="5"/>
  <c r="CN31" i="5"/>
  <c r="J22" i="12"/>
  <c r="L22" i="12"/>
  <c r="O23" i="12"/>
  <c r="N24" i="12"/>
  <c r="CX24" i="5"/>
  <c r="CP24" i="5"/>
  <c r="CN33" i="5"/>
  <c r="BB23" i="5"/>
  <c r="AX22" i="5"/>
  <c r="J17" i="5"/>
  <c r="B120" i="14" s="1"/>
  <c r="J16" i="5"/>
  <c r="B119" i="14" s="1"/>
  <c r="AU24" i="5"/>
  <c r="B407" i="9"/>
  <c r="B605" i="5" s="1"/>
  <c r="B408" i="9"/>
  <c r="B606" i="5" s="1"/>
  <c r="DG16" i="9"/>
  <c r="DG21" i="9"/>
  <c r="CV16" i="9"/>
  <c r="B573" i="9"/>
  <c r="BN16" i="9"/>
  <c r="BR16" i="9" s="1"/>
  <c r="CT16" i="9" s="1"/>
  <c r="BQ16" i="9"/>
  <c r="CS16" i="9" s="1"/>
  <c r="CL16" i="9"/>
  <c r="CQ16" i="9" s="1"/>
  <c r="B402" i="9"/>
  <c r="B406" i="9"/>
  <c r="CV15" i="9"/>
  <c r="CV21" i="9"/>
  <c r="DG15" i="9"/>
  <c r="DG20" i="9"/>
  <c r="CV20" i="9"/>
  <c r="CH17" i="9"/>
  <c r="CI17" i="9" s="1"/>
  <c r="DC35" i="9"/>
  <c r="DE35" i="9"/>
  <c r="DC28" i="9"/>
  <c r="B165" i="9" s="1"/>
  <c r="DE29" i="9"/>
  <c r="CN29" i="9"/>
  <c r="CO28" i="9"/>
  <c r="B611" i="9"/>
  <c r="B632" i="9"/>
  <c r="B891" i="5" s="1"/>
  <c r="CQ15" i="9"/>
  <c r="CP15" i="9"/>
  <c r="CO18" i="9"/>
  <c r="B744" i="9"/>
  <c r="B323" i="9"/>
  <c r="B321" i="9"/>
  <c r="B322" i="9"/>
  <c r="B212" i="9"/>
  <c r="BL18" i="9"/>
  <c r="BM18" i="9" s="1"/>
  <c r="BN18" i="9" s="1"/>
  <c r="AU17" i="9"/>
  <c r="AT18" i="9"/>
  <c r="AY18" i="9" s="1"/>
  <c r="AW18" i="9" s="1"/>
  <c r="BM17" i="9"/>
  <c r="BN17" i="9" s="1"/>
  <c r="N19" i="16" l="1"/>
  <c r="O19" i="16" s="1"/>
  <c r="AJ17" i="16"/>
  <c r="A617" i="16"/>
  <c r="Q18" i="16"/>
  <c r="R18" i="16" s="1"/>
  <c r="AA18" i="16" s="1"/>
  <c r="AF17" i="16"/>
  <c r="AG17" i="16" s="1"/>
  <c r="AH17" i="16" s="1"/>
  <c r="AI17" i="16" s="1"/>
  <c r="A1039" i="16" s="1"/>
  <c r="AD17" i="16"/>
  <c r="A1152" i="16"/>
  <c r="AL16" i="16"/>
  <c r="A1360" i="16" s="1"/>
  <c r="AK16" i="16"/>
  <c r="A1256" i="16" s="1"/>
  <c r="BA46" i="5"/>
  <c r="L24" i="16"/>
  <c r="BA29" i="5"/>
  <c r="AV24" i="5"/>
  <c r="T94" i="14"/>
  <c r="U94" i="14"/>
  <c r="V94" i="14" s="1"/>
  <c r="F94" i="14" s="1"/>
  <c r="B316" i="14" s="1"/>
  <c r="R93" i="14"/>
  <c r="S94" i="14"/>
  <c r="AC23" i="5"/>
  <c r="J23" i="12"/>
  <c r="L23" i="12"/>
  <c r="B164" i="12" s="1"/>
  <c r="B139" i="12"/>
  <c r="O24" i="12"/>
  <c r="N25" i="12"/>
  <c r="BB24" i="5"/>
  <c r="AX23" i="5"/>
  <c r="CP16" i="9"/>
  <c r="AU25" i="5"/>
  <c r="AU35" i="5"/>
  <c r="B785" i="9"/>
  <c r="B127" i="5" s="1"/>
  <c r="B710" i="9"/>
  <c r="B538" i="9"/>
  <c r="CH18" i="9"/>
  <c r="CI18" i="9" s="1"/>
  <c r="CL17" i="9"/>
  <c r="CQ17" i="9" s="1"/>
  <c r="DC29" i="9"/>
  <c r="CO29" i="9"/>
  <c r="CN30" i="9"/>
  <c r="CO30" i="9" s="1"/>
  <c r="BA16" i="9"/>
  <c r="AO15" i="9"/>
  <c r="BC15" i="9"/>
  <c r="AH15" i="9"/>
  <c r="AI15" i="9" s="1"/>
  <c r="BG15" i="9"/>
  <c r="BB15" i="9"/>
  <c r="AZ15" i="9"/>
  <c r="BA15" i="9"/>
  <c r="AD15" i="9"/>
  <c r="AX15" i="9"/>
  <c r="BH15" i="9" s="1"/>
  <c r="CO20" i="9"/>
  <c r="CO11" i="9" s="1"/>
  <c r="CO19" i="9"/>
  <c r="AT19" i="9"/>
  <c r="AY19" i="9" s="1"/>
  <c r="AW19" i="9" s="1"/>
  <c r="AU18" i="9"/>
  <c r="BL19" i="9"/>
  <c r="BL46" i="8"/>
  <c r="BL47" i="8"/>
  <c r="BL48" i="8"/>
  <c r="BL49" i="8"/>
  <c r="BL50" i="8"/>
  <c r="BL51" i="8"/>
  <c r="BL52" i="8"/>
  <c r="BL53" i="8"/>
  <c r="BL54" i="8"/>
  <c r="BL55" i="8"/>
  <c r="BL56" i="8"/>
  <c r="BL57" i="8"/>
  <c r="BL58" i="8"/>
  <c r="BL59" i="8"/>
  <c r="BL60" i="8"/>
  <c r="BL61" i="8"/>
  <c r="BL62" i="8"/>
  <c r="BL63" i="8"/>
  <c r="BL64" i="8"/>
  <c r="BL65" i="8"/>
  <c r="BL66" i="8"/>
  <c r="BL67" i="8"/>
  <c r="BL68" i="8"/>
  <c r="BL69" i="8"/>
  <c r="BL70" i="8"/>
  <c r="BL71" i="8"/>
  <c r="BL72" i="8"/>
  <c r="BL73" i="8"/>
  <c r="BL74" i="8"/>
  <c r="BL75" i="8"/>
  <c r="BL76" i="8"/>
  <c r="BL77" i="8"/>
  <c r="BL78" i="8"/>
  <c r="BL79" i="8"/>
  <c r="BL80" i="8"/>
  <c r="BL81" i="8"/>
  <c r="BL82" i="8"/>
  <c r="BL83" i="8"/>
  <c r="BL84" i="8"/>
  <c r="BL85" i="8"/>
  <c r="BL86" i="8"/>
  <c r="BL87" i="8"/>
  <c r="BL88" i="8"/>
  <c r="BL89" i="8"/>
  <c r="BL90" i="8"/>
  <c r="BL91" i="8"/>
  <c r="BL92" i="8"/>
  <c r="BL93" i="8"/>
  <c r="BL94" i="8"/>
  <c r="BL95" i="8"/>
  <c r="BL96" i="8"/>
  <c r="BL97" i="8"/>
  <c r="BL98" i="8"/>
  <c r="BL99" i="8"/>
  <c r="BL100" i="8"/>
  <c r="BL101" i="8"/>
  <c r="BL102" i="8"/>
  <c r="BL103" i="8"/>
  <c r="BL104" i="8"/>
  <c r="BL105" i="8"/>
  <c r="BL106" i="8"/>
  <c r="BL107" i="8"/>
  <c r="BL108" i="8"/>
  <c r="BL109" i="8"/>
  <c r="BL110" i="8"/>
  <c r="BL111" i="8"/>
  <c r="BL112" i="8"/>
  <c r="BL113" i="8"/>
  <c r="B543" i="8"/>
  <c r="B520" i="8"/>
  <c r="B486" i="8"/>
  <c r="B415" i="8"/>
  <c r="B359" i="8"/>
  <c r="B356" i="8"/>
  <c r="B294" i="8"/>
  <c r="B155" i="8"/>
  <c r="D117" i="8"/>
  <c r="CE114" i="8"/>
  <c r="CD114" i="8"/>
  <c r="CB114" i="8"/>
  <c r="CA114" i="8"/>
  <c r="BY114" i="8"/>
  <c r="BR114" i="8"/>
  <c r="BJ114" i="8"/>
  <c r="BI114" i="8"/>
  <c r="BA114" i="8"/>
  <c r="AZ114" i="8"/>
  <c r="AQ114" i="8"/>
  <c r="AP114" i="8"/>
  <c r="AO114" i="8"/>
  <c r="AN114" i="8"/>
  <c r="AM114" i="8"/>
  <c r="BH114" i="8" s="1"/>
  <c r="AL114" i="8"/>
  <c r="AC114" i="8"/>
  <c r="CE113" i="8"/>
  <c r="CD113" i="8"/>
  <c r="CB113" i="8"/>
  <c r="CA113" i="8"/>
  <c r="BY113" i="8"/>
  <c r="BR113" i="8"/>
  <c r="BJ113" i="8"/>
  <c r="BS113" i="8" s="1"/>
  <c r="BI113" i="8"/>
  <c r="BA113" i="8"/>
  <c r="AZ113" i="8"/>
  <c r="AQ113" i="8"/>
  <c r="AP113" i="8"/>
  <c r="AO113" i="8"/>
  <c r="AN113" i="8"/>
  <c r="AM113" i="8"/>
  <c r="AL113" i="8"/>
  <c r="AC113" i="8"/>
  <c r="CE112" i="8"/>
  <c r="CD112" i="8"/>
  <c r="CB112" i="8"/>
  <c r="CA112" i="8"/>
  <c r="BY112" i="8"/>
  <c r="BR112" i="8"/>
  <c r="BJ112" i="8"/>
  <c r="BI112" i="8"/>
  <c r="BA112" i="8"/>
  <c r="AZ112" i="8"/>
  <c r="AQ112" i="8"/>
  <c r="AP112" i="8"/>
  <c r="AO112" i="8"/>
  <c r="AN112" i="8"/>
  <c r="AM112" i="8"/>
  <c r="BH112" i="8" s="1"/>
  <c r="AL112" i="8"/>
  <c r="AC112" i="8"/>
  <c r="CE111" i="8"/>
  <c r="CD111" i="8"/>
  <c r="CB111" i="8"/>
  <c r="CA111" i="8"/>
  <c r="BY111" i="8"/>
  <c r="BR111" i="8"/>
  <c r="BJ111" i="8"/>
  <c r="BS111" i="8" s="1"/>
  <c r="BI111" i="8"/>
  <c r="BA111" i="8"/>
  <c r="AZ111" i="8"/>
  <c r="AQ111" i="8"/>
  <c r="AP111" i="8"/>
  <c r="AO111" i="8"/>
  <c r="AN111" i="8"/>
  <c r="AM111" i="8"/>
  <c r="BH111" i="8" s="1"/>
  <c r="AL111" i="8"/>
  <c r="AC111" i="8"/>
  <c r="CE110" i="8"/>
  <c r="CD110" i="8"/>
  <c r="CB110" i="8"/>
  <c r="CA110" i="8"/>
  <c r="BY110" i="8"/>
  <c r="BR110" i="8"/>
  <c r="BJ110" i="8"/>
  <c r="BI110" i="8"/>
  <c r="BA110" i="8"/>
  <c r="AZ110" i="8"/>
  <c r="AQ110" i="8"/>
  <c r="AP110" i="8"/>
  <c r="AO110" i="8"/>
  <c r="AN110" i="8"/>
  <c r="AM110" i="8"/>
  <c r="BH110" i="8" s="1"/>
  <c r="AL110" i="8"/>
  <c r="AC110" i="8"/>
  <c r="CE109" i="8"/>
  <c r="CD109" i="8"/>
  <c r="CB109" i="8"/>
  <c r="CA109" i="8"/>
  <c r="BY109" i="8"/>
  <c r="BR109" i="8"/>
  <c r="BJ109" i="8"/>
  <c r="BS109" i="8" s="1"/>
  <c r="BI109" i="8"/>
  <c r="BA109" i="8"/>
  <c r="AZ109" i="8"/>
  <c r="AQ109" i="8"/>
  <c r="AP109" i="8"/>
  <c r="AO109" i="8"/>
  <c r="AN109" i="8"/>
  <c r="AM109" i="8"/>
  <c r="AL109" i="8"/>
  <c r="AC109" i="8"/>
  <c r="CE108" i="8"/>
  <c r="CD108" i="8"/>
  <c r="CB108" i="8"/>
  <c r="CA108" i="8"/>
  <c r="BY108" i="8"/>
  <c r="BR108" i="8"/>
  <c r="CG108" i="8" s="1"/>
  <c r="BJ108" i="8"/>
  <c r="BI108" i="8"/>
  <c r="BA108" i="8"/>
  <c r="AZ108" i="8"/>
  <c r="AQ108" i="8"/>
  <c r="AP108" i="8"/>
  <c r="AO108" i="8"/>
  <c r="AN108" i="8"/>
  <c r="AM108" i="8"/>
  <c r="BH108" i="8" s="1"/>
  <c r="AL108" i="8"/>
  <c r="AC108" i="8"/>
  <c r="CE107" i="8"/>
  <c r="CD107" i="8"/>
  <c r="CB107" i="8"/>
  <c r="CA107" i="8"/>
  <c r="BY107" i="8"/>
  <c r="BR107" i="8"/>
  <c r="CG107" i="8" s="1"/>
  <c r="BJ107" i="8"/>
  <c r="BS107" i="8" s="1"/>
  <c r="BI107" i="8"/>
  <c r="BA107" i="8"/>
  <c r="AZ107" i="8"/>
  <c r="AQ107" i="8"/>
  <c r="AP107" i="8"/>
  <c r="AO107" i="8"/>
  <c r="AN107" i="8"/>
  <c r="AM107" i="8"/>
  <c r="BH107" i="8" s="1"/>
  <c r="AL107" i="8"/>
  <c r="AC107" i="8"/>
  <c r="CE106" i="8"/>
  <c r="CD106" i="8"/>
  <c r="CB106" i="8"/>
  <c r="CA106" i="8"/>
  <c r="BY106" i="8"/>
  <c r="BR106" i="8"/>
  <c r="CG106" i="8" s="1"/>
  <c r="BJ106" i="8"/>
  <c r="BI106" i="8"/>
  <c r="BA106" i="8"/>
  <c r="AZ106" i="8"/>
  <c r="AQ106" i="8"/>
  <c r="AP106" i="8"/>
  <c r="AO106" i="8"/>
  <c r="AN106" i="8"/>
  <c r="AM106" i="8"/>
  <c r="BH106" i="8" s="1"/>
  <c r="AL106" i="8"/>
  <c r="AC106" i="8"/>
  <c r="CE105" i="8"/>
  <c r="CD105" i="8"/>
  <c r="CB105" i="8"/>
  <c r="CA105" i="8"/>
  <c r="BY105" i="8"/>
  <c r="BR105" i="8"/>
  <c r="BJ105" i="8"/>
  <c r="BS105" i="8" s="1"/>
  <c r="BI105" i="8"/>
  <c r="BA105" i="8"/>
  <c r="AZ105" i="8"/>
  <c r="AQ105" i="8"/>
  <c r="AP105" i="8"/>
  <c r="AO105" i="8"/>
  <c r="AN105" i="8"/>
  <c r="AM105" i="8"/>
  <c r="BH105" i="8" s="1"/>
  <c r="AL105" i="8"/>
  <c r="AC105" i="8"/>
  <c r="CE104" i="8"/>
  <c r="CD104" i="8"/>
  <c r="CB104" i="8"/>
  <c r="CA104" i="8"/>
  <c r="BY104" i="8"/>
  <c r="BR104" i="8"/>
  <c r="CG104" i="8" s="1"/>
  <c r="BJ104" i="8"/>
  <c r="BI104" i="8"/>
  <c r="BA104" i="8"/>
  <c r="AZ104" i="8"/>
  <c r="AQ104" i="8"/>
  <c r="AP104" i="8"/>
  <c r="AO104" i="8"/>
  <c r="AN104" i="8"/>
  <c r="AM104" i="8"/>
  <c r="BH104" i="8" s="1"/>
  <c r="AL104" i="8"/>
  <c r="AC104" i="8"/>
  <c r="CE103" i="8"/>
  <c r="CD103" i="8"/>
  <c r="CB103" i="8"/>
  <c r="CA103" i="8"/>
  <c r="BY103" i="8"/>
  <c r="BR103" i="8"/>
  <c r="CG103" i="8" s="1"/>
  <c r="BJ103" i="8"/>
  <c r="BS103" i="8" s="1"/>
  <c r="BI103" i="8"/>
  <c r="BA103" i="8"/>
  <c r="AZ103" i="8"/>
  <c r="AQ103" i="8"/>
  <c r="AP103" i="8"/>
  <c r="AO103" i="8"/>
  <c r="AN103" i="8"/>
  <c r="AM103" i="8"/>
  <c r="AL103" i="8"/>
  <c r="AC103" i="8"/>
  <c r="CE102" i="8"/>
  <c r="CD102" i="8"/>
  <c r="CB102" i="8"/>
  <c r="CA102" i="8"/>
  <c r="BY102" i="8"/>
  <c r="BR102" i="8"/>
  <c r="CG102" i="8" s="1"/>
  <c r="BJ102" i="8"/>
  <c r="BI102" i="8"/>
  <c r="BA102" i="8"/>
  <c r="AZ102" i="8"/>
  <c r="AQ102" i="8"/>
  <c r="AP102" i="8"/>
  <c r="AO102" i="8"/>
  <c r="AN102" i="8"/>
  <c r="AM102" i="8"/>
  <c r="BH102" i="8" s="1"/>
  <c r="AL102" i="8"/>
  <c r="AC102" i="8"/>
  <c r="CE101" i="8"/>
  <c r="CD101" i="8"/>
  <c r="CB101" i="8"/>
  <c r="CA101" i="8"/>
  <c r="BY101" i="8"/>
  <c r="BR101" i="8"/>
  <c r="BQ101" i="8" s="1"/>
  <c r="BU101" i="8" s="1"/>
  <c r="BJ101" i="8"/>
  <c r="BS101" i="8" s="1"/>
  <c r="BI101" i="8"/>
  <c r="BA101" i="8"/>
  <c r="AZ101" i="8"/>
  <c r="AQ101" i="8"/>
  <c r="AP101" i="8"/>
  <c r="AO101" i="8"/>
  <c r="AN101" i="8"/>
  <c r="AM101" i="8"/>
  <c r="BH101" i="8" s="1"/>
  <c r="AL101" i="8"/>
  <c r="AC101" i="8"/>
  <c r="CE100" i="8"/>
  <c r="CD100" i="8"/>
  <c r="CB100" i="8"/>
  <c r="CA100" i="8"/>
  <c r="BY100" i="8"/>
  <c r="BR100" i="8"/>
  <c r="CG100" i="8" s="1"/>
  <c r="BJ100" i="8"/>
  <c r="BI100" i="8"/>
  <c r="BA100" i="8"/>
  <c r="AZ100" i="8"/>
  <c r="AQ100" i="8"/>
  <c r="AP100" i="8"/>
  <c r="AO100" i="8"/>
  <c r="AN100" i="8"/>
  <c r="AM100" i="8"/>
  <c r="BH100" i="8" s="1"/>
  <c r="AL100" i="8"/>
  <c r="AC100" i="8"/>
  <c r="CE99" i="8"/>
  <c r="CD99" i="8"/>
  <c r="CB99" i="8"/>
  <c r="CA99" i="8"/>
  <c r="BY99" i="8"/>
  <c r="BR99" i="8"/>
  <c r="CG99" i="8" s="1"/>
  <c r="BJ99" i="8"/>
  <c r="BS99" i="8" s="1"/>
  <c r="BI99" i="8"/>
  <c r="BA99" i="8"/>
  <c r="AZ99" i="8"/>
  <c r="AQ99" i="8"/>
  <c r="AP99" i="8"/>
  <c r="AO99" i="8"/>
  <c r="AN99" i="8"/>
  <c r="AM99" i="8"/>
  <c r="BH99" i="8" s="1"/>
  <c r="AL99" i="8"/>
  <c r="AC99" i="8"/>
  <c r="CE98" i="8"/>
  <c r="CD98" i="8"/>
  <c r="CB98" i="8"/>
  <c r="CA98" i="8"/>
  <c r="BY98" i="8"/>
  <c r="BR98" i="8"/>
  <c r="CG98" i="8" s="1"/>
  <c r="BJ98" i="8"/>
  <c r="BI98" i="8"/>
  <c r="BA98" i="8"/>
  <c r="AZ98" i="8"/>
  <c r="AQ98" i="8"/>
  <c r="AP98" i="8"/>
  <c r="AO98" i="8"/>
  <c r="AN98" i="8"/>
  <c r="AM98" i="8"/>
  <c r="BH98" i="8" s="1"/>
  <c r="AL98" i="8"/>
  <c r="AC98" i="8"/>
  <c r="CE97" i="8"/>
  <c r="CD97" i="8"/>
  <c r="CB97" i="8"/>
  <c r="CA97" i="8"/>
  <c r="BY97" i="8"/>
  <c r="BR97" i="8"/>
  <c r="CG97" i="8" s="1"/>
  <c r="BJ97" i="8"/>
  <c r="BS97" i="8" s="1"/>
  <c r="BI97" i="8"/>
  <c r="BA97" i="8"/>
  <c r="AZ97" i="8"/>
  <c r="AQ97" i="8"/>
  <c r="AP97" i="8"/>
  <c r="AO97" i="8"/>
  <c r="AN97" i="8"/>
  <c r="AM97" i="8"/>
  <c r="BH97" i="8" s="1"/>
  <c r="AL97" i="8"/>
  <c r="AC97" i="8"/>
  <c r="CE96" i="8"/>
  <c r="CD96" i="8"/>
  <c r="CB96" i="8"/>
  <c r="CA96" i="8"/>
  <c r="BY96" i="8"/>
  <c r="BR96" i="8"/>
  <c r="CG96" i="8" s="1"/>
  <c r="BJ96" i="8"/>
  <c r="BI96" i="8"/>
  <c r="BA96" i="8"/>
  <c r="AZ96" i="8"/>
  <c r="AQ96" i="8"/>
  <c r="AP96" i="8"/>
  <c r="AO96" i="8"/>
  <c r="AN96" i="8"/>
  <c r="AM96" i="8"/>
  <c r="BH96" i="8" s="1"/>
  <c r="AL96" i="8"/>
  <c r="AC96" i="8"/>
  <c r="CE95" i="8"/>
  <c r="CD95" i="8"/>
  <c r="CB95" i="8"/>
  <c r="CA95" i="8"/>
  <c r="BY95" i="8"/>
  <c r="BR95" i="8"/>
  <c r="BJ95" i="8"/>
  <c r="BS95" i="8" s="1"/>
  <c r="BI95" i="8"/>
  <c r="BA95" i="8"/>
  <c r="AZ95" i="8"/>
  <c r="AQ95" i="8"/>
  <c r="AP95" i="8"/>
  <c r="AO95" i="8"/>
  <c r="AN95" i="8"/>
  <c r="AM95" i="8"/>
  <c r="AL95" i="8"/>
  <c r="AC95" i="8"/>
  <c r="CE94" i="8"/>
  <c r="CD94" i="8"/>
  <c r="CB94" i="8"/>
  <c r="CA94" i="8"/>
  <c r="BY94" i="8"/>
  <c r="BR94" i="8"/>
  <c r="CG94" i="8" s="1"/>
  <c r="BJ94" i="8"/>
  <c r="BI94" i="8"/>
  <c r="BA94" i="8"/>
  <c r="AZ94" i="8"/>
  <c r="AQ94" i="8"/>
  <c r="AP94" i="8"/>
  <c r="AO94" i="8"/>
  <c r="AN94" i="8"/>
  <c r="AM94" i="8"/>
  <c r="BH94" i="8" s="1"/>
  <c r="AL94" i="8"/>
  <c r="AC94" i="8"/>
  <c r="CE93" i="8"/>
  <c r="CD93" i="8"/>
  <c r="CB93" i="8"/>
  <c r="CA93" i="8"/>
  <c r="BY93" i="8"/>
  <c r="BR93" i="8"/>
  <c r="CG93" i="8" s="1"/>
  <c r="BJ93" i="8"/>
  <c r="BS93" i="8" s="1"/>
  <c r="BI93" i="8"/>
  <c r="BA93" i="8"/>
  <c r="AZ93" i="8"/>
  <c r="AQ93" i="8"/>
  <c r="AP93" i="8"/>
  <c r="AO93" i="8"/>
  <c r="AN93" i="8"/>
  <c r="AM93" i="8"/>
  <c r="BH93" i="8" s="1"/>
  <c r="AL93" i="8"/>
  <c r="AC93" i="8"/>
  <c r="CE92" i="8"/>
  <c r="CD92" i="8"/>
  <c r="CB92" i="8"/>
  <c r="CA92" i="8"/>
  <c r="BY92" i="8"/>
  <c r="BR92" i="8"/>
  <c r="CG92" i="8" s="1"/>
  <c r="BJ92" i="8"/>
  <c r="BI92" i="8"/>
  <c r="BA92" i="8"/>
  <c r="AZ92" i="8"/>
  <c r="AQ92" i="8"/>
  <c r="AP92" i="8"/>
  <c r="AO92" i="8"/>
  <c r="AN92" i="8"/>
  <c r="AM92" i="8"/>
  <c r="BH92" i="8" s="1"/>
  <c r="AL92" i="8"/>
  <c r="AC92" i="8"/>
  <c r="CE91" i="8"/>
  <c r="CD91" i="8"/>
  <c r="CB91" i="8"/>
  <c r="CA91" i="8"/>
  <c r="BY91" i="8"/>
  <c r="BR91" i="8"/>
  <c r="BJ91" i="8"/>
  <c r="BS91" i="8" s="1"/>
  <c r="BI91" i="8"/>
  <c r="BA91" i="8"/>
  <c r="AZ91" i="8"/>
  <c r="AQ91" i="8"/>
  <c r="AP91" i="8"/>
  <c r="AO91" i="8"/>
  <c r="AN91" i="8"/>
  <c r="AM91" i="8"/>
  <c r="BH91" i="8" s="1"/>
  <c r="AL91" i="8"/>
  <c r="AC91" i="8"/>
  <c r="CE90" i="8"/>
  <c r="CD90" i="8"/>
  <c r="CB90" i="8"/>
  <c r="CA90" i="8"/>
  <c r="BY90" i="8"/>
  <c r="BR90" i="8"/>
  <c r="CG90" i="8" s="1"/>
  <c r="BJ90" i="8"/>
  <c r="BI90" i="8"/>
  <c r="BA90" i="8"/>
  <c r="AZ90" i="8"/>
  <c r="AQ90" i="8"/>
  <c r="AP90" i="8"/>
  <c r="AO90" i="8"/>
  <c r="AN90" i="8"/>
  <c r="AM90" i="8"/>
  <c r="BH90" i="8" s="1"/>
  <c r="AL90" i="8"/>
  <c r="AC90" i="8"/>
  <c r="CE89" i="8"/>
  <c r="CD89" i="8"/>
  <c r="CB89" i="8"/>
  <c r="CA89" i="8"/>
  <c r="BY89" i="8"/>
  <c r="BR89" i="8"/>
  <c r="CG89" i="8" s="1"/>
  <c r="BJ89" i="8"/>
  <c r="BS89" i="8" s="1"/>
  <c r="BI89" i="8"/>
  <c r="BA89" i="8"/>
  <c r="AZ89" i="8"/>
  <c r="AQ89" i="8"/>
  <c r="AP89" i="8"/>
  <c r="AO89" i="8"/>
  <c r="AN89" i="8"/>
  <c r="AM89" i="8"/>
  <c r="BH89" i="8" s="1"/>
  <c r="AL89" i="8"/>
  <c r="AC89" i="8"/>
  <c r="CE88" i="8"/>
  <c r="CD88" i="8"/>
  <c r="CB88" i="8"/>
  <c r="CA88" i="8"/>
  <c r="BY88" i="8"/>
  <c r="BR88" i="8"/>
  <c r="CG88" i="8" s="1"/>
  <c r="BJ88" i="8"/>
  <c r="BI88" i="8"/>
  <c r="BA88" i="8"/>
  <c r="AZ88" i="8"/>
  <c r="AQ88" i="8"/>
  <c r="AP88" i="8"/>
  <c r="AO88" i="8"/>
  <c r="AN88" i="8"/>
  <c r="AM88" i="8"/>
  <c r="BH88" i="8" s="1"/>
  <c r="AL88" i="8"/>
  <c r="AC88" i="8"/>
  <c r="CE87" i="8"/>
  <c r="CD87" i="8"/>
  <c r="CB87" i="8"/>
  <c r="CA87" i="8"/>
  <c r="BY87" i="8"/>
  <c r="BR87" i="8"/>
  <c r="BJ87" i="8"/>
  <c r="BS87" i="8" s="1"/>
  <c r="BI87" i="8"/>
  <c r="BA87" i="8"/>
  <c r="AZ87" i="8"/>
  <c r="AQ87" i="8"/>
  <c r="AP87" i="8"/>
  <c r="AO87" i="8"/>
  <c r="AN87" i="8"/>
  <c r="AM87" i="8"/>
  <c r="AL87" i="8"/>
  <c r="AC87" i="8"/>
  <c r="CE86" i="8"/>
  <c r="CD86" i="8"/>
  <c r="CB86" i="8"/>
  <c r="CA86" i="8"/>
  <c r="BY86" i="8"/>
  <c r="BR86" i="8"/>
  <c r="CG86" i="8" s="1"/>
  <c r="BJ86" i="8"/>
  <c r="BI86" i="8"/>
  <c r="BA86" i="8"/>
  <c r="AZ86" i="8"/>
  <c r="AQ86" i="8"/>
  <c r="AP86" i="8"/>
  <c r="AO86" i="8"/>
  <c r="AN86" i="8"/>
  <c r="AM86" i="8"/>
  <c r="BH86" i="8" s="1"/>
  <c r="AL86" i="8"/>
  <c r="AC86" i="8"/>
  <c r="CE85" i="8"/>
  <c r="CD85" i="8"/>
  <c r="CB85" i="8"/>
  <c r="CA85" i="8"/>
  <c r="BY85" i="8"/>
  <c r="BR85" i="8"/>
  <c r="CG85" i="8" s="1"/>
  <c r="BJ85" i="8"/>
  <c r="BS85" i="8" s="1"/>
  <c r="BI85" i="8"/>
  <c r="BA85" i="8"/>
  <c r="AZ85" i="8"/>
  <c r="AQ85" i="8"/>
  <c r="AP85" i="8"/>
  <c r="AO85" i="8"/>
  <c r="AN85" i="8"/>
  <c r="AM85" i="8"/>
  <c r="BH85" i="8" s="1"/>
  <c r="AL85" i="8"/>
  <c r="AC85" i="8"/>
  <c r="CE84" i="8"/>
  <c r="CD84" i="8"/>
  <c r="CB84" i="8"/>
  <c r="CA84" i="8"/>
  <c r="BY84" i="8"/>
  <c r="BR84" i="8"/>
  <c r="CG84" i="8" s="1"/>
  <c r="BJ84" i="8"/>
  <c r="BI84" i="8"/>
  <c r="BA84" i="8"/>
  <c r="AZ84" i="8"/>
  <c r="AQ84" i="8"/>
  <c r="AP84" i="8"/>
  <c r="AO84" i="8"/>
  <c r="AN84" i="8"/>
  <c r="AM84" i="8"/>
  <c r="BH84" i="8" s="1"/>
  <c r="AL84" i="8"/>
  <c r="AC84" i="8"/>
  <c r="CE83" i="8"/>
  <c r="CD83" i="8"/>
  <c r="CB83" i="8"/>
  <c r="CA83" i="8"/>
  <c r="BY83" i="8"/>
  <c r="BR83" i="8"/>
  <c r="CG83" i="8" s="1"/>
  <c r="BJ83" i="8"/>
  <c r="BS83" i="8" s="1"/>
  <c r="BI83" i="8"/>
  <c r="BA83" i="8"/>
  <c r="AZ83" i="8"/>
  <c r="AQ83" i="8"/>
  <c r="AP83" i="8"/>
  <c r="AO83" i="8"/>
  <c r="AN83" i="8"/>
  <c r="AM83" i="8"/>
  <c r="BH83" i="8" s="1"/>
  <c r="AL83" i="8"/>
  <c r="AC83" i="8"/>
  <c r="CE82" i="8"/>
  <c r="CD82" i="8"/>
  <c r="CB82" i="8"/>
  <c r="CA82" i="8"/>
  <c r="BY82" i="8"/>
  <c r="BR82" i="8"/>
  <c r="BQ82" i="8" s="1"/>
  <c r="BU82" i="8" s="1"/>
  <c r="BJ82" i="8"/>
  <c r="BI82" i="8"/>
  <c r="BA82" i="8"/>
  <c r="AZ82" i="8"/>
  <c r="AQ82" i="8"/>
  <c r="AP82" i="8"/>
  <c r="AO82" i="8"/>
  <c r="AN82" i="8"/>
  <c r="AM82" i="8"/>
  <c r="BH82" i="8" s="1"/>
  <c r="AL82" i="8"/>
  <c r="AC82" i="8"/>
  <c r="CE81" i="8"/>
  <c r="CD81" i="8"/>
  <c r="CB81" i="8"/>
  <c r="CA81" i="8"/>
  <c r="BY81" i="8"/>
  <c r="BR81" i="8"/>
  <c r="CG81" i="8" s="1"/>
  <c r="BJ81" i="8"/>
  <c r="BS81" i="8" s="1"/>
  <c r="BI81" i="8"/>
  <c r="BA81" i="8"/>
  <c r="AZ81" i="8"/>
  <c r="AQ81" i="8"/>
  <c r="AP81" i="8"/>
  <c r="AO81" i="8"/>
  <c r="AN81" i="8"/>
  <c r="AM81" i="8"/>
  <c r="BH81" i="8" s="1"/>
  <c r="AL81" i="8"/>
  <c r="AC81" i="8"/>
  <c r="CE80" i="8"/>
  <c r="CD80" i="8"/>
  <c r="CB80" i="8"/>
  <c r="CA80" i="8"/>
  <c r="BY80" i="8"/>
  <c r="BR80" i="8"/>
  <c r="BJ80" i="8"/>
  <c r="BI80" i="8"/>
  <c r="BA80" i="8"/>
  <c r="AZ80" i="8"/>
  <c r="AQ80" i="8"/>
  <c r="AP80" i="8"/>
  <c r="AO80" i="8"/>
  <c r="AN80" i="8"/>
  <c r="AM80" i="8"/>
  <c r="BH80" i="8" s="1"/>
  <c r="AL80" i="8"/>
  <c r="AC80" i="8"/>
  <c r="CE79" i="8"/>
  <c r="CD79" i="8"/>
  <c r="CB79" i="8"/>
  <c r="CA79" i="8"/>
  <c r="BY79" i="8"/>
  <c r="BR79" i="8"/>
  <c r="CG79" i="8" s="1"/>
  <c r="BJ79" i="8"/>
  <c r="BI79" i="8"/>
  <c r="BA79" i="8"/>
  <c r="AZ79" i="8"/>
  <c r="AQ79" i="8"/>
  <c r="AP79" i="8"/>
  <c r="AO79" i="8"/>
  <c r="AN79" i="8"/>
  <c r="AM79" i="8"/>
  <c r="BH79" i="8" s="1"/>
  <c r="AL79" i="8"/>
  <c r="AC79" i="8"/>
  <c r="CE78" i="8"/>
  <c r="CD78" i="8"/>
  <c r="CB78" i="8"/>
  <c r="CA78" i="8"/>
  <c r="BY78" i="8"/>
  <c r="BR78" i="8"/>
  <c r="BJ78" i="8"/>
  <c r="BI78" i="8"/>
  <c r="BA78" i="8"/>
  <c r="AZ78" i="8"/>
  <c r="AQ78" i="8"/>
  <c r="AP78" i="8"/>
  <c r="AO78" i="8"/>
  <c r="AN78" i="8"/>
  <c r="AM78" i="8"/>
  <c r="BH78" i="8" s="1"/>
  <c r="AL78" i="8"/>
  <c r="AC78" i="8"/>
  <c r="CE77" i="8"/>
  <c r="CD77" i="8"/>
  <c r="CB77" i="8"/>
  <c r="CA77" i="8"/>
  <c r="BY77" i="8"/>
  <c r="BR77" i="8"/>
  <c r="CG77" i="8" s="1"/>
  <c r="BJ77" i="8"/>
  <c r="BI77" i="8"/>
  <c r="BA77" i="8"/>
  <c r="AZ77" i="8"/>
  <c r="AQ77" i="8"/>
  <c r="AP77" i="8"/>
  <c r="AO77" i="8"/>
  <c r="AN77" i="8"/>
  <c r="AM77" i="8"/>
  <c r="BH77" i="8" s="1"/>
  <c r="AL77" i="8"/>
  <c r="AC77" i="8"/>
  <c r="CE76" i="8"/>
  <c r="CD76" i="8"/>
  <c r="CB76" i="8"/>
  <c r="CA76" i="8"/>
  <c r="BY76" i="8"/>
  <c r="BR76" i="8"/>
  <c r="BJ76" i="8"/>
  <c r="BI76" i="8"/>
  <c r="BA76" i="8"/>
  <c r="AZ76" i="8"/>
  <c r="AQ76" i="8"/>
  <c r="AP76" i="8"/>
  <c r="AO76" i="8"/>
  <c r="AN76" i="8"/>
  <c r="AM76" i="8"/>
  <c r="BH76" i="8" s="1"/>
  <c r="AL76" i="8"/>
  <c r="AC76" i="8"/>
  <c r="CE75" i="8"/>
  <c r="CD75" i="8"/>
  <c r="CB75" i="8"/>
  <c r="CA75" i="8"/>
  <c r="BY75" i="8"/>
  <c r="BR75" i="8"/>
  <c r="CG75" i="8" s="1"/>
  <c r="BJ75" i="8"/>
  <c r="BI75" i="8"/>
  <c r="BA75" i="8"/>
  <c r="AZ75" i="8"/>
  <c r="AQ75" i="8"/>
  <c r="AP75" i="8"/>
  <c r="AO75" i="8"/>
  <c r="AN75" i="8"/>
  <c r="AM75" i="8"/>
  <c r="BH75" i="8" s="1"/>
  <c r="AL75" i="8"/>
  <c r="AC75" i="8"/>
  <c r="CE74" i="8"/>
  <c r="CD74" i="8"/>
  <c r="CB74" i="8"/>
  <c r="CA74" i="8"/>
  <c r="BY74" i="8"/>
  <c r="BR74" i="8"/>
  <c r="BJ74" i="8"/>
  <c r="BI74" i="8"/>
  <c r="BA74" i="8"/>
  <c r="AZ74" i="8"/>
  <c r="AQ74" i="8"/>
  <c r="AP74" i="8"/>
  <c r="AO74" i="8"/>
  <c r="AN74" i="8"/>
  <c r="AM74" i="8"/>
  <c r="BH74" i="8" s="1"/>
  <c r="AL74" i="8"/>
  <c r="AC74" i="8"/>
  <c r="CE73" i="8"/>
  <c r="CD73" i="8"/>
  <c r="CB73" i="8"/>
  <c r="CA73" i="8"/>
  <c r="BY73" i="8"/>
  <c r="BR73" i="8"/>
  <c r="CG73" i="8" s="1"/>
  <c r="BJ73" i="8"/>
  <c r="BI73" i="8"/>
  <c r="BA73" i="8"/>
  <c r="AZ73" i="8"/>
  <c r="AQ73" i="8"/>
  <c r="AP73" i="8"/>
  <c r="AO73" i="8"/>
  <c r="AN73" i="8"/>
  <c r="AM73" i="8"/>
  <c r="BH73" i="8" s="1"/>
  <c r="AL73" i="8"/>
  <c r="AC73" i="8"/>
  <c r="CE72" i="8"/>
  <c r="CD72" i="8"/>
  <c r="CB72" i="8"/>
  <c r="CA72" i="8"/>
  <c r="BY72" i="8"/>
  <c r="BR72" i="8"/>
  <c r="BJ72" i="8"/>
  <c r="BI72" i="8"/>
  <c r="BA72" i="8"/>
  <c r="AZ72" i="8"/>
  <c r="AQ72" i="8"/>
  <c r="AP72" i="8"/>
  <c r="AO72" i="8"/>
  <c r="AN72" i="8"/>
  <c r="AM72" i="8"/>
  <c r="BH72" i="8" s="1"/>
  <c r="AL72" i="8"/>
  <c r="AC72" i="8"/>
  <c r="CE71" i="8"/>
  <c r="CD71" i="8"/>
  <c r="CB71" i="8"/>
  <c r="CA71" i="8"/>
  <c r="BY71" i="8"/>
  <c r="BR71" i="8"/>
  <c r="CG71" i="8" s="1"/>
  <c r="BJ71" i="8"/>
  <c r="BI71" i="8"/>
  <c r="BA71" i="8"/>
  <c r="AZ71" i="8"/>
  <c r="AQ71" i="8"/>
  <c r="AP71" i="8"/>
  <c r="AO71" i="8"/>
  <c r="AN71" i="8"/>
  <c r="AM71" i="8"/>
  <c r="BH71" i="8" s="1"/>
  <c r="AL71" i="8"/>
  <c r="AC71" i="8"/>
  <c r="CE70" i="8"/>
  <c r="CD70" i="8"/>
  <c r="CB70" i="8"/>
  <c r="CA70" i="8"/>
  <c r="BY70" i="8"/>
  <c r="BR70" i="8"/>
  <c r="BJ70" i="8"/>
  <c r="BI70" i="8"/>
  <c r="BA70" i="8"/>
  <c r="AZ70" i="8"/>
  <c r="AQ70" i="8"/>
  <c r="AP70" i="8"/>
  <c r="AO70" i="8"/>
  <c r="AN70" i="8"/>
  <c r="AM70" i="8"/>
  <c r="BH70" i="8" s="1"/>
  <c r="AL70" i="8"/>
  <c r="AC70" i="8"/>
  <c r="CE69" i="8"/>
  <c r="CD69" i="8"/>
  <c r="CB69" i="8"/>
  <c r="CA69" i="8"/>
  <c r="BY69" i="8"/>
  <c r="BR69" i="8"/>
  <c r="CG69" i="8" s="1"/>
  <c r="BJ69" i="8"/>
  <c r="BI69" i="8"/>
  <c r="BA69" i="8"/>
  <c r="AZ69" i="8"/>
  <c r="AQ69" i="8"/>
  <c r="AP69" i="8"/>
  <c r="AO69" i="8"/>
  <c r="AN69" i="8"/>
  <c r="AM69" i="8"/>
  <c r="BH69" i="8" s="1"/>
  <c r="AL69" i="8"/>
  <c r="AC69" i="8"/>
  <c r="CE68" i="8"/>
  <c r="CD68" i="8"/>
  <c r="CB68" i="8"/>
  <c r="CA68" i="8"/>
  <c r="BY68" i="8"/>
  <c r="BR68" i="8"/>
  <c r="BJ68" i="8"/>
  <c r="BI68" i="8"/>
  <c r="BA68" i="8"/>
  <c r="AZ68" i="8"/>
  <c r="AQ68" i="8"/>
  <c r="AP68" i="8"/>
  <c r="AO68" i="8"/>
  <c r="AN68" i="8"/>
  <c r="AM68" i="8"/>
  <c r="BH68" i="8" s="1"/>
  <c r="AL68" i="8"/>
  <c r="AC68" i="8"/>
  <c r="CE67" i="8"/>
  <c r="CD67" i="8"/>
  <c r="CB67" i="8"/>
  <c r="CA67" i="8"/>
  <c r="BY67" i="8"/>
  <c r="BR67" i="8"/>
  <c r="CG67" i="8" s="1"/>
  <c r="BJ67" i="8"/>
  <c r="BI67" i="8"/>
  <c r="BA67" i="8"/>
  <c r="AZ67" i="8"/>
  <c r="AQ67" i="8"/>
  <c r="AP67" i="8"/>
  <c r="AO67" i="8"/>
  <c r="AN67" i="8"/>
  <c r="AM67" i="8"/>
  <c r="BH67" i="8" s="1"/>
  <c r="AL67" i="8"/>
  <c r="AC67" i="8"/>
  <c r="CE66" i="8"/>
  <c r="CD66" i="8"/>
  <c r="CB66" i="8"/>
  <c r="CA66" i="8"/>
  <c r="BY66" i="8"/>
  <c r="BR66" i="8"/>
  <c r="BJ66" i="8"/>
  <c r="BI66" i="8"/>
  <c r="BA66" i="8"/>
  <c r="AZ66" i="8"/>
  <c r="AQ66" i="8"/>
  <c r="AP66" i="8"/>
  <c r="AO66" i="8"/>
  <c r="AN66" i="8"/>
  <c r="AM66" i="8"/>
  <c r="BH66" i="8" s="1"/>
  <c r="AL66" i="8"/>
  <c r="AC66" i="8"/>
  <c r="CE65" i="8"/>
  <c r="CD65" i="8"/>
  <c r="CB65" i="8"/>
  <c r="CA65" i="8"/>
  <c r="BY65" i="8"/>
  <c r="BR65" i="8"/>
  <c r="CG65" i="8" s="1"/>
  <c r="BJ65" i="8"/>
  <c r="BI65" i="8"/>
  <c r="BA65" i="8"/>
  <c r="AZ65" i="8"/>
  <c r="AQ65" i="8"/>
  <c r="AP65" i="8"/>
  <c r="AO65" i="8"/>
  <c r="AN65" i="8"/>
  <c r="AM65" i="8"/>
  <c r="BH65" i="8" s="1"/>
  <c r="AL65" i="8"/>
  <c r="AC65" i="8"/>
  <c r="CE64" i="8"/>
  <c r="CD64" i="8"/>
  <c r="CB64" i="8"/>
  <c r="CA64" i="8"/>
  <c r="BY64" i="8"/>
  <c r="BR64" i="8"/>
  <c r="BJ64" i="8"/>
  <c r="BI64" i="8"/>
  <c r="BA64" i="8"/>
  <c r="AZ64" i="8"/>
  <c r="AQ64" i="8"/>
  <c r="AP64" i="8"/>
  <c r="AO64" i="8"/>
  <c r="AN64" i="8"/>
  <c r="AM64" i="8"/>
  <c r="BH64" i="8" s="1"/>
  <c r="AL64" i="8"/>
  <c r="AC64" i="8"/>
  <c r="CE63" i="8"/>
  <c r="CD63" i="8"/>
  <c r="CB63" i="8"/>
  <c r="CA63" i="8"/>
  <c r="BY63" i="8"/>
  <c r="BR63" i="8"/>
  <c r="CG63" i="8" s="1"/>
  <c r="BJ63" i="8"/>
  <c r="BI63" i="8"/>
  <c r="BA63" i="8"/>
  <c r="AZ63" i="8"/>
  <c r="AQ63" i="8"/>
  <c r="AP63" i="8"/>
  <c r="AO63" i="8"/>
  <c r="AN63" i="8"/>
  <c r="AM63" i="8"/>
  <c r="BH63" i="8" s="1"/>
  <c r="AL63" i="8"/>
  <c r="AC63" i="8"/>
  <c r="CE62" i="8"/>
  <c r="CD62" i="8"/>
  <c r="CB62" i="8"/>
  <c r="CA62" i="8"/>
  <c r="BY62" i="8"/>
  <c r="BR62" i="8"/>
  <c r="BJ62" i="8"/>
  <c r="BI62" i="8"/>
  <c r="BA62" i="8"/>
  <c r="AZ62" i="8"/>
  <c r="AQ62" i="8"/>
  <c r="AP62" i="8"/>
  <c r="AO62" i="8"/>
  <c r="AN62" i="8"/>
  <c r="AM62" i="8"/>
  <c r="BH62" i="8" s="1"/>
  <c r="AL62" i="8"/>
  <c r="AC62" i="8"/>
  <c r="CE61" i="8"/>
  <c r="CD61" i="8"/>
  <c r="CB61" i="8"/>
  <c r="CA61" i="8"/>
  <c r="BY61" i="8"/>
  <c r="BR61" i="8"/>
  <c r="CG61" i="8" s="1"/>
  <c r="BJ61" i="8"/>
  <c r="BI61" i="8"/>
  <c r="BA61" i="8"/>
  <c r="AZ61" i="8"/>
  <c r="AQ61" i="8"/>
  <c r="AP61" i="8"/>
  <c r="AO61" i="8"/>
  <c r="AN61" i="8"/>
  <c r="AM61" i="8"/>
  <c r="BH61" i="8" s="1"/>
  <c r="AL61" i="8"/>
  <c r="AC61" i="8"/>
  <c r="CE60" i="8"/>
  <c r="CD60" i="8"/>
  <c r="CB60" i="8"/>
  <c r="CA60" i="8"/>
  <c r="BY60" i="8"/>
  <c r="BR60" i="8"/>
  <c r="BJ60" i="8"/>
  <c r="BI60" i="8"/>
  <c r="BA60" i="8"/>
  <c r="AZ60" i="8"/>
  <c r="AQ60" i="8"/>
  <c r="AP60" i="8"/>
  <c r="AO60" i="8"/>
  <c r="AN60" i="8"/>
  <c r="AM60" i="8"/>
  <c r="BH60" i="8" s="1"/>
  <c r="AL60" i="8"/>
  <c r="AC60" i="8"/>
  <c r="CE59" i="8"/>
  <c r="CD59" i="8"/>
  <c r="CB59" i="8"/>
  <c r="CA59" i="8"/>
  <c r="BY59" i="8"/>
  <c r="BR59" i="8"/>
  <c r="CG59" i="8" s="1"/>
  <c r="BJ59" i="8"/>
  <c r="BI59" i="8"/>
  <c r="BA59" i="8"/>
  <c r="AZ59" i="8"/>
  <c r="AQ59" i="8"/>
  <c r="AP59" i="8"/>
  <c r="AO59" i="8"/>
  <c r="AN59" i="8"/>
  <c r="AM59" i="8"/>
  <c r="BH59" i="8" s="1"/>
  <c r="AL59" i="8"/>
  <c r="AC59" i="8"/>
  <c r="CE58" i="8"/>
  <c r="CD58" i="8"/>
  <c r="CB58" i="8"/>
  <c r="CA58" i="8"/>
  <c r="BY58" i="8"/>
  <c r="BR58" i="8"/>
  <c r="BJ58" i="8"/>
  <c r="BI58" i="8"/>
  <c r="BA58" i="8"/>
  <c r="AZ58" i="8"/>
  <c r="AQ58" i="8"/>
  <c r="AP58" i="8"/>
  <c r="AO58" i="8"/>
  <c r="AN58" i="8"/>
  <c r="AM58" i="8"/>
  <c r="BH58" i="8" s="1"/>
  <c r="AL58" i="8"/>
  <c r="AC58" i="8"/>
  <c r="CE57" i="8"/>
  <c r="CD57" i="8"/>
  <c r="CB57" i="8"/>
  <c r="CA57" i="8"/>
  <c r="BY57" i="8"/>
  <c r="BR57" i="8"/>
  <c r="CG57" i="8" s="1"/>
  <c r="BJ57" i="8"/>
  <c r="BI57" i="8"/>
  <c r="BA57" i="8"/>
  <c r="AZ57" i="8"/>
  <c r="AQ57" i="8"/>
  <c r="AP57" i="8"/>
  <c r="AO57" i="8"/>
  <c r="AN57" i="8"/>
  <c r="AM57" i="8"/>
  <c r="BH57" i="8" s="1"/>
  <c r="AL57" i="8"/>
  <c r="AC57" i="8"/>
  <c r="CE56" i="8"/>
  <c r="CD56" i="8"/>
  <c r="CB56" i="8"/>
  <c r="CA56" i="8"/>
  <c r="BY56" i="8"/>
  <c r="BR56" i="8"/>
  <c r="BJ56" i="8"/>
  <c r="BI56" i="8"/>
  <c r="BA56" i="8"/>
  <c r="AZ56" i="8"/>
  <c r="AQ56" i="8"/>
  <c r="AP56" i="8"/>
  <c r="AO56" i="8"/>
  <c r="AN56" i="8"/>
  <c r="AM56" i="8"/>
  <c r="BH56" i="8" s="1"/>
  <c r="AL56" i="8"/>
  <c r="AC56" i="8"/>
  <c r="CE55" i="8"/>
  <c r="CD55" i="8"/>
  <c r="CB55" i="8"/>
  <c r="CA55" i="8"/>
  <c r="BY55" i="8"/>
  <c r="BR55" i="8"/>
  <c r="CG55" i="8" s="1"/>
  <c r="BJ55" i="8"/>
  <c r="BI55" i="8"/>
  <c r="BA55" i="8"/>
  <c r="AZ55" i="8"/>
  <c r="AQ55" i="8"/>
  <c r="AP55" i="8"/>
  <c r="AO55" i="8"/>
  <c r="AN55" i="8"/>
  <c r="AM55" i="8"/>
  <c r="BH55" i="8" s="1"/>
  <c r="AL55" i="8"/>
  <c r="AC55" i="8"/>
  <c r="CE54" i="8"/>
  <c r="CD54" i="8"/>
  <c r="CB54" i="8"/>
  <c r="CA54" i="8"/>
  <c r="BY54" i="8"/>
  <c r="BR54" i="8"/>
  <c r="BJ54" i="8"/>
  <c r="BI54" i="8"/>
  <c r="BA54" i="8"/>
  <c r="AZ54" i="8"/>
  <c r="AQ54" i="8"/>
  <c r="AP54" i="8"/>
  <c r="AO54" i="8"/>
  <c r="AN54" i="8"/>
  <c r="AM54" i="8"/>
  <c r="BH54" i="8" s="1"/>
  <c r="AL54" i="8"/>
  <c r="AC54" i="8"/>
  <c r="CE53" i="8"/>
  <c r="CD53" i="8"/>
  <c r="CB53" i="8"/>
  <c r="CA53" i="8"/>
  <c r="BY53" i="8"/>
  <c r="BR53" i="8"/>
  <c r="CG53" i="8" s="1"/>
  <c r="BJ53" i="8"/>
  <c r="BI53" i="8"/>
  <c r="BA53" i="8"/>
  <c r="AZ53" i="8"/>
  <c r="AQ53" i="8"/>
  <c r="AP53" i="8"/>
  <c r="AO53" i="8"/>
  <c r="AN53" i="8"/>
  <c r="AM53" i="8"/>
  <c r="BH53" i="8" s="1"/>
  <c r="AL53" i="8"/>
  <c r="AC53" i="8"/>
  <c r="CE52" i="8"/>
  <c r="CD52" i="8"/>
  <c r="CB52" i="8"/>
  <c r="CA52" i="8"/>
  <c r="BY52" i="8"/>
  <c r="BR52" i="8"/>
  <c r="BJ52" i="8"/>
  <c r="BI52" i="8"/>
  <c r="BA52" i="8"/>
  <c r="AZ52" i="8"/>
  <c r="AQ52" i="8"/>
  <c r="AP52" i="8"/>
  <c r="AO52" i="8"/>
  <c r="AN52" i="8"/>
  <c r="AM52" i="8"/>
  <c r="BH52" i="8" s="1"/>
  <c r="AL52" i="8"/>
  <c r="AC52" i="8"/>
  <c r="CE51" i="8"/>
  <c r="CD51" i="8"/>
  <c r="CB51" i="8"/>
  <c r="CA51" i="8"/>
  <c r="BY51" i="8"/>
  <c r="BR51" i="8"/>
  <c r="BJ51" i="8"/>
  <c r="BI51" i="8"/>
  <c r="BA51" i="8"/>
  <c r="AZ51" i="8"/>
  <c r="AQ51" i="8"/>
  <c r="AP51" i="8"/>
  <c r="AO51" i="8"/>
  <c r="AN51" i="8"/>
  <c r="AM51" i="8"/>
  <c r="BH51" i="8" s="1"/>
  <c r="AL51" i="8"/>
  <c r="AC51" i="8"/>
  <c r="CE50" i="8"/>
  <c r="CD50" i="8"/>
  <c r="CB50" i="8"/>
  <c r="CA50" i="8"/>
  <c r="BY50" i="8"/>
  <c r="BR50" i="8"/>
  <c r="BJ50" i="8"/>
  <c r="BI50" i="8"/>
  <c r="BA50" i="8"/>
  <c r="AZ50" i="8"/>
  <c r="AQ50" i="8"/>
  <c r="AP50" i="8"/>
  <c r="AO50" i="8"/>
  <c r="AN50" i="8"/>
  <c r="AM50" i="8"/>
  <c r="BH50" i="8" s="1"/>
  <c r="AL50" i="8"/>
  <c r="AC50" i="8"/>
  <c r="CE49" i="8"/>
  <c r="CD49" i="8"/>
  <c r="CB49" i="8"/>
  <c r="CA49" i="8"/>
  <c r="BY49" i="8"/>
  <c r="BR49" i="8"/>
  <c r="CG49" i="8" s="1"/>
  <c r="BJ49" i="8"/>
  <c r="BI49" i="8"/>
  <c r="BA49" i="8"/>
  <c r="AZ49" i="8"/>
  <c r="AQ49" i="8"/>
  <c r="AP49" i="8"/>
  <c r="AO49" i="8"/>
  <c r="AN49" i="8"/>
  <c r="AM49" i="8"/>
  <c r="BH49" i="8" s="1"/>
  <c r="AL49" i="8"/>
  <c r="AC49" i="8"/>
  <c r="CE48" i="8"/>
  <c r="CD48" i="8"/>
  <c r="CB48" i="8"/>
  <c r="CA48" i="8"/>
  <c r="BY48" i="8"/>
  <c r="BR48" i="8"/>
  <c r="BQ48" i="8" s="1"/>
  <c r="BU48" i="8" s="1"/>
  <c r="BJ48" i="8"/>
  <c r="BI48" i="8"/>
  <c r="BA48" i="8"/>
  <c r="AZ48" i="8"/>
  <c r="AQ48" i="8"/>
  <c r="AP48" i="8"/>
  <c r="AO48" i="8"/>
  <c r="AN48" i="8"/>
  <c r="AM48" i="8"/>
  <c r="BH48" i="8" s="1"/>
  <c r="AL48" i="8"/>
  <c r="AC48" i="8"/>
  <c r="CE47" i="8"/>
  <c r="CD47" i="8"/>
  <c r="CB47" i="8"/>
  <c r="CA47" i="8"/>
  <c r="BY47" i="8"/>
  <c r="BR47" i="8"/>
  <c r="CG47" i="8" s="1"/>
  <c r="BJ47" i="8"/>
  <c r="BI47" i="8"/>
  <c r="BA47" i="8"/>
  <c r="AZ47" i="8"/>
  <c r="AQ47" i="8"/>
  <c r="AP47" i="8"/>
  <c r="AO47" i="8"/>
  <c r="AN47" i="8"/>
  <c r="AM47" i="8"/>
  <c r="BH47" i="8" s="1"/>
  <c r="AL47" i="8"/>
  <c r="AC47" i="8"/>
  <c r="CE46" i="8"/>
  <c r="CD46" i="8"/>
  <c r="CB46" i="8"/>
  <c r="CA46" i="8"/>
  <c r="BY46" i="8"/>
  <c r="BR46" i="8"/>
  <c r="BJ46" i="8"/>
  <c r="BI46" i="8"/>
  <c r="BA46" i="8"/>
  <c r="AZ46" i="8"/>
  <c r="AQ46" i="8"/>
  <c r="AP46" i="8"/>
  <c r="AO46" i="8"/>
  <c r="AN46" i="8"/>
  <c r="AM46" i="8"/>
  <c r="BH46" i="8" s="1"/>
  <c r="AL46" i="8"/>
  <c r="AC46" i="8"/>
  <c r="CE45" i="8"/>
  <c r="CD45" i="8"/>
  <c r="CB45" i="8"/>
  <c r="CA45" i="8"/>
  <c r="BY45" i="8"/>
  <c r="BR45" i="8"/>
  <c r="BJ45" i="8"/>
  <c r="BI45" i="8"/>
  <c r="BA45" i="8"/>
  <c r="AZ45" i="8"/>
  <c r="AQ45" i="8"/>
  <c r="AP45" i="8"/>
  <c r="AO45" i="8"/>
  <c r="AN45" i="8"/>
  <c r="AM45" i="8"/>
  <c r="BH45" i="8" s="1"/>
  <c r="AL45" i="8"/>
  <c r="AC45" i="8"/>
  <c r="CE44" i="8"/>
  <c r="CD44" i="8"/>
  <c r="CB44" i="8"/>
  <c r="CA44" i="8"/>
  <c r="BY44" i="8"/>
  <c r="BR44" i="8"/>
  <c r="BJ44" i="8"/>
  <c r="BI44" i="8"/>
  <c r="BA44" i="8"/>
  <c r="AZ44" i="8"/>
  <c r="AQ44" i="8"/>
  <c r="AP44" i="8"/>
  <c r="AO44" i="8"/>
  <c r="AN44" i="8"/>
  <c r="AM44" i="8"/>
  <c r="BH44" i="8" s="1"/>
  <c r="AL44" i="8"/>
  <c r="AC44" i="8"/>
  <c r="CE43" i="8"/>
  <c r="CD43" i="8"/>
  <c r="CB43" i="8"/>
  <c r="CA43" i="8"/>
  <c r="BY43" i="8"/>
  <c r="BR43" i="8"/>
  <c r="CG43" i="8" s="1"/>
  <c r="BJ43" i="8"/>
  <c r="BI43" i="8"/>
  <c r="BA43" i="8"/>
  <c r="AZ43" i="8"/>
  <c r="AQ43" i="8"/>
  <c r="AP43" i="8"/>
  <c r="AO43" i="8"/>
  <c r="AN43" i="8"/>
  <c r="AM43" i="8"/>
  <c r="BH43" i="8" s="1"/>
  <c r="AL43" i="8"/>
  <c r="AC43" i="8"/>
  <c r="CE42" i="8"/>
  <c r="CD42" i="8"/>
  <c r="CB42" i="8"/>
  <c r="CA42" i="8"/>
  <c r="BY42" i="8"/>
  <c r="BR42" i="8"/>
  <c r="BJ42" i="8"/>
  <c r="BI42" i="8"/>
  <c r="BA42" i="8"/>
  <c r="AZ42" i="8"/>
  <c r="AQ42" i="8"/>
  <c r="AP42" i="8"/>
  <c r="AO42" i="8"/>
  <c r="AN42" i="8"/>
  <c r="AM42" i="8"/>
  <c r="BH42" i="8" s="1"/>
  <c r="AL42" i="8"/>
  <c r="AC42" i="8"/>
  <c r="CE41" i="8"/>
  <c r="CD41" i="8"/>
  <c r="CB41" i="8"/>
  <c r="CA41" i="8"/>
  <c r="BY41" i="8"/>
  <c r="BR41" i="8"/>
  <c r="CG41" i="8" s="1"/>
  <c r="BJ41" i="8"/>
  <c r="BI41" i="8"/>
  <c r="BA41" i="8"/>
  <c r="AZ41" i="8"/>
  <c r="AQ41" i="8"/>
  <c r="AP41" i="8"/>
  <c r="AO41" i="8"/>
  <c r="AN41" i="8"/>
  <c r="AM41" i="8"/>
  <c r="BH41" i="8" s="1"/>
  <c r="AL41" i="8"/>
  <c r="AC41" i="8"/>
  <c r="CE40" i="8"/>
  <c r="CD40" i="8"/>
  <c r="CB40" i="8"/>
  <c r="CA40" i="8"/>
  <c r="BY40" i="8"/>
  <c r="BR40" i="8"/>
  <c r="BJ40" i="8"/>
  <c r="BI40" i="8"/>
  <c r="BA40" i="8"/>
  <c r="AZ40" i="8"/>
  <c r="AQ40" i="8"/>
  <c r="AP40" i="8"/>
  <c r="AO40" i="8"/>
  <c r="AN40" i="8"/>
  <c r="AM40" i="8"/>
  <c r="BH40" i="8" s="1"/>
  <c r="AL40" i="8"/>
  <c r="AC40" i="8"/>
  <c r="CE39" i="8"/>
  <c r="CD39" i="8"/>
  <c r="CB39" i="8"/>
  <c r="CA39" i="8"/>
  <c r="BY39" i="8"/>
  <c r="BR39" i="8"/>
  <c r="CG39" i="8" s="1"/>
  <c r="BJ39" i="8"/>
  <c r="BI39" i="8"/>
  <c r="BA39" i="8"/>
  <c r="AZ39" i="8"/>
  <c r="AQ39" i="8"/>
  <c r="AP39" i="8"/>
  <c r="AO39" i="8"/>
  <c r="AN39" i="8"/>
  <c r="AM39" i="8"/>
  <c r="BH39" i="8" s="1"/>
  <c r="AL39" i="8"/>
  <c r="AC39" i="8"/>
  <c r="CE38" i="8"/>
  <c r="CD38" i="8"/>
  <c r="CB38" i="8"/>
  <c r="CA38" i="8"/>
  <c r="BY38" i="8"/>
  <c r="BR38" i="8"/>
  <c r="BJ38" i="8"/>
  <c r="BI38" i="8"/>
  <c r="BA38" i="8"/>
  <c r="AZ38" i="8"/>
  <c r="AQ38" i="8"/>
  <c r="AP38" i="8"/>
  <c r="AO38" i="8"/>
  <c r="AN38" i="8"/>
  <c r="AM38" i="8"/>
  <c r="BH38" i="8" s="1"/>
  <c r="AL38" i="8"/>
  <c r="AC38" i="8"/>
  <c r="CE37" i="8"/>
  <c r="CD37" i="8"/>
  <c r="CB37" i="8"/>
  <c r="CA37" i="8"/>
  <c r="BY37" i="8"/>
  <c r="BR37" i="8"/>
  <c r="CG37" i="8" s="1"/>
  <c r="BJ37" i="8"/>
  <c r="BI37" i="8"/>
  <c r="BA37" i="8"/>
  <c r="AZ37" i="8"/>
  <c r="AQ37" i="8"/>
  <c r="AP37" i="8"/>
  <c r="AO37" i="8"/>
  <c r="AN37" i="8"/>
  <c r="AM37" i="8"/>
  <c r="BH37" i="8" s="1"/>
  <c r="AL37" i="8"/>
  <c r="AC37" i="8"/>
  <c r="CE36" i="8"/>
  <c r="CD36" i="8"/>
  <c r="CB36" i="8"/>
  <c r="CA36" i="8"/>
  <c r="BY36" i="8"/>
  <c r="BR36" i="8"/>
  <c r="BJ36" i="8"/>
  <c r="BI36" i="8"/>
  <c r="BA36" i="8"/>
  <c r="AZ36" i="8"/>
  <c r="AQ36" i="8"/>
  <c r="AP36" i="8"/>
  <c r="AO36" i="8"/>
  <c r="AN36" i="8"/>
  <c r="AM36" i="8"/>
  <c r="BH36" i="8" s="1"/>
  <c r="AL36" i="8"/>
  <c r="AC36" i="8"/>
  <c r="CE35" i="8"/>
  <c r="CD35" i="8"/>
  <c r="CB35" i="8"/>
  <c r="CA35" i="8"/>
  <c r="BY35" i="8"/>
  <c r="BR35" i="8"/>
  <c r="CG35" i="8" s="1"/>
  <c r="BJ35" i="8"/>
  <c r="BI35" i="8"/>
  <c r="BA35" i="8"/>
  <c r="AZ35" i="8"/>
  <c r="AQ35" i="8"/>
  <c r="AP35" i="8"/>
  <c r="AO35" i="8"/>
  <c r="AN35" i="8"/>
  <c r="AM35" i="8"/>
  <c r="BH35" i="8" s="1"/>
  <c r="AL35" i="8"/>
  <c r="AC35" i="8"/>
  <c r="CE34" i="8"/>
  <c r="CD34" i="8"/>
  <c r="CB34" i="8"/>
  <c r="CA34" i="8"/>
  <c r="BY34" i="8"/>
  <c r="BR34" i="8"/>
  <c r="BJ34" i="8"/>
  <c r="BI34" i="8"/>
  <c r="BA34" i="8"/>
  <c r="AZ34" i="8"/>
  <c r="AQ34" i="8"/>
  <c r="AP34" i="8"/>
  <c r="AO34" i="8"/>
  <c r="AN34" i="8"/>
  <c r="AM34" i="8"/>
  <c r="BH34" i="8" s="1"/>
  <c r="AL34" i="8"/>
  <c r="AC34" i="8"/>
  <c r="CE33" i="8"/>
  <c r="CD33" i="8"/>
  <c r="CB33" i="8"/>
  <c r="CA33" i="8"/>
  <c r="BY33" i="8"/>
  <c r="BR33" i="8"/>
  <c r="CG33" i="8" s="1"/>
  <c r="BJ33" i="8"/>
  <c r="BI33" i="8"/>
  <c r="BA33" i="8"/>
  <c r="AZ33" i="8"/>
  <c r="AQ33" i="8"/>
  <c r="AP33" i="8"/>
  <c r="AO33" i="8"/>
  <c r="AN33" i="8"/>
  <c r="AM33" i="8"/>
  <c r="BH33" i="8" s="1"/>
  <c r="AL33" i="8"/>
  <c r="AC33" i="8"/>
  <c r="CE32" i="8"/>
  <c r="CD32" i="8"/>
  <c r="CB32" i="8"/>
  <c r="CA32" i="8"/>
  <c r="BY32" i="8"/>
  <c r="BR32" i="8"/>
  <c r="BJ32" i="8"/>
  <c r="BI32" i="8"/>
  <c r="BA32" i="8"/>
  <c r="AZ32" i="8"/>
  <c r="AQ32" i="8"/>
  <c r="AP32" i="8"/>
  <c r="AO32" i="8"/>
  <c r="AN32" i="8"/>
  <c r="AM32" i="8"/>
  <c r="BH32" i="8" s="1"/>
  <c r="AL32" i="8"/>
  <c r="AC32" i="8"/>
  <c r="CE31" i="8"/>
  <c r="CD31" i="8"/>
  <c r="CB31" i="8"/>
  <c r="CA31" i="8"/>
  <c r="BY31" i="8"/>
  <c r="BR31" i="8"/>
  <c r="CG31" i="8" s="1"/>
  <c r="BJ31" i="8"/>
  <c r="BI31" i="8"/>
  <c r="BA31" i="8"/>
  <c r="AZ31" i="8"/>
  <c r="AQ31" i="8"/>
  <c r="AP31" i="8"/>
  <c r="AO31" i="8"/>
  <c r="AN31" i="8"/>
  <c r="AM31" i="8"/>
  <c r="BH31" i="8" s="1"/>
  <c r="AL31" i="8"/>
  <c r="AC31" i="8"/>
  <c r="CE30" i="8"/>
  <c r="CD30" i="8"/>
  <c r="CB30" i="8"/>
  <c r="CA30" i="8"/>
  <c r="BY30" i="8"/>
  <c r="BR30" i="8"/>
  <c r="BJ30" i="8"/>
  <c r="BI30" i="8"/>
  <c r="BA30" i="8"/>
  <c r="AZ30" i="8"/>
  <c r="AQ30" i="8"/>
  <c r="AP30" i="8"/>
  <c r="AO30" i="8"/>
  <c r="AN30" i="8"/>
  <c r="AM30" i="8"/>
  <c r="BH30" i="8" s="1"/>
  <c r="AL30" i="8"/>
  <c r="AC30" i="8"/>
  <c r="CE29" i="8"/>
  <c r="CD29" i="8"/>
  <c r="CB29" i="8"/>
  <c r="CA29" i="8"/>
  <c r="BY29" i="8"/>
  <c r="BR29" i="8"/>
  <c r="BJ29" i="8"/>
  <c r="BI29" i="8"/>
  <c r="BA29" i="8"/>
  <c r="AZ29" i="8"/>
  <c r="AQ29" i="8"/>
  <c r="AP29" i="8"/>
  <c r="AO29" i="8"/>
  <c r="AN29" i="8"/>
  <c r="AM29" i="8"/>
  <c r="BH29" i="8" s="1"/>
  <c r="AL29" i="8"/>
  <c r="AC29" i="8"/>
  <c r="CE28" i="8"/>
  <c r="CD28" i="8"/>
  <c r="CB28" i="8"/>
  <c r="CA28" i="8"/>
  <c r="BY28" i="8"/>
  <c r="BR28" i="8"/>
  <c r="CG28" i="8" s="1"/>
  <c r="BJ28" i="8"/>
  <c r="BS28" i="8" s="1"/>
  <c r="BI28" i="8"/>
  <c r="BA28" i="8"/>
  <c r="AZ28" i="8"/>
  <c r="AQ28" i="8"/>
  <c r="AP28" i="8"/>
  <c r="AO28" i="8"/>
  <c r="AN28" i="8"/>
  <c r="AM28" i="8"/>
  <c r="BH28" i="8" s="1"/>
  <c r="AL28" i="8"/>
  <c r="AC28" i="8"/>
  <c r="CE27" i="8"/>
  <c r="CD27" i="8"/>
  <c r="CB27" i="8"/>
  <c r="CA27" i="8"/>
  <c r="BY27" i="8"/>
  <c r="BR27" i="8"/>
  <c r="BW27" i="8" s="1"/>
  <c r="BJ27" i="8"/>
  <c r="BS27" i="8" s="1"/>
  <c r="BI27" i="8"/>
  <c r="BA27" i="8"/>
  <c r="AZ27" i="8"/>
  <c r="AQ27" i="8"/>
  <c r="AP27" i="8"/>
  <c r="AO27" i="8"/>
  <c r="AN27" i="8"/>
  <c r="AM27" i="8"/>
  <c r="AL27" i="8"/>
  <c r="AC27" i="8"/>
  <c r="CE26" i="8"/>
  <c r="CD26" i="8"/>
  <c r="CB26" i="8"/>
  <c r="CA26" i="8"/>
  <c r="BY26" i="8"/>
  <c r="BR26" i="8"/>
  <c r="BW26" i="8" s="1"/>
  <c r="BJ26" i="8"/>
  <c r="BS26" i="8" s="1"/>
  <c r="BI26" i="8"/>
  <c r="BA26" i="8"/>
  <c r="AZ26" i="8"/>
  <c r="AQ26" i="8"/>
  <c r="AP26" i="8"/>
  <c r="AO26" i="8"/>
  <c r="AN26" i="8"/>
  <c r="AM26" i="8"/>
  <c r="BH26" i="8" s="1"/>
  <c r="AL26" i="8"/>
  <c r="AC26" i="8"/>
  <c r="CE25" i="8"/>
  <c r="CD25" i="8"/>
  <c r="CB25" i="8"/>
  <c r="CA25" i="8"/>
  <c r="BY25" i="8"/>
  <c r="BR25" i="8"/>
  <c r="BW25" i="8" s="1"/>
  <c r="BJ25" i="8"/>
  <c r="BS25" i="8" s="1"/>
  <c r="BI25" i="8"/>
  <c r="BA25" i="8"/>
  <c r="AZ25" i="8"/>
  <c r="AQ25" i="8"/>
  <c r="AP25" i="8"/>
  <c r="AO25" i="8"/>
  <c r="AN25" i="8"/>
  <c r="AM25" i="8"/>
  <c r="AL25" i="8"/>
  <c r="AC25" i="8"/>
  <c r="CE24" i="8"/>
  <c r="CD24" i="8"/>
  <c r="CB24" i="8"/>
  <c r="CA24" i="8"/>
  <c r="BY24" i="8"/>
  <c r="BR24" i="8"/>
  <c r="BW24" i="8" s="1"/>
  <c r="BJ24" i="8"/>
  <c r="BS24" i="8" s="1"/>
  <c r="BI24" i="8"/>
  <c r="BA24" i="8"/>
  <c r="AZ24" i="8"/>
  <c r="AQ24" i="8"/>
  <c r="AP24" i="8"/>
  <c r="AO24" i="8"/>
  <c r="AN24" i="8"/>
  <c r="BD24" i="8" s="1"/>
  <c r="AM24" i="8"/>
  <c r="AL24" i="8"/>
  <c r="AC24" i="8"/>
  <c r="CE23" i="8"/>
  <c r="CD23" i="8"/>
  <c r="CB23" i="8"/>
  <c r="CA23" i="8"/>
  <c r="BY23" i="8"/>
  <c r="BR23" i="8"/>
  <c r="BW23" i="8" s="1"/>
  <c r="BJ23" i="8"/>
  <c r="BS23" i="8" s="1"/>
  <c r="BI23" i="8"/>
  <c r="BA23" i="8"/>
  <c r="AZ23" i="8"/>
  <c r="AQ23" i="8"/>
  <c r="AP23" i="8"/>
  <c r="AO23" i="8"/>
  <c r="AN23" i="8"/>
  <c r="BD23" i="8" s="1"/>
  <c r="AM23" i="8"/>
  <c r="BC23" i="8" s="1"/>
  <c r="AL23" i="8"/>
  <c r="AC23" i="8"/>
  <c r="CE22" i="8"/>
  <c r="CD22" i="8"/>
  <c r="CB22" i="8"/>
  <c r="CA22" i="8"/>
  <c r="BY22" i="8"/>
  <c r="BR22" i="8"/>
  <c r="BW22" i="8" s="1"/>
  <c r="BJ22" i="8"/>
  <c r="BS22" i="8" s="1"/>
  <c r="BI22" i="8"/>
  <c r="BA22" i="8"/>
  <c r="AZ22" i="8"/>
  <c r="AQ22" i="8"/>
  <c r="AP22" i="8"/>
  <c r="AO22" i="8"/>
  <c r="AN22" i="8"/>
  <c r="BD22" i="8" s="1"/>
  <c r="AM22" i="8"/>
  <c r="AL22" i="8"/>
  <c r="AC22" i="8"/>
  <c r="CE21" i="8"/>
  <c r="CD21" i="8"/>
  <c r="CB21" i="8"/>
  <c r="CA21" i="8"/>
  <c r="BY21" i="8"/>
  <c r="BR21" i="8"/>
  <c r="BW21" i="8" s="1"/>
  <c r="BJ21" i="8"/>
  <c r="BS21" i="8" s="1"/>
  <c r="BI21" i="8"/>
  <c r="BA21" i="8"/>
  <c r="AZ21" i="8"/>
  <c r="AQ21" i="8"/>
  <c r="AP21" i="8"/>
  <c r="AO21" i="8"/>
  <c r="AN21" i="8"/>
  <c r="BD21" i="8" s="1"/>
  <c r="AM21" i="8"/>
  <c r="BC21" i="8" s="1"/>
  <c r="AL21" i="8"/>
  <c r="AC21" i="8"/>
  <c r="CE20" i="8"/>
  <c r="CD20" i="8"/>
  <c r="CB20" i="8"/>
  <c r="CA20" i="8"/>
  <c r="BY20" i="8"/>
  <c r="BR20" i="8"/>
  <c r="BW20" i="8" s="1"/>
  <c r="BJ20" i="8"/>
  <c r="BS20" i="8" s="1"/>
  <c r="BI20" i="8"/>
  <c r="BA20" i="8"/>
  <c r="AZ20" i="8"/>
  <c r="AQ20" i="8"/>
  <c r="AP20" i="8"/>
  <c r="AO20" i="8"/>
  <c r="AN20" i="8"/>
  <c r="BD20" i="8" s="1"/>
  <c r="AM20" i="8"/>
  <c r="BC20" i="8" s="1"/>
  <c r="AL20" i="8"/>
  <c r="AC20" i="8"/>
  <c r="CE19" i="8"/>
  <c r="CD19" i="8"/>
  <c r="CB19" i="8"/>
  <c r="CA19" i="8"/>
  <c r="BY19" i="8"/>
  <c r="BR19" i="8"/>
  <c r="BW19" i="8" s="1"/>
  <c r="BJ19" i="8"/>
  <c r="BS19" i="8" s="1"/>
  <c r="BI19" i="8"/>
  <c r="BA19" i="8"/>
  <c r="AZ19" i="8"/>
  <c r="AQ19" i="8"/>
  <c r="AP19" i="8"/>
  <c r="AO19" i="8"/>
  <c r="AN19" i="8"/>
  <c r="BD19" i="8" s="1"/>
  <c r="AM19" i="8"/>
  <c r="BC19" i="8" s="1"/>
  <c r="AL19" i="8"/>
  <c r="AC19" i="8"/>
  <c r="M19" i="8"/>
  <c r="B6" i="8" s="1"/>
  <c r="CE18" i="8"/>
  <c r="CD18" i="8"/>
  <c r="CB18" i="8"/>
  <c r="CA18" i="8"/>
  <c r="BY18" i="8"/>
  <c r="BR18" i="8"/>
  <c r="BJ18" i="8"/>
  <c r="BI18" i="8"/>
  <c r="BA18" i="8"/>
  <c r="AZ18" i="8"/>
  <c r="AQ18" i="8"/>
  <c r="AP18" i="8"/>
  <c r="AO18" i="8"/>
  <c r="AN18" i="8"/>
  <c r="BD18" i="8" s="1"/>
  <c r="AM18" i="8"/>
  <c r="BH18" i="8" s="1"/>
  <c r="AL18" i="8"/>
  <c r="AC18" i="8"/>
  <c r="CE17" i="8"/>
  <c r="CD17" i="8"/>
  <c r="CB17" i="8"/>
  <c r="CA17" i="8"/>
  <c r="BY17" i="8"/>
  <c r="BR17" i="8"/>
  <c r="BJ17" i="8"/>
  <c r="BT17" i="8" s="1"/>
  <c r="BI17" i="8"/>
  <c r="BA17" i="8"/>
  <c r="AZ17" i="8"/>
  <c r="AQ17" i="8"/>
  <c r="AP17" i="8"/>
  <c r="AO17" i="8"/>
  <c r="AN17" i="8"/>
  <c r="BD17" i="8" s="1"/>
  <c r="AM17" i="8"/>
  <c r="BC17" i="8" s="1"/>
  <c r="AL17" i="8"/>
  <c r="AC17" i="8"/>
  <c r="CE16" i="8"/>
  <c r="CD16" i="8"/>
  <c r="CB16" i="8"/>
  <c r="CA16" i="8"/>
  <c r="BY16" i="8"/>
  <c r="BR16" i="8"/>
  <c r="BJ16" i="8"/>
  <c r="BT16" i="8" s="1"/>
  <c r="BI16" i="8"/>
  <c r="BA16" i="8"/>
  <c r="AZ16" i="8"/>
  <c r="AS16" i="8"/>
  <c r="AS17" i="8" s="1"/>
  <c r="AQ16" i="8"/>
  <c r="AP16" i="8"/>
  <c r="AO16" i="8"/>
  <c r="AN16" i="8"/>
  <c r="BD16" i="8" s="1"/>
  <c r="AL16" i="8"/>
  <c r="AC16" i="8"/>
  <c r="CE15" i="8"/>
  <c r="CD15" i="8"/>
  <c r="CB15" i="8"/>
  <c r="CA15" i="8"/>
  <c r="BY15" i="8"/>
  <c r="BR15" i="8"/>
  <c r="BQ15" i="8"/>
  <c r="BO15" i="8"/>
  <c r="BP15" i="8" s="1"/>
  <c r="BJ15" i="8"/>
  <c r="BI15" i="8"/>
  <c r="BF15" i="8"/>
  <c r="BA15" i="8"/>
  <c r="AZ15" i="8"/>
  <c r="AS15" i="8"/>
  <c r="AV15" i="8" s="1"/>
  <c r="AQ15" i="8"/>
  <c r="AP15" i="8"/>
  <c r="AO15" i="8"/>
  <c r="AN15" i="8"/>
  <c r="BD15" i="8" s="1"/>
  <c r="BC15" i="8"/>
  <c r="BH15" i="8" s="1"/>
  <c r="AL15" i="8"/>
  <c r="AH15" i="8"/>
  <c r="AF15" i="8"/>
  <c r="AG15" i="8" s="1"/>
  <c r="AC15" i="8"/>
  <c r="AD15" i="8" s="1"/>
  <c r="AB15" i="8"/>
  <c r="AK15" i="8" s="1"/>
  <c r="AJ15" i="8" s="1"/>
  <c r="M15" i="8"/>
  <c r="F12" i="8"/>
  <c r="I14" i="8" s="1"/>
  <c r="D11" i="8"/>
  <c r="I10" i="8"/>
  <c r="CF101" i="8" s="1"/>
  <c r="H11" i="8"/>
  <c r="G10" i="8"/>
  <c r="B3" i="8" s="1"/>
  <c r="D9" i="8"/>
  <c r="B438" i="8" s="1"/>
  <c r="B9" i="8"/>
  <c r="I7" i="8"/>
  <c r="I6" i="8"/>
  <c r="I5" i="8"/>
  <c r="I4" i="8"/>
  <c r="G3" i="8"/>
  <c r="B264" i="8" s="1"/>
  <c r="I2" i="8"/>
  <c r="G2" i="8"/>
  <c r="F2" i="8"/>
  <c r="E63" i="7"/>
  <c r="A64" i="7" s="1"/>
  <c r="B887" i="5" s="1"/>
  <c r="G57" i="7"/>
  <c r="A45" i="7" s="1"/>
  <c r="A44" i="7"/>
  <c r="E31" i="7"/>
  <c r="A32" i="7" s="1"/>
  <c r="B251" i="5" s="1"/>
  <c r="E11" i="7"/>
  <c r="A58" i="7"/>
  <c r="B120" i="5" s="1"/>
  <c r="A37" i="7"/>
  <c r="B257" i="5" s="1"/>
  <c r="A36" i="7"/>
  <c r="A50" i="7" s="1"/>
  <c r="L32" i="7"/>
  <c r="J32" i="7"/>
  <c r="L31" i="7"/>
  <c r="J31" i="7"/>
  <c r="H31" i="7"/>
  <c r="A35" i="7"/>
  <c r="H6" i="7"/>
  <c r="H5" i="7"/>
  <c r="H4" i="7"/>
  <c r="H3" i="7"/>
  <c r="G3" i="7"/>
  <c r="G2" i="7"/>
  <c r="H1" i="7"/>
  <c r="J10" i="5"/>
  <c r="I11" i="5"/>
  <c r="AD16" i="5"/>
  <c r="AD17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5" i="5"/>
  <c r="DE29" i="5" l="1"/>
  <c r="DF29" i="5"/>
  <c r="A23" i="7"/>
  <c r="CZ22" i="5"/>
  <c r="CZ29" i="5"/>
  <c r="CZ38" i="5"/>
  <c r="CZ36" i="5"/>
  <c r="CZ39" i="5"/>
  <c r="CZ37" i="5"/>
  <c r="CZ60" i="5"/>
  <c r="CZ58" i="5"/>
  <c r="CZ56" i="5"/>
  <c r="CZ54" i="5"/>
  <c r="CZ52" i="5"/>
  <c r="CZ48" i="5"/>
  <c r="CZ44" i="5"/>
  <c r="CZ59" i="5"/>
  <c r="CZ57" i="5"/>
  <c r="B651" i="5" s="1"/>
  <c r="CZ55" i="5"/>
  <c r="CZ53" i="5"/>
  <c r="CZ45" i="5"/>
  <c r="CZ43" i="5"/>
  <c r="CZ34" i="5"/>
  <c r="CZ30" i="5"/>
  <c r="CZ31" i="5"/>
  <c r="CZ46" i="5"/>
  <c r="CZ42" i="5"/>
  <c r="CZ47" i="5"/>
  <c r="CM38" i="5"/>
  <c r="CM40" i="5"/>
  <c r="CM42" i="5"/>
  <c r="CM44" i="5"/>
  <c r="CM46" i="5"/>
  <c r="CM48" i="5"/>
  <c r="CM52" i="5"/>
  <c r="CM54" i="5"/>
  <c r="CM57" i="5"/>
  <c r="CM59" i="5"/>
  <c r="CM39" i="5"/>
  <c r="CM41" i="5"/>
  <c r="CM43" i="5"/>
  <c r="CM45" i="5"/>
  <c r="CM47" i="5"/>
  <c r="CM51" i="5"/>
  <c r="CM53" i="5"/>
  <c r="CM56" i="5"/>
  <c r="CM58" i="5"/>
  <c r="CM60" i="5"/>
  <c r="A1153" i="16"/>
  <c r="AL17" i="16"/>
  <c r="A1361" i="16" s="1"/>
  <c r="AK17" i="16"/>
  <c r="A1257" i="16" s="1"/>
  <c r="G43" i="16"/>
  <c r="A281" i="16" s="1"/>
  <c r="AB945" i="16"/>
  <c r="AF18" i="16"/>
  <c r="AG18" i="16" s="1"/>
  <c r="AH18" i="16" s="1"/>
  <c r="AI18" i="16" s="1"/>
  <c r="A1040" i="16" s="1"/>
  <c r="AD18" i="16"/>
  <c r="AJ18" i="16"/>
  <c r="A618" i="16"/>
  <c r="Q19" i="16"/>
  <c r="R19" i="16" s="1"/>
  <c r="AA19" i="16" s="1"/>
  <c r="BA47" i="5"/>
  <c r="G44" i="16" s="1"/>
  <c r="A282" i="16" s="1"/>
  <c r="L42" i="16"/>
  <c r="BA30" i="5"/>
  <c r="L25" i="16"/>
  <c r="AV35" i="5"/>
  <c r="CP26" i="5"/>
  <c r="N20" i="16"/>
  <c r="O20" i="16" s="1"/>
  <c r="CZ24" i="5"/>
  <c r="CZ25" i="5"/>
  <c r="CZ27" i="5"/>
  <c r="CZ32" i="5"/>
  <c r="CZ19" i="5"/>
  <c r="CX26" i="5"/>
  <c r="AV25" i="5"/>
  <c r="T93" i="14"/>
  <c r="U93" i="14"/>
  <c r="V93" i="14" s="1"/>
  <c r="F93" i="14" s="1"/>
  <c r="B315" i="14" s="1"/>
  <c r="R92" i="14"/>
  <c r="S93" i="14"/>
  <c r="BC24" i="8"/>
  <c r="BH24" i="8" s="1"/>
  <c r="CZ18" i="5"/>
  <c r="CZ23" i="5"/>
  <c r="CZ21" i="5"/>
  <c r="CZ28" i="5"/>
  <c r="CZ26" i="5"/>
  <c r="CZ20" i="5"/>
  <c r="AC24" i="5"/>
  <c r="B598" i="5"/>
  <c r="A599" i="16" s="1"/>
  <c r="AX24" i="5"/>
  <c r="B256" i="5"/>
  <c r="B549" i="8"/>
  <c r="B239" i="5" s="1"/>
  <c r="CM31" i="5"/>
  <c r="CM34" i="5"/>
  <c r="CM36" i="5"/>
  <c r="CM32" i="5"/>
  <c r="CM35" i="5"/>
  <c r="CM37" i="5"/>
  <c r="J24" i="12"/>
  <c r="L24" i="12"/>
  <c r="O25" i="12"/>
  <c r="N26" i="12"/>
  <c r="CM33" i="5"/>
  <c r="BB25" i="5"/>
  <c r="BC22" i="8"/>
  <c r="BH22" i="8" s="1"/>
  <c r="AU36" i="5"/>
  <c r="AU26" i="5"/>
  <c r="A54" i="7"/>
  <c r="B602" i="5" s="1"/>
  <c r="CM19" i="5"/>
  <c r="A66" i="7"/>
  <c r="B889" i="5" s="1"/>
  <c r="J35" i="7"/>
  <c r="A73" i="7"/>
  <c r="B929" i="5" s="1"/>
  <c r="A12" i="7"/>
  <c r="B145" i="5" s="1"/>
  <c r="B228" i="8"/>
  <c r="B416" i="8"/>
  <c r="BT15" i="8"/>
  <c r="CH19" i="9"/>
  <c r="CI19" i="9" s="1"/>
  <c r="CL18" i="9"/>
  <c r="CP18" i="9" s="1"/>
  <c r="I1" i="8"/>
  <c r="CP17" i="9"/>
  <c r="B7" i="8"/>
  <c r="B227" i="8" s="1"/>
  <c r="B8" i="8"/>
  <c r="B266" i="8" s="1"/>
  <c r="B5" i="8"/>
  <c r="B191" i="8" s="1"/>
  <c r="E9" i="8"/>
  <c r="B542" i="8" s="1"/>
  <c r="AD16" i="8"/>
  <c r="AD17" i="8" s="1"/>
  <c r="AD18" i="8" s="1"/>
  <c r="AD19" i="8" s="1"/>
  <c r="AD20" i="8" s="1"/>
  <c r="AD21" i="8" s="1"/>
  <c r="A38" i="7"/>
  <c r="B258" i="5" s="1"/>
  <c r="B339" i="8"/>
  <c r="B347" i="8"/>
  <c r="B353" i="8"/>
  <c r="B126" i="8"/>
  <c r="CC43" i="8"/>
  <c r="BQ47" i="8"/>
  <c r="BU47" i="8" s="1"/>
  <c r="B139" i="8"/>
  <c r="DC30" i="9"/>
  <c r="B166" i="9" s="1"/>
  <c r="DE30" i="9"/>
  <c r="BD15" i="9"/>
  <c r="BI15" i="9" s="1"/>
  <c r="AZ16" i="9"/>
  <c r="BC16" i="9"/>
  <c r="AV15" i="9"/>
  <c r="BE15" i="9" s="1"/>
  <c r="AO16" i="9"/>
  <c r="AH16" i="9"/>
  <c r="AI16" i="9" s="1"/>
  <c r="AJ16" i="9" s="1"/>
  <c r="AX16" i="9"/>
  <c r="BH16" i="9" s="1"/>
  <c r="CR16" i="9" s="1"/>
  <c r="AL16" i="9"/>
  <c r="CJ16" i="9" s="1"/>
  <c r="AD16" i="9"/>
  <c r="AM16" i="9" s="1"/>
  <c r="BB16" i="9"/>
  <c r="BD16" i="9" s="1"/>
  <c r="AD17" i="9"/>
  <c r="AM17" i="9" s="1"/>
  <c r="AK15" i="9"/>
  <c r="AM15" i="9"/>
  <c r="AL15" i="9" s="1"/>
  <c r="CJ15" i="9" s="1"/>
  <c r="CR15" i="9"/>
  <c r="BB17" i="9"/>
  <c r="AV16" i="9"/>
  <c r="BE16" i="9" s="1"/>
  <c r="BL20" i="9"/>
  <c r="BM20" i="9" s="1"/>
  <c r="AT20" i="9"/>
  <c r="AY20" i="9" s="1"/>
  <c r="AW20" i="9" s="1"/>
  <c r="AU19" i="9"/>
  <c r="BM19" i="9"/>
  <c r="BN19" i="9" s="1"/>
  <c r="BQ37" i="8"/>
  <c r="BU37" i="8" s="1"/>
  <c r="BQ49" i="8"/>
  <c r="BU49" i="8" s="1"/>
  <c r="B138" i="8"/>
  <c r="B136" i="8"/>
  <c r="B134" i="8"/>
  <c r="B132" i="8"/>
  <c r="B130" i="8"/>
  <c r="B128" i="8"/>
  <c r="BQ65" i="8"/>
  <c r="BU65" i="8" s="1"/>
  <c r="BQ88" i="8"/>
  <c r="BU88" i="8" s="1"/>
  <c r="B137" i="8"/>
  <c r="B135" i="8"/>
  <c r="B133" i="8"/>
  <c r="B131" i="8"/>
  <c r="B129" i="8"/>
  <c r="B127" i="8"/>
  <c r="CC35" i="8"/>
  <c r="CC63" i="8"/>
  <c r="CC55" i="8"/>
  <c r="BQ57" i="8"/>
  <c r="BU57" i="8" s="1"/>
  <c r="BQ73" i="8"/>
  <c r="BU73" i="8" s="1"/>
  <c r="CF78" i="8"/>
  <c r="AR28" i="8"/>
  <c r="BG28" i="8" s="1"/>
  <c r="B454" i="8"/>
  <c r="CF34" i="8"/>
  <c r="CF42" i="8"/>
  <c r="CF54" i="8"/>
  <c r="CF62" i="8"/>
  <c r="CF70" i="8"/>
  <c r="CC79" i="8"/>
  <c r="BQ81" i="8"/>
  <c r="BU81" i="8" s="1"/>
  <c r="CC22" i="8"/>
  <c r="BZ22" i="8" s="1"/>
  <c r="CC26" i="8"/>
  <c r="CF30" i="8"/>
  <c r="BQ34" i="8"/>
  <c r="BU34" i="8" s="1"/>
  <c r="BW34" i="8"/>
  <c r="CC34" i="8"/>
  <c r="CF38" i="8"/>
  <c r="CF40" i="8"/>
  <c r="BQ42" i="8"/>
  <c r="BU42" i="8" s="1"/>
  <c r="BW42" i="8"/>
  <c r="CC42" i="8"/>
  <c r="CF50" i="8"/>
  <c r="BQ54" i="8"/>
  <c r="BU54" i="8" s="1"/>
  <c r="BW54" i="8"/>
  <c r="CC54" i="8"/>
  <c r="CF58" i="8"/>
  <c r="CF60" i="8"/>
  <c r="BQ62" i="8"/>
  <c r="BU62" i="8" s="1"/>
  <c r="BW62" i="8"/>
  <c r="CC62" i="8"/>
  <c r="CF66" i="8"/>
  <c r="CF68" i="8"/>
  <c r="BQ70" i="8"/>
  <c r="BU70" i="8" s="1"/>
  <c r="BW70" i="8"/>
  <c r="CC70" i="8"/>
  <c r="CF74" i="8"/>
  <c r="CF76" i="8"/>
  <c r="BQ78" i="8"/>
  <c r="BU78" i="8" s="1"/>
  <c r="BW78" i="8"/>
  <c r="CC78" i="8"/>
  <c r="CF91" i="8"/>
  <c r="CC71" i="8"/>
  <c r="CF87" i="8"/>
  <c r="BQ91" i="8"/>
  <c r="BU91" i="8" s="1"/>
  <c r="CC93" i="8"/>
  <c r="CC103" i="8"/>
  <c r="CC107" i="8"/>
  <c r="BT20" i="8"/>
  <c r="BT22" i="8"/>
  <c r="BT23" i="8"/>
  <c r="BT26" i="8"/>
  <c r="BT27" i="8"/>
  <c r="E1" i="8"/>
  <c r="B452" i="8" s="1"/>
  <c r="E2" i="8"/>
  <c r="B468" i="8" s="1"/>
  <c r="CF15" i="8"/>
  <c r="CF16" i="8"/>
  <c r="CF17" i="8"/>
  <c r="CF18" i="8"/>
  <c r="CF44" i="8"/>
  <c r="CF56" i="8"/>
  <c r="CF64" i="8"/>
  <c r="CF72" i="8"/>
  <c r="CF80" i="8"/>
  <c r="CF82" i="8"/>
  <c r="CC86" i="8"/>
  <c r="CF95" i="8"/>
  <c r="CF105" i="8"/>
  <c r="CF109" i="8"/>
  <c r="BT19" i="8"/>
  <c r="BT21" i="8"/>
  <c r="BT24" i="8"/>
  <c r="BT25" i="8"/>
  <c r="BT28" i="8"/>
  <c r="BQ97" i="8"/>
  <c r="BU97" i="8" s="1"/>
  <c r="BQ98" i="8"/>
  <c r="BU98" i="8" s="1"/>
  <c r="B419" i="8"/>
  <c r="CG23" i="8"/>
  <c r="AE28" i="8"/>
  <c r="BQ30" i="8"/>
  <c r="BU30" i="8" s="1"/>
  <c r="BW30" i="8"/>
  <c r="CC30" i="8"/>
  <c r="BZ30" i="8" s="1"/>
  <c r="CC31" i="8"/>
  <c r="BZ31" i="8" s="1"/>
  <c r="AE32" i="8"/>
  <c r="BQ33" i="8"/>
  <c r="BU33" i="8" s="1"/>
  <c r="AE34" i="8"/>
  <c r="AE35" i="8"/>
  <c r="AE37" i="8"/>
  <c r="BQ38" i="8"/>
  <c r="BU38" i="8" s="1"/>
  <c r="BW38" i="8"/>
  <c r="CC38" i="8"/>
  <c r="BZ38" i="8" s="1"/>
  <c r="CC39" i="8"/>
  <c r="BZ39" i="8" s="1"/>
  <c r="AE40" i="8"/>
  <c r="BQ41" i="8"/>
  <c r="BU41" i="8" s="1"/>
  <c r="AE42" i="8"/>
  <c r="AE43" i="8"/>
  <c r="BQ44" i="8"/>
  <c r="BU44" i="8" s="1"/>
  <c r="BW44" i="8"/>
  <c r="AE45" i="8"/>
  <c r="AE47" i="8"/>
  <c r="AE48" i="8"/>
  <c r="AE49" i="8"/>
  <c r="BQ50" i="8"/>
  <c r="BU50" i="8" s="1"/>
  <c r="BW50" i="8"/>
  <c r="CC50" i="8"/>
  <c r="BZ50" i="8" s="1"/>
  <c r="CC51" i="8"/>
  <c r="BZ51" i="8" s="1"/>
  <c r="AE52" i="8"/>
  <c r="BQ53" i="8"/>
  <c r="BU53" i="8" s="1"/>
  <c r="AE54" i="8"/>
  <c r="AE55" i="8"/>
  <c r="AE57" i="8"/>
  <c r="BQ58" i="8"/>
  <c r="BU58" i="8" s="1"/>
  <c r="BW58" i="8"/>
  <c r="CC58" i="8"/>
  <c r="BZ58" i="8" s="1"/>
  <c r="B327" i="8"/>
  <c r="CC59" i="8"/>
  <c r="BZ59" i="8" s="1"/>
  <c r="AE60" i="8"/>
  <c r="BQ61" i="8"/>
  <c r="BU61" i="8" s="1"/>
  <c r="AE62" i="8"/>
  <c r="AE63" i="8"/>
  <c r="AE65" i="8"/>
  <c r="BQ66" i="8"/>
  <c r="BU66" i="8" s="1"/>
  <c r="BW66" i="8"/>
  <c r="CC66" i="8"/>
  <c r="BZ66" i="8" s="1"/>
  <c r="CC67" i="8"/>
  <c r="BZ67" i="8" s="1"/>
  <c r="AE68" i="8"/>
  <c r="BQ69" i="8"/>
  <c r="BU69" i="8" s="1"/>
  <c r="AE70" i="8"/>
  <c r="AE71" i="8"/>
  <c r="AE73" i="8"/>
  <c r="BQ74" i="8"/>
  <c r="BU74" i="8" s="1"/>
  <c r="BW74" i="8"/>
  <c r="CC74" i="8"/>
  <c r="BZ74" i="8" s="1"/>
  <c r="CC75" i="8"/>
  <c r="BZ75" i="8" s="1"/>
  <c r="AE76" i="8"/>
  <c r="BQ77" i="8"/>
  <c r="BU77" i="8" s="1"/>
  <c r="AE78" i="8"/>
  <c r="AE79" i="8"/>
  <c r="AE81" i="8"/>
  <c r="AE82" i="8"/>
  <c r="AE85" i="8"/>
  <c r="CC85" i="8"/>
  <c r="BZ85" i="8" s="1"/>
  <c r="AE86" i="8"/>
  <c r="AE88" i="8"/>
  <c r="BQ89" i="8"/>
  <c r="BU89" i="8" s="1"/>
  <c r="BQ90" i="8"/>
  <c r="BU90" i="8" s="1"/>
  <c r="AE91" i="8"/>
  <c r="AE92" i="8"/>
  <c r="CC94" i="8"/>
  <c r="BZ94" i="8" s="1"/>
  <c r="AE95" i="8"/>
  <c r="BQ96" i="8"/>
  <c r="BU96" i="8" s="1"/>
  <c r="AE97" i="8"/>
  <c r="AE98" i="8"/>
  <c r="BQ99" i="8"/>
  <c r="BU99" i="8" s="1"/>
  <c r="BQ100" i="8"/>
  <c r="BU100" i="8" s="1"/>
  <c r="AE101" i="8"/>
  <c r="AE102" i="8"/>
  <c r="CC104" i="8"/>
  <c r="BZ104" i="8" s="1"/>
  <c r="AE105" i="8"/>
  <c r="BQ106" i="8"/>
  <c r="BU106" i="8" s="1"/>
  <c r="CC108" i="8"/>
  <c r="BZ108" i="8" s="1"/>
  <c r="AE25" i="8"/>
  <c r="AE26" i="8"/>
  <c r="BZ26" i="8"/>
  <c r="AE27" i="8"/>
  <c r="AE30" i="8"/>
  <c r="AE31" i="8"/>
  <c r="AE33" i="8"/>
  <c r="BZ34" i="8"/>
  <c r="BZ35" i="8"/>
  <c r="AE36" i="8"/>
  <c r="AE38" i="8"/>
  <c r="AE39" i="8"/>
  <c r="AE41" i="8"/>
  <c r="BZ42" i="8"/>
  <c r="BZ43" i="8"/>
  <c r="AE44" i="8"/>
  <c r="AE46" i="8"/>
  <c r="AE50" i="8"/>
  <c r="AE51" i="8"/>
  <c r="AE53" i="8"/>
  <c r="BZ54" i="8"/>
  <c r="BZ55" i="8"/>
  <c r="AE56" i="8"/>
  <c r="AE58" i="8"/>
  <c r="AE59" i="8"/>
  <c r="AE61" i="8"/>
  <c r="BZ62" i="8"/>
  <c r="BZ63" i="8"/>
  <c r="AE64" i="8"/>
  <c r="AE66" i="8"/>
  <c r="AE67" i="8"/>
  <c r="AE69" i="8"/>
  <c r="BZ70" i="8"/>
  <c r="BZ71" i="8"/>
  <c r="AE72" i="8"/>
  <c r="AE74" i="8"/>
  <c r="AE75" i="8"/>
  <c r="AE77" i="8"/>
  <c r="BZ78" i="8"/>
  <c r="BZ79" i="8"/>
  <c r="AE80" i="8"/>
  <c r="AE83" i="8"/>
  <c r="AE84" i="8"/>
  <c r="BZ86" i="8"/>
  <c r="AE87" i="8"/>
  <c r="AE89" i="8"/>
  <c r="AE90" i="8"/>
  <c r="AE93" i="8"/>
  <c r="BZ93" i="8"/>
  <c r="AE94" i="8"/>
  <c r="AE96" i="8"/>
  <c r="AE99" i="8"/>
  <c r="AE100" i="8"/>
  <c r="AE103" i="8"/>
  <c r="BZ103" i="8"/>
  <c r="AE104" i="8"/>
  <c r="AE106" i="8"/>
  <c r="BZ107" i="8"/>
  <c r="CG51" i="8"/>
  <c r="BQ51" i="8"/>
  <c r="BU51" i="8" s="1"/>
  <c r="CF52" i="8"/>
  <c r="BW52" i="8"/>
  <c r="BX52" i="8" s="1"/>
  <c r="BQ52" i="8"/>
  <c r="BU52" i="8" s="1"/>
  <c r="BQ43" i="8"/>
  <c r="BU43" i="8" s="1"/>
  <c r="BW45" i="8"/>
  <c r="BX45" i="8" s="1"/>
  <c r="CF45" i="8"/>
  <c r="CG46" i="8"/>
  <c r="CG52" i="8"/>
  <c r="CF48" i="8"/>
  <c r="BW48" i="8"/>
  <c r="BX48" i="8" s="1"/>
  <c r="BW43" i="8"/>
  <c r="BX43" i="8" s="1"/>
  <c r="CF43" i="8"/>
  <c r="BX44" i="8"/>
  <c r="CG44" i="8"/>
  <c r="BQ45" i="8"/>
  <c r="BU45" i="8" s="1"/>
  <c r="CG45" i="8"/>
  <c r="BQ46" i="8"/>
  <c r="BU46" i="8" s="1"/>
  <c r="BW46" i="8"/>
  <c r="BX46" i="8" s="1"/>
  <c r="CC46" i="8"/>
  <c r="BZ46" i="8" s="1"/>
  <c r="CF46" i="8"/>
  <c r="BW47" i="8"/>
  <c r="BX47" i="8" s="1"/>
  <c r="CC47" i="8"/>
  <c r="BZ47" i="8" s="1"/>
  <c r="CF47" i="8"/>
  <c r="CG48" i="8"/>
  <c r="BW51" i="8"/>
  <c r="BX51" i="8" s="1"/>
  <c r="CF51" i="8"/>
  <c r="BW49" i="8"/>
  <c r="BX49" i="8" s="1"/>
  <c r="CF49" i="8"/>
  <c r="BX50" i="8"/>
  <c r="CG50" i="8"/>
  <c r="BW53" i="8"/>
  <c r="BX53" i="8" s="1"/>
  <c r="CF53" i="8"/>
  <c r="BX54" i="8"/>
  <c r="CG54" i="8"/>
  <c r="BQ55" i="8"/>
  <c r="BU55" i="8" s="1"/>
  <c r="BQ56" i="8"/>
  <c r="BU56" i="8" s="1"/>
  <c r="BW56" i="8"/>
  <c r="BW57" i="8"/>
  <c r="BX57" i="8" s="1"/>
  <c r="CF57" i="8"/>
  <c r="BX58" i="8"/>
  <c r="CG58" i="8"/>
  <c r="BQ59" i="8"/>
  <c r="BU59" i="8" s="1"/>
  <c r="BQ60" i="8"/>
  <c r="BU60" i="8" s="1"/>
  <c r="BW60" i="8"/>
  <c r="BW61" i="8"/>
  <c r="BX61" i="8" s="1"/>
  <c r="CF61" i="8"/>
  <c r="BX62" i="8"/>
  <c r="CG62" i="8"/>
  <c r="BQ63" i="8"/>
  <c r="BU63" i="8" s="1"/>
  <c r="BQ64" i="8"/>
  <c r="BU64" i="8" s="1"/>
  <c r="BW64" i="8"/>
  <c r="BW65" i="8"/>
  <c r="BX65" i="8" s="1"/>
  <c r="CF65" i="8"/>
  <c r="BX66" i="8"/>
  <c r="CG66" i="8"/>
  <c r="BQ67" i="8"/>
  <c r="BU67" i="8" s="1"/>
  <c r="BQ68" i="8"/>
  <c r="BU68" i="8" s="1"/>
  <c r="BW68" i="8"/>
  <c r="BW69" i="8"/>
  <c r="BX69" i="8" s="1"/>
  <c r="CF69" i="8"/>
  <c r="BX70" i="8"/>
  <c r="CG70" i="8"/>
  <c r="BQ71" i="8"/>
  <c r="BU71" i="8" s="1"/>
  <c r="BQ72" i="8"/>
  <c r="BU72" i="8" s="1"/>
  <c r="BW72" i="8"/>
  <c r="BW73" i="8"/>
  <c r="BX73" i="8" s="1"/>
  <c r="CF73" i="8"/>
  <c r="BX74" i="8"/>
  <c r="CG74" i="8"/>
  <c r="BQ75" i="8"/>
  <c r="BU75" i="8" s="1"/>
  <c r="BQ76" i="8"/>
  <c r="BU76" i="8" s="1"/>
  <c r="BW76" i="8"/>
  <c r="BW77" i="8"/>
  <c r="BX77" i="8" s="1"/>
  <c r="CF77" i="8"/>
  <c r="BX78" i="8"/>
  <c r="CG78" i="8"/>
  <c r="BQ79" i="8"/>
  <c r="BU79" i="8" s="1"/>
  <c r="BQ80" i="8"/>
  <c r="BU80" i="8" s="1"/>
  <c r="BW80" i="8"/>
  <c r="BW81" i="8"/>
  <c r="BX81" i="8" s="1"/>
  <c r="CF81" i="8"/>
  <c r="BW82" i="8"/>
  <c r="BX82" i="8" s="1"/>
  <c r="CG82" i="8"/>
  <c r="BQ83" i="8"/>
  <c r="BU83" i="8" s="1"/>
  <c r="BQ84" i="8"/>
  <c r="BU84" i="8" s="1"/>
  <c r="BQ85" i="8"/>
  <c r="BU85" i="8" s="1"/>
  <c r="BQ86" i="8"/>
  <c r="BU86" i="8" s="1"/>
  <c r="BQ87" i="8"/>
  <c r="BU87" i="8" s="1"/>
  <c r="BW88" i="8"/>
  <c r="BX88" i="8" s="1"/>
  <c r="CF88" i="8"/>
  <c r="BW89" i="8"/>
  <c r="BX89" i="8" s="1"/>
  <c r="CC89" i="8"/>
  <c r="BZ89" i="8" s="1"/>
  <c r="CF89" i="8"/>
  <c r="BW90" i="8"/>
  <c r="BX90" i="8" s="1"/>
  <c r="CC90" i="8"/>
  <c r="BZ90" i="8" s="1"/>
  <c r="CF90" i="8"/>
  <c r="BW91" i="8"/>
  <c r="BX91" i="8" s="1"/>
  <c r="CG91" i="8"/>
  <c r="BQ92" i="8"/>
  <c r="BU92" i="8" s="1"/>
  <c r="BQ93" i="8"/>
  <c r="BU93" i="8" s="1"/>
  <c r="BQ94" i="8"/>
  <c r="BU94" i="8" s="1"/>
  <c r="BQ95" i="8"/>
  <c r="BU95" i="8" s="1"/>
  <c r="BW96" i="8"/>
  <c r="BX96" i="8" s="1"/>
  <c r="CF96" i="8"/>
  <c r="BW97" i="8"/>
  <c r="BX97" i="8" s="1"/>
  <c r="CC97" i="8"/>
  <c r="BZ97" i="8" s="1"/>
  <c r="CF97" i="8"/>
  <c r="BW98" i="8"/>
  <c r="BX98" i="8" s="1"/>
  <c r="CC98" i="8"/>
  <c r="BZ98" i="8" s="1"/>
  <c r="CF98" i="8"/>
  <c r="BW99" i="8"/>
  <c r="BX99" i="8" s="1"/>
  <c r="CC99" i="8"/>
  <c r="BZ99" i="8" s="1"/>
  <c r="CF99" i="8"/>
  <c r="BW100" i="8"/>
  <c r="BX100" i="8" s="1"/>
  <c r="CC100" i="8"/>
  <c r="BZ100" i="8" s="1"/>
  <c r="CF100" i="8"/>
  <c r="BW101" i="8"/>
  <c r="BX101" i="8" s="1"/>
  <c r="CG101" i="8"/>
  <c r="BQ102" i="8"/>
  <c r="BU102" i="8" s="1"/>
  <c r="BQ103" i="8"/>
  <c r="BU103" i="8" s="1"/>
  <c r="BQ104" i="8"/>
  <c r="BU104" i="8" s="1"/>
  <c r="BQ105" i="8"/>
  <c r="BU105" i="8" s="1"/>
  <c r="CF106" i="8"/>
  <c r="BQ107" i="8"/>
  <c r="BU107" i="8" s="1"/>
  <c r="BQ108" i="8"/>
  <c r="BU108" i="8" s="1"/>
  <c r="BQ109" i="8"/>
  <c r="BU109" i="8" s="1"/>
  <c r="BW110" i="8"/>
  <c r="BX110" i="8" s="1"/>
  <c r="CF110" i="8"/>
  <c r="BW111" i="8"/>
  <c r="BX111" i="8" s="1"/>
  <c r="CF111" i="8"/>
  <c r="BW112" i="8"/>
  <c r="BX112" i="8" s="1"/>
  <c r="CF112" i="8"/>
  <c r="BW113" i="8"/>
  <c r="BX113" i="8" s="1"/>
  <c r="CF113" i="8"/>
  <c r="BW114" i="8"/>
  <c r="BX114" i="8" s="1"/>
  <c r="CG114" i="8"/>
  <c r="BW55" i="8"/>
  <c r="BX55" i="8" s="1"/>
  <c r="CF55" i="8"/>
  <c r="BX56" i="8"/>
  <c r="CG56" i="8"/>
  <c r="BW59" i="8"/>
  <c r="BX59" i="8" s="1"/>
  <c r="CF59" i="8"/>
  <c r="BX60" i="8"/>
  <c r="CG60" i="8"/>
  <c r="BW63" i="8"/>
  <c r="BX63" i="8" s="1"/>
  <c r="CF63" i="8"/>
  <c r="BX64" i="8"/>
  <c r="CG64" i="8"/>
  <c r="BW67" i="8"/>
  <c r="BX67" i="8" s="1"/>
  <c r="CF67" i="8"/>
  <c r="BX68" i="8"/>
  <c r="CG68" i="8"/>
  <c r="BW71" i="8"/>
  <c r="BX71" i="8" s="1"/>
  <c r="CF71" i="8"/>
  <c r="BX72" i="8"/>
  <c r="CG72" i="8"/>
  <c r="BW75" i="8"/>
  <c r="BX75" i="8" s="1"/>
  <c r="CF75" i="8"/>
  <c r="BX76" i="8"/>
  <c r="CG76" i="8"/>
  <c r="BW79" i="8"/>
  <c r="BX79" i="8" s="1"/>
  <c r="CF79" i="8"/>
  <c r="BX80" i="8"/>
  <c r="CG80" i="8"/>
  <c r="BW83" i="8"/>
  <c r="BX83" i="8" s="1"/>
  <c r="CF83" i="8"/>
  <c r="BW84" i="8"/>
  <c r="BX84" i="8" s="1"/>
  <c r="CF84" i="8"/>
  <c r="BW85" i="8"/>
  <c r="BX85" i="8" s="1"/>
  <c r="CF85" i="8"/>
  <c r="BW86" i="8"/>
  <c r="BX86" i="8" s="1"/>
  <c r="CF86" i="8"/>
  <c r="BW87" i="8"/>
  <c r="BX87" i="8" s="1"/>
  <c r="CG87" i="8"/>
  <c r="BW92" i="8"/>
  <c r="BX92" i="8" s="1"/>
  <c r="CF92" i="8"/>
  <c r="BW93" i="8"/>
  <c r="BX93" i="8" s="1"/>
  <c r="CF93" i="8"/>
  <c r="BW94" i="8"/>
  <c r="BX94" i="8" s="1"/>
  <c r="CF94" i="8"/>
  <c r="BW95" i="8"/>
  <c r="BX95" i="8" s="1"/>
  <c r="CG95" i="8"/>
  <c r="BW102" i="8"/>
  <c r="BX102" i="8" s="1"/>
  <c r="CF102" i="8"/>
  <c r="BW103" i="8"/>
  <c r="BX103" i="8" s="1"/>
  <c r="CF103" i="8"/>
  <c r="BW104" i="8"/>
  <c r="BX104" i="8" s="1"/>
  <c r="CF104" i="8"/>
  <c r="BW105" i="8"/>
  <c r="BX105" i="8" s="1"/>
  <c r="CG105" i="8"/>
  <c r="BW107" i="8"/>
  <c r="BX107" i="8" s="1"/>
  <c r="CF107" i="8"/>
  <c r="BW108" i="8"/>
  <c r="BX108" i="8" s="1"/>
  <c r="CF108" i="8"/>
  <c r="BW109" i="8"/>
  <c r="BX109" i="8" s="1"/>
  <c r="CG109" i="8"/>
  <c r="BQ110" i="8"/>
  <c r="BU110" i="8" s="1"/>
  <c r="CG110" i="8"/>
  <c r="BQ111" i="8"/>
  <c r="BU111" i="8" s="1"/>
  <c r="CG111" i="8"/>
  <c r="BQ112" i="8"/>
  <c r="BU112" i="8" s="1"/>
  <c r="CG112" i="8"/>
  <c r="BQ113" i="8"/>
  <c r="BU113" i="8" s="1"/>
  <c r="CG113" i="8"/>
  <c r="BQ114" i="8"/>
  <c r="BU114" i="8" s="1"/>
  <c r="CF114" i="8"/>
  <c r="CF31" i="8"/>
  <c r="CF35" i="8"/>
  <c r="CG36" i="8"/>
  <c r="BX30" i="8"/>
  <c r="CG30" i="8"/>
  <c r="BQ31" i="8"/>
  <c r="BU31" i="8" s="1"/>
  <c r="BQ32" i="8"/>
  <c r="BU32" i="8" s="1"/>
  <c r="BW32" i="8"/>
  <c r="BX32" i="8" s="1"/>
  <c r="CF32" i="8"/>
  <c r="BW33" i="8"/>
  <c r="BX33" i="8" s="1"/>
  <c r="CF33" i="8"/>
  <c r="BX34" i="8"/>
  <c r="CG34" i="8"/>
  <c r="BQ35" i="8"/>
  <c r="BU35" i="8" s="1"/>
  <c r="BQ36" i="8"/>
  <c r="BU36" i="8" s="1"/>
  <c r="BW36" i="8"/>
  <c r="BX36" i="8" s="1"/>
  <c r="CF36" i="8"/>
  <c r="BW37" i="8"/>
  <c r="BX37" i="8" s="1"/>
  <c r="CF37" i="8"/>
  <c r="BX38" i="8"/>
  <c r="CG38" i="8"/>
  <c r="BQ39" i="8"/>
  <c r="BU39" i="8" s="1"/>
  <c r="BQ40" i="8"/>
  <c r="BU40" i="8" s="1"/>
  <c r="BW40" i="8"/>
  <c r="BX40" i="8" s="1"/>
  <c r="BW41" i="8"/>
  <c r="BX41" i="8" s="1"/>
  <c r="CF41" i="8"/>
  <c r="BX42" i="8"/>
  <c r="CG42" i="8"/>
  <c r="BW31" i="8"/>
  <c r="BX31" i="8" s="1"/>
  <c r="CG32" i="8"/>
  <c r="BW35" i="8"/>
  <c r="BX35" i="8" s="1"/>
  <c r="BW39" i="8"/>
  <c r="BX39" i="8" s="1"/>
  <c r="CF39" i="8"/>
  <c r="CG40" i="8"/>
  <c r="CF20" i="8"/>
  <c r="CF21" i="8"/>
  <c r="CF22" i="8"/>
  <c r="CG24" i="8"/>
  <c r="CG25" i="8"/>
  <c r="CG26" i="8"/>
  <c r="CF27" i="8"/>
  <c r="CF28" i="8"/>
  <c r="BW29" i="8"/>
  <c r="BX29" i="8" s="1"/>
  <c r="CF29" i="8"/>
  <c r="CG20" i="8"/>
  <c r="CG21" i="8"/>
  <c r="CG22" i="8"/>
  <c r="CF23" i="8"/>
  <c r="CF24" i="8"/>
  <c r="CF25" i="8"/>
  <c r="CF26" i="8"/>
  <c r="CG27" i="8"/>
  <c r="BQ29" i="8"/>
  <c r="BU29" i="8" s="1"/>
  <c r="CG29" i="8"/>
  <c r="CF19" i="8"/>
  <c r="CG19" i="8"/>
  <c r="CC20" i="8"/>
  <c r="BZ20" i="8" s="1"/>
  <c r="CC24" i="8"/>
  <c r="BZ24" i="8" s="1"/>
  <c r="CC28" i="8"/>
  <c r="BZ28" i="8" s="1"/>
  <c r="CC29" i="8"/>
  <c r="BZ29" i="8" s="1"/>
  <c r="CC32" i="8"/>
  <c r="BZ32" i="8" s="1"/>
  <c r="CC33" i="8"/>
  <c r="BZ33" i="8" s="1"/>
  <c r="CC36" i="8"/>
  <c r="BZ36" i="8" s="1"/>
  <c r="CC37" i="8"/>
  <c r="BZ37" i="8" s="1"/>
  <c r="CC40" i="8"/>
  <c r="BZ40" i="8" s="1"/>
  <c r="CC41" i="8"/>
  <c r="BZ41" i="8" s="1"/>
  <c r="B420" i="8"/>
  <c r="CC44" i="8"/>
  <c r="BZ44" i="8" s="1"/>
  <c r="CC45" i="8"/>
  <c r="BZ45" i="8" s="1"/>
  <c r="CC48" i="8"/>
  <c r="BZ48" i="8" s="1"/>
  <c r="CC49" i="8"/>
  <c r="BZ49" i="8" s="1"/>
  <c r="CC52" i="8"/>
  <c r="BZ52" i="8" s="1"/>
  <c r="CC53" i="8"/>
  <c r="BZ53" i="8" s="1"/>
  <c r="CC56" i="8"/>
  <c r="BZ56" i="8" s="1"/>
  <c r="CC57" i="8"/>
  <c r="BZ57" i="8" s="1"/>
  <c r="CC60" i="8"/>
  <c r="BZ60" i="8" s="1"/>
  <c r="CC61" i="8"/>
  <c r="BZ61" i="8" s="1"/>
  <c r="CC64" i="8"/>
  <c r="BZ64" i="8" s="1"/>
  <c r="CC65" i="8"/>
  <c r="BZ65" i="8" s="1"/>
  <c r="CC68" i="8"/>
  <c r="BZ68" i="8" s="1"/>
  <c r="CC69" i="8"/>
  <c r="BZ69" i="8" s="1"/>
  <c r="B421" i="8"/>
  <c r="CC72" i="8"/>
  <c r="BZ72" i="8" s="1"/>
  <c r="CC73" i="8"/>
  <c r="BZ73" i="8" s="1"/>
  <c r="CC76" i="8"/>
  <c r="BZ76" i="8" s="1"/>
  <c r="CC77" i="8"/>
  <c r="BZ77" i="8" s="1"/>
  <c r="CC80" i="8"/>
  <c r="BZ80" i="8" s="1"/>
  <c r="CC82" i="8"/>
  <c r="BZ82" i="8" s="1"/>
  <c r="CC83" i="8"/>
  <c r="BZ83" i="8" s="1"/>
  <c r="CC84" i="8"/>
  <c r="BZ84" i="8" s="1"/>
  <c r="CC87" i="8"/>
  <c r="BZ87" i="8" s="1"/>
  <c r="CC88" i="8"/>
  <c r="BZ88" i="8" s="1"/>
  <c r="CC91" i="8"/>
  <c r="BZ91" i="8" s="1"/>
  <c r="CC92" i="8"/>
  <c r="BZ92" i="8" s="1"/>
  <c r="CC95" i="8"/>
  <c r="BZ95" i="8" s="1"/>
  <c r="CC96" i="8"/>
  <c r="BZ96" i="8" s="1"/>
  <c r="CC101" i="8"/>
  <c r="BZ101" i="8" s="1"/>
  <c r="CC102" i="8"/>
  <c r="BZ102" i="8" s="1"/>
  <c r="CC105" i="8"/>
  <c r="BZ105" i="8" s="1"/>
  <c r="CC111" i="8"/>
  <c r="BZ111" i="8" s="1"/>
  <c r="CC112" i="8"/>
  <c r="BZ112" i="8" s="1"/>
  <c r="A52" i="7"/>
  <c r="B600" i="5" s="1"/>
  <c r="A601" i="16" s="1"/>
  <c r="BQ18" i="8"/>
  <c r="BU18" i="8" s="1"/>
  <c r="BW18" i="8"/>
  <c r="BX18" i="8" s="1"/>
  <c r="CG18" i="8"/>
  <c r="BQ17" i="8"/>
  <c r="BU17" i="8" s="1"/>
  <c r="BW17" i="8"/>
  <c r="BX17" i="8" s="1"/>
  <c r="CG17" i="8"/>
  <c r="AE16" i="8"/>
  <c r="CC16" i="8"/>
  <c r="BZ16" i="8" s="1"/>
  <c r="BU15" i="8"/>
  <c r="BW15" i="8"/>
  <c r="BX15" i="8" s="1"/>
  <c r="BQ16" i="8"/>
  <c r="BU16" i="8" s="1"/>
  <c r="BW16" i="8"/>
  <c r="BX16" i="8" s="1"/>
  <c r="CG16" i="8"/>
  <c r="CG15" i="8"/>
  <c r="AV16" i="8"/>
  <c r="AV17" i="8"/>
  <c r="B319" i="8"/>
  <c r="B335" i="8"/>
  <c r="B343" i="8"/>
  <c r="CC15" i="8"/>
  <c r="BZ15" i="8" s="1"/>
  <c r="CC17" i="8"/>
  <c r="BZ17" i="8" s="1"/>
  <c r="CC18" i="8"/>
  <c r="BZ18" i="8" s="1"/>
  <c r="CC19" i="8"/>
  <c r="BZ19" i="8" s="1"/>
  <c r="CC21" i="8"/>
  <c r="BZ21" i="8" s="1"/>
  <c r="B158" i="8"/>
  <c r="CC23" i="8"/>
  <c r="BZ23" i="8" s="1"/>
  <c r="CC25" i="8"/>
  <c r="BZ25" i="8" s="1"/>
  <c r="CC27" i="8"/>
  <c r="BZ27" i="8" s="1"/>
  <c r="CC81" i="8"/>
  <c r="BZ81" i="8" s="1"/>
  <c r="BH87" i="8"/>
  <c r="B341" i="8" s="1"/>
  <c r="BH95" i="8"/>
  <c r="B345" i="8" s="1"/>
  <c r="BH103" i="8"/>
  <c r="B349" i="8" s="1"/>
  <c r="BH109" i="8"/>
  <c r="B352" i="8" s="1"/>
  <c r="BH113" i="8"/>
  <c r="B354" i="8" s="1"/>
  <c r="B351" i="8"/>
  <c r="CC106" i="8"/>
  <c r="BZ106" i="8" s="1"/>
  <c r="CC109" i="8"/>
  <c r="BZ109" i="8" s="1"/>
  <c r="CC110" i="8"/>
  <c r="BZ110" i="8" s="1"/>
  <c r="CC113" i="8"/>
  <c r="BZ113" i="8" s="1"/>
  <c r="CC114" i="8"/>
  <c r="BZ114" i="8" s="1"/>
  <c r="BH17" i="8"/>
  <c r="B306" i="8" s="1"/>
  <c r="B159" i="8"/>
  <c r="BT30" i="8"/>
  <c r="BT32" i="8"/>
  <c r="BT34" i="8"/>
  <c r="BT36" i="8"/>
  <c r="BT38" i="8"/>
  <c r="BT40" i="8"/>
  <c r="BT42" i="8"/>
  <c r="B161" i="8"/>
  <c r="BT44" i="8"/>
  <c r="BT46" i="8"/>
  <c r="BT48" i="8"/>
  <c r="BT50" i="8"/>
  <c r="BT52" i="8"/>
  <c r="BT54" i="8"/>
  <c r="BT56" i="8"/>
  <c r="B163" i="8"/>
  <c r="BT58" i="8"/>
  <c r="BT60" i="8"/>
  <c r="BT62" i="8"/>
  <c r="BT64" i="8"/>
  <c r="BT66" i="8"/>
  <c r="BT68" i="8"/>
  <c r="BT70" i="8"/>
  <c r="B165" i="8"/>
  <c r="BT72" i="8"/>
  <c r="BT74" i="8"/>
  <c r="BT76" i="8"/>
  <c r="BT78" i="8"/>
  <c r="BT80" i="8"/>
  <c r="B170" i="8"/>
  <c r="AR114" i="8"/>
  <c r="BG114" i="8" s="1"/>
  <c r="AR113" i="8"/>
  <c r="BG113" i="8" s="1"/>
  <c r="AR112" i="8"/>
  <c r="BG112" i="8" s="1"/>
  <c r="AR111" i="8"/>
  <c r="BG111" i="8" s="1"/>
  <c r="AR110" i="8"/>
  <c r="BG110" i="8" s="1"/>
  <c r="AR109" i="8"/>
  <c r="BG109" i="8" s="1"/>
  <c r="AR108" i="8"/>
  <c r="BG108" i="8" s="1"/>
  <c r="AR107" i="8"/>
  <c r="BG107" i="8" s="1"/>
  <c r="AR106" i="8"/>
  <c r="BG106" i="8" s="1"/>
  <c r="AR105" i="8"/>
  <c r="BG105" i="8" s="1"/>
  <c r="AR104" i="8"/>
  <c r="BG104" i="8" s="1"/>
  <c r="AR103" i="8"/>
  <c r="BG103" i="8" s="1"/>
  <c r="AR102" i="8"/>
  <c r="BG102" i="8" s="1"/>
  <c r="AR101" i="8"/>
  <c r="BG101" i="8" s="1"/>
  <c r="AR100" i="8"/>
  <c r="BG100" i="8" s="1"/>
  <c r="AR99" i="8"/>
  <c r="BG99" i="8" s="1"/>
  <c r="AR98" i="8"/>
  <c r="BG98" i="8" s="1"/>
  <c r="AR97" i="8"/>
  <c r="BG97" i="8" s="1"/>
  <c r="AR96" i="8"/>
  <c r="BG96" i="8" s="1"/>
  <c r="AR95" i="8"/>
  <c r="BG95" i="8" s="1"/>
  <c r="AR94" i="8"/>
  <c r="BG94" i="8" s="1"/>
  <c r="AR93" i="8"/>
  <c r="BG93" i="8" s="1"/>
  <c r="AR92" i="8"/>
  <c r="BG92" i="8" s="1"/>
  <c r="AR91" i="8"/>
  <c r="BG91" i="8" s="1"/>
  <c r="AR90" i="8"/>
  <c r="BG90" i="8" s="1"/>
  <c r="AR89" i="8"/>
  <c r="BG89" i="8" s="1"/>
  <c r="AR88" i="8"/>
  <c r="BG88" i="8" s="1"/>
  <c r="AR87" i="8"/>
  <c r="BG87" i="8" s="1"/>
  <c r="AR86" i="8"/>
  <c r="BG86" i="8" s="1"/>
  <c r="AR85" i="8"/>
  <c r="BG85" i="8" s="1"/>
  <c r="AR84" i="8"/>
  <c r="BG84" i="8" s="1"/>
  <c r="AR83" i="8"/>
  <c r="BG83" i="8" s="1"/>
  <c r="AR82" i="8"/>
  <c r="BG82" i="8" s="1"/>
  <c r="AR81" i="8"/>
  <c r="BG81" i="8" s="1"/>
  <c r="AR80" i="8"/>
  <c r="BG80" i="8" s="1"/>
  <c r="AR79" i="8"/>
  <c r="BG79" i="8" s="1"/>
  <c r="AR78" i="8"/>
  <c r="BG78" i="8" s="1"/>
  <c r="AR77" i="8"/>
  <c r="BG77" i="8" s="1"/>
  <c r="AR76" i="8"/>
  <c r="BG76" i="8" s="1"/>
  <c r="AR75" i="8"/>
  <c r="BG75" i="8" s="1"/>
  <c r="AR74" i="8"/>
  <c r="BG74" i="8" s="1"/>
  <c r="AR73" i="8"/>
  <c r="BG73" i="8" s="1"/>
  <c r="AR72" i="8"/>
  <c r="BG72" i="8" s="1"/>
  <c r="AR71" i="8"/>
  <c r="BG71" i="8" s="1"/>
  <c r="AR70" i="8"/>
  <c r="BG70" i="8" s="1"/>
  <c r="AR69" i="8"/>
  <c r="BG69" i="8" s="1"/>
  <c r="AR68" i="8"/>
  <c r="BG68" i="8" s="1"/>
  <c r="AR67" i="8"/>
  <c r="BG67" i="8" s="1"/>
  <c r="AR66" i="8"/>
  <c r="BG66" i="8" s="1"/>
  <c r="AR65" i="8"/>
  <c r="BG65" i="8" s="1"/>
  <c r="AR64" i="8"/>
  <c r="BG64" i="8" s="1"/>
  <c r="AR63" i="8"/>
  <c r="BG63" i="8" s="1"/>
  <c r="AR62" i="8"/>
  <c r="BG62" i="8" s="1"/>
  <c r="AR61" i="8"/>
  <c r="BG61" i="8" s="1"/>
  <c r="AR60" i="8"/>
  <c r="BG60" i="8" s="1"/>
  <c r="AR59" i="8"/>
  <c r="BG59" i="8" s="1"/>
  <c r="AR58" i="8"/>
  <c r="BG58" i="8" s="1"/>
  <c r="AR57" i="8"/>
  <c r="BG57" i="8" s="1"/>
  <c r="AR56" i="8"/>
  <c r="BG56" i="8" s="1"/>
  <c r="AR55" i="8"/>
  <c r="BG55" i="8" s="1"/>
  <c r="AR54" i="8"/>
  <c r="BG54" i="8" s="1"/>
  <c r="AR53" i="8"/>
  <c r="BG53" i="8" s="1"/>
  <c r="AR52" i="8"/>
  <c r="BG52" i="8" s="1"/>
  <c r="AR51" i="8"/>
  <c r="BG51" i="8" s="1"/>
  <c r="AR50" i="8"/>
  <c r="BG50" i="8" s="1"/>
  <c r="AR49" i="8"/>
  <c r="BG49" i="8" s="1"/>
  <c r="AR48" i="8"/>
  <c r="BG48" i="8" s="1"/>
  <c r="AR47" i="8"/>
  <c r="BG47" i="8" s="1"/>
  <c r="AR46" i="8"/>
  <c r="BG46" i="8" s="1"/>
  <c r="AR45" i="8"/>
  <c r="BG45" i="8" s="1"/>
  <c r="AR44" i="8"/>
  <c r="BG44" i="8" s="1"/>
  <c r="AR43" i="8"/>
  <c r="BG43" i="8" s="1"/>
  <c r="AR42" i="8"/>
  <c r="BG42" i="8" s="1"/>
  <c r="AR41" i="8"/>
  <c r="BG41" i="8" s="1"/>
  <c r="AR40" i="8"/>
  <c r="BG40" i="8" s="1"/>
  <c r="AR39" i="8"/>
  <c r="BG39" i="8" s="1"/>
  <c r="AR38" i="8"/>
  <c r="BG38" i="8" s="1"/>
  <c r="AR37" i="8"/>
  <c r="BG37" i="8" s="1"/>
  <c r="AR36" i="8"/>
  <c r="BG36" i="8" s="1"/>
  <c r="AR35" i="8"/>
  <c r="BG35" i="8" s="1"/>
  <c r="AR34" i="8"/>
  <c r="BG34" i="8" s="1"/>
  <c r="AR33" i="8"/>
  <c r="BG33" i="8" s="1"/>
  <c r="AR32" i="8"/>
  <c r="BG32" i="8" s="1"/>
  <c r="AR31" i="8"/>
  <c r="BG31" i="8" s="1"/>
  <c r="AR30" i="8"/>
  <c r="BG30" i="8" s="1"/>
  <c r="AR29" i="8"/>
  <c r="BG29" i="8" s="1"/>
  <c r="B360" i="8"/>
  <c r="B244" i="8"/>
  <c r="BT29" i="8"/>
  <c r="BT31" i="8"/>
  <c r="BT33" i="8"/>
  <c r="BT35" i="8"/>
  <c r="BT37" i="8"/>
  <c r="BT39" i="8"/>
  <c r="BT41" i="8"/>
  <c r="BT43" i="8"/>
  <c r="BT45" i="8"/>
  <c r="BT47" i="8"/>
  <c r="BT49" i="8"/>
  <c r="B162" i="8"/>
  <c r="BT51" i="8"/>
  <c r="BT53" i="8"/>
  <c r="BT55" i="8"/>
  <c r="BT57" i="8"/>
  <c r="BT59" i="8"/>
  <c r="BT61" i="8"/>
  <c r="BT63" i="8"/>
  <c r="B164" i="8"/>
  <c r="BT65" i="8"/>
  <c r="BT67" i="8"/>
  <c r="BT69" i="8"/>
  <c r="BT71" i="8"/>
  <c r="BT73" i="8"/>
  <c r="BT75" i="8"/>
  <c r="BT77" i="8"/>
  <c r="B166" i="8"/>
  <c r="BT79" i="8"/>
  <c r="BT81" i="8"/>
  <c r="BT83" i="8"/>
  <c r="BT85" i="8"/>
  <c r="BT87" i="8"/>
  <c r="BT89" i="8"/>
  <c r="BT91" i="8"/>
  <c r="BT93" i="8"/>
  <c r="BT95" i="8"/>
  <c r="BT97" i="8"/>
  <c r="BT99" i="8"/>
  <c r="BT101" i="8"/>
  <c r="BT103" i="8"/>
  <c r="BT105" i="8"/>
  <c r="AE15" i="8"/>
  <c r="AI15" i="8"/>
  <c r="BS15" i="8"/>
  <c r="BS16" i="8"/>
  <c r="BS17" i="8"/>
  <c r="AS18" i="8"/>
  <c r="AR19" i="8"/>
  <c r="BX19" i="8"/>
  <c r="AR20" i="8"/>
  <c r="BX20" i="8"/>
  <c r="AR21" i="8"/>
  <c r="BG21" i="8" s="1"/>
  <c r="BX21" i="8"/>
  <c r="AR22" i="8"/>
  <c r="BG22" i="8" s="1"/>
  <c r="BX22" i="8"/>
  <c r="AR23" i="8"/>
  <c r="BG23" i="8" s="1"/>
  <c r="BX23" i="8"/>
  <c r="AR24" i="8"/>
  <c r="BG24" i="8" s="1"/>
  <c r="BX24" i="8"/>
  <c r="AR25" i="8"/>
  <c r="BG25" i="8" s="1"/>
  <c r="BX25" i="8"/>
  <c r="AR26" i="8"/>
  <c r="BG26" i="8" s="1"/>
  <c r="BX26" i="8"/>
  <c r="AR27" i="8"/>
  <c r="BG27" i="8" s="1"/>
  <c r="BX27" i="8"/>
  <c r="BW28" i="8"/>
  <c r="BX28" i="8" s="1"/>
  <c r="BS30" i="8"/>
  <c r="BS32" i="8"/>
  <c r="BS34" i="8"/>
  <c r="BS36" i="8"/>
  <c r="BS38" i="8"/>
  <c r="BS40" i="8"/>
  <c r="BS42" i="8"/>
  <c r="BS44" i="8"/>
  <c r="BS46" i="8"/>
  <c r="BS48" i="8"/>
  <c r="BS50" i="8"/>
  <c r="BS52" i="8"/>
  <c r="BS54" i="8"/>
  <c r="BS56" i="8"/>
  <c r="BS58" i="8"/>
  <c r="BS60" i="8"/>
  <c r="BS62" i="8"/>
  <c r="BS64" i="8"/>
  <c r="BS66" i="8"/>
  <c r="BS68" i="8"/>
  <c r="BS70" i="8"/>
  <c r="BS72" i="8"/>
  <c r="BS74" i="8"/>
  <c r="BS76" i="8"/>
  <c r="BS78" i="8"/>
  <c r="BS80" i="8"/>
  <c r="B168" i="8"/>
  <c r="G1" i="8"/>
  <c r="B417" i="8" s="1"/>
  <c r="E3" i="8"/>
  <c r="B469" i="8" s="1"/>
  <c r="E4" i="8"/>
  <c r="B485" i="8" s="1"/>
  <c r="AR15" i="8"/>
  <c r="BG15" i="8" s="1"/>
  <c r="AT15" i="8"/>
  <c r="BE15" i="8"/>
  <c r="BE16" i="8" s="1"/>
  <c r="BK15" i="8"/>
  <c r="BV15" i="8"/>
  <c r="AR16" i="8"/>
  <c r="BG16" i="8" s="1"/>
  <c r="AT16" i="8"/>
  <c r="AR17" i="8"/>
  <c r="BG17" i="8" s="1"/>
  <c r="AT17" i="8"/>
  <c r="AR18" i="8"/>
  <c r="BQ19" i="8"/>
  <c r="BU19" i="8" s="1"/>
  <c r="BQ20" i="8"/>
  <c r="BU20" i="8" s="1"/>
  <c r="BH21" i="8"/>
  <c r="BQ21" i="8"/>
  <c r="BU21" i="8" s="1"/>
  <c r="BQ22" i="8"/>
  <c r="BU22" i="8" s="1"/>
  <c r="BH23" i="8"/>
  <c r="BQ23" i="8"/>
  <c r="BU23" i="8" s="1"/>
  <c r="BQ24" i="8"/>
  <c r="BU24" i="8" s="1"/>
  <c r="BH25" i="8"/>
  <c r="B310" i="8" s="1"/>
  <c r="BQ25" i="8"/>
  <c r="BU25" i="8" s="1"/>
  <c r="BQ26" i="8"/>
  <c r="BU26" i="8" s="1"/>
  <c r="BH27" i="8"/>
  <c r="B311" i="8" s="1"/>
  <c r="BQ27" i="8"/>
  <c r="BU27" i="8" s="1"/>
  <c r="BQ28" i="8"/>
  <c r="BU28" i="8" s="1"/>
  <c r="BS29" i="8"/>
  <c r="BS31" i="8"/>
  <c r="BS33" i="8"/>
  <c r="B315" i="8"/>
  <c r="BS35" i="8"/>
  <c r="BS37" i="8"/>
  <c r="BS39" i="8"/>
  <c r="BS41" i="8"/>
  <c r="BS43" i="8"/>
  <c r="BS45" i="8"/>
  <c r="BS47" i="8"/>
  <c r="BS49" i="8"/>
  <c r="B323" i="8"/>
  <c r="BS51" i="8"/>
  <c r="BS53" i="8"/>
  <c r="BS55" i="8"/>
  <c r="BS57" i="8"/>
  <c r="BS59" i="8"/>
  <c r="BS61" i="8"/>
  <c r="BS63" i="8"/>
  <c r="BS65" i="8"/>
  <c r="B331" i="8"/>
  <c r="BS67" i="8"/>
  <c r="BS69" i="8"/>
  <c r="BS71" i="8"/>
  <c r="BS73" i="8"/>
  <c r="BS75" i="8"/>
  <c r="BS77" i="8"/>
  <c r="BS79" i="8"/>
  <c r="B160" i="8"/>
  <c r="BT82" i="8"/>
  <c r="BT84" i="8"/>
  <c r="B167" i="8"/>
  <c r="BT86" i="8"/>
  <c r="BT88" i="8"/>
  <c r="BT90" i="8"/>
  <c r="BT92" i="8"/>
  <c r="BT94" i="8"/>
  <c r="BT96" i="8"/>
  <c r="BT98" i="8"/>
  <c r="B169" i="8"/>
  <c r="BT100" i="8"/>
  <c r="BT102" i="8"/>
  <c r="BT104" i="8"/>
  <c r="BT106" i="8"/>
  <c r="BT107" i="8"/>
  <c r="BT109" i="8"/>
  <c r="BT111" i="8"/>
  <c r="BT113" i="8"/>
  <c r="B312" i="8"/>
  <c r="BV29" i="8"/>
  <c r="BV30" i="8"/>
  <c r="B313" i="8"/>
  <c r="BV31" i="8"/>
  <c r="BV32" i="8"/>
  <c r="B314" i="8"/>
  <c r="BV33" i="8"/>
  <c r="BV34" i="8"/>
  <c r="BV35" i="8"/>
  <c r="BV36" i="8"/>
  <c r="B316" i="8"/>
  <c r="BV37" i="8"/>
  <c r="BV38" i="8"/>
  <c r="B317" i="8"/>
  <c r="BV39" i="8"/>
  <c r="BV40" i="8"/>
  <c r="B318" i="8"/>
  <c r="BV41" i="8"/>
  <c r="BV42" i="8"/>
  <c r="BV43" i="8"/>
  <c r="BV44" i="8"/>
  <c r="B320" i="8"/>
  <c r="BV45" i="8"/>
  <c r="BV46" i="8"/>
  <c r="B321" i="8"/>
  <c r="BV47" i="8"/>
  <c r="BV48" i="8"/>
  <c r="B322" i="8"/>
  <c r="BV49" i="8"/>
  <c r="BV50" i="8"/>
  <c r="BV51" i="8"/>
  <c r="BV52" i="8"/>
  <c r="B324" i="8"/>
  <c r="BV53" i="8"/>
  <c r="BV54" i="8"/>
  <c r="B325" i="8"/>
  <c r="BV55" i="8"/>
  <c r="BV56" i="8"/>
  <c r="B326" i="8"/>
  <c r="BV57" i="8"/>
  <c r="BV58" i="8"/>
  <c r="BV59" i="8"/>
  <c r="BV60" i="8"/>
  <c r="B328" i="8"/>
  <c r="BV61" i="8"/>
  <c r="BV62" i="8"/>
  <c r="B329" i="8"/>
  <c r="BV63" i="8"/>
  <c r="BV64" i="8"/>
  <c r="B330" i="8"/>
  <c r="BV65" i="8"/>
  <c r="BV66" i="8"/>
  <c r="BV67" i="8"/>
  <c r="BV68" i="8"/>
  <c r="B332" i="8"/>
  <c r="BV69" i="8"/>
  <c r="BV70" i="8"/>
  <c r="B333" i="8"/>
  <c r="BV71" i="8"/>
  <c r="BV72" i="8"/>
  <c r="B334" i="8"/>
  <c r="BV73" i="8"/>
  <c r="BV74" i="8"/>
  <c r="BV75" i="8"/>
  <c r="BV76" i="8"/>
  <c r="B336" i="8"/>
  <c r="BV77" i="8"/>
  <c r="BV78" i="8"/>
  <c r="B337" i="8"/>
  <c r="BV79" i="8"/>
  <c r="BV80" i="8"/>
  <c r="BS82" i="8"/>
  <c r="BS84" i="8"/>
  <c r="BS86" i="8"/>
  <c r="BS88" i="8"/>
  <c r="BS90" i="8"/>
  <c r="BS92" i="8"/>
  <c r="BS94" i="8"/>
  <c r="BS96" i="8"/>
  <c r="BS98" i="8"/>
  <c r="B422" i="8"/>
  <c r="BS100" i="8"/>
  <c r="BS102" i="8"/>
  <c r="BS104" i="8"/>
  <c r="BS106" i="8"/>
  <c r="BV106" i="8"/>
  <c r="BT108" i="8"/>
  <c r="BT110" i="8"/>
  <c r="BT112" i="8"/>
  <c r="B171" i="8"/>
  <c r="BT114" i="8"/>
  <c r="B338" i="8"/>
  <c r="BV81" i="8"/>
  <c r="BV82" i="8"/>
  <c r="BV83" i="8"/>
  <c r="BV84" i="8"/>
  <c r="B340" i="8"/>
  <c r="BV85" i="8"/>
  <c r="BV86" i="8"/>
  <c r="BV87" i="8"/>
  <c r="BV88" i="8"/>
  <c r="B342" i="8"/>
  <c r="BV89" i="8"/>
  <c r="BV90" i="8"/>
  <c r="BV91" i="8"/>
  <c r="BV92" i="8"/>
  <c r="B344" i="8"/>
  <c r="BV93" i="8"/>
  <c r="BV94" i="8"/>
  <c r="BV95" i="8"/>
  <c r="BV96" i="8"/>
  <c r="B346" i="8"/>
  <c r="BV97" i="8"/>
  <c r="BV98" i="8"/>
  <c r="BV99" i="8"/>
  <c r="BV100" i="8"/>
  <c r="B348" i="8"/>
  <c r="BV101" i="8"/>
  <c r="BV102" i="8"/>
  <c r="BV103" i="8"/>
  <c r="BV104" i="8"/>
  <c r="B350" i="8"/>
  <c r="BV105" i="8"/>
  <c r="BW106" i="8"/>
  <c r="BX106" i="8" s="1"/>
  <c r="BS108" i="8"/>
  <c r="BS110" i="8"/>
  <c r="BS112" i="8"/>
  <c r="BS114" i="8"/>
  <c r="B467" i="8" s="1"/>
  <c r="BV107" i="8"/>
  <c r="BV108" i="8"/>
  <c r="BV109" i="8"/>
  <c r="BV110" i="8"/>
  <c r="BV111" i="8"/>
  <c r="BV112" i="8"/>
  <c r="BV113" i="8"/>
  <c r="BV114" i="8"/>
  <c r="B7" i="7"/>
  <c r="A59" i="7" s="1"/>
  <c r="B121" i="5" s="1"/>
  <c r="G7" i="7"/>
  <c r="A49" i="7" s="1"/>
  <c r="B595" i="5" s="1"/>
  <c r="A596" i="16" s="1"/>
  <c r="A67" i="7"/>
  <c r="B890" i="5" s="1"/>
  <c r="B1" i="7"/>
  <c r="A13" i="7"/>
  <c r="B179" i="5" s="1"/>
  <c r="A34" i="7"/>
  <c r="B253" i="5" s="1"/>
  <c r="A22" i="7"/>
  <c r="AE15" i="5"/>
  <c r="AF15" i="5" s="1"/>
  <c r="CK16" i="5"/>
  <c r="CK17" i="5"/>
  <c r="CK18" i="5"/>
  <c r="CK19" i="5"/>
  <c r="CK20" i="5"/>
  <c r="CK21" i="5"/>
  <c r="CK22" i="5"/>
  <c r="CK23" i="5"/>
  <c r="CK24" i="5"/>
  <c r="CK25" i="5"/>
  <c r="CK26" i="5"/>
  <c r="CK27" i="5"/>
  <c r="CK28" i="5"/>
  <c r="CK29" i="5"/>
  <c r="CK30" i="5"/>
  <c r="CK31" i="5"/>
  <c r="CK32" i="5"/>
  <c r="CK33" i="5"/>
  <c r="CK34" i="5"/>
  <c r="CK35" i="5"/>
  <c r="CK36" i="5"/>
  <c r="CK37" i="5"/>
  <c r="CK38" i="5"/>
  <c r="CK39" i="5"/>
  <c r="CK40" i="5"/>
  <c r="CK41" i="5"/>
  <c r="CK42" i="5"/>
  <c r="CK43" i="5"/>
  <c r="CK44" i="5"/>
  <c r="CK45" i="5"/>
  <c r="CK46" i="5"/>
  <c r="CK47" i="5"/>
  <c r="CK48" i="5"/>
  <c r="CK49" i="5"/>
  <c r="CK50" i="5"/>
  <c r="CK51" i="5"/>
  <c r="CK52" i="5"/>
  <c r="CK53" i="5"/>
  <c r="CK54" i="5"/>
  <c r="CK55" i="5"/>
  <c r="CK56" i="5"/>
  <c r="CK57" i="5"/>
  <c r="CK58" i="5"/>
  <c r="CK59" i="5"/>
  <c r="CK60" i="5"/>
  <c r="CK61" i="5"/>
  <c r="CK62" i="5"/>
  <c r="CK63" i="5"/>
  <c r="CK64" i="5"/>
  <c r="CK65" i="5"/>
  <c r="CK66" i="5"/>
  <c r="CK67" i="5"/>
  <c r="CK68" i="5"/>
  <c r="CK69" i="5"/>
  <c r="CK70" i="5"/>
  <c r="CK71" i="5"/>
  <c r="CK72" i="5"/>
  <c r="CK73" i="5"/>
  <c r="CK74" i="5"/>
  <c r="CK75" i="5"/>
  <c r="CK76" i="5"/>
  <c r="CG76" i="5" s="1"/>
  <c r="CK77" i="5"/>
  <c r="CG77" i="5" s="1"/>
  <c r="CK78" i="5"/>
  <c r="CG78" i="5" s="1"/>
  <c r="CK79" i="5"/>
  <c r="CG79" i="5" s="1"/>
  <c r="CK80" i="5"/>
  <c r="CG80" i="5" s="1"/>
  <c r="CK81" i="5"/>
  <c r="CG81" i="5" s="1"/>
  <c r="CK82" i="5"/>
  <c r="CG82" i="5" s="1"/>
  <c r="CK83" i="5"/>
  <c r="CG83" i="5" s="1"/>
  <c r="CK84" i="5"/>
  <c r="CG84" i="5" s="1"/>
  <c r="CK85" i="5"/>
  <c r="CG85" i="5" s="1"/>
  <c r="CK86" i="5"/>
  <c r="CG86" i="5" s="1"/>
  <c r="CK87" i="5"/>
  <c r="CG87" i="5" s="1"/>
  <c r="CK88" i="5"/>
  <c r="CG88" i="5" s="1"/>
  <c r="CK89" i="5"/>
  <c r="CG89" i="5" s="1"/>
  <c r="CK90" i="5"/>
  <c r="CG90" i="5" s="1"/>
  <c r="CK91" i="5"/>
  <c r="CG91" i="5" s="1"/>
  <c r="CK92" i="5"/>
  <c r="CG92" i="5" s="1"/>
  <c r="CK93" i="5"/>
  <c r="CG93" i="5" s="1"/>
  <c r="CK94" i="5"/>
  <c r="CG94" i="5" s="1"/>
  <c r="CK95" i="5"/>
  <c r="CG95" i="5" s="1"/>
  <c r="CK96" i="5"/>
  <c r="CG96" i="5" s="1"/>
  <c r="CK97" i="5"/>
  <c r="CG97" i="5" s="1"/>
  <c r="CK98" i="5"/>
  <c r="CG98" i="5" s="1"/>
  <c r="CK99" i="5"/>
  <c r="CG99" i="5" s="1"/>
  <c r="CK100" i="5"/>
  <c r="CG100" i="5" s="1"/>
  <c r="CK101" i="5"/>
  <c r="CG101" i="5" s="1"/>
  <c r="CK102" i="5"/>
  <c r="CG102" i="5" s="1"/>
  <c r="CK103" i="5"/>
  <c r="CG103" i="5" s="1"/>
  <c r="CK104" i="5"/>
  <c r="CG104" i="5" s="1"/>
  <c r="CK105" i="5"/>
  <c r="CG105" i="5" s="1"/>
  <c r="CK106" i="5"/>
  <c r="CG106" i="5" s="1"/>
  <c r="CK107" i="5"/>
  <c r="CG107" i="5" s="1"/>
  <c r="CK108" i="5"/>
  <c r="CG108" i="5" s="1"/>
  <c r="CK109" i="5"/>
  <c r="CG109" i="5" s="1"/>
  <c r="CK110" i="5"/>
  <c r="CG110" i="5" s="1"/>
  <c r="CK111" i="5"/>
  <c r="CG111" i="5" s="1"/>
  <c r="CK112" i="5"/>
  <c r="CG112" i="5" s="1"/>
  <c r="CK113" i="5"/>
  <c r="CG113" i="5" s="1"/>
  <c r="CK114" i="5"/>
  <c r="CK15" i="5"/>
  <c r="CL16" i="5"/>
  <c r="CL17" i="5"/>
  <c r="CL18" i="5"/>
  <c r="CL19" i="5"/>
  <c r="CL20" i="5"/>
  <c r="CL21" i="5"/>
  <c r="CL22" i="5"/>
  <c r="CL23" i="5"/>
  <c r="CL24" i="5"/>
  <c r="CL25" i="5"/>
  <c r="CL26" i="5"/>
  <c r="CL27" i="5"/>
  <c r="CL28" i="5"/>
  <c r="CL29" i="5"/>
  <c r="CL30" i="5"/>
  <c r="CL31" i="5"/>
  <c r="CL32" i="5"/>
  <c r="CL33" i="5"/>
  <c r="CL34" i="5"/>
  <c r="CL35" i="5"/>
  <c r="CL36" i="5"/>
  <c r="CL37" i="5"/>
  <c r="CL38" i="5"/>
  <c r="CL39" i="5"/>
  <c r="CL40" i="5"/>
  <c r="CL41" i="5"/>
  <c r="CL42" i="5"/>
  <c r="CL43" i="5"/>
  <c r="CL44" i="5"/>
  <c r="CL45" i="5"/>
  <c r="CL46" i="5"/>
  <c r="CL47" i="5"/>
  <c r="CL48" i="5"/>
  <c r="CL49" i="5"/>
  <c r="CL50" i="5"/>
  <c r="CL51" i="5"/>
  <c r="CL52" i="5"/>
  <c r="CL53" i="5"/>
  <c r="CL54" i="5"/>
  <c r="CL55" i="5"/>
  <c r="CL56" i="5"/>
  <c r="CL57" i="5"/>
  <c r="CL58" i="5"/>
  <c r="CL59" i="5"/>
  <c r="CL60" i="5"/>
  <c r="CL61" i="5"/>
  <c r="CL62" i="5"/>
  <c r="CL63" i="5"/>
  <c r="CL64" i="5"/>
  <c r="CL65" i="5"/>
  <c r="CL66" i="5"/>
  <c r="CL67" i="5"/>
  <c r="CL68" i="5"/>
  <c r="CL69" i="5"/>
  <c r="CL70" i="5"/>
  <c r="CL71" i="5"/>
  <c r="CL72" i="5"/>
  <c r="CL73" i="5"/>
  <c r="CL74" i="5"/>
  <c r="CL75" i="5"/>
  <c r="CL76" i="5"/>
  <c r="CL77" i="5"/>
  <c r="CL78" i="5"/>
  <c r="CL79" i="5"/>
  <c r="CL80" i="5"/>
  <c r="CL81" i="5"/>
  <c r="CL82" i="5"/>
  <c r="CL83" i="5"/>
  <c r="CL84" i="5"/>
  <c r="CL85" i="5"/>
  <c r="CL86" i="5"/>
  <c r="CL87" i="5"/>
  <c r="CL88" i="5"/>
  <c r="CL89" i="5"/>
  <c r="CL90" i="5"/>
  <c r="CL91" i="5"/>
  <c r="CL92" i="5"/>
  <c r="CL93" i="5"/>
  <c r="CL94" i="5"/>
  <c r="CL95" i="5"/>
  <c r="CL96" i="5"/>
  <c r="CL97" i="5"/>
  <c r="CL98" i="5"/>
  <c r="CL99" i="5"/>
  <c r="CL100" i="5"/>
  <c r="CL101" i="5"/>
  <c r="CL102" i="5"/>
  <c r="CL103" i="5"/>
  <c r="CL104" i="5"/>
  <c r="CL105" i="5"/>
  <c r="CL106" i="5"/>
  <c r="CL107" i="5"/>
  <c r="CL108" i="5"/>
  <c r="CL109" i="5"/>
  <c r="CL110" i="5"/>
  <c r="CL111" i="5"/>
  <c r="CL112" i="5"/>
  <c r="CL113" i="5"/>
  <c r="CL114" i="5"/>
  <c r="CL15" i="5"/>
  <c r="H10" i="5"/>
  <c r="B5" i="5" s="1"/>
  <c r="B664" i="5"/>
  <c r="CO114" i="5"/>
  <c r="CY114" i="5" s="1"/>
  <c r="H3" i="5"/>
  <c r="B465" i="5" s="1"/>
  <c r="B717" i="5"/>
  <c r="H2" i="5"/>
  <c r="G12" i="5"/>
  <c r="B650" i="5" l="1"/>
  <c r="DE30" i="5"/>
  <c r="DF30" i="5"/>
  <c r="B649" i="5"/>
  <c r="CG74" i="5"/>
  <c r="CG72" i="5"/>
  <c r="CG71" i="5"/>
  <c r="AJ19" i="16"/>
  <c r="AD19" i="16"/>
  <c r="A619" i="16"/>
  <c r="AF19" i="16"/>
  <c r="AG19" i="16" s="1"/>
  <c r="AH19" i="16" s="1"/>
  <c r="AI19" i="16" s="1"/>
  <c r="A1041" i="16" s="1"/>
  <c r="Q20" i="16"/>
  <c r="R20" i="16" s="1"/>
  <c r="AA20" i="16" s="1"/>
  <c r="AL18" i="16"/>
  <c r="A1362" i="16" s="1"/>
  <c r="A1154" i="16"/>
  <c r="AK18" i="16"/>
  <c r="A1258" i="16" s="1"/>
  <c r="BA48" i="5"/>
  <c r="L43" i="16"/>
  <c r="L26" i="16"/>
  <c r="BA31" i="5"/>
  <c r="N21" i="16"/>
  <c r="O21" i="16" s="1"/>
  <c r="N31" i="16"/>
  <c r="O31" i="16" s="1"/>
  <c r="B220" i="8"/>
  <c r="BV16" i="8"/>
  <c r="AE17" i="8"/>
  <c r="AE18" i="8"/>
  <c r="B493" i="8"/>
  <c r="B216" i="8"/>
  <c r="BV17" i="8"/>
  <c r="AX25" i="5"/>
  <c r="AV26" i="5"/>
  <c r="T92" i="14"/>
  <c r="U92" i="14"/>
  <c r="V92" i="14" s="1"/>
  <c r="F92" i="14" s="1"/>
  <c r="B314" i="14" s="1"/>
  <c r="R91" i="14"/>
  <c r="S92" i="14"/>
  <c r="B309" i="8"/>
  <c r="AD22" i="8"/>
  <c r="AD23" i="8" s="1"/>
  <c r="AD24" i="8" s="1"/>
  <c r="AE21" i="8"/>
  <c r="AE19" i="8"/>
  <c r="AC25" i="5"/>
  <c r="CL19" i="9"/>
  <c r="CP19" i="9" s="1"/>
  <c r="B647" i="5"/>
  <c r="B648" i="5"/>
  <c r="J25" i="12"/>
  <c r="L25" i="12"/>
  <c r="O26" i="12"/>
  <c r="N27" i="12"/>
  <c r="CQ18" i="9"/>
  <c r="AU27" i="5"/>
  <c r="AV36" i="5"/>
  <c r="AE23" i="8"/>
  <c r="AE22" i="8"/>
  <c r="AE20" i="8"/>
  <c r="B308" i="8"/>
  <c r="B646" i="5"/>
  <c r="B645" i="5"/>
  <c r="BB26" i="5"/>
  <c r="AU37" i="5"/>
  <c r="B783" i="9"/>
  <c r="B125" i="5"/>
  <c r="B398" i="9"/>
  <c r="B400" i="9"/>
  <c r="B397" i="9"/>
  <c r="A40" i="7"/>
  <c r="CW114" i="5"/>
  <c r="B569" i="5"/>
  <c r="CO113" i="5"/>
  <c r="CV114" i="5"/>
  <c r="B426" i="8"/>
  <c r="B428" i="8"/>
  <c r="B430" i="8"/>
  <c r="B432" i="8"/>
  <c r="B434" i="8"/>
  <c r="B436" i="8"/>
  <c r="B424" i="8"/>
  <c r="B425" i="8"/>
  <c r="B427" i="8"/>
  <c r="B429" i="8"/>
  <c r="B431" i="8"/>
  <c r="B433" i="8"/>
  <c r="B435" i="8"/>
  <c r="B437" i="8"/>
  <c r="BN20" i="9"/>
  <c r="BR20" i="9" s="1"/>
  <c r="CT20" i="9" s="1"/>
  <c r="BQ20" i="9"/>
  <c r="CS20" i="9" s="1"/>
  <c r="AF17" i="8"/>
  <c r="AB17" i="8"/>
  <c r="AK17" i="8" s="1"/>
  <c r="AJ17" i="8" s="1"/>
  <c r="B491" i="8"/>
  <c r="CH20" i="9"/>
  <c r="CI20" i="9" s="1"/>
  <c r="B219" i="8"/>
  <c r="B215" i="8"/>
  <c r="B489" i="8"/>
  <c r="B213" i="8"/>
  <c r="B498" i="8"/>
  <c r="B495" i="8"/>
  <c r="B221" i="8"/>
  <c r="B214" i="8"/>
  <c r="B212" i="8"/>
  <c r="B499" i="8"/>
  <c r="B218" i="8"/>
  <c r="B217" i="8"/>
  <c r="B471" i="8"/>
  <c r="B496" i="8"/>
  <c r="BD17" i="9"/>
  <c r="BI17" i="9" s="1"/>
  <c r="BI428" i="9" s="1"/>
  <c r="BF15" i="9"/>
  <c r="BF16" i="9" s="1"/>
  <c r="DC15" i="9"/>
  <c r="DC16" i="9"/>
  <c r="AL17" i="9"/>
  <c r="BI16" i="9"/>
  <c r="BC17" i="9"/>
  <c r="AK16" i="9"/>
  <c r="AO17" i="9"/>
  <c r="BA17" i="9"/>
  <c r="AX17" i="9"/>
  <c r="BH17" i="9" s="1"/>
  <c r="AZ17" i="9"/>
  <c r="AH17" i="9"/>
  <c r="AI17" i="9" s="1"/>
  <c r="AJ17" i="9" s="1"/>
  <c r="AK17" i="9" s="1"/>
  <c r="AT21" i="9"/>
  <c r="AY21" i="9" s="1"/>
  <c r="AU20" i="9"/>
  <c r="BL21" i="9"/>
  <c r="B492" i="8"/>
  <c r="AE29" i="8"/>
  <c r="B211" i="8" s="1"/>
  <c r="B259" i="8"/>
  <c r="B246" i="8"/>
  <c r="B256" i="8"/>
  <c r="B255" i="8"/>
  <c r="B254" i="8"/>
  <c r="B248" i="8"/>
  <c r="B247" i="8"/>
  <c r="B258" i="8"/>
  <c r="B252" i="8"/>
  <c r="B251" i="8"/>
  <c r="B257" i="8"/>
  <c r="AE107" i="8"/>
  <c r="B517" i="8"/>
  <c r="B536" i="8"/>
  <c r="B250" i="8"/>
  <c r="B535" i="8"/>
  <c r="B525" i="8"/>
  <c r="B530" i="8"/>
  <c r="B500" i="8"/>
  <c r="B529" i="8"/>
  <c r="B253" i="8"/>
  <c r="B249" i="8"/>
  <c r="B534" i="8"/>
  <c r="B526" i="8"/>
  <c r="B533" i="8"/>
  <c r="B532" i="8"/>
  <c r="B531" i="8"/>
  <c r="B528" i="8"/>
  <c r="B527" i="8"/>
  <c r="B465" i="8"/>
  <c r="B463" i="8"/>
  <c r="B497" i="8"/>
  <c r="B494" i="8"/>
  <c r="B501" i="8"/>
  <c r="B524" i="8"/>
  <c r="B490" i="8"/>
  <c r="BV27" i="8"/>
  <c r="BV25" i="8"/>
  <c r="BV23" i="8"/>
  <c r="BV21" i="8"/>
  <c r="BV28" i="8"/>
  <c r="BV26" i="8"/>
  <c r="BV24" i="8"/>
  <c r="BV22" i="8"/>
  <c r="BV20" i="8"/>
  <c r="BV19" i="8"/>
  <c r="B487" i="8"/>
  <c r="BV18" i="8"/>
  <c r="B245" i="8"/>
  <c r="BF16" i="8"/>
  <c r="BE17" i="8"/>
  <c r="BF17" i="8" s="1"/>
  <c r="AX16" i="8"/>
  <c r="AF16" i="8"/>
  <c r="AG16" i="8" s="1"/>
  <c r="AB16" i="8"/>
  <c r="AK16" i="8" s="1"/>
  <c r="AJ16" i="8" s="1"/>
  <c r="AY16" i="8"/>
  <c r="AU16" i="8"/>
  <c r="AX15" i="8"/>
  <c r="AY15" i="8"/>
  <c r="AU15" i="8"/>
  <c r="AS19" i="8"/>
  <c r="AV18" i="8"/>
  <c r="AT18" i="8"/>
  <c r="AW17" i="8" s="1"/>
  <c r="AX17" i="8"/>
  <c r="AY17" i="8"/>
  <c r="AU17" i="8"/>
  <c r="B514" i="8"/>
  <c r="B513" i="8"/>
  <c r="B466" i="8"/>
  <c r="B464" i="8"/>
  <c r="B512" i="8"/>
  <c r="B509" i="8"/>
  <c r="B508" i="8"/>
  <c r="B507" i="8"/>
  <c r="B506" i="8"/>
  <c r="B484" i="8"/>
  <c r="B483" i="8"/>
  <c r="B481" i="8"/>
  <c r="B461" i="8"/>
  <c r="B459" i="8"/>
  <c r="B457" i="8"/>
  <c r="B522" i="8"/>
  <c r="B456" i="8"/>
  <c r="B482" i="8"/>
  <c r="B480" i="8"/>
  <c r="B478" i="8"/>
  <c r="B476" i="8"/>
  <c r="B474" i="8"/>
  <c r="B472" i="8"/>
  <c r="B479" i="8"/>
  <c r="B477" i="8"/>
  <c r="B475" i="8"/>
  <c r="B473" i="8"/>
  <c r="AW16" i="8"/>
  <c r="AW15" i="8"/>
  <c r="B515" i="8"/>
  <c r="B516" i="8"/>
  <c r="B511" i="8"/>
  <c r="B510" i="8"/>
  <c r="B505" i="8"/>
  <c r="B455" i="8"/>
  <c r="B488" i="8"/>
  <c r="BK16" i="8"/>
  <c r="BO16" i="8" s="1"/>
  <c r="BP16" i="8" s="1"/>
  <c r="B462" i="8"/>
  <c r="B460" i="8"/>
  <c r="B458" i="8"/>
  <c r="B523" i="8"/>
  <c r="AE16" i="5"/>
  <c r="CJ113" i="5"/>
  <c r="CJ111" i="5"/>
  <c r="CJ109" i="5"/>
  <c r="CJ107" i="5"/>
  <c r="CJ105" i="5"/>
  <c r="CJ103" i="5"/>
  <c r="CJ101" i="5"/>
  <c r="CJ99" i="5"/>
  <c r="CJ97" i="5"/>
  <c r="CJ95" i="5"/>
  <c r="CJ93" i="5"/>
  <c r="CJ91" i="5"/>
  <c r="CJ89" i="5"/>
  <c r="CJ87" i="5"/>
  <c r="CJ85" i="5"/>
  <c r="CJ83" i="5"/>
  <c r="CJ81" i="5"/>
  <c r="CJ79" i="5"/>
  <c r="CJ77" i="5"/>
  <c r="CJ75" i="5"/>
  <c r="CG75" i="5" s="1"/>
  <c r="CJ73" i="5"/>
  <c r="CG73" i="5" s="1"/>
  <c r="CJ71" i="5"/>
  <c r="CJ69" i="5"/>
  <c r="CG69" i="5" s="1"/>
  <c r="CJ67" i="5"/>
  <c r="CG67" i="5" s="1"/>
  <c r="CJ65" i="5"/>
  <c r="CG65" i="5" s="1"/>
  <c r="CJ63" i="5"/>
  <c r="CG63" i="5" s="1"/>
  <c r="CJ61" i="5"/>
  <c r="CG61" i="5" s="1"/>
  <c r="CJ59" i="5"/>
  <c r="CG59" i="5" s="1"/>
  <c r="CJ57" i="5"/>
  <c r="CG57" i="5" s="1"/>
  <c r="CJ55" i="5"/>
  <c r="CG55" i="5" s="1"/>
  <c r="CJ53" i="5"/>
  <c r="CG53" i="5" s="1"/>
  <c r="CJ51" i="5"/>
  <c r="CG51" i="5" s="1"/>
  <c r="CJ49" i="5"/>
  <c r="CG49" i="5" s="1"/>
  <c r="CJ47" i="5"/>
  <c r="CG47" i="5" s="1"/>
  <c r="CJ45" i="5"/>
  <c r="CG45" i="5" s="1"/>
  <c r="CJ43" i="5"/>
  <c r="CG43" i="5" s="1"/>
  <c r="CJ41" i="5"/>
  <c r="CG41" i="5" s="1"/>
  <c r="CJ39" i="5"/>
  <c r="CG39" i="5" s="1"/>
  <c r="CJ37" i="5"/>
  <c r="CG37" i="5" s="1"/>
  <c r="CJ35" i="5"/>
  <c r="CG35" i="5" s="1"/>
  <c r="CJ33" i="5"/>
  <c r="CG33" i="5" s="1"/>
  <c r="B443" i="5"/>
  <c r="CJ114" i="5"/>
  <c r="CG114" i="5" s="1"/>
  <c r="B447" i="5" s="1"/>
  <c r="CJ112" i="5"/>
  <c r="CJ110" i="5"/>
  <c r="CJ108" i="5"/>
  <c r="CJ106" i="5"/>
  <c r="CJ104" i="5"/>
  <c r="CJ102" i="5"/>
  <c r="CJ100" i="5"/>
  <c r="CJ98" i="5"/>
  <c r="CJ96" i="5"/>
  <c r="CJ94" i="5"/>
  <c r="CJ92" i="5"/>
  <c r="CJ90" i="5"/>
  <c r="CJ88" i="5"/>
  <c r="CJ86" i="5"/>
  <c r="CJ84" i="5"/>
  <c r="CJ82" i="5"/>
  <c r="CJ80" i="5"/>
  <c r="CJ78" i="5"/>
  <c r="CJ76" i="5"/>
  <c r="CJ74" i="5"/>
  <c r="CJ72" i="5"/>
  <c r="CJ70" i="5"/>
  <c r="CG70" i="5" s="1"/>
  <c r="CJ68" i="5"/>
  <c r="CG68" i="5" s="1"/>
  <c r="CJ66" i="5"/>
  <c r="CG66" i="5" s="1"/>
  <c r="CJ64" i="5"/>
  <c r="CG64" i="5" s="1"/>
  <c r="CJ62" i="5"/>
  <c r="CG62" i="5" s="1"/>
  <c r="CJ60" i="5"/>
  <c r="CG60" i="5" s="1"/>
  <c r="CJ58" i="5"/>
  <c r="CG58" i="5" s="1"/>
  <c r="CJ56" i="5"/>
  <c r="CG56" i="5" s="1"/>
  <c r="CJ54" i="5"/>
  <c r="CG54" i="5" s="1"/>
  <c r="CJ52" i="5"/>
  <c r="CG52" i="5" s="1"/>
  <c r="CJ50" i="5"/>
  <c r="CG50" i="5" s="1"/>
  <c r="CJ48" i="5"/>
  <c r="CG48" i="5" s="1"/>
  <c r="CJ46" i="5"/>
  <c r="CG46" i="5" s="1"/>
  <c r="CJ44" i="5"/>
  <c r="CG44" i="5" s="1"/>
  <c r="CJ42" i="5"/>
  <c r="CG42" i="5" s="1"/>
  <c r="CJ40" i="5"/>
  <c r="CG40" i="5" s="1"/>
  <c r="CJ38" i="5"/>
  <c r="CG38" i="5" s="1"/>
  <c r="CJ36" i="5"/>
  <c r="CG36" i="5" s="1"/>
  <c r="CJ34" i="5"/>
  <c r="CG34" i="5" s="1"/>
  <c r="CJ32" i="5"/>
  <c r="CG32" i="5" s="1"/>
  <c r="B445" i="5"/>
  <c r="B446" i="5"/>
  <c r="B444" i="5"/>
  <c r="B442" i="5"/>
  <c r="CJ31" i="5"/>
  <c r="CG31" i="5" s="1"/>
  <c r="CJ29" i="5"/>
  <c r="CG29" i="5" s="1"/>
  <c r="CJ27" i="5"/>
  <c r="CG27" i="5" s="1"/>
  <c r="CJ25" i="5"/>
  <c r="CG25" i="5" s="1"/>
  <c r="CJ23" i="5"/>
  <c r="CG23" i="5" s="1"/>
  <c r="CJ30" i="5"/>
  <c r="CG30" i="5" s="1"/>
  <c r="CJ28" i="5"/>
  <c r="CG28" i="5" s="1"/>
  <c r="CJ26" i="5"/>
  <c r="CG26" i="5" s="1"/>
  <c r="CJ24" i="5"/>
  <c r="CG24" i="5" s="1"/>
  <c r="CJ22" i="5"/>
  <c r="CG22" i="5" s="1"/>
  <c r="CJ21" i="5"/>
  <c r="CG21" i="5" s="1"/>
  <c r="CJ20" i="5"/>
  <c r="CG20" i="5" s="1"/>
  <c r="CJ18" i="5"/>
  <c r="CJ16" i="5"/>
  <c r="CG16" i="5" s="1"/>
  <c r="CJ15" i="5"/>
  <c r="CG15" i="5" s="1"/>
  <c r="CJ19" i="5"/>
  <c r="CG19" i="5" s="1"/>
  <c r="CJ17" i="5"/>
  <c r="CG17" i="5" s="1"/>
  <c r="B8" i="5"/>
  <c r="B7" i="5"/>
  <c r="B3" i="5"/>
  <c r="CF16" i="5"/>
  <c r="CF17" i="5"/>
  <c r="CF18" i="5"/>
  <c r="CF19" i="5"/>
  <c r="CF20" i="5"/>
  <c r="CF21" i="5"/>
  <c r="CF22" i="5"/>
  <c r="CF23" i="5"/>
  <c r="CF24" i="5"/>
  <c r="CF25" i="5"/>
  <c r="CF26" i="5"/>
  <c r="CF27" i="5"/>
  <c r="CF28" i="5"/>
  <c r="CF29" i="5"/>
  <c r="CF30" i="5"/>
  <c r="CF31" i="5"/>
  <c r="CF32" i="5"/>
  <c r="CF33" i="5"/>
  <c r="CF34" i="5"/>
  <c r="CF35" i="5"/>
  <c r="CF36" i="5"/>
  <c r="CF37" i="5"/>
  <c r="CF38" i="5"/>
  <c r="CF39" i="5"/>
  <c r="CF40" i="5"/>
  <c r="CF41" i="5"/>
  <c r="CF42" i="5"/>
  <c r="CF43" i="5"/>
  <c r="CF44" i="5"/>
  <c r="CF45" i="5"/>
  <c r="CF46" i="5"/>
  <c r="CF47" i="5"/>
  <c r="CF48" i="5"/>
  <c r="CF49" i="5"/>
  <c r="CF50" i="5"/>
  <c r="CF51" i="5"/>
  <c r="CF52" i="5"/>
  <c r="CF53" i="5"/>
  <c r="CF54" i="5"/>
  <c r="CF55" i="5"/>
  <c r="CF56" i="5"/>
  <c r="CF57" i="5"/>
  <c r="CF58" i="5"/>
  <c r="CF59" i="5"/>
  <c r="CF60" i="5"/>
  <c r="CF61" i="5"/>
  <c r="CF62" i="5"/>
  <c r="CF63" i="5"/>
  <c r="CF64" i="5"/>
  <c r="CF65" i="5"/>
  <c r="CF66" i="5"/>
  <c r="CF67" i="5"/>
  <c r="CF68" i="5"/>
  <c r="CF69" i="5"/>
  <c r="CF70" i="5"/>
  <c r="CF71" i="5"/>
  <c r="CF72" i="5"/>
  <c r="CF73" i="5"/>
  <c r="CF74" i="5"/>
  <c r="CF75" i="5"/>
  <c r="CF76" i="5"/>
  <c r="CF77" i="5"/>
  <c r="CF78" i="5"/>
  <c r="CF79" i="5"/>
  <c r="CF80" i="5"/>
  <c r="CF81" i="5"/>
  <c r="CF82" i="5"/>
  <c r="CF83" i="5"/>
  <c r="CF84" i="5"/>
  <c r="CF85" i="5"/>
  <c r="CF86" i="5"/>
  <c r="CF87" i="5"/>
  <c r="CF88" i="5"/>
  <c r="CF89" i="5"/>
  <c r="CF90" i="5"/>
  <c r="CF91" i="5"/>
  <c r="CF92" i="5"/>
  <c r="CF93" i="5"/>
  <c r="CF94" i="5"/>
  <c r="CF95" i="5"/>
  <c r="CF96" i="5"/>
  <c r="CF97" i="5"/>
  <c r="CF98" i="5"/>
  <c r="CF99" i="5"/>
  <c r="CF100" i="5"/>
  <c r="CF101" i="5"/>
  <c r="CF102" i="5"/>
  <c r="CF103" i="5"/>
  <c r="CF104" i="5"/>
  <c r="CF105" i="5"/>
  <c r="CF106" i="5"/>
  <c r="CF107" i="5"/>
  <c r="CF108" i="5"/>
  <c r="CF109" i="5"/>
  <c r="CF110" i="5"/>
  <c r="CF111" i="5"/>
  <c r="CF112" i="5"/>
  <c r="CF113" i="5"/>
  <c r="CF114" i="5"/>
  <c r="CF15" i="5"/>
  <c r="H1" i="5"/>
  <c r="AX26" i="5" l="1"/>
  <c r="CP28" i="5"/>
  <c r="B321" i="5" s="1"/>
  <c r="DE31" i="5"/>
  <c r="DF31" i="5"/>
  <c r="B441" i="5"/>
  <c r="CQ19" i="9"/>
  <c r="B209" i="8"/>
  <c r="AK19" i="16"/>
  <c r="A1259" i="16" s="1"/>
  <c r="AJ20" i="16"/>
  <c r="A620" i="16"/>
  <c r="Q21" i="16"/>
  <c r="R21" i="16" s="1"/>
  <c r="AA21" i="16" s="1"/>
  <c r="AF20" i="16"/>
  <c r="AG20" i="16" s="1"/>
  <c r="AH20" i="16" s="1"/>
  <c r="AI20" i="16" s="1"/>
  <c r="A1042" i="16" s="1"/>
  <c r="AD20" i="16"/>
  <c r="AL19" i="16"/>
  <c r="A1363" i="16" s="1"/>
  <c r="A1155" i="16"/>
  <c r="L44" i="16"/>
  <c r="BA49" i="5"/>
  <c r="L27" i="16"/>
  <c r="BA32" i="5"/>
  <c r="AX36" i="5"/>
  <c r="AX668" i="5"/>
  <c r="N32" i="16"/>
  <c r="O32" i="16" s="1"/>
  <c r="N22" i="16"/>
  <c r="O22" i="16" s="1"/>
  <c r="BB27" i="5"/>
  <c r="AV27" i="5"/>
  <c r="T91" i="14"/>
  <c r="U91" i="14"/>
  <c r="V91" i="14" s="1"/>
  <c r="F91" i="14" s="1"/>
  <c r="B313" i="14" s="1"/>
  <c r="R90" i="14"/>
  <c r="S91" i="14"/>
  <c r="AD25" i="8"/>
  <c r="AD26" i="8" s="1"/>
  <c r="AD27" i="8" s="1"/>
  <c r="AD28" i="8" s="1"/>
  <c r="AD29" i="8" s="1"/>
  <c r="AD30" i="8" s="1"/>
  <c r="AD31" i="8" s="1"/>
  <c r="AD32" i="8" s="1"/>
  <c r="AD33" i="8" s="1"/>
  <c r="AD34" i="8" s="1"/>
  <c r="AD35" i="8" s="1"/>
  <c r="AD36" i="8" s="1"/>
  <c r="AD37" i="8" s="1"/>
  <c r="AD38" i="8" s="1"/>
  <c r="AD39" i="8" s="1"/>
  <c r="AD40" i="8" s="1"/>
  <c r="AD41" i="8" s="1"/>
  <c r="AD42" i="8" s="1"/>
  <c r="AD43" i="8" s="1"/>
  <c r="AD44" i="8" s="1"/>
  <c r="AD45" i="8" s="1"/>
  <c r="AD46" i="8" s="1"/>
  <c r="AD47" i="8" s="1"/>
  <c r="AD48" i="8" s="1"/>
  <c r="AD49" i="8" s="1"/>
  <c r="AD50" i="8" s="1"/>
  <c r="AD51" i="8" s="1"/>
  <c r="AD52" i="8" s="1"/>
  <c r="AD53" i="8" s="1"/>
  <c r="AD54" i="8" s="1"/>
  <c r="AD55" i="8" s="1"/>
  <c r="AD56" i="8" s="1"/>
  <c r="AD57" i="8" s="1"/>
  <c r="AD58" i="8" s="1"/>
  <c r="AD59" i="8" s="1"/>
  <c r="AD60" i="8" s="1"/>
  <c r="AD61" i="8" s="1"/>
  <c r="AD62" i="8" s="1"/>
  <c r="AD63" i="8" s="1"/>
  <c r="AD64" i="8" s="1"/>
  <c r="AD65" i="8" s="1"/>
  <c r="AD66" i="8" s="1"/>
  <c r="AD67" i="8" s="1"/>
  <c r="AD68" i="8" s="1"/>
  <c r="AD69" i="8" s="1"/>
  <c r="AD70" i="8" s="1"/>
  <c r="AD71" i="8" s="1"/>
  <c r="AD72" i="8" s="1"/>
  <c r="AD73" i="8" s="1"/>
  <c r="AD74" i="8" s="1"/>
  <c r="AD75" i="8" s="1"/>
  <c r="AD76" i="8" s="1"/>
  <c r="AD77" i="8" s="1"/>
  <c r="AD78" i="8" s="1"/>
  <c r="AD79" i="8" s="1"/>
  <c r="AD80" i="8" s="1"/>
  <c r="AD81" i="8" s="1"/>
  <c r="AD82" i="8" s="1"/>
  <c r="AD83" i="8" s="1"/>
  <c r="AD84" i="8" s="1"/>
  <c r="AD85" i="8" s="1"/>
  <c r="AD86" i="8" s="1"/>
  <c r="AD87" i="8" s="1"/>
  <c r="AD88" i="8" s="1"/>
  <c r="AD89" i="8" s="1"/>
  <c r="AD90" i="8" s="1"/>
  <c r="AD91" i="8" s="1"/>
  <c r="AD92" i="8" s="1"/>
  <c r="AD93" i="8" s="1"/>
  <c r="AD94" i="8" s="1"/>
  <c r="AD95" i="8" s="1"/>
  <c r="AD96" i="8" s="1"/>
  <c r="AD97" i="8" s="1"/>
  <c r="AD98" i="8" s="1"/>
  <c r="AD99" i="8" s="1"/>
  <c r="AD100" i="8" s="1"/>
  <c r="AD101" i="8" s="1"/>
  <c r="AD102" i="8" s="1"/>
  <c r="AD103" i="8" s="1"/>
  <c r="AD104" i="8" s="1"/>
  <c r="AD105" i="8" s="1"/>
  <c r="AD106" i="8" s="1"/>
  <c r="AD107" i="8" s="1"/>
  <c r="AD108" i="8" s="1"/>
  <c r="AD109" i="8" s="1"/>
  <c r="AE24" i="8"/>
  <c r="B210" i="8"/>
  <c r="AC26" i="5"/>
  <c r="AC27" i="5"/>
  <c r="B440" i="5"/>
  <c r="J26" i="12"/>
  <c r="L26" i="12"/>
  <c r="O27" i="12"/>
  <c r="N28" i="12"/>
  <c r="AU28" i="5"/>
  <c r="AV37" i="5"/>
  <c r="AU38" i="5"/>
  <c r="BO16" i="9"/>
  <c r="AW16" i="9"/>
  <c r="BG16" i="9" s="1"/>
  <c r="B260" i="5"/>
  <c r="CY113" i="5"/>
  <c r="B568" i="5" s="1"/>
  <c r="CW113" i="5"/>
  <c r="CO112" i="5"/>
  <c r="CV113" i="5"/>
  <c r="B438" i="5"/>
  <c r="B437" i="5"/>
  <c r="B436" i="5"/>
  <c r="B439" i="5"/>
  <c r="B435" i="5"/>
  <c r="BE18" i="8"/>
  <c r="CH21" i="9"/>
  <c r="CL21" i="9" s="1"/>
  <c r="CL20" i="9"/>
  <c r="CQ20" i="9" s="1"/>
  <c r="B504" i="8"/>
  <c r="B503" i="8"/>
  <c r="B429" i="9"/>
  <c r="BI427" i="9"/>
  <c r="AO18" i="9"/>
  <c r="AV17" i="9"/>
  <c r="BE17" i="9" s="1"/>
  <c r="BC18" i="9"/>
  <c r="AH18" i="9"/>
  <c r="AI18" i="9" s="1"/>
  <c r="AJ18" i="9" s="1"/>
  <c r="AX18" i="9"/>
  <c r="BH18" i="9" s="1"/>
  <c r="AZ18" i="9"/>
  <c r="BA18" i="9"/>
  <c r="AL18" i="9"/>
  <c r="AD18" i="9"/>
  <c r="AM18" i="9" s="1"/>
  <c r="BB18" i="9"/>
  <c r="BD18" i="9" s="1"/>
  <c r="BL22" i="9"/>
  <c r="BM22" i="9" s="1"/>
  <c r="BN22" i="9" s="1"/>
  <c r="AT22" i="9"/>
  <c r="AY22" i="9" s="1"/>
  <c r="AU21" i="9"/>
  <c r="BM21" i="9"/>
  <c r="AE17" i="5"/>
  <c r="AE18" i="5" s="1"/>
  <c r="AF16" i="5"/>
  <c r="AE108" i="8"/>
  <c r="AG17" i="8"/>
  <c r="AH16" i="8"/>
  <c r="AI16" i="8" s="1"/>
  <c r="BK17" i="8"/>
  <c r="BO17" i="8" s="1"/>
  <c r="BP17" i="8" s="1"/>
  <c r="AX18" i="8"/>
  <c r="AF18" i="8"/>
  <c r="AB18" i="8"/>
  <c r="AK18" i="8" s="1"/>
  <c r="AJ18" i="8" s="1"/>
  <c r="AY18" i="8"/>
  <c r="AU18" i="8"/>
  <c r="AS20" i="8"/>
  <c r="AV19" i="8"/>
  <c r="AT19" i="8"/>
  <c r="AF17" i="5"/>
  <c r="B434" i="5"/>
  <c r="B433" i="5"/>
  <c r="B748" i="5"/>
  <c r="B747" i="5"/>
  <c r="B746" i="5"/>
  <c r="B745" i="5"/>
  <c r="DE32" i="5" l="1"/>
  <c r="DF32" i="5"/>
  <c r="AF21" i="16"/>
  <c r="AG21" i="16" s="1"/>
  <c r="AH21" i="16" s="1"/>
  <c r="AI21" i="16" s="1"/>
  <c r="A1043" i="16" s="1"/>
  <c r="AD21" i="16"/>
  <c r="AJ21" i="16"/>
  <c r="Q22" i="16"/>
  <c r="R22" i="16" s="1"/>
  <c r="AA22" i="16" s="1"/>
  <c r="A621" i="16"/>
  <c r="A1156" i="16"/>
  <c r="AL20" i="16"/>
  <c r="A1364" i="16" s="1"/>
  <c r="AK20" i="16"/>
  <c r="A1260" i="16" s="1"/>
  <c r="BA50" i="5"/>
  <c r="L45" i="16"/>
  <c r="BA33" i="5"/>
  <c r="L28" i="16"/>
  <c r="AX37" i="5"/>
  <c r="N23" i="16"/>
  <c r="O23" i="16" s="1"/>
  <c r="N33" i="16"/>
  <c r="O33" i="16" s="1"/>
  <c r="AX27" i="5"/>
  <c r="AV28" i="5"/>
  <c r="T90" i="14"/>
  <c r="U90" i="14"/>
  <c r="V90" i="14" s="1"/>
  <c r="F90" i="14" s="1"/>
  <c r="B312" i="14" s="1"/>
  <c r="R89" i="14"/>
  <c r="S90" i="14"/>
  <c r="J27" i="12"/>
  <c r="L27" i="12"/>
  <c r="O28" i="12"/>
  <c r="N29" i="12"/>
  <c r="AU29" i="5"/>
  <c r="BB28" i="5"/>
  <c r="AV38" i="5"/>
  <c r="AU39" i="5"/>
  <c r="BS16" i="9"/>
  <c r="BT16" i="9"/>
  <c r="CH22" i="9"/>
  <c r="CI22" i="9" s="1"/>
  <c r="AE19" i="5"/>
  <c r="AE20" i="5" s="1"/>
  <c r="AF18" i="5"/>
  <c r="CW112" i="5"/>
  <c r="CY112" i="5"/>
  <c r="B567" i="5" s="1"/>
  <c r="CO111" i="5"/>
  <c r="CV112" i="5"/>
  <c r="CI21" i="9"/>
  <c r="B180" i="9" s="1"/>
  <c r="CP20" i="9"/>
  <c r="AG18" i="8"/>
  <c r="AH18" i="8" s="1"/>
  <c r="AI18" i="8" s="1"/>
  <c r="BF17" i="9"/>
  <c r="BG17" i="9" s="1"/>
  <c r="DC17" i="9"/>
  <c r="AK18" i="9"/>
  <c r="BI18" i="9"/>
  <c r="AO19" i="9"/>
  <c r="AZ19" i="9"/>
  <c r="BA19" i="9"/>
  <c r="BB19" i="9"/>
  <c r="AL19" i="9"/>
  <c r="AD19" i="9"/>
  <c r="AM19" i="9" s="1"/>
  <c r="AV18" i="9"/>
  <c r="BE18" i="9" s="1"/>
  <c r="BC19" i="9"/>
  <c r="AX19" i="9"/>
  <c r="BH19" i="9" s="1"/>
  <c r="AH19" i="9"/>
  <c r="AI19" i="9" s="1"/>
  <c r="AJ19" i="9" s="1"/>
  <c r="CP21" i="9"/>
  <c r="CQ21" i="9"/>
  <c r="CL22" i="9"/>
  <c r="BN21" i="9"/>
  <c r="BR21" i="9" s="1"/>
  <c r="BQ21" i="9"/>
  <c r="B677" i="9" s="1"/>
  <c r="AU22" i="9"/>
  <c r="AT23" i="9"/>
  <c r="AY23" i="9" s="1"/>
  <c r="BL23" i="9"/>
  <c r="BM23" i="9" s="1"/>
  <c r="BN23" i="9" s="1"/>
  <c r="AH21" i="9"/>
  <c r="AD21" i="9"/>
  <c r="AM21" i="9" s="1"/>
  <c r="AL21" i="9" s="1"/>
  <c r="CJ21" i="9" s="1"/>
  <c r="AD110" i="8"/>
  <c r="AE109" i="8"/>
  <c r="AY19" i="8"/>
  <c r="BG19" i="8" s="1"/>
  <c r="AU19" i="8"/>
  <c r="BH19" i="8" s="1"/>
  <c r="AX19" i="8"/>
  <c r="AF19" i="8"/>
  <c r="AB19" i="8"/>
  <c r="AK19" i="8" s="1"/>
  <c r="AJ19" i="8" s="1"/>
  <c r="AS21" i="8"/>
  <c r="AV20" i="8"/>
  <c r="AT20" i="8"/>
  <c r="AW19" i="8" s="1"/>
  <c r="BE19" i="8" s="1"/>
  <c r="BK18" i="8"/>
  <c r="BO18" i="8" s="1"/>
  <c r="AW18" i="8"/>
  <c r="AH17" i="8"/>
  <c r="AI17" i="8" s="1"/>
  <c r="AI15" i="5"/>
  <c r="AJ15" i="5" s="1"/>
  <c r="BU15" i="5"/>
  <c r="BI16" i="5"/>
  <c r="BI17" i="5"/>
  <c r="BI18" i="5"/>
  <c r="BI19" i="5"/>
  <c r="BI20" i="5"/>
  <c r="BI21" i="5"/>
  <c r="BI22" i="5"/>
  <c r="BI23" i="5"/>
  <c r="BI24" i="5"/>
  <c r="BI25" i="5"/>
  <c r="BI26" i="5"/>
  <c r="BI27" i="5"/>
  <c r="BI28" i="5"/>
  <c r="BI29" i="5"/>
  <c r="BI30" i="5"/>
  <c r="BI31" i="5"/>
  <c r="BI32" i="5"/>
  <c r="BI33" i="5"/>
  <c r="BI34" i="5"/>
  <c r="BI35" i="5"/>
  <c r="BI36" i="5"/>
  <c r="BI37" i="5"/>
  <c r="BI38" i="5"/>
  <c r="BI39" i="5"/>
  <c r="BI40" i="5"/>
  <c r="BI41" i="5"/>
  <c r="BI42" i="5"/>
  <c r="BI43" i="5"/>
  <c r="BI44" i="5"/>
  <c r="BI45" i="5"/>
  <c r="BI46" i="5"/>
  <c r="BI47" i="5"/>
  <c r="BI48" i="5"/>
  <c r="BI49" i="5"/>
  <c r="BI50" i="5"/>
  <c r="BI51" i="5"/>
  <c r="BI52" i="5"/>
  <c r="BI53" i="5"/>
  <c r="BI54" i="5"/>
  <c r="BI55" i="5"/>
  <c r="BI56" i="5"/>
  <c r="BI57" i="5"/>
  <c r="BI58" i="5"/>
  <c r="BI59" i="5"/>
  <c r="BI60" i="5"/>
  <c r="BI61" i="5"/>
  <c r="BI62" i="5"/>
  <c r="BI63" i="5"/>
  <c r="BI64" i="5"/>
  <c r="BI65" i="5"/>
  <c r="BI66" i="5"/>
  <c r="BI67" i="5"/>
  <c r="BI68" i="5"/>
  <c r="BI69" i="5"/>
  <c r="BI70" i="5"/>
  <c r="BI71" i="5"/>
  <c r="BI72" i="5"/>
  <c r="BI73" i="5"/>
  <c r="BI74" i="5"/>
  <c r="BI75" i="5"/>
  <c r="BI76" i="5"/>
  <c r="BI77" i="5"/>
  <c r="BI78" i="5"/>
  <c r="BI79" i="5"/>
  <c r="BI80" i="5"/>
  <c r="BI81" i="5"/>
  <c r="BI82" i="5"/>
  <c r="BI83" i="5"/>
  <c r="BI84" i="5"/>
  <c r="BI85" i="5"/>
  <c r="BI86" i="5"/>
  <c r="BI87" i="5"/>
  <c r="BI88" i="5"/>
  <c r="BI89" i="5"/>
  <c r="BI90" i="5"/>
  <c r="BI91" i="5"/>
  <c r="BI92" i="5"/>
  <c r="BI93" i="5"/>
  <c r="BI94" i="5"/>
  <c r="BI95" i="5"/>
  <c r="BI96" i="5"/>
  <c r="BI97" i="5"/>
  <c r="BI98" i="5"/>
  <c r="BI99" i="5"/>
  <c r="BI100" i="5"/>
  <c r="BI101" i="5"/>
  <c r="BI102" i="5"/>
  <c r="BI103" i="5"/>
  <c r="BI104" i="5"/>
  <c r="BI105" i="5"/>
  <c r="BI106" i="5"/>
  <c r="BI107" i="5"/>
  <c r="BI108" i="5"/>
  <c r="BI109" i="5"/>
  <c r="BI110" i="5"/>
  <c r="BI111" i="5"/>
  <c r="BI112" i="5"/>
  <c r="BI113" i="5"/>
  <c r="BI114" i="5"/>
  <c r="BI15" i="5"/>
  <c r="BJ17" i="5"/>
  <c r="BJ18" i="5"/>
  <c r="BJ19" i="5"/>
  <c r="BJ20" i="5"/>
  <c r="BJ21" i="5"/>
  <c r="BJ22" i="5"/>
  <c r="BJ23" i="5"/>
  <c r="BJ24" i="5"/>
  <c r="BJ25" i="5"/>
  <c r="BJ26" i="5"/>
  <c r="BJ27" i="5"/>
  <c r="BJ28" i="5"/>
  <c r="BJ29" i="5"/>
  <c r="BJ30" i="5"/>
  <c r="BJ31" i="5"/>
  <c r="BJ32" i="5"/>
  <c r="BJ33" i="5"/>
  <c r="BJ34" i="5"/>
  <c r="BJ35" i="5"/>
  <c r="BJ36" i="5"/>
  <c r="BJ37" i="5"/>
  <c r="BJ38" i="5"/>
  <c r="BJ39" i="5"/>
  <c r="BJ40" i="5"/>
  <c r="BJ41" i="5"/>
  <c r="BJ42" i="5"/>
  <c r="BJ43" i="5"/>
  <c r="BJ44" i="5"/>
  <c r="BJ45" i="5"/>
  <c r="BJ46" i="5"/>
  <c r="BJ47" i="5"/>
  <c r="BJ48" i="5"/>
  <c r="BJ49" i="5"/>
  <c r="BJ50" i="5"/>
  <c r="BJ51" i="5"/>
  <c r="BJ52" i="5"/>
  <c r="BJ53" i="5"/>
  <c r="BJ54" i="5"/>
  <c r="BJ55" i="5"/>
  <c r="BJ56" i="5"/>
  <c r="BJ57" i="5"/>
  <c r="BJ58" i="5"/>
  <c r="BJ59" i="5"/>
  <c r="BJ60" i="5"/>
  <c r="BJ61" i="5"/>
  <c r="BJ62" i="5"/>
  <c r="BJ63" i="5"/>
  <c r="BJ64" i="5"/>
  <c r="BJ65" i="5"/>
  <c r="BJ66" i="5"/>
  <c r="BJ67" i="5"/>
  <c r="BJ68" i="5"/>
  <c r="BJ69" i="5"/>
  <c r="BJ70" i="5"/>
  <c r="BJ71" i="5"/>
  <c r="BJ72" i="5"/>
  <c r="BJ73" i="5"/>
  <c r="BJ74" i="5"/>
  <c r="BJ75" i="5"/>
  <c r="BJ76" i="5"/>
  <c r="BJ77" i="5"/>
  <c r="BJ78" i="5"/>
  <c r="BJ79" i="5"/>
  <c r="BJ80" i="5"/>
  <c r="BJ81" i="5"/>
  <c r="BJ82" i="5"/>
  <c r="BJ83" i="5"/>
  <c r="BJ84" i="5"/>
  <c r="BJ85" i="5"/>
  <c r="BJ86" i="5"/>
  <c r="BJ87" i="5"/>
  <c r="BJ88" i="5"/>
  <c r="BJ89" i="5"/>
  <c r="BJ90" i="5"/>
  <c r="BJ91" i="5"/>
  <c r="BJ92" i="5"/>
  <c r="BJ93" i="5"/>
  <c r="BJ94" i="5"/>
  <c r="BJ95" i="5"/>
  <c r="BJ96" i="5"/>
  <c r="BJ97" i="5"/>
  <c r="BJ98" i="5"/>
  <c r="BJ99" i="5"/>
  <c r="BJ100" i="5"/>
  <c r="BJ101" i="5"/>
  <c r="BJ102" i="5"/>
  <c r="BJ103" i="5"/>
  <c r="BJ104" i="5"/>
  <c r="BJ105" i="5"/>
  <c r="BJ106" i="5"/>
  <c r="BJ107" i="5"/>
  <c r="BJ108" i="5"/>
  <c r="BJ109" i="5"/>
  <c r="BJ110" i="5"/>
  <c r="BJ111" i="5"/>
  <c r="BJ112" i="5"/>
  <c r="BJ113" i="5"/>
  <c r="BJ114" i="5"/>
  <c r="BJ16" i="5"/>
  <c r="BJ15" i="5"/>
  <c r="AX38" i="5" l="1"/>
  <c r="AX28" i="5"/>
  <c r="DE33" i="5"/>
  <c r="B855" i="5" s="1"/>
  <c r="G30" i="16"/>
  <c r="A268" i="16" s="1"/>
  <c r="DF33" i="5"/>
  <c r="B631" i="5" s="1"/>
  <c r="AK21" i="16"/>
  <c r="A1261" i="16" s="1"/>
  <c r="A1157" i="16"/>
  <c r="AL21" i="16"/>
  <c r="A1365" i="16" s="1"/>
  <c r="AJ22" i="16"/>
  <c r="AD22" i="16"/>
  <c r="A622" i="16"/>
  <c r="AF22" i="16"/>
  <c r="AG22" i="16" s="1"/>
  <c r="AH22" i="16" s="1"/>
  <c r="AI22" i="16" s="1"/>
  <c r="A1044" i="16" s="1"/>
  <c r="Q23" i="16"/>
  <c r="R23" i="16" s="1"/>
  <c r="AA23" i="16" s="1"/>
  <c r="L46" i="16"/>
  <c r="BA51" i="5"/>
  <c r="BA34" i="5"/>
  <c r="L29" i="16"/>
  <c r="N24" i="16"/>
  <c r="O24" i="16" s="1"/>
  <c r="AV29" i="5"/>
  <c r="N34" i="16"/>
  <c r="O34" i="16" s="1"/>
  <c r="T89" i="14"/>
  <c r="U89" i="14"/>
  <c r="V89" i="14" s="1"/>
  <c r="F89" i="14" s="1"/>
  <c r="B311" i="14" s="1"/>
  <c r="R88" i="14"/>
  <c r="S89" i="14"/>
  <c r="AC28" i="5"/>
  <c r="J28" i="12"/>
  <c r="L28" i="12"/>
  <c r="B165" i="12" s="1"/>
  <c r="B140" i="12"/>
  <c r="O29" i="12"/>
  <c r="N30" i="12"/>
  <c r="AF19" i="5"/>
  <c r="CH23" i="9"/>
  <c r="CI23" i="9" s="1"/>
  <c r="AU30" i="5"/>
  <c r="BB29" i="5"/>
  <c r="AV39" i="5"/>
  <c r="BP18" i="8"/>
  <c r="BT18" i="8" s="1"/>
  <c r="B470" i="8" s="1"/>
  <c r="BS18" i="8"/>
  <c r="B453" i="8" s="1"/>
  <c r="AU40" i="5"/>
  <c r="AX39" i="5" s="1"/>
  <c r="CY111" i="5"/>
  <c r="B566" i="5" s="1"/>
  <c r="CW111" i="5"/>
  <c r="CO110" i="5"/>
  <c r="CV111" i="5"/>
  <c r="BF19" i="8"/>
  <c r="AG19" i="8"/>
  <c r="AH19" i="8" s="1"/>
  <c r="AI19" i="8" s="1"/>
  <c r="B430" i="9"/>
  <c r="BI429" i="9"/>
  <c r="BD19" i="9"/>
  <c r="BI19" i="9" s="1"/>
  <c r="BI430" i="9" s="1"/>
  <c r="BF18" i="9"/>
  <c r="BG18" i="9" s="1"/>
  <c r="DC18" i="9"/>
  <c r="CT21" i="9"/>
  <c r="B590" i="9" s="1"/>
  <c r="B694" i="9"/>
  <c r="AK19" i="9"/>
  <c r="CS21" i="9"/>
  <c r="B521" i="9" s="1"/>
  <c r="AO20" i="9"/>
  <c r="AZ20" i="9"/>
  <c r="BA20" i="9"/>
  <c r="BB20" i="9"/>
  <c r="AH20" i="9"/>
  <c r="AI20" i="9" s="1"/>
  <c r="AV19" i="9"/>
  <c r="BE19" i="9" s="1"/>
  <c r="BC20" i="9"/>
  <c r="AX20" i="9"/>
  <c r="BH20" i="9" s="1"/>
  <c r="CR20" i="9" s="1"/>
  <c r="AD20" i="9"/>
  <c r="AM20" i="9" s="1"/>
  <c r="AL20" i="9" s="1"/>
  <c r="AO21" i="9"/>
  <c r="BD21" i="9" s="1"/>
  <c r="CQ22" i="9"/>
  <c r="CP22" i="9"/>
  <c r="AU23" i="9"/>
  <c r="AT24" i="9"/>
  <c r="AY24" i="9" s="1"/>
  <c r="AO24" i="9" s="1"/>
  <c r="BL24" i="9"/>
  <c r="BM24" i="9" s="1"/>
  <c r="BN24" i="9" s="1"/>
  <c r="AH22" i="9"/>
  <c r="AD22" i="9"/>
  <c r="AM22" i="9" s="1"/>
  <c r="AL22" i="9" s="1"/>
  <c r="AE21" i="5"/>
  <c r="AF20" i="5"/>
  <c r="AD111" i="8"/>
  <c r="AE110" i="8"/>
  <c r="BK19" i="8"/>
  <c r="BO19" i="8" s="1"/>
  <c r="BP19" i="8" s="1"/>
  <c r="AY20" i="8"/>
  <c r="BG20" i="8" s="1"/>
  <c r="B423" i="8" s="1"/>
  <c r="AU20" i="8"/>
  <c r="BH20" i="8" s="1"/>
  <c r="AX20" i="8"/>
  <c r="AF20" i="8"/>
  <c r="AB20" i="8"/>
  <c r="AK20" i="8" s="1"/>
  <c r="AJ20" i="8" s="1"/>
  <c r="AS22" i="8"/>
  <c r="AV21" i="8"/>
  <c r="AT21" i="8"/>
  <c r="AW20" i="8" s="1"/>
  <c r="G2" i="5"/>
  <c r="BW15" i="5"/>
  <c r="CM18" i="5"/>
  <c r="CM24" i="5"/>
  <c r="BS16" i="5"/>
  <c r="BS17" i="5"/>
  <c r="BS18" i="5"/>
  <c r="BS19" i="5"/>
  <c r="BS20" i="5"/>
  <c r="BS21" i="5"/>
  <c r="BS22" i="5"/>
  <c r="BS23" i="5"/>
  <c r="BY23" i="5" s="1"/>
  <c r="BS24" i="5"/>
  <c r="BY24" i="5" s="1"/>
  <c r="BS25" i="5"/>
  <c r="BY25" i="5" s="1"/>
  <c r="BS26" i="5"/>
  <c r="BY26" i="5" s="1"/>
  <c r="BS27" i="5"/>
  <c r="BY27" i="5" s="1"/>
  <c r="BS28" i="5"/>
  <c r="BY28" i="5" s="1"/>
  <c r="BS29" i="5"/>
  <c r="BY29" i="5" s="1"/>
  <c r="BS30" i="5"/>
  <c r="BY30" i="5" s="1"/>
  <c r="BS31" i="5"/>
  <c r="BY31" i="5" s="1"/>
  <c r="BS32" i="5"/>
  <c r="BY32" i="5" s="1"/>
  <c r="BS33" i="5"/>
  <c r="BY33" i="5" s="1"/>
  <c r="BS34" i="5"/>
  <c r="BY34" i="5" s="1"/>
  <c r="BS35" i="5"/>
  <c r="BY35" i="5" s="1"/>
  <c r="BS36" i="5"/>
  <c r="BY36" i="5" s="1"/>
  <c r="BS37" i="5"/>
  <c r="BY37" i="5" s="1"/>
  <c r="BS38" i="5"/>
  <c r="BY38" i="5" s="1"/>
  <c r="BS39" i="5"/>
  <c r="BY39" i="5" s="1"/>
  <c r="BS40" i="5"/>
  <c r="BY40" i="5" s="1"/>
  <c r="BS41" i="5"/>
  <c r="BY41" i="5" s="1"/>
  <c r="BS42" i="5"/>
  <c r="BY42" i="5" s="1"/>
  <c r="BS43" i="5"/>
  <c r="BY43" i="5" s="1"/>
  <c r="BS44" i="5"/>
  <c r="BY44" i="5" s="1"/>
  <c r="BS45" i="5"/>
  <c r="BY45" i="5" s="1"/>
  <c r="BS46" i="5"/>
  <c r="BY46" i="5" s="1"/>
  <c r="BS47" i="5"/>
  <c r="BY47" i="5" s="1"/>
  <c r="BS48" i="5"/>
  <c r="BY48" i="5" s="1"/>
  <c r="BS49" i="5"/>
  <c r="BY49" i="5" s="1"/>
  <c r="BS50" i="5"/>
  <c r="BY50" i="5" s="1"/>
  <c r="BS51" i="5"/>
  <c r="BY51" i="5" s="1"/>
  <c r="BS52" i="5"/>
  <c r="BY52" i="5" s="1"/>
  <c r="BS53" i="5"/>
  <c r="BY53" i="5" s="1"/>
  <c r="BS54" i="5"/>
  <c r="BY54" i="5" s="1"/>
  <c r="BS55" i="5"/>
  <c r="BY55" i="5" s="1"/>
  <c r="BS56" i="5"/>
  <c r="BY56" i="5" s="1"/>
  <c r="BS57" i="5"/>
  <c r="BY57" i="5" s="1"/>
  <c r="BS58" i="5"/>
  <c r="BY58" i="5" s="1"/>
  <c r="BS59" i="5"/>
  <c r="BY59" i="5" s="1"/>
  <c r="BS60" i="5"/>
  <c r="BY60" i="5" s="1"/>
  <c r="BS61" i="5"/>
  <c r="BY61" i="5" s="1"/>
  <c r="BS62" i="5"/>
  <c r="BY62" i="5" s="1"/>
  <c r="BS63" i="5"/>
  <c r="BY63" i="5" s="1"/>
  <c r="BS64" i="5"/>
  <c r="BY64" i="5" s="1"/>
  <c r="BS65" i="5"/>
  <c r="BY65" i="5" s="1"/>
  <c r="BS66" i="5"/>
  <c r="BY66" i="5" s="1"/>
  <c r="BS67" i="5"/>
  <c r="BY67" i="5" s="1"/>
  <c r="BS68" i="5"/>
  <c r="BY68" i="5" s="1"/>
  <c r="BS69" i="5"/>
  <c r="BY69" i="5" s="1"/>
  <c r="BS70" i="5"/>
  <c r="BY70" i="5" s="1"/>
  <c r="BS71" i="5"/>
  <c r="BY71" i="5" s="1"/>
  <c r="BS72" i="5"/>
  <c r="BY72" i="5" s="1"/>
  <c r="BS73" i="5"/>
  <c r="BY73" i="5" s="1"/>
  <c r="BS74" i="5"/>
  <c r="BY74" i="5" s="1"/>
  <c r="BS75" i="5"/>
  <c r="BY75" i="5" s="1"/>
  <c r="BS76" i="5"/>
  <c r="BY76" i="5" s="1"/>
  <c r="BS77" i="5"/>
  <c r="BY77" i="5" s="1"/>
  <c r="BS78" i="5"/>
  <c r="BY78" i="5" s="1"/>
  <c r="BS79" i="5"/>
  <c r="BY79" i="5" s="1"/>
  <c r="BS80" i="5"/>
  <c r="BY80" i="5" s="1"/>
  <c r="BS81" i="5"/>
  <c r="BY81" i="5" s="1"/>
  <c r="BS82" i="5"/>
  <c r="BY82" i="5" s="1"/>
  <c r="BS83" i="5"/>
  <c r="BY83" i="5" s="1"/>
  <c r="BS84" i="5"/>
  <c r="BY84" i="5" s="1"/>
  <c r="BS85" i="5"/>
  <c r="BY85" i="5" s="1"/>
  <c r="BS86" i="5"/>
  <c r="BY86" i="5" s="1"/>
  <c r="BS87" i="5"/>
  <c r="BY87" i="5" s="1"/>
  <c r="BS88" i="5"/>
  <c r="BY88" i="5" s="1"/>
  <c r="BS89" i="5"/>
  <c r="BY89" i="5" s="1"/>
  <c r="BS90" i="5"/>
  <c r="BY90" i="5" s="1"/>
  <c r="BS91" i="5"/>
  <c r="BY91" i="5" s="1"/>
  <c r="BS92" i="5"/>
  <c r="BY92" i="5" s="1"/>
  <c r="BS93" i="5"/>
  <c r="BY93" i="5" s="1"/>
  <c r="BS94" i="5"/>
  <c r="BY94" i="5" s="1"/>
  <c r="BS95" i="5"/>
  <c r="BY95" i="5" s="1"/>
  <c r="BS96" i="5"/>
  <c r="BY96" i="5" s="1"/>
  <c r="BS97" i="5"/>
  <c r="BY97" i="5" s="1"/>
  <c r="BS98" i="5"/>
  <c r="BY98" i="5" s="1"/>
  <c r="BS99" i="5"/>
  <c r="BY99" i="5" s="1"/>
  <c r="BS100" i="5"/>
  <c r="BY100" i="5" s="1"/>
  <c r="BS101" i="5"/>
  <c r="BY101" i="5" s="1"/>
  <c r="BS102" i="5"/>
  <c r="BY102" i="5" s="1"/>
  <c r="BS103" i="5"/>
  <c r="BY103" i="5" s="1"/>
  <c r="BS104" i="5"/>
  <c r="BY104" i="5" s="1"/>
  <c r="BS105" i="5"/>
  <c r="BY105" i="5" s="1"/>
  <c r="BS106" i="5"/>
  <c r="BY106" i="5" s="1"/>
  <c r="BS107" i="5"/>
  <c r="BY107" i="5" s="1"/>
  <c r="BS108" i="5"/>
  <c r="BY108" i="5" s="1"/>
  <c r="BS109" i="5"/>
  <c r="BY109" i="5" s="1"/>
  <c r="BS110" i="5"/>
  <c r="BY110" i="5" s="1"/>
  <c r="BS111" i="5"/>
  <c r="BY111" i="5" s="1"/>
  <c r="BS112" i="5"/>
  <c r="BY112" i="5" s="1"/>
  <c r="BS113" i="5"/>
  <c r="BY113" i="5" s="1"/>
  <c r="BS114" i="5"/>
  <c r="BZ114" i="5" s="1"/>
  <c r="BS15" i="5"/>
  <c r="BT15" i="5" s="1"/>
  <c r="BR16" i="5"/>
  <c r="BR17" i="5"/>
  <c r="BR18" i="5"/>
  <c r="BR19" i="5"/>
  <c r="BR20" i="5"/>
  <c r="BR21" i="5"/>
  <c r="BR22" i="5"/>
  <c r="BR23" i="5"/>
  <c r="BR24" i="5"/>
  <c r="BR25" i="5"/>
  <c r="BR26" i="5"/>
  <c r="BR27" i="5"/>
  <c r="BR28" i="5"/>
  <c r="BR29" i="5"/>
  <c r="BR30" i="5"/>
  <c r="BR31" i="5"/>
  <c r="BR32" i="5"/>
  <c r="BR33" i="5"/>
  <c r="BR34" i="5"/>
  <c r="BR35" i="5"/>
  <c r="BR36" i="5"/>
  <c r="BR37" i="5"/>
  <c r="BR38" i="5"/>
  <c r="BR39" i="5"/>
  <c r="BR40" i="5"/>
  <c r="BR41" i="5"/>
  <c r="BR42" i="5"/>
  <c r="BR43" i="5"/>
  <c r="BR44" i="5"/>
  <c r="BR45" i="5"/>
  <c r="BR46" i="5"/>
  <c r="BR47" i="5"/>
  <c r="BR48" i="5"/>
  <c r="BR49" i="5"/>
  <c r="BR50" i="5"/>
  <c r="BR51" i="5"/>
  <c r="BR52" i="5"/>
  <c r="BR53" i="5"/>
  <c r="BR54" i="5"/>
  <c r="BR55" i="5"/>
  <c r="BR56" i="5"/>
  <c r="BR57" i="5"/>
  <c r="BR58" i="5"/>
  <c r="BR59" i="5"/>
  <c r="BR60" i="5"/>
  <c r="BR61" i="5"/>
  <c r="BR62" i="5"/>
  <c r="BR63" i="5"/>
  <c r="BR64" i="5"/>
  <c r="BR65" i="5"/>
  <c r="BR66" i="5"/>
  <c r="BR67" i="5"/>
  <c r="BR68" i="5"/>
  <c r="BR69" i="5"/>
  <c r="BR70" i="5"/>
  <c r="BR71" i="5"/>
  <c r="BR72" i="5"/>
  <c r="BR73" i="5"/>
  <c r="BR74" i="5"/>
  <c r="BR75" i="5"/>
  <c r="BR76" i="5"/>
  <c r="BR77" i="5"/>
  <c r="BR78" i="5"/>
  <c r="BR79" i="5"/>
  <c r="BR80" i="5"/>
  <c r="BR81" i="5"/>
  <c r="BR82" i="5"/>
  <c r="BR83" i="5"/>
  <c r="BR84" i="5"/>
  <c r="BR85" i="5"/>
  <c r="BR86" i="5"/>
  <c r="BR87" i="5"/>
  <c r="BR88" i="5"/>
  <c r="BR89" i="5"/>
  <c r="BR90" i="5"/>
  <c r="BR91" i="5"/>
  <c r="BR92" i="5"/>
  <c r="BR93" i="5"/>
  <c r="BR94" i="5"/>
  <c r="BR95" i="5"/>
  <c r="BR96" i="5"/>
  <c r="BR97" i="5"/>
  <c r="BR98" i="5"/>
  <c r="BR99" i="5"/>
  <c r="BR100" i="5"/>
  <c r="BR101" i="5"/>
  <c r="BR102" i="5"/>
  <c r="BR103" i="5"/>
  <c r="BR104" i="5"/>
  <c r="BR105" i="5"/>
  <c r="BR106" i="5"/>
  <c r="BR107" i="5"/>
  <c r="BR108" i="5"/>
  <c r="BR109" i="5"/>
  <c r="BR110" i="5"/>
  <c r="BR111" i="5"/>
  <c r="BR112" i="5"/>
  <c r="BR113" i="5"/>
  <c r="BR114" i="5"/>
  <c r="D11" i="5"/>
  <c r="D9" i="5"/>
  <c r="AP16" i="5"/>
  <c r="AP17" i="5"/>
  <c r="AP18" i="5"/>
  <c r="AP19" i="5"/>
  <c r="AP20" i="5"/>
  <c r="AP21" i="5"/>
  <c r="AP22" i="5"/>
  <c r="AP23" i="5"/>
  <c r="AP24" i="5"/>
  <c r="AP25" i="5"/>
  <c r="AP26" i="5"/>
  <c r="AP27" i="5"/>
  <c r="AP28" i="5"/>
  <c r="AP29" i="5"/>
  <c r="AP30" i="5"/>
  <c r="AP31" i="5"/>
  <c r="AP32" i="5"/>
  <c r="AP33" i="5"/>
  <c r="AP34" i="5"/>
  <c r="AP35" i="5"/>
  <c r="AP36" i="5"/>
  <c r="AP37" i="5"/>
  <c r="AP38" i="5"/>
  <c r="AP39" i="5"/>
  <c r="AP40" i="5"/>
  <c r="AP41" i="5"/>
  <c r="AP42" i="5"/>
  <c r="AP43" i="5"/>
  <c r="AP44" i="5"/>
  <c r="AP45" i="5"/>
  <c r="AP46" i="5"/>
  <c r="AP47" i="5"/>
  <c r="AP48" i="5"/>
  <c r="AP49" i="5"/>
  <c r="AP50" i="5"/>
  <c r="AP51" i="5"/>
  <c r="AP52" i="5"/>
  <c r="AP53" i="5"/>
  <c r="AP54" i="5"/>
  <c r="AP55" i="5"/>
  <c r="AP56" i="5"/>
  <c r="AP57" i="5"/>
  <c r="AP58" i="5"/>
  <c r="AP59" i="5"/>
  <c r="AP60" i="5"/>
  <c r="AP61" i="5"/>
  <c r="AP62" i="5"/>
  <c r="AP63" i="5"/>
  <c r="AP64" i="5"/>
  <c r="AP65" i="5"/>
  <c r="AP66" i="5"/>
  <c r="AP67" i="5"/>
  <c r="AP68" i="5"/>
  <c r="AP69" i="5"/>
  <c r="AP70" i="5"/>
  <c r="AP71" i="5"/>
  <c r="AP72" i="5"/>
  <c r="AP73" i="5"/>
  <c r="BM73" i="5" s="1"/>
  <c r="AP74" i="5"/>
  <c r="AP75" i="5"/>
  <c r="BM75" i="5" s="1"/>
  <c r="AP76" i="5"/>
  <c r="AP77" i="5"/>
  <c r="AP78" i="5"/>
  <c r="AP79" i="5"/>
  <c r="AP80" i="5"/>
  <c r="AP81" i="5"/>
  <c r="AP82" i="5"/>
  <c r="AP83" i="5"/>
  <c r="AP84" i="5"/>
  <c r="AP85" i="5"/>
  <c r="AP86" i="5"/>
  <c r="AP87" i="5"/>
  <c r="AP88" i="5"/>
  <c r="AP89" i="5"/>
  <c r="AP90" i="5"/>
  <c r="AP91" i="5"/>
  <c r="AP92" i="5"/>
  <c r="AP93" i="5"/>
  <c r="AP94" i="5"/>
  <c r="AP95" i="5"/>
  <c r="AP96" i="5"/>
  <c r="AP97" i="5"/>
  <c r="AP98" i="5"/>
  <c r="AP99" i="5"/>
  <c r="AP100" i="5"/>
  <c r="AP101" i="5"/>
  <c r="AP102" i="5"/>
  <c r="AP103" i="5"/>
  <c r="AP104" i="5"/>
  <c r="AP105" i="5"/>
  <c r="AP106" i="5"/>
  <c r="AP107" i="5"/>
  <c r="AP108" i="5"/>
  <c r="AP109" i="5"/>
  <c r="AP110" i="5"/>
  <c r="AP111" i="5"/>
  <c r="AP112" i="5"/>
  <c r="AP113" i="5"/>
  <c r="AP114" i="5"/>
  <c r="AP15" i="5"/>
  <c r="AR16" i="5"/>
  <c r="AR17" i="5"/>
  <c r="AR18" i="5"/>
  <c r="AR19" i="5"/>
  <c r="AR20" i="5"/>
  <c r="AR21" i="5"/>
  <c r="AR22" i="5"/>
  <c r="AR23" i="5"/>
  <c r="AR24" i="5"/>
  <c r="AR25" i="5"/>
  <c r="AR26" i="5"/>
  <c r="AR27" i="5"/>
  <c r="AR28" i="5"/>
  <c r="AR29" i="5"/>
  <c r="AR30" i="5"/>
  <c r="AR31" i="5"/>
  <c r="AR32" i="5"/>
  <c r="AR33" i="5"/>
  <c r="AR34" i="5"/>
  <c r="AR35" i="5"/>
  <c r="AR36" i="5"/>
  <c r="AR37" i="5"/>
  <c r="AR38" i="5"/>
  <c r="AR39" i="5"/>
  <c r="AR40" i="5"/>
  <c r="AR41" i="5"/>
  <c r="AR42" i="5"/>
  <c r="AR43" i="5"/>
  <c r="AR44" i="5"/>
  <c r="AR45" i="5"/>
  <c r="AR46" i="5"/>
  <c r="AR47" i="5"/>
  <c r="AR48" i="5"/>
  <c r="AR49" i="5"/>
  <c r="AR50" i="5"/>
  <c r="AR51" i="5"/>
  <c r="AR52" i="5"/>
  <c r="AR53" i="5"/>
  <c r="AR54" i="5"/>
  <c r="AR55" i="5"/>
  <c r="AR56" i="5"/>
  <c r="AR57" i="5"/>
  <c r="AR58" i="5"/>
  <c r="AR59" i="5"/>
  <c r="AR60" i="5"/>
  <c r="AR61" i="5"/>
  <c r="AR62" i="5"/>
  <c r="AR63" i="5"/>
  <c r="AR64" i="5"/>
  <c r="AR65" i="5"/>
  <c r="AR66" i="5"/>
  <c r="AR67" i="5"/>
  <c r="AR68" i="5"/>
  <c r="AR69" i="5"/>
  <c r="BL69" i="5" s="1"/>
  <c r="BQ69" i="5" s="1"/>
  <c r="AR70" i="5"/>
  <c r="BL70" i="5" s="1"/>
  <c r="BQ70" i="5" s="1"/>
  <c r="AR71" i="5"/>
  <c r="BL71" i="5" s="1"/>
  <c r="BQ71" i="5" s="1"/>
  <c r="AR72" i="5"/>
  <c r="BL72" i="5" s="1"/>
  <c r="BQ72" i="5" s="1"/>
  <c r="AR73" i="5"/>
  <c r="AR74" i="5"/>
  <c r="BL74" i="5" s="1"/>
  <c r="BQ74" i="5" s="1"/>
  <c r="AR75" i="5"/>
  <c r="AR76" i="5"/>
  <c r="AR77" i="5"/>
  <c r="AR78" i="5"/>
  <c r="AR79" i="5"/>
  <c r="AR80" i="5"/>
  <c r="AR81" i="5"/>
  <c r="AR82" i="5"/>
  <c r="AR83" i="5"/>
  <c r="AR84" i="5"/>
  <c r="AR85" i="5"/>
  <c r="AR86" i="5"/>
  <c r="AR87" i="5"/>
  <c r="AR88" i="5"/>
  <c r="AR89" i="5"/>
  <c r="AR90" i="5"/>
  <c r="AR91" i="5"/>
  <c r="AR92" i="5"/>
  <c r="AR93" i="5"/>
  <c r="AR94" i="5"/>
  <c r="AR95" i="5"/>
  <c r="AR96" i="5"/>
  <c r="AR97" i="5"/>
  <c r="AR98" i="5"/>
  <c r="AR99" i="5"/>
  <c r="AR100" i="5"/>
  <c r="AR101" i="5"/>
  <c r="AR102" i="5"/>
  <c r="AR103" i="5"/>
  <c r="AR104" i="5"/>
  <c r="AR105" i="5"/>
  <c r="AR106" i="5"/>
  <c r="AR107" i="5"/>
  <c r="AR108" i="5"/>
  <c r="AR109" i="5"/>
  <c r="AR110" i="5"/>
  <c r="AR111" i="5"/>
  <c r="AR112" i="5"/>
  <c r="AR113" i="5"/>
  <c r="AR114" i="5"/>
  <c r="AR15" i="5"/>
  <c r="AS16" i="5"/>
  <c r="AS17" i="5"/>
  <c r="AS18" i="5"/>
  <c r="AS19" i="5"/>
  <c r="AS20" i="5"/>
  <c r="AS21" i="5"/>
  <c r="AS22" i="5"/>
  <c r="AS23" i="5"/>
  <c r="AS24" i="5"/>
  <c r="AS25" i="5"/>
  <c r="AS26" i="5"/>
  <c r="AS27" i="5"/>
  <c r="AS28" i="5"/>
  <c r="AS29" i="5"/>
  <c r="AS30" i="5"/>
  <c r="AS31" i="5"/>
  <c r="AS32" i="5"/>
  <c r="AS33" i="5"/>
  <c r="AS34" i="5"/>
  <c r="AS35" i="5"/>
  <c r="AS36" i="5"/>
  <c r="AS37" i="5"/>
  <c r="AS38" i="5"/>
  <c r="AS39" i="5"/>
  <c r="AS40" i="5"/>
  <c r="AS41" i="5"/>
  <c r="AS42" i="5"/>
  <c r="AS43" i="5"/>
  <c r="AS44" i="5"/>
  <c r="AS45" i="5"/>
  <c r="AS46" i="5"/>
  <c r="AS47" i="5"/>
  <c r="AS48" i="5"/>
  <c r="AS49" i="5"/>
  <c r="AS50" i="5"/>
  <c r="AS51" i="5"/>
  <c r="AS52" i="5"/>
  <c r="AS53" i="5"/>
  <c r="AS54" i="5"/>
  <c r="AS55" i="5"/>
  <c r="AS56" i="5"/>
  <c r="AS57" i="5"/>
  <c r="AS58" i="5"/>
  <c r="AS59" i="5"/>
  <c r="AS60" i="5"/>
  <c r="AS61" i="5"/>
  <c r="AS62" i="5"/>
  <c r="AS63" i="5"/>
  <c r="AS64" i="5"/>
  <c r="AS65" i="5"/>
  <c r="AS66" i="5"/>
  <c r="AS67" i="5"/>
  <c r="AS68" i="5"/>
  <c r="AS69" i="5"/>
  <c r="AS70" i="5"/>
  <c r="AS71" i="5"/>
  <c r="BM71" i="5" s="1"/>
  <c r="AS72" i="5"/>
  <c r="BM72" i="5" s="1"/>
  <c r="AS73" i="5"/>
  <c r="AS74" i="5"/>
  <c r="BM74" i="5" s="1"/>
  <c r="AS75" i="5"/>
  <c r="AS76" i="5"/>
  <c r="AS77" i="5"/>
  <c r="AS78" i="5"/>
  <c r="AS79" i="5"/>
  <c r="AS80" i="5"/>
  <c r="AS81" i="5"/>
  <c r="AS82" i="5"/>
  <c r="AS83" i="5"/>
  <c r="AS84" i="5"/>
  <c r="AS85" i="5"/>
  <c r="AS86" i="5"/>
  <c r="AS87" i="5"/>
  <c r="AS88" i="5"/>
  <c r="AS89" i="5"/>
  <c r="AS90" i="5"/>
  <c r="AS91" i="5"/>
  <c r="AS92" i="5"/>
  <c r="AS93" i="5"/>
  <c r="AS94" i="5"/>
  <c r="AS95" i="5"/>
  <c r="AS96" i="5"/>
  <c r="AS97" i="5"/>
  <c r="AS98" i="5"/>
  <c r="AS99" i="5"/>
  <c r="AS100" i="5"/>
  <c r="AS101" i="5"/>
  <c r="AS102" i="5"/>
  <c r="AS103" i="5"/>
  <c r="AS104" i="5"/>
  <c r="AS105" i="5"/>
  <c r="AS106" i="5"/>
  <c r="AS107" i="5"/>
  <c r="AS108" i="5"/>
  <c r="AS109" i="5"/>
  <c r="AS110" i="5"/>
  <c r="AS111" i="5"/>
  <c r="AS112" i="5"/>
  <c r="AS113" i="5"/>
  <c r="AS114" i="5"/>
  <c r="AS15" i="5"/>
  <c r="H47" i="13"/>
  <c r="H49" i="13"/>
  <c r="H51" i="13"/>
  <c r="H52" i="13"/>
  <c r="H53" i="13"/>
  <c r="H58" i="13"/>
  <c r="H59" i="13"/>
  <c r="H60" i="13"/>
  <c r="H61" i="13"/>
  <c r="H62" i="13"/>
  <c r="H63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BR15" i="5"/>
  <c r="B467" i="5"/>
  <c r="B9" i="5"/>
  <c r="B415" i="5"/>
  <c r="BM69" i="5" l="1"/>
  <c r="BM70" i="5"/>
  <c r="AG20" i="8"/>
  <c r="AH20" i="8" s="1"/>
  <c r="CL23" i="9"/>
  <c r="CQ23" i="9" s="1"/>
  <c r="AJ23" i="16"/>
  <c r="AD23" i="16"/>
  <c r="A623" i="16"/>
  <c r="AF23" i="16"/>
  <c r="AG23" i="16" s="1"/>
  <c r="AH23" i="16" s="1"/>
  <c r="AI23" i="16" s="1"/>
  <c r="A1045" i="16" s="1"/>
  <c r="Q24" i="16"/>
  <c r="R24" i="16" s="1"/>
  <c r="AA24" i="16" s="1"/>
  <c r="A1158" i="16"/>
  <c r="AL22" i="16"/>
  <c r="A1366" i="16" s="1"/>
  <c r="AK22" i="16"/>
  <c r="A1262" i="16" s="1"/>
  <c r="L47" i="16"/>
  <c r="BA52" i="5"/>
  <c r="L48" i="16" s="1"/>
  <c r="BA35" i="5"/>
  <c r="L30" i="16"/>
  <c r="N35" i="16"/>
  <c r="O35" i="16" s="1"/>
  <c r="N25" i="16"/>
  <c r="O25" i="16" s="1"/>
  <c r="AU31" i="5"/>
  <c r="BB31" i="5" s="1"/>
  <c r="AV30" i="5"/>
  <c r="CX32" i="5"/>
  <c r="AX29" i="5"/>
  <c r="T88" i="14"/>
  <c r="U88" i="14"/>
  <c r="V88" i="14" s="1"/>
  <c r="F88" i="14" s="1"/>
  <c r="B310" i="14" s="1"/>
  <c r="R87" i="14"/>
  <c r="S88" i="14"/>
  <c r="E1" i="5"/>
  <c r="B785" i="5" s="1"/>
  <c r="AC29" i="5"/>
  <c r="H34" i="13"/>
  <c r="J29" i="12"/>
  <c r="L29" i="12"/>
  <c r="N31" i="12"/>
  <c r="O30" i="12"/>
  <c r="H36" i="13"/>
  <c r="CH24" i="9"/>
  <c r="CI24" i="9" s="1"/>
  <c r="BB30" i="5"/>
  <c r="AX30" i="5"/>
  <c r="AV40" i="5"/>
  <c r="AU41" i="5"/>
  <c r="AX40" i="5"/>
  <c r="CW110" i="5"/>
  <c r="CY110" i="5"/>
  <c r="B565" i="5" s="1"/>
  <c r="CO109" i="5"/>
  <c r="CV110" i="5"/>
  <c r="CN55" i="5"/>
  <c r="CM55" i="5"/>
  <c r="BD20" i="9"/>
  <c r="BI20" i="9" s="1"/>
  <c r="B305" i="9"/>
  <c r="CJ20" i="9"/>
  <c r="B196" i="9" s="1"/>
  <c r="CN29" i="5"/>
  <c r="CM29" i="5"/>
  <c r="CN27" i="5"/>
  <c r="CM27" i="5"/>
  <c r="CN25" i="5"/>
  <c r="CM25" i="5"/>
  <c r="CM30" i="5"/>
  <c r="CN30" i="5"/>
  <c r="CM28" i="5"/>
  <c r="CN28" i="5"/>
  <c r="CM26" i="5"/>
  <c r="CN26" i="5"/>
  <c r="CN24" i="5"/>
  <c r="CN18" i="5"/>
  <c r="B307" i="8"/>
  <c r="BF19" i="9"/>
  <c r="BG19" i="9" s="1"/>
  <c r="DC19" i="9"/>
  <c r="B848" i="5"/>
  <c r="B846" i="5"/>
  <c r="AJ20" i="9"/>
  <c r="AK20" i="9" s="1"/>
  <c r="AI21" i="9"/>
  <c r="AJ21" i="9" s="1"/>
  <c r="AK21" i="9" s="1"/>
  <c r="BC21" i="9"/>
  <c r="AX21" i="9"/>
  <c r="BH21" i="9" s="1"/>
  <c r="CR21" i="9" s="1"/>
  <c r="B504" i="9" s="1"/>
  <c r="AZ21" i="9"/>
  <c r="BA21" i="9"/>
  <c r="BB21" i="9"/>
  <c r="AV20" i="9"/>
  <c r="BE20" i="9" s="1"/>
  <c r="CM23" i="5"/>
  <c r="CN23" i="5"/>
  <c r="CM21" i="5"/>
  <c r="CN21" i="5"/>
  <c r="AE22" i="5"/>
  <c r="AF21" i="5"/>
  <c r="B400" i="5" s="1"/>
  <c r="CN22" i="5"/>
  <c r="CM22" i="5"/>
  <c r="BL25" i="9"/>
  <c r="BM25" i="9" s="1"/>
  <c r="BN25" i="9" s="1"/>
  <c r="AU24" i="9"/>
  <c r="AT25" i="9"/>
  <c r="AY25" i="9" s="1"/>
  <c r="AH23" i="9"/>
  <c r="AD23" i="9"/>
  <c r="AM23" i="9" s="1"/>
  <c r="AL23" i="9" s="1"/>
  <c r="CJ23" i="9" s="1"/>
  <c r="CM15" i="5"/>
  <c r="CN20" i="5"/>
  <c r="CM20" i="5"/>
  <c r="CN17" i="5"/>
  <c r="CM17" i="5"/>
  <c r="CN16" i="5"/>
  <c r="CM16" i="5"/>
  <c r="CN15" i="5"/>
  <c r="B157" i="8"/>
  <c r="BE20" i="8"/>
  <c r="BE21" i="8" s="1"/>
  <c r="BE22" i="8" s="1"/>
  <c r="AI20" i="8"/>
  <c r="BW16" i="5"/>
  <c r="CA16" i="5" s="1"/>
  <c r="BW26" i="5"/>
  <c r="BW24" i="5"/>
  <c r="BW22" i="5"/>
  <c r="BW20" i="5"/>
  <c r="BW18" i="5"/>
  <c r="CA18" i="5" s="1"/>
  <c r="AD112" i="8"/>
  <c r="AE111" i="8"/>
  <c r="AY21" i="8"/>
  <c r="AU21" i="8"/>
  <c r="AX21" i="8"/>
  <c r="AF21" i="8"/>
  <c r="AG21" i="8" s="1"/>
  <c r="AH21" i="8" s="1"/>
  <c r="AB21" i="8"/>
  <c r="AK21" i="8" s="1"/>
  <c r="AJ21" i="8" s="1"/>
  <c r="B192" i="8" s="1"/>
  <c r="AS23" i="8"/>
  <c r="AV22" i="8"/>
  <c r="AT22" i="8"/>
  <c r="AW21" i="8" s="1"/>
  <c r="BK20" i="8"/>
  <c r="BO20" i="8" s="1"/>
  <c r="BP20" i="8" s="1"/>
  <c r="B335" i="5"/>
  <c r="CB15" i="5"/>
  <c r="BD15" i="5"/>
  <c r="BH15" i="5"/>
  <c r="B318" i="5"/>
  <c r="AT16" i="5"/>
  <c r="CC114" i="5"/>
  <c r="CC112" i="5"/>
  <c r="CC110" i="5"/>
  <c r="CC108" i="5"/>
  <c r="CC106" i="5"/>
  <c r="CC104" i="5"/>
  <c r="CC102" i="5"/>
  <c r="CC100" i="5"/>
  <c r="CC98" i="5"/>
  <c r="CC96" i="5"/>
  <c r="CC94" i="5"/>
  <c r="CC92" i="5"/>
  <c r="CC90" i="5"/>
  <c r="CC88" i="5"/>
  <c r="CC86" i="5"/>
  <c r="CC84" i="5"/>
  <c r="CC82" i="5"/>
  <c r="CC80" i="5"/>
  <c r="CC78" i="5"/>
  <c r="CC76" i="5"/>
  <c r="CC74" i="5"/>
  <c r="CE74" i="5" s="1"/>
  <c r="CC72" i="5"/>
  <c r="CE72" i="5" s="1"/>
  <c r="CC70" i="5"/>
  <c r="CC68" i="5"/>
  <c r="CC66" i="5"/>
  <c r="CE66" i="5" s="1"/>
  <c r="CC64" i="5"/>
  <c r="CC62" i="5"/>
  <c r="CC60" i="5"/>
  <c r="CC58" i="5"/>
  <c r="CC56" i="5"/>
  <c r="CC54" i="5"/>
  <c r="CC52" i="5"/>
  <c r="CC50" i="5"/>
  <c r="CC48" i="5"/>
  <c r="CC46" i="5"/>
  <c r="CC44" i="5"/>
  <c r="CC42" i="5"/>
  <c r="CC40" i="5"/>
  <c r="CC38" i="5"/>
  <c r="CC36" i="5"/>
  <c r="CC34" i="5"/>
  <c r="CC32" i="5"/>
  <c r="CC30" i="5"/>
  <c r="CC28" i="5"/>
  <c r="CE28" i="5" s="1"/>
  <c r="CC26" i="5"/>
  <c r="CE26" i="5" s="1"/>
  <c r="CC24" i="5"/>
  <c r="CE24" i="5" s="1"/>
  <c r="CC22" i="5"/>
  <c r="CE22" i="5" s="1"/>
  <c r="CC20" i="5"/>
  <c r="CE20" i="5" s="1"/>
  <c r="CC18" i="5"/>
  <c r="CE18" i="5" s="1"/>
  <c r="CC16" i="5"/>
  <c r="CC15" i="5"/>
  <c r="CC113" i="5"/>
  <c r="CC111" i="5"/>
  <c r="CC109" i="5"/>
  <c r="CC107" i="5"/>
  <c r="CC105" i="5"/>
  <c r="CC103" i="5"/>
  <c r="CC101" i="5"/>
  <c r="CC99" i="5"/>
  <c r="CC97" i="5"/>
  <c r="CC95" i="5"/>
  <c r="CC93" i="5"/>
  <c r="CC91" i="5"/>
  <c r="CC89" i="5"/>
  <c r="CC87" i="5"/>
  <c r="CC85" i="5"/>
  <c r="CC83" i="5"/>
  <c r="CC81" i="5"/>
  <c r="CC79" i="5"/>
  <c r="CC77" i="5"/>
  <c r="CC75" i="5"/>
  <c r="CC73" i="5"/>
  <c r="CC71" i="5"/>
  <c r="CE71" i="5" s="1"/>
  <c r="CC69" i="5"/>
  <c r="CC67" i="5"/>
  <c r="CC65" i="5"/>
  <c r="CE65" i="5" s="1"/>
  <c r="CC63" i="5"/>
  <c r="CC61" i="5"/>
  <c r="CC59" i="5"/>
  <c r="CC57" i="5"/>
  <c r="CC55" i="5"/>
  <c r="CE55" i="5" s="1"/>
  <c r="CC53" i="5"/>
  <c r="CC51" i="5"/>
  <c r="CC49" i="5"/>
  <c r="CC47" i="5"/>
  <c r="CC45" i="5"/>
  <c r="CC43" i="5"/>
  <c r="CC41" i="5"/>
  <c r="CE41" i="5" s="1"/>
  <c r="CC39" i="5"/>
  <c r="CC37" i="5"/>
  <c r="CC35" i="5"/>
  <c r="CC33" i="5"/>
  <c r="CC31" i="5"/>
  <c r="CC29" i="5"/>
  <c r="CC27" i="5"/>
  <c r="CE27" i="5" s="1"/>
  <c r="CC25" i="5"/>
  <c r="CE25" i="5" s="1"/>
  <c r="CC23" i="5"/>
  <c r="CE23" i="5" s="1"/>
  <c r="CC21" i="5"/>
  <c r="CE21" i="5" s="1"/>
  <c r="CC19" i="5"/>
  <c r="CE19" i="5" s="1"/>
  <c r="CC17" i="5"/>
  <c r="CA15" i="5"/>
  <c r="BW113" i="5"/>
  <c r="CA113" i="5" s="1"/>
  <c r="BW111" i="5"/>
  <c r="CA111" i="5" s="1"/>
  <c r="BW109" i="5"/>
  <c r="CA109" i="5" s="1"/>
  <c r="BW107" i="5"/>
  <c r="CA107" i="5" s="1"/>
  <c r="BW105" i="5"/>
  <c r="CA105" i="5" s="1"/>
  <c r="BW103" i="5"/>
  <c r="CA103" i="5" s="1"/>
  <c r="BW101" i="5"/>
  <c r="CA101" i="5" s="1"/>
  <c r="BW99" i="5"/>
  <c r="CA99" i="5" s="1"/>
  <c r="BW97" i="5"/>
  <c r="CA97" i="5" s="1"/>
  <c r="BW95" i="5"/>
  <c r="CA95" i="5" s="1"/>
  <c r="BW93" i="5"/>
  <c r="CA93" i="5" s="1"/>
  <c r="BW91" i="5"/>
  <c r="CA91" i="5" s="1"/>
  <c r="BW89" i="5"/>
  <c r="CA89" i="5" s="1"/>
  <c r="BW87" i="5"/>
  <c r="CA87" i="5" s="1"/>
  <c r="BW85" i="5"/>
  <c r="CA85" i="5" s="1"/>
  <c r="BW83" i="5"/>
  <c r="CA83" i="5" s="1"/>
  <c r="BW81" i="5"/>
  <c r="CA81" i="5" s="1"/>
  <c r="BW79" i="5"/>
  <c r="CA79" i="5" s="1"/>
  <c r="BW77" i="5"/>
  <c r="CA77" i="5" s="1"/>
  <c r="BW75" i="5"/>
  <c r="BW73" i="5"/>
  <c r="BW71" i="5"/>
  <c r="BW69" i="5"/>
  <c r="BW67" i="5"/>
  <c r="BW65" i="5"/>
  <c r="BW63" i="5"/>
  <c r="BW61" i="5"/>
  <c r="BW59" i="5"/>
  <c r="BW57" i="5"/>
  <c r="BW55" i="5"/>
  <c r="BW53" i="5"/>
  <c r="BW51" i="5"/>
  <c r="BW49" i="5"/>
  <c r="BW47" i="5"/>
  <c r="BW45" i="5"/>
  <c r="BW43" i="5"/>
  <c r="BW41" i="5"/>
  <c r="BW39" i="5"/>
  <c r="BW37" i="5"/>
  <c r="BW35" i="5"/>
  <c r="BW33" i="5"/>
  <c r="BW31" i="5"/>
  <c r="BW29" i="5"/>
  <c r="BW27" i="5"/>
  <c r="BW25" i="5"/>
  <c r="BW23" i="5"/>
  <c r="BW21" i="5"/>
  <c r="BW19" i="5"/>
  <c r="BW17" i="5"/>
  <c r="CA17" i="5" s="1"/>
  <c r="BW114" i="5"/>
  <c r="BW112" i="5"/>
  <c r="CA112" i="5" s="1"/>
  <c r="BW110" i="5"/>
  <c r="CA110" i="5" s="1"/>
  <c r="BW108" i="5"/>
  <c r="CA108" i="5" s="1"/>
  <c r="BW106" i="5"/>
  <c r="CA106" i="5" s="1"/>
  <c r="BW104" i="5"/>
  <c r="CA104" i="5" s="1"/>
  <c r="BW102" i="5"/>
  <c r="CA102" i="5" s="1"/>
  <c r="BW100" i="5"/>
  <c r="CA100" i="5" s="1"/>
  <c r="BW98" i="5"/>
  <c r="CA98" i="5" s="1"/>
  <c r="BW96" i="5"/>
  <c r="CA96" i="5" s="1"/>
  <c r="BW94" i="5"/>
  <c r="CA94" i="5" s="1"/>
  <c r="BW92" i="5"/>
  <c r="CA92" i="5" s="1"/>
  <c r="BW90" i="5"/>
  <c r="CA90" i="5" s="1"/>
  <c r="BW88" i="5"/>
  <c r="CA88" i="5" s="1"/>
  <c r="BW86" i="5"/>
  <c r="CA86" i="5" s="1"/>
  <c r="BW84" i="5"/>
  <c r="CA84" i="5" s="1"/>
  <c r="BW82" i="5"/>
  <c r="CA82" i="5" s="1"/>
  <c r="BW80" i="5"/>
  <c r="CA80" i="5" s="1"/>
  <c r="BW78" i="5"/>
  <c r="CA78" i="5" s="1"/>
  <c r="BW76" i="5"/>
  <c r="BW74" i="5"/>
  <c r="BW72" i="5"/>
  <c r="BW70" i="5"/>
  <c r="BW68" i="5"/>
  <c r="BW66" i="5"/>
  <c r="BW64" i="5"/>
  <c r="BW62" i="5"/>
  <c r="BW60" i="5"/>
  <c r="BW58" i="5"/>
  <c r="BW56" i="5"/>
  <c r="BW54" i="5"/>
  <c r="BW52" i="5"/>
  <c r="BW50" i="5"/>
  <c r="BW48" i="5"/>
  <c r="BW46" i="5"/>
  <c r="BW44" i="5"/>
  <c r="BW42" i="5"/>
  <c r="BW40" i="5"/>
  <c r="BW38" i="5"/>
  <c r="BW36" i="5"/>
  <c r="BW34" i="5"/>
  <c r="BW32" i="5"/>
  <c r="BW30" i="5"/>
  <c r="BW28" i="5"/>
  <c r="BV15" i="5"/>
  <c r="E4" i="5"/>
  <c r="B818" i="5" s="1"/>
  <c r="BZ15" i="5"/>
  <c r="BZ113" i="5"/>
  <c r="B817" i="5" s="1"/>
  <c r="BZ111" i="5"/>
  <c r="BZ109" i="5"/>
  <c r="BZ107" i="5"/>
  <c r="BZ105" i="5"/>
  <c r="BZ103" i="5"/>
  <c r="BZ101" i="5"/>
  <c r="BZ99" i="5"/>
  <c r="BZ97" i="5"/>
  <c r="BZ95" i="5"/>
  <c r="BZ93" i="5"/>
  <c r="BZ91" i="5"/>
  <c r="BZ89" i="5"/>
  <c r="BZ87" i="5"/>
  <c r="BZ85" i="5"/>
  <c r="BZ83" i="5"/>
  <c r="BZ81" i="5"/>
  <c r="BZ79" i="5"/>
  <c r="BZ77" i="5"/>
  <c r="BZ75" i="5"/>
  <c r="BZ73" i="5"/>
  <c r="BZ71" i="5"/>
  <c r="BZ69" i="5"/>
  <c r="BZ67" i="5"/>
  <c r="BZ65" i="5"/>
  <c r="BZ63" i="5"/>
  <c r="BZ61" i="5"/>
  <c r="BZ59" i="5"/>
  <c r="BZ57" i="5"/>
  <c r="BZ55" i="5"/>
  <c r="BZ53" i="5"/>
  <c r="BZ51" i="5"/>
  <c r="BZ49" i="5"/>
  <c r="BZ47" i="5"/>
  <c r="BZ45" i="5"/>
  <c r="BZ43" i="5"/>
  <c r="BZ41" i="5"/>
  <c r="BZ39" i="5"/>
  <c r="BZ37" i="5"/>
  <c r="BZ35" i="5"/>
  <c r="BZ33" i="5"/>
  <c r="BZ31" i="5"/>
  <c r="BZ29" i="5"/>
  <c r="BZ27" i="5"/>
  <c r="BZ25" i="5"/>
  <c r="BZ23" i="5"/>
  <c r="BZ112" i="5"/>
  <c r="BZ110" i="5"/>
  <c r="BZ108" i="5"/>
  <c r="BZ106" i="5"/>
  <c r="BZ104" i="5"/>
  <c r="BZ102" i="5"/>
  <c r="BZ100" i="5"/>
  <c r="BZ98" i="5"/>
  <c r="BZ96" i="5"/>
  <c r="BZ94" i="5"/>
  <c r="BZ92" i="5"/>
  <c r="BZ90" i="5"/>
  <c r="BZ88" i="5"/>
  <c r="BZ86" i="5"/>
  <c r="BZ84" i="5"/>
  <c r="BZ82" i="5"/>
  <c r="BZ80" i="5"/>
  <c r="BZ78" i="5"/>
  <c r="BZ76" i="5"/>
  <c r="BZ74" i="5"/>
  <c r="BZ72" i="5"/>
  <c r="BZ70" i="5"/>
  <c r="BZ68" i="5"/>
  <c r="BZ66" i="5"/>
  <c r="BZ64" i="5"/>
  <c r="BZ62" i="5"/>
  <c r="BZ60" i="5"/>
  <c r="BZ58" i="5"/>
  <c r="BZ56" i="5"/>
  <c r="BZ54" i="5"/>
  <c r="BZ52" i="5"/>
  <c r="BZ50" i="5"/>
  <c r="BZ48" i="5"/>
  <c r="BZ46" i="5"/>
  <c r="BZ44" i="5"/>
  <c r="BZ42" i="5"/>
  <c r="BZ40" i="5"/>
  <c r="BZ38" i="5"/>
  <c r="BZ36" i="5"/>
  <c r="BZ34" i="5"/>
  <c r="BZ32" i="5"/>
  <c r="BZ30" i="5"/>
  <c r="BZ28" i="5"/>
  <c r="BZ26" i="5"/>
  <c r="BZ24" i="5"/>
  <c r="E3" i="5"/>
  <c r="B802" i="5" s="1"/>
  <c r="E2" i="5"/>
  <c r="E9" i="5"/>
  <c r="B883" i="5" s="1"/>
  <c r="B799" i="5"/>
  <c r="B797" i="5"/>
  <c r="B795" i="5"/>
  <c r="B793" i="5"/>
  <c r="B791" i="5"/>
  <c r="B789" i="5"/>
  <c r="B798" i="5"/>
  <c r="B796" i="5"/>
  <c r="B794" i="5"/>
  <c r="B792" i="5"/>
  <c r="B790" i="5"/>
  <c r="B788" i="5"/>
  <c r="BY15" i="5"/>
  <c r="BT16" i="5"/>
  <c r="BU16" i="5" s="1"/>
  <c r="AT15" i="5"/>
  <c r="AT113" i="5"/>
  <c r="BP113" i="5" s="1"/>
  <c r="AT111" i="5"/>
  <c r="BP111" i="5" s="1"/>
  <c r="AT109" i="5"/>
  <c r="BP109" i="5" s="1"/>
  <c r="AT107" i="5"/>
  <c r="BP107" i="5" s="1"/>
  <c r="AT105" i="5"/>
  <c r="BP105" i="5" s="1"/>
  <c r="AT103" i="5"/>
  <c r="BP103" i="5" s="1"/>
  <c r="AT101" i="5"/>
  <c r="BP101" i="5" s="1"/>
  <c r="AT99" i="5"/>
  <c r="BP99" i="5" s="1"/>
  <c r="AT97" i="5"/>
  <c r="BP97" i="5" s="1"/>
  <c r="AT95" i="5"/>
  <c r="BP95" i="5" s="1"/>
  <c r="AT93" i="5"/>
  <c r="BP93" i="5" s="1"/>
  <c r="AT91" i="5"/>
  <c r="BP91" i="5" s="1"/>
  <c r="AT89" i="5"/>
  <c r="BP89" i="5" s="1"/>
  <c r="AT87" i="5"/>
  <c r="BP87" i="5" s="1"/>
  <c r="AT85" i="5"/>
  <c r="BP85" i="5" s="1"/>
  <c r="AT83" i="5"/>
  <c r="BP83" i="5" s="1"/>
  <c r="AT81" i="5"/>
  <c r="BP81" i="5" s="1"/>
  <c r="AT79" i="5"/>
  <c r="BP79" i="5" s="1"/>
  <c r="AT77" i="5"/>
  <c r="BP77" i="5" s="1"/>
  <c r="AT75" i="5"/>
  <c r="BP75" i="5" s="1"/>
  <c r="AT73" i="5"/>
  <c r="BP73" i="5" s="1"/>
  <c r="AT71" i="5"/>
  <c r="BP71" i="5" s="1"/>
  <c r="AT69" i="5"/>
  <c r="BP69" i="5" s="1"/>
  <c r="AT67" i="5"/>
  <c r="AT65" i="5"/>
  <c r="AT63" i="5"/>
  <c r="AT61" i="5"/>
  <c r="AT59" i="5"/>
  <c r="AT57" i="5"/>
  <c r="AT55" i="5"/>
  <c r="AT53" i="5"/>
  <c r="AT51" i="5"/>
  <c r="AT49" i="5"/>
  <c r="AT47" i="5"/>
  <c r="AT45" i="5"/>
  <c r="AT43" i="5"/>
  <c r="AT41" i="5"/>
  <c r="AT39" i="5"/>
  <c r="AT37" i="5"/>
  <c r="AT35" i="5"/>
  <c r="AT33" i="5"/>
  <c r="AT31" i="5"/>
  <c r="AT29" i="5"/>
  <c r="AT27" i="5"/>
  <c r="AT25" i="5"/>
  <c r="AT23" i="5"/>
  <c r="AT21" i="5"/>
  <c r="AT19" i="5"/>
  <c r="AT17" i="5"/>
  <c r="AT114" i="5"/>
  <c r="AT112" i="5"/>
  <c r="BP112" i="5" s="1"/>
  <c r="AT110" i="5"/>
  <c r="BP110" i="5" s="1"/>
  <c r="AT108" i="5"/>
  <c r="BP108" i="5" s="1"/>
  <c r="AT106" i="5"/>
  <c r="BP106" i="5" s="1"/>
  <c r="AT104" i="5"/>
  <c r="BP104" i="5" s="1"/>
  <c r="AT102" i="5"/>
  <c r="BP102" i="5" s="1"/>
  <c r="AT100" i="5"/>
  <c r="BP100" i="5" s="1"/>
  <c r="AT98" i="5"/>
  <c r="BP98" i="5" s="1"/>
  <c r="AT96" i="5"/>
  <c r="BP96" i="5" s="1"/>
  <c r="AT94" i="5"/>
  <c r="BP94" i="5" s="1"/>
  <c r="AT92" i="5"/>
  <c r="BP92" i="5" s="1"/>
  <c r="AT90" i="5"/>
  <c r="BP90" i="5" s="1"/>
  <c r="AT88" i="5"/>
  <c r="BP88" i="5" s="1"/>
  <c r="AT86" i="5"/>
  <c r="BP86" i="5" s="1"/>
  <c r="AT84" i="5"/>
  <c r="BP84" i="5" s="1"/>
  <c r="AT82" i="5"/>
  <c r="BP82" i="5" s="1"/>
  <c r="AT80" i="5"/>
  <c r="BP80" i="5" s="1"/>
  <c r="AT78" i="5"/>
  <c r="BP78" i="5" s="1"/>
  <c r="AT76" i="5"/>
  <c r="BP76" i="5" s="1"/>
  <c r="AT74" i="5"/>
  <c r="BP74" i="5" s="1"/>
  <c r="AT72" i="5"/>
  <c r="BP72" i="5" s="1"/>
  <c r="AT70" i="5"/>
  <c r="BP70" i="5" s="1"/>
  <c r="AT68" i="5"/>
  <c r="AT66" i="5"/>
  <c r="AT64" i="5"/>
  <c r="AT62" i="5"/>
  <c r="AT60" i="5"/>
  <c r="AT58" i="5"/>
  <c r="AT56" i="5"/>
  <c r="AT54" i="5"/>
  <c r="AT52" i="5"/>
  <c r="AT50" i="5"/>
  <c r="AT48" i="5"/>
  <c r="AT46" i="5"/>
  <c r="AT44" i="5"/>
  <c r="AT42" i="5"/>
  <c r="AT40" i="5"/>
  <c r="AT38" i="5"/>
  <c r="AT36" i="5"/>
  <c r="AT34" i="5"/>
  <c r="AT32" i="5"/>
  <c r="AT30" i="5"/>
  <c r="AT28" i="5"/>
  <c r="AT26" i="5"/>
  <c r="AT24" i="5"/>
  <c r="AT22" i="5"/>
  <c r="AT20" i="5"/>
  <c r="AT18" i="5"/>
  <c r="B713" i="5"/>
  <c r="B711" i="5"/>
  <c r="B709" i="5"/>
  <c r="B707" i="5"/>
  <c r="B705" i="5"/>
  <c r="B703" i="5"/>
  <c r="B701" i="5"/>
  <c r="B699" i="5"/>
  <c r="B697" i="5"/>
  <c r="B695" i="5"/>
  <c r="B693" i="5"/>
  <c r="B714" i="5"/>
  <c r="B712" i="5"/>
  <c r="B710" i="5"/>
  <c r="B708" i="5"/>
  <c r="B706" i="5"/>
  <c r="B704" i="5"/>
  <c r="B702" i="5"/>
  <c r="B700" i="5"/>
  <c r="B698" i="5"/>
  <c r="B696" i="5"/>
  <c r="B694" i="5"/>
  <c r="B316" i="5"/>
  <c r="B317" i="5"/>
  <c r="B315" i="5"/>
  <c r="B313" i="5"/>
  <c r="B314" i="5"/>
  <c r="B312" i="5"/>
  <c r="B692" i="5"/>
  <c r="CP23" i="9" l="1"/>
  <c r="CE76" i="5"/>
  <c r="CD76" i="5"/>
  <c r="CE75" i="5"/>
  <c r="CD75" i="5"/>
  <c r="CE73" i="5"/>
  <c r="CD73" i="5"/>
  <c r="B777" i="5" s="1"/>
  <c r="CA76" i="5"/>
  <c r="CB76" i="5"/>
  <c r="CA75" i="5"/>
  <c r="CB75" i="5"/>
  <c r="CA74" i="5"/>
  <c r="CB74" i="5"/>
  <c r="CA73" i="5"/>
  <c r="CB73" i="5"/>
  <c r="CA72" i="5"/>
  <c r="CB72" i="5"/>
  <c r="CA71" i="5"/>
  <c r="CB71" i="5"/>
  <c r="B844" i="5" s="1"/>
  <c r="B289" i="9"/>
  <c r="AK23" i="16"/>
  <c r="A1263" i="16" s="1"/>
  <c r="AF24" i="16"/>
  <c r="AG24" i="16" s="1"/>
  <c r="AH24" i="16" s="1"/>
  <c r="AI24" i="16" s="1"/>
  <c r="A1046" i="16" s="1"/>
  <c r="AD24" i="16"/>
  <c r="AJ24" i="16"/>
  <c r="AK24" i="16" s="1"/>
  <c r="A1264" i="16" s="1"/>
  <c r="A624" i="16"/>
  <c r="Q25" i="16"/>
  <c r="R25" i="16" s="1"/>
  <c r="AA25" i="16" s="1"/>
  <c r="AL23" i="16"/>
  <c r="A1367" i="16" s="1"/>
  <c r="A1159" i="16"/>
  <c r="CA66" i="5"/>
  <c r="CB66" i="5"/>
  <c r="CA70" i="5"/>
  <c r="CB70" i="5"/>
  <c r="CD70" i="5"/>
  <c r="CE70" i="5"/>
  <c r="CE30" i="5"/>
  <c r="CD30" i="5"/>
  <c r="CA65" i="5"/>
  <c r="CB65" i="5"/>
  <c r="CA69" i="5"/>
  <c r="CB69" i="5"/>
  <c r="CD69" i="5"/>
  <c r="CE69" i="5"/>
  <c r="CE29" i="5"/>
  <c r="CD29" i="5"/>
  <c r="CA68" i="5"/>
  <c r="CB68" i="5"/>
  <c r="CD68" i="5"/>
  <c r="CE68" i="5"/>
  <c r="CA67" i="5"/>
  <c r="CB67" i="5"/>
  <c r="CD67" i="5"/>
  <c r="CE67" i="5"/>
  <c r="CE38" i="5"/>
  <c r="CD38" i="5"/>
  <c r="CE50" i="5"/>
  <c r="CD50" i="5"/>
  <c r="CA55" i="5"/>
  <c r="CB55" i="5"/>
  <c r="CA63" i="5"/>
  <c r="CB63" i="5"/>
  <c r="CD63" i="5"/>
  <c r="CE63" i="5"/>
  <c r="CA64" i="5"/>
  <c r="B827" i="5" s="1"/>
  <c r="CB64" i="5"/>
  <c r="CE53" i="5"/>
  <c r="CD53" i="5"/>
  <c r="CD64" i="5"/>
  <c r="B776" i="5" s="1"/>
  <c r="CE64" i="5"/>
  <c r="CA62" i="5"/>
  <c r="CB62" i="5"/>
  <c r="CD62" i="5"/>
  <c r="CE62" i="5"/>
  <c r="CA61" i="5"/>
  <c r="CB61" i="5"/>
  <c r="CD61" i="5"/>
  <c r="CE61" i="5"/>
  <c r="CE44" i="5"/>
  <c r="CD44" i="5"/>
  <c r="CA58" i="5"/>
  <c r="CB58" i="5"/>
  <c r="CE35" i="5"/>
  <c r="CD35" i="5"/>
  <c r="CE47" i="5"/>
  <c r="CD47" i="5"/>
  <c r="CD58" i="5"/>
  <c r="CE58" i="5"/>
  <c r="CA52" i="5"/>
  <c r="CB52" i="5"/>
  <c r="CD52" i="5"/>
  <c r="CE52" i="5"/>
  <c r="CA59" i="5"/>
  <c r="CB59" i="5"/>
  <c r="CD59" i="5"/>
  <c r="CE59" i="5"/>
  <c r="CA60" i="5"/>
  <c r="CB60" i="5"/>
  <c r="CD60" i="5"/>
  <c r="CE60" i="5"/>
  <c r="CE57" i="5"/>
  <c r="CD57" i="5"/>
  <c r="CA57" i="5"/>
  <c r="CB57" i="5"/>
  <c r="CE56" i="5"/>
  <c r="CD56" i="5"/>
  <c r="CA53" i="5"/>
  <c r="CB53" i="5"/>
  <c r="CA30" i="5"/>
  <c r="CB30" i="5"/>
  <c r="CE39" i="5"/>
  <c r="CD39" i="5"/>
  <c r="CE51" i="5"/>
  <c r="CD51" i="5"/>
  <c r="CE34" i="5"/>
  <c r="CD34" i="5"/>
  <c r="CE46" i="5"/>
  <c r="CD46" i="5"/>
  <c r="CA34" i="5"/>
  <c r="CB34" i="5"/>
  <c r="BA36" i="5"/>
  <c r="L31" i="16"/>
  <c r="CA54" i="5"/>
  <c r="CB54" i="5"/>
  <c r="CA51" i="5"/>
  <c r="CB51" i="5"/>
  <c r="CE42" i="5"/>
  <c r="CD42" i="5"/>
  <c r="CD54" i="5"/>
  <c r="CE54" i="5"/>
  <c r="CA56" i="5"/>
  <c r="CB56" i="5"/>
  <c r="CA37" i="5"/>
  <c r="CB37" i="5"/>
  <c r="CA49" i="5"/>
  <c r="CB49" i="5"/>
  <c r="CD37" i="5"/>
  <c r="CE37" i="5"/>
  <c r="CD49" i="5"/>
  <c r="CE49" i="5"/>
  <c r="CA38" i="5"/>
  <c r="CB38" i="5"/>
  <c r="CA50" i="5"/>
  <c r="CB50" i="5"/>
  <c r="CA39" i="5"/>
  <c r="CB39" i="5"/>
  <c r="CA43" i="5"/>
  <c r="CB43" i="5"/>
  <c r="CD43" i="5"/>
  <c r="CE43" i="5"/>
  <c r="CA44" i="5"/>
  <c r="CB44" i="5"/>
  <c r="CA48" i="5"/>
  <c r="CB48" i="5"/>
  <c r="CE36" i="5"/>
  <c r="CD36" i="5"/>
  <c r="CD48" i="5"/>
  <c r="CE48" i="5"/>
  <c r="CA47" i="5"/>
  <c r="CB47" i="5"/>
  <c r="CA46" i="5"/>
  <c r="CB46" i="5"/>
  <c r="CE45" i="5"/>
  <c r="CD45" i="5"/>
  <c r="CA45" i="5"/>
  <c r="CB45" i="5"/>
  <c r="CA42" i="5"/>
  <c r="CB42" i="5"/>
  <c r="CA41" i="5"/>
  <c r="CB41" i="5"/>
  <c r="CE40" i="5"/>
  <c r="CD40" i="5"/>
  <c r="CA40" i="5"/>
  <c r="CB40" i="5"/>
  <c r="CA36" i="5"/>
  <c r="B823" i="5" s="1"/>
  <c r="CB36" i="5"/>
  <c r="CA35" i="5"/>
  <c r="CB35" i="5"/>
  <c r="CA33" i="5"/>
  <c r="CB33" i="5"/>
  <c r="CD33" i="5"/>
  <c r="CE33" i="5"/>
  <c r="AU32" i="5"/>
  <c r="AU33" i="5" s="1"/>
  <c r="CP32" i="5"/>
  <c r="N27" i="16"/>
  <c r="O27" i="16" s="1"/>
  <c r="N36" i="16"/>
  <c r="O36" i="16" s="1"/>
  <c r="N26" i="16"/>
  <c r="O26" i="16" s="1"/>
  <c r="CA114" i="5"/>
  <c r="CB114" i="5"/>
  <c r="CD114" i="5"/>
  <c r="B783" i="5" s="1"/>
  <c r="CE114" i="5"/>
  <c r="B882" i="5" s="1"/>
  <c r="CL24" i="9"/>
  <c r="CP24" i="9" s="1"/>
  <c r="BB32" i="5"/>
  <c r="AC32" i="5" s="1"/>
  <c r="AV31" i="5"/>
  <c r="CA31" i="5"/>
  <c r="CB31" i="5"/>
  <c r="CD31" i="5"/>
  <c r="CE31" i="5"/>
  <c r="T87" i="14"/>
  <c r="U87" i="14"/>
  <c r="V87" i="14" s="1"/>
  <c r="F87" i="14" s="1"/>
  <c r="B309" i="14" s="1"/>
  <c r="R86" i="14"/>
  <c r="S87" i="14"/>
  <c r="CA32" i="5"/>
  <c r="CB32" i="5"/>
  <c r="CD32" i="5"/>
  <c r="CE32" i="5"/>
  <c r="B759" i="5"/>
  <c r="B763" i="5"/>
  <c r="B758" i="5"/>
  <c r="B762" i="5"/>
  <c r="B761" i="5"/>
  <c r="B760" i="5"/>
  <c r="BP114" i="5"/>
  <c r="B764" i="5" s="1"/>
  <c r="CA25" i="5"/>
  <c r="CB25" i="5"/>
  <c r="CA19" i="5"/>
  <c r="CB19" i="5"/>
  <c r="CA22" i="5"/>
  <c r="CB22" i="5"/>
  <c r="CA29" i="5"/>
  <c r="CB29" i="5"/>
  <c r="AC31" i="5"/>
  <c r="AC30" i="5"/>
  <c r="CB28" i="5"/>
  <c r="CA28" i="5"/>
  <c r="CA27" i="5"/>
  <c r="CB27" i="5"/>
  <c r="CA26" i="5"/>
  <c r="CB26" i="5"/>
  <c r="CA24" i="5"/>
  <c r="CB24" i="5"/>
  <c r="CA23" i="5"/>
  <c r="CB23" i="5"/>
  <c r="CA21" i="5"/>
  <c r="CB21" i="5"/>
  <c r="CA20" i="5"/>
  <c r="CB20" i="5"/>
  <c r="B847" i="5"/>
  <c r="CD21" i="5"/>
  <c r="CD25" i="5"/>
  <c r="CD20" i="5"/>
  <c r="CD24" i="5"/>
  <c r="CD28" i="5"/>
  <c r="CD23" i="5"/>
  <c r="CD27" i="5"/>
  <c r="CD22" i="5"/>
  <c r="CD26" i="5"/>
  <c r="CD19" i="5"/>
  <c r="CE17" i="5"/>
  <c r="CE16" i="5"/>
  <c r="CE15" i="5"/>
  <c r="J30" i="12"/>
  <c r="L30" i="12"/>
  <c r="B850" i="5"/>
  <c r="O31" i="12"/>
  <c r="N32" i="12"/>
  <c r="CH25" i="9"/>
  <c r="CI25" i="9" s="1"/>
  <c r="AO25" i="9"/>
  <c r="AW25" i="9"/>
  <c r="AV41" i="5"/>
  <c r="AU42" i="5"/>
  <c r="AX41" i="5"/>
  <c r="CB16" i="5"/>
  <c r="CY109" i="5"/>
  <c r="B564" i="5" s="1"/>
  <c r="CW109" i="5"/>
  <c r="CO108" i="5"/>
  <c r="CV109" i="5"/>
  <c r="BF20" i="8"/>
  <c r="B849" i="5"/>
  <c r="B845" i="5"/>
  <c r="BF21" i="8"/>
  <c r="B431" i="9"/>
  <c r="BI431" i="9"/>
  <c r="BI21" i="9"/>
  <c r="BI432" i="9" s="1"/>
  <c r="BF20" i="9"/>
  <c r="BG20" i="9" s="1"/>
  <c r="DC20" i="9"/>
  <c r="BB23" i="9"/>
  <c r="BC22" i="9"/>
  <c r="AO22" i="9"/>
  <c r="BD22" i="9" s="1"/>
  <c r="B660" i="9"/>
  <c r="AI22" i="9"/>
  <c r="AJ22" i="9" s="1"/>
  <c r="AK22" i="9" s="1"/>
  <c r="AZ23" i="9"/>
  <c r="AV21" i="9"/>
  <c r="BE21" i="9" s="1"/>
  <c r="DC21" i="9" s="1"/>
  <c r="AZ22" i="9"/>
  <c r="AX22" i="9"/>
  <c r="BH22" i="9" s="1"/>
  <c r="BA22" i="9"/>
  <c r="BB22" i="9"/>
  <c r="CQ24" i="9"/>
  <c r="AE23" i="5"/>
  <c r="AF22" i="5"/>
  <c r="AU25" i="9"/>
  <c r="AT26" i="9"/>
  <c r="AY26" i="9" s="1"/>
  <c r="AO26" i="9" s="1"/>
  <c r="BL26" i="9"/>
  <c r="BM26" i="9" s="1"/>
  <c r="BN26" i="9" s="1"/>
  <c r="CB18" i="5"/>
  <c r="AI21" i="8"/>
  <c r="B176" i="8" s="1"/>
  <c r="AD113" i="8"/>
  <c r="AE112" i="8"/>
  <c r="B222" i="8" s="1"/>
  <c r="BE23" i="8"/>
  <c r="BF22" i="8"/>
  <c r="AY22" i="8"/>
  <c r="AU22" i="8"/>
  <c r="AX22" i="8"/>
  <c r="AF22" i="8"/>
  <c r="AG22" i="8" s="1"/>
  <c r="AH22" i="8" s="1"/>
  <c r="AB22" i="8"/>
  <c r="AK22" i="8" s="1"/>
  <c r="AJ22" i="8" s="1"/>
  <c r="AS24" i="8"/>
  <c r="AV23" i="8"/>
  <c r="AT23" i="8"/>
  <c r="AW22" i="8" s="1"/>
  <c r="BK21" i="8"/>
  <c r="BO21" i="8" s="1"/>
  <c r="BP21" i="8" s="1"/>
  <c r="BP15" i="5"/>
  <c r="B828" i="5"/>
  <c r="B824" i="5"/>
  <c r="B829" i="5"/>
  <c r="B833" i="5"/>
  <c r="BD16" i="5"/>
  <c r="BC15" i="5"/>
  <c r="AG15" i="5"/>
  <c r="AH15" i="5" s="1"/>
  <c r="CB17" i="5"/>
  <c r="B875" i="5"/>
  <c r="B879" i="5"/>
  <c r="B869" i="5"/>
  <c r="B877" i="5"/>
  <c r="B881" i="5"/>
  <c r="B876" i="5"/>
  <c r="B880" i="5"/>
  <c r="B878" i="5"/>
  <c r="B831" i="5"/>
  <c r="B830" i="5"/>
  <c r="B834" i="5"/>
  <c r="B832" i="5"/>
  <c r="B808" i="5"/>
  <c r="B812" i="5"/>
  <c r="B816" i="5"/>
  <c r="BY16" i="5"/>
  <c r="BV16" i="5"/>
  <c r="BZ16" i="5" s="1"/>
  <c r="B807" i="5"/>
  <c r="B811" i="5"/>
  <c r="B815" i="5"/>
  <c r="B806" i="5"/>
  <c r="B810" i="5"/>
  <c r="B814" i="5"/>
  <c r="B805" i="5"/>
  <c r="B809" i="5"/>
  <c r="B813" i="5"/>
  <c r="BT17" i="5"/>
  <c r="BU17" i="5" s="1"/>
  <c r="B801" i="5"/>
  <c r="B771" i="5" l="1"/>
  <c r="AU34" i="5"/>
  <c r="BA37" i="5"/>
  <c r="BB37" i="5" s="1"/>
  <c r="DE36" i="5"/>
  <c r="DF36" i="5"/>
  <c r="B843" i="5"/>
  <c r="B872" i="5"/>
  <c r="AF25" i="16"/>
  <c r="AG25" i="16" s="1"/>
  <c r="AH25" i="16" s="1"/>
  <c r="AI25" i="16" s="1"/>
  <c r="A1047" i="16" s="1"/>
  <c r="Q26" i="16"/>
  <c r="AJ25" i="16"/>
  <c r="AD25" i="16"/>
  <c r="A625" i="16"/>
  <c r="AL24" i="16"/>
  <c r="A1368" i="16" s="1"/>
  <c r="A1160" i="16"/>
  <c r="R26" i="16"/>
  <c r="AA26" i="16" s="1"/>
  <c r="B874" i="5"/>
  <c r="B826" i="5"/>
  <c r="B775" i="5"/>
  <c r="B873" i="5"/>
  <c r="B825" i="5"/>
  <c r="B774" i="5"/>
  <c r="AK25" i="16"/>
  <c r="A1265" i="16" s="1"/>
  <c r="B820" i="5"/>
  <c r="AV33" i="5"/>
  <c r="AX33" i="5" s="1"/>
  <c r="B871" i="5"/>
  <c r="B772" i="5"/>
  <c r="BA38" i="5"/>
  <c r="L33" i="16"/>
  <c r="B773" i="5"/>
  <c r="L32" i="16"/>
  <c r="BB36" i="5"/>
  <c r="CP33" i="5"/>
  <c r="B322" i="5" s="1"/>
  <c r="CX33" i="5"/>
  <c r="AV32" i="5"/>
  <c r="N28" i="16"/>
  <c r="O28" i="16" s="1"/>
  <c r="AX32" i="5"/>
  <c r="BB33" i="5"/>
  <c r="AC33" i="5" s="1"/>
  <c r="AX31" i="5"/>
  <c r="N37" i="16"/>
  <c r="B822" i="5"/>
  <c r="B870" i="5"/>
  <c r="T86" i="14"/>
  <c r="U86" i="14"/>
  <c r="V86" i="14" s="1"/>
  <c r="F86" i="14" s="1"/>
  <c r="B308" i="14" s="1"/>
  <c r="R85" i="14"/>
  <c r="S86" i="14"/>
  <c r="B868" i="5"/>
  <c r="B821" i="5"/>
  <c r="B841" i="5"/>
  <c r="CH26" i="9"/>
  <c r="CI26" i="9" s="1"/>
  <c r="B770" i="5"/>
  <c r="B769" i="5"/>
  <c r="B840" i="5"/>
  <c r="N33" i="12"/>
  <c r="O32" i="12"/>
  <c r="H37" i="13"/>
  <c r="B842" i="5"/>
  <c r="J31" i="12"/>
  <c r="L31" i="12"/>
  <c r="B839" i="5"/>
  <c r="CL25" i="9"/>
  <c r="CP25" i="9" s="1"/>
  <c r="H38" i="13"/>
  <c r="AV42" i="5"/>
  <c r="AU43" i="5"/>
  <c r="AX42" i="5"/>
  <c r="CW108" i="5"/>
  <c r="CY108" i="5"/>
  <c r="B563" i="5" s="1"/>
  <c r="CO107" i="5"/>
  <c r="CV108" i="5"/>
  <c r="B229" i="8"/>
  <c r="AI22" i="8"/>
  <c r="AO23" i="9"/>
  <c r="BD23" i="9" s="1"/>
  <c r="BC23" i="9"/>
  <c r="BA23" i="9"/>
  <c r="AV22" i="9"/>
  <c r="BE22" i="9" s="1"/>
  <c r="B164" i="9"/>
  <c r="AX23" i="9"/>
  <c r="BH23" i="9" s="1"/>
  <c r="CR23" i="9" s="1"/>
  <c r="B505" i="9" s="1"/>
  <c r="AI23" i="9"/>
  <c r="AJ23" i="9" s="1"/>
  <c r="AK23" i="9" s="1"/>
  <c r="BI22" i="9"/>
  <c r="B273" i="9"/>
  <c r="BF21" i="9"/>
  <c r="CH27" i="9"/>
  <c r="CI27" i="9" s="1"/>
  <c r="AE24" i="5"/>
  <c r="AF23" i="5"/>
  <c r="BL27" i="9"/>
  <c r="BM27" i="9" s="1"/>
  <c r="BN27" i="9" s="1"/>
  <c r="AU26" i="9"/>
  <c r="AT27" i="9"/>
  <c r="AY27" i="9" s="1"/>
  <c r="AD114" i="8"/>
  <c r="AE114" i="8" s="1"/>
  <c r="AE113" i="8"/>
  <c r="BE24" i="8"/>
  <c r="BF23" i="8"/>
  <c r="BK22" i="8"/>
  <c r="BO22" i="8" s="1"/>
  <c r="BP22" i="8" s="1"/>
  <c r="AY23" i="8"/>
  <c r="AU23" i="8"/>
  <c r="AX23" i="8"/>
  <c r="AF23" i="8"/>
  <c r="AG23" i="8" s="1"/>
  <c r="AH23" i="8" s="1"/>
  <c r="AB23" i="8"/>
  <c r="AK23" i="8" s="1"/>
  <c r="AJ23" i="8" s="1"/>
  <c r="AS25" i="8"/>
  <c r="AV24" i="8"/>
  <c r="AT24" i="8"/>
  <c r="AW23" i="8" s="1"/>
  <c r="AL15" i="5"/>
  <c r="BH16" i="5"/>
  <c r="BP16" i="5" s="1"/>
  <c r="AG16" i="5"/>
  <c r="AH16" i="5" s="1"/>
  <c r="AI16" i="5" s="1"/>
  <c r="AJ16" i="5" s="1"/>
  <c r="BC16" i="5"/>
  <c r="B838" i="5"/>
  <c r="BE15" i="5"/>
  <c r="BN15" i="5" s="1"/>
  <c r="BF15" i="5" s="1"/>
  <c r="BG15" i="5" s="1"/>
  <c r="BD17" i="5"/>
  <c r="BT18" i="5"/>
  <c r="BU18" i="5" s="1"/>
  <c r="B837" i="5"/>
  <c r="B836" i="5"/>
  <c r="BY17" i="5"/>
  <c r="BV17" i="5"/>
  <c r="BZ17" i="5" s="1"/>
  <c r="AX34" i="5" l="1"/>
  <c r="AX35" i="5"/>
  <c r="AJ26" i="16"/>
  <c r="A1162" i="16" s="1"/>
  <c r="A626" i="16"/>
  <c r="BB34" i="5"/>
  <c r="AC34" i="5" s="1"/>
  <c r="N29" i="16"/>
  <c r="O29" i="16" s="1"/>
  <c r="AV34" i="5"/>
  <c r="N30" i="16"/>
  <c r="O30" i="16" s="1"/>
  <c r="BB35" i="5"/>
  <c r="AC35" i="5" s="1"/>
  <c r="DE37" i="5"/>
  <c r="DF37" i="5"/>
  <c r="B632" i="5" s="1"/>
  <c r="B856" i="5"/>
  <c r="Q27" i="16"/>
  <c r="R27" i="16" s="1"/>
  <c r="AA27" i="16" s="1"/>
  <c r="AF26" i="16"/>
  <c r="AG26" i="16" s="1"/>
  <c r="AH26" i="16" s="1"/>
  <c r="AI26" i="16" s="1"/>
  <c r="A1048" i="16" s="1"/>
  <c r="AL26" i="16"/>
  <c r="A1370" i="16" s="1"/>
  <c r="AD26" i="16"/>
  <c r="AL25" i="16"/>
  <c r="A1369" i="16" s="1"/>
  <c r="A1161" i="16"/>
  <c r="BA39" i="5"/>
  <c r="G36" i="16" s="1"/>
  <c r="A274" i="16" s="1"/>
  <c r="G35" i="16"/>
  <c r="A273" i="16" s="1"/>
  <c r="AJ27" i="16"/>
  <c r="A1163" i="16" s="1"/>
  <c r="BA40" i="5"/>
  <c r="L35" i="16"/>
  <c r="L34" i="16"/>
  <c r="BB38" i="5"/>
  <c r="N38" i="16"/>
  <c r="T85" i="14"/>
  <c r="U85" i="14"/>
  <c r="V85" i="14" s="1"/>
  <c r="F85" i="14" s="1"/>
  <c r="B307" i="14" s="1"/>
  <c r="R84" i="14"/>
  <c r="S85" i="14"/>
  <c r="BV18" i="5"/>
  <c r="BZ18" i="5" s="1"/>
  <c r="BY18" i="5"/>
  <c r="CL26" i="9"/>
  <c r="CP26" i="9" s="1"/>
  <c r="N34" i="12"/>
  <c r="O33" i="12"/>
  <c r="J32" i="12"/>
  <c r="L32" i="12"/>
  <c r="CQ25" i="9"/>
  <c r="H39" i="13"/>
  <c r="AV43" i="5"/>
  <c r="AO27" i="9"/>
  <c r="AU44" i="5"/>
  <c r="AX43" i="5"/>
  <c r="AW21" i="9"/>
  <c r="BO21" i="9"/>
  <c r="AE25" i="5"/>
  <c r="AF24" i="5"/>
  <c r="CY107" i="5"/>
  <c r="B562" i="5" s="1"/>
  <c r="CW107" i="5"/>
  <c r="CO106" i="5"/>
  <c r="CV107" i="5"/>
  <c r="B223" i="8"/>
  <c r="BI23" i="9"/>
  <c r="BI434" i="9" s="1"/>
  <c r="B432" i="9"/>
  <c r="BI433" i="9"/>
  <c r="AV24" i="9"/>
  <c r="BE24" i="9" s="1"/>
  <c r="BG21" i="9"/>
  <c r="BF22" i="9"/>
  <c r="AZ24" i="9"/>
  <c r="BA24" i="9"/>
  <c r="AH24" i="9"/>
  <c r="AI24" i="9" s="1"/>
  <c r="AJ24" i="9" s="1"/>
  <c r="AX24" i="9"/>
  <c r="BH24" i="9" s="1"/>
  <c r="AV23" i="9"/>
  <c r="BE23" i="9" s="1"/>
  <c r="BC24" i="9"/>
  <c r="AD24" i="9"/>
  <c r="AM24" i="9" s="1"/>
  <c r="AL24" i="9" s="1"/>
  <c r="BB24" i="9"/>
  <c r="BD24" i="9" s="1"/>
  <c r="BA25" i="9"/>
  <c r="CL27" i="9"/>
  <c r="CH28" i="9"/>
  <c r="CI28" i="9" s="1"/>
  <c r="AU27" i="9"/>
  <c r="AT28" i="9"/>
  <c r="AY28" i="9" s="1"/>
  <c r="BL28" i="9"/>
  <c r="BM28" i="9" s="1"/>
  <c r="AI23" i="8"/>
  <c r="BE25" i="8"/>
  <c r="BF24" i="8"/>
  <c r="AY24" i="8"/>
  <c r="AU24" i="8"/>
  <c r="AX24" i="8"/>
  <c r="AF24" i="8"/>
  <c r="AG24" i="8" s="1"/>
  <c r="AH24" i="8" s="1"/>
  <c r="AB24" i="8"/>
  <c r="AK24" i="8" s="1"/>
  <c r="AJ24" i="8" s="1"/>
  <c r="AS26" i="8"/>
  <c r="AV25" i="8"/>
  <c r="AT25" i="8"/>
  <c r="AW24" i="8" s="1"/>
  <c r="BK23" i="8"/>
  <c r="BO23" i="8" s="1"/>
  <c r="BP23" i="8" s="1"/>
  <c r="AL16" i="5"/>
  <c r="BE16" i="5"/>
  <c r="BN16" i="5" s="1"/>
  <c r="BF16" i="5" s="1"/>
  <c r="BG16" i="5" s="1"/>
  <c r="B665" i="5"/>
  <c r="BT19" i="5"/>
  <c r="BT20" i="5" s="1"/>
  <c r="BH17" i="5"/>
  <c r="BP17" i="5" s="1"/>
  <c r="BD18" i="5"/>
  <c r="AL17" i="5"/>
  <c r="BC17" i="5"/>
  <c r="AG17" i="5"/>
  <c r="AH17" i="5" s="1"/>
  <c r="AI17" i="5" s="1"/>
  <c r="AJ17" i="5" s="1"/>
  <c r="AF27" i="16" l="1"/>
  <c r="AG27" i="16" s="1"/>
  <c r="AH27" i="16" s="1"/>
  <c r="AI27" i="16" s="1"/>
  <c r="A1049" i="16" s="1"/>
  <c r="CQ26" i="9"/>
  <c r="AD27" i="16"/>
  <c r="Q28" i="16"/>
  <c r="R28" i="16" s="1"/>
  <c r="AA28" i="16" s="1"/>
  <c r="A627" i="16"/>
  <c r="AK26" i="16"/>
  <c r="A1266" i="16" s="1"/>
  <c r="BB39" i="5"/>
  <c r="AL27" i="16"/>
  <c r="A1371" i="16" s="1"/>
  <c r="BA41" i="5"/>
  <c r="BA42" i="5" s="1"/>
  <c r="L36" i="16"/>
  <c r="BB40" i="5"/>
  <c r="N39" i="16"/>
  <c r="T84" i="14"/>
  <c r="U84" i="14"/>
  <c r="V84" i="14" s="1"/>
  <c r="F84" i="14" s="1"/>
  <c r="B306" i="14" s="1"/>
  <c r="R83" i="14"/>
  <c r="S84" i="14"/>
  <c r="N35" i="12"/>
  <c r="O34" i="12"/>
  <c r="J33" i="12"/>
  <c r="B141" i="12" s="1"/>
  <c r="L33" i="12"/>
  <c r="B166" i="12" s="1"/>
  <c r="AV44" i="5"/>
  <c r="AU45" i="5"/>
  <c r="AX44" i="5"/>
  <c r="AE26" i="5"/>
  <c r="AF26" i="5" s="1"/>
  <c r="AF25" i="5"/>
  <c r="BO22" i="9"/>
  <c r="AW22" i="9"/>
  <c r="BS21" i="9"/>
  <c r="B726" i="9" s="1"/>
  <c r="BT21" i="9"/>
  <c r="B742" i="9" s="1"/>
  <c r="CW106" i="5"/>
  <c r="CY106" i="5"/>
  <c r="B561" i="5" s="1"/>
  <c r="CO105" i="5"/>
  <c r="CV106" i="5"/>
  <c r="BI24" i="9"/>
  <c r="BI435" i="9" s="1"/>
  <c r="BN28" i="9"/>
  <c r="BR28" i="9" s="1"/>
  <c r="B695" i="9" s="1"/>
  <c r="BQ28" i="9"/>
  <c r="AZ25" i="9"/>
  <c r="AD25" i="9"/>
  <c r="AM25" i="9" s="1"/>
  <c r="AL25" i="9" s="1"/>
  <c r="BB25" i="9"/>
  <c r="AH25" i="9"/>
  <c r="AI25" i="9" s="1"/>
  <c r="AJ25" i="9" s="1"/>
  <c r="BC25" i="9"/>
  <c r="AX25" i="9"/>
  <c r="BH25" i="9" s="1"/>
  <c r="AZ26" i="9"/>
  <c r="B228" i="9"/>
  <c r="B338" i="9"/>
  <c r="AK24" i="9"/>
  <c r="BF23" i="9"/>
  <c r="BG22" i="9"/>
  <c r="CQ27" i="9"/>
  <c r="CP27" i="9"/>
  <c r="BB26" i="9"/>
  <c r="AD26" i="9"/>
  <c r="AM26" i="9" s="1"/>
  <c r="AL26" i="9" s="1"/>
  <c r="BC26" i="9"/>
  <c r="B181" i="9"/>
  <c r="CL28" i="9"/>
  <c r="CH29" i="9"/>
  <c r="CI29" i="9" s="1"/>
  <c r="AU28" i="9"/>
  <c r="AT29" i="9"/>
  <c r="AY29" i="9" s="1"/>
  <c r="BL29" i="9"/>
  <c r="BM29" i="9" s="1"/>
  <c r="BN29" i="9" s="1"/>
  <c r="BE26" i="8"/>
  <c r="BF25" i="8"/>
  <c r="AI24" i="8"/>
  <c r="BK24" i="8"/>
  <c r="BO24" i="8" s="1"/>
  <c r="BP24" i="8" s="1"/>
  <c r="AY25" i="8"/>
  <c r="AU25" i="8"/>
  <c r="AX25" i="8"/>
  <c r="AF25" i="8"/>
  <c r="AG25" i="8" s="1"/>
  <c r="AH25" i="8" s="1"/>
  <c r="AB25" i="8"/>
  <c r="AK25" i="8" s="1"/>
  <c r="AJ25" i="8" s="1"/>
  <c r="AS27" i="8"/>
  <c r="AV26" i="8"/>
  <c r="AT26" i="8"/>
  <c r="BU19" i="5"/>
  <c r="BE17" i="5"/>
  <c r="BN17" i="5" s="1"/>
  <c r="BH18" i="5"/>
  <c r="BD19" i="5"/>
  <c r="BC18" i="5"/>
  <c r="AG18" i="5"/>
  <c r="AH18" i="5" s="1"/>
  <c r="AI18" i="5" s="1"/>
  <c r="AJ18" i="5" s="1"/>
  <c r="BT21" i="5"/>
  <c r="BT22" i="5" s="1"/>
  <c r="BU20" i="5"/>
  <c r="AF28" i="16" l="1"/>
  <c r="AK25" i="9"/>
  <c r="AJ28" i="16"/>
  <c r="A1164" i="16" s="1"/>
  <c r="Q29" i="16"/>
  <c r="R29" i="16" s="1"/>
  <c r="AA29" i="16" s="1"/>
  <c r="A628" i="16"/>
  <c r="AK27" i="16"/>
  <c r="A1267" i="16" s="1"/>
  <c r="AD28" i="16"/>
  <c r="AI28" i="16"/>
  <c r="A1050" i="16" s="1"/>
  <c r="AG28" i="16"/>
  <c r="AH28" i="16" s="1"/>
  <c r="BA43" i="5"/>
  <c r="BA44" i="5" s="1"/>
  <c r="L38" i="16"/>
  <c r="L37" i="16"/>
  <c r="BB41" i="5"/>
  <c r="BB42" i="5"/>
  <c r="N40" i="16"/>
  <c r="T83" i="14"/>
  <c r="U83" i="14"/>
  <c r="V83" i="14" s="1"/>
  <c r="F83" i="14" s="1"/>
  <c r="B305" i="14" s="1"/>
  <c r="R82" i="14"/>
  <c r="S83" i="14"/>
  <c r="BV20" i="5"/>
  <c r="BZ20" i="5" s="1"/>
  <c r="BY20" i="5"/>
  <c r="J34" i="12"/>
  <c r="L34" i="12"/>
  <c r="N36" i="12"/>
  <c r="O35" i="12"/>
  <c r="H41" i="13"/>
  <c r="BV19" i="5"/>
  <c r="BZ19" i="5" s="1"/>
  <c r="BY19" i="5"/>
  <c r="AV45" i="5"/>
  <c r="AE27" i="5"/>
  <c r="AE28" i="5" s="1"/>
  <c r="AO29" i="9"/>
  <c r="AW29" i="9"/>
  <c r="AU46" i="5"/>
  <c r="AX45" i="5"/>
  <c r="BS22" i="9"/>
  <c r="BT22" i="9"/>
  <c r="AW23" i="9"/>
  <c r="BO23" i="9"/>
  <c r="B433" i="9"/>
  <c r="BF17" i="5"/>
  <c r="BG17" i="5" s="1"/>
  <c r="CY105" i="5"/>
  <c r="B560" i="5" s="1"/>
  <c r="CW105" i="5"/>
  <c r="CO104" i="5"/>
  <c r="CV105" i="5"/>
  <c r="BD25" i="9"/>
  <c r="BD427" i="9" s="1"/>
  <c r="BD26" i="9"/>
  <c r="BI26" i="9" s="1"/>
  <c r="BI437" i="9" s="1"/>
  <c r="BI25" i="9"/>
  <c r="BI436" i="9" s="1"/>
  <c r="CS28" i="9"/>
  <c r="B522" i="9" s="1"/>
  <c r="B678" i="9"/>
  <c r="AV25" i="9"/>
  <c r="BE25" i="9" s="1"/>
  <c r="AH26" i="9"/>
  <c r="AI26" i="9" s="1"/>
  <c r="AJ26" i="9" s="1"/>
  <c r="AK26" i="9" s="1"/>
  <c r="BA26" i="9"/>
  <c r="AX26" i="9"/>
  <c r="BH26" i="9" s="1"/>
  <c r="BG23" i="9"/>
  <c r="BF24" i="9"/>
  <c r="B229" i="9"/>
  <c r="CQ28" i="9"/>
  <c r="CP28" i="9"/>
  <c r="CL29" i="9"/>
  <c r="CH30" i="9"/>
  <c r="CI30" i="9" s="1"/>
  <c r="BL30" i="9"/>
  <c r="BM30" i="9" s="1"/>
  <c r="BN30" i="9" s="1"/>
  <c r="AU29" i="9"/>
  <c r="AT30" i="9"/>
  <c r="AY30" i="9" s="1"/>
  <c r="BE27" i="8"/>
  <c r="BF26" i="8"/>
  <c r="AI25" i="8"/>
  <c r="BK25" i="8"/>
  <c r="BO25" i="8" s="1"/>
  <c r="BP25" i="8" s="1"/>
  <c r="AY26" i="8"/>
  <c r="AU26" i="8"/>
  <c r="AX26" i="8"/>
  <c r="AF26" i="8"/>
  <c r="AG26" i="8" s="1"/>
  <c r="AH26" i="8" s="1"/>
  <c r="AB26" i="8"/>
  <c r="AK26" i="8" s="1"/>
  <c r="AJ26" i="8" s="1"/>
  <c r="AS28" i="8"/>
  <c r="AV27" i="8"/>
  <c r="AT27" i="8"/>
  <c r="AW25" i="8"/>
  <c r="AL18" i="5"/>
  <c r="BH19" i="5"/>
  <c r="BP19" i="5" s="1"/>
  <c r="BE18" i="5"/>
  <c r="BN18" i="5" s="1"/>
  <c r="BD20" i="5"/>
  <c r="BC19" i="5"/>
  <c r="AG19" i="5"/>
  <c r="AH19" i="5" s="1"/>
  <c r="AI19" i="5" s="1"/>
  <c r="AJ19" i="5" s="1"/>
  <c r="BU22" i="5"/>
  <c r="BU21" i="5"/>
  <c r="BT23" i="5"/>
  <c r="AF29" i="16" l="1"/>
  <c r="AG29" i="16" s="1"/>
  <c r="AH29" i="16" s="1"/>
  <c r="AK28" i="16"/>
  <c r="A1268" i="16" s="1"/>
  <c r="BL19" i="5"/>
  <c r="BQ19" i="5" s="1"/>
  <c r="Q30" i="16"/>
  <c r="R30" i="16" s="1"/>
  <c r="AJ29" i="16"/>
  <c r="AL29" i="16" s="1"/>
  <c r="A1373" i="16" s="1"/>
  <c r="AL28" i="16"/>
  <c r="A1372" i="16" s="1"/>
  <c r="A629" i="16"/>
  <c r="AD29" i="16"/>
  <c r="AI29" i="16"/>
  <c r="A1051" i="16" s="1"/>
  <c r="BA45" i="5"/>
  <c r="BB46" i="5" s="1"/>
  <c r="L40" i="16"/>
  <c r="L39" i="16"/>
  <c r="BB43" i="5"/>
  <c r="BB44" i="5"/>
  <c r="N41" i="16"/>
  <c r="T82" i="14"/>
  <c r="U82" i="14"/>
  <c r="V82" i="14" s="1"/>
  <c r="F82" i="14" s="1"/>
  <c r="B304" i="14" s="1"/>
  <c r="R81" i="14"/>
  <c r="S82" i="14"/>
  <c r="J35" i="12"/>
  <c r="L35" i="12"/>
  <c r="N37" i="12"/>
  <c r="O36" i="12"/>
  <c r="H42" i="13"/>
  <c r="AF27" i="5"/>
  <c r="AE29" i="5"/>
  <c r="AF28" i="5"/>
  <c r="B401" i="5" s="1"/>
  <c r="AV46" i="5"/>
  <c r="AO30" i="9"/>
  <c r="AW30" i="9"/>
  <c r="AU47" i="5"/>
  <c r="N42" i="16" s="1"/>
  <c r="AX46" i="5"/>
  <c r="BO24" i="9"/>
  <c r="AW24" i="9"/>
  <c r="BG24" i="9" s="1"/>
  <c r="BS23" i="9"/>
  <c r="BT23" i="9"/>
  <c r="BF18" i="5"/>
  <c r="BG18" i="5" s="1"/>
  <c r="CW104" i="5"/>
  <c r="CY104" i="5"/>
  <c r="B559" i="5" s="1"/>
  <c r="CO103" i="5"/>
  <c r="CV104" i="5"/>
  <c r="BD428" i="9"/>
  <c r="B434" i="9"/>
  <c r="BF25" i="9"/>
  <c r="CQ29" i="9"/>
  <c r="CP29" i="9"/>
  <c r="AZ27" i="9"/>
  <c r="BA27" i="9"/>
  <c r="AH27" i="9"/>
  <c r="AI27" i="9" s="1"/>
  <c r="AJ27" i="9" s="1"/>
  <c r="AX27" i="9"/>
  <c r="AV26" i="9"/>
  <c r="BE26" i="9" s="1"/>
  <c r="BC27" i="9"/>
  <c r="AD27" i="9"/>
  <c r="AM27" i="9" s="1"/>
  <c r="AL27" i="9" s="1"/>
  <c r="BB27" i="9"/>
  <c r="CL30" i="9"/>
  <c r="CH31" i="9"/>
  <c r="CI31" i="9" s="1"/>
  <c r="BV21" i="5"/>
  <c r="BZ21" i="5" s="1"/>
  <c r="B803" i="5" s="1"/>
  <c r="BY21" i="5"/>
  <c r="B786" i="5" s="1"/>
  <c r="AU30" i="9"/>
  <c r="AT31" i="9"/>
  <c r="AY31" i="9" s="1"/>
  <c r="BL31" i="9"/>
  <c r="BM31" i="9" s="1"/>
  <c r="BN31" i="9" s="1"/>
  <c r="AI26" i="8"/>
  <c r="BE28" i="8"/>
  <c r="BF27" i="8"/>
  <c r="AY27" i="8"/>
  <c r="AU27" i="8"/>
  <c r="AX27" i="8"/>
  <c r="AF27" i="8"/>
  <c r="AG27" i="8" s="1"/>
  <c r="AB27" i="8"/>
  <c r="AK27" i="8" s="1"/>
  <c r="AJ27" i="8" s="1"/>
  <c r="AS29" i="8"/>
  <c r="AV28" i="8"/>
  <c r="AT28" i="8"/>
  <c r="BK26" i="8"/>
  <c r="BO26" i="8" s="1"/>
  <c r="BP26" i="8" s="1"/>
  <c r="AW26" i="8"/>
  <c r="BH20" i="5"/>
  <c r="BP20" i="5" s="1"/>
  <c r="BD21" i="5"/>
  <c r="BC20" i="5"/>
  <c r="AW13" i="5" s="1"/>
  <c r="AG20" i="5"/>
  <c r="AH20" i="5" s="1"/>
  <c r="AI20" i="5" s="1"/>
  <c r="AJ20" i="5" s="1"/>
  <c r="BE19" i="5"/>
  <c r="B666" i="5"/>
  <c r="BU23" i="5"/>
  <c r="BV22" i="5"/>
  <c r="BZ22" i="5" s="1"/>
  <c r="B804" i="5" s="1"/>
  <c r="BY22" i="5"/>
  <c r="B787" i="5" s="1"/>
  <c r="BT24" i="5"/>
  <c r="BV23" i="5"/>
  <c r="AF30" i="16" l="1"/>
  <c r="AA30" i="16"/>
  <c r="H16" i="13"/>
  <c r="AD30" i="16"/>
  <c r="AG30" i="16"/>
  <c r="AH30" i="16" s="1"/>
  <c r="AI30" i="16" s="1"/>
  <c r="A1052" i="16" s="1"/>
  <c r="A630" i="16"/>
  <c r="AJ30" i="16"/>
  <c r="AL30" i="16" s="1"/>
  <c r="A1374" i="16" s="1"/>
  <c r="Q31" i="16"/>
  <c r="R31" i="16" s="1"/>
  <c r="AA31" i="16" s="1"/>
  <c r="AK29" i="16"/>
  <c r="A1269" i="16" s="1"/>
  <c r="A1165" i="16"/>
  <c r="AK30" i="16"/>
  <c r="A1270" i="16" s="1"/>
  <c r="L41" i="16"/>
  <c r="BB45" i="5"/>
  <c r="BL20" i="5"/>
  <c r="BQ20" i="5" s="1"/>
  <c r="T81" i="14"/>
  <c r="U81" i="14"/>
  <c r="V81" i="14" s="1"/>
  <c r="F81" i="14" s="1"/>
  <c r="B303" i="14" s="1"/>
  <c r="R80" i="14"/>
  <c r="S81" i="14"/>
  <c r="J36" i="12"/>
  <c r="L36" i="12"/>
  <c r="N38" i="12"/>
  <c r="O37" i="12"/>
  <c r="AE30" i="5"/>
  <c r="AF29" i="5"/>
  <c r="BM19" i="5"/>
  <c r="BN19" i="5" s="1"/>
  <c r="BB47" i="5"/>
  <c r="AV47" i="5"/>
  <c r="AO31" i="9"/>
  <c r="BD31" i="9" s="1"/>
  <c r="BD433" i="9" s="1"/>
  <c r="AW31" i="9"/>
  <c r="AU48" i="5"/>
  <c r="AX47" i="5"/>
  <c r="BS24" i="9"/>
  <c r="BT24" i="9"/>
  <c r="CY103" i="5"/>
  <c r="B558" i="5" s="1"/>
  <c r="CW103" i="5"/>
  <c r="CO102" i="5"/>
  <c r="CV103" i="5"/>
  <c r="BI438" i="9"/>
  <c r="BD429" i="9"/>
  <c r="BF26" i="9"/>
  <c r="BG25" i="9"/>
  <c r="AV27" i="9"/>
  <c r="AO28" i="9"/>
  <c r="BC28" i="9"/>
  <c r="AZ28" i="9"/>
  <c r="BA28" i="9"/>
  <c r="AH28" i="9"/>
  <c r="AI28" i="9" s="1"/>
  <c r="AJ28" i="9" s="1"/>
  <c r="AX28" i="9"/>
  <c r="BH28" i="9" s="1"/>
  <c r="B661" i="9" s="1"/>
  <c r="AD28" i="9"/>
  <c r="AM28" i="9" s="1"/>
  <c r="AL28" i="9" s="1"/>
  <c r="BB28" i="9"/>
  <c r="CQ30" i="9"/>
  <c r="CP30" i="9"/>
  <c r="AK27" i="9"/>
  <c r="CL31" i="9"/>
  <c r="CH32" i="9"/>
  <c r="CI32" i="9" s="1"/>
  <c r="AU31" i="9"/>
  <c r="AT32" i="9"/>
  <c r="AY32" i="9" s="1"/>
  <c r="BL32" i="9"/>
  <c r="BM32" i="9" s="1"/>
  <c r="BN32" i="9" s="1"/>
  <c r="BE29" i="8"/>
  <c r="BF28" i="8"/>
  <c r="B230" i="8" s="1"/>
  <c r="BK27" i="8"/>
  <c r="BO27" i="8" s="1"/>
  <c r="BP27" i="8" s="1"/>
  <c r="AY28" i="8"/>
  <c r="AU28" i="8"/>
  <c r="AX28" i="8"/>
  <c r="AF28" i="8"/>
  <c r="AG28" i="8" s="1"/>
  <c r="AH28" i="8" s="1"/>
  <c r="AB28" i="8"/>
  <c r="AK28" i="8" s="1"/>
  <c r="AJ28" i="8" s="1"/>
  <c r="B193" i="8" s="1"/>
  <c r="AV29" i="8"/>
  <c r="AT29" i="8"/>
  <c r="AS30" i="8"/>
  <c r="AW27" i="8"/>
  <c r="AH27" i="8"/>
  <c r="AI27" i="8" s="1"/>
  <c r="AL20" i="5"/>
  <c r="AK20" i="5" s="1"/>
  <c r="BH21" i="5"/>
  <c r="BD22" i="5"/>
  <c r="BC21" i="5"/>
  <c r="AG21" i="5"/>
  <c r="AH21" i="5" s="1"/>
  <c r="AI21" i="5" s="1"/>
  <c r="AJ21" i="5" s="1"/>
  <c r="BE20" i="5"/>
  <c r="BM20" i="5" s="1"/>
  <c r="BU24" i="5"/>
  <c r="BV24" i="5" s="1"/>
  <c r="BT25" i="5"/>
  <c r="AF31" i="16" l="1"/>
  <c r="AG31" i="16" s="1"/>
  <c r="AH31" i="16" s="1"/>
  <c r="AI31" i="16" s="1"/>
  <c r="A1053" i="16" s="1"/>
  <c r="AJ31" i="16"/>
  <c r="A1166" i="16"/>
  <c r="Q32" i="16"/>
  <c r="R32" i="16" s="1"/>
  <c r="AA32" i="16" s="1"/>
  <c r="A631" i="16"/>
  <c r="AD31" i="16"/>
  <c r="BI31" i="9"/>
  <c r="BD28" i="9"/>
  <c r="BD430" i="9" s="1"/>
  <c r="B667" i="5"/>
  <c r="N43" i="16"/>
  <c r="AK31" i="16"/>
  <c r="A1271" i="16" s="1"/>
  <c r="H17" i="13"/>
  <c r="T80" i="14"/>
  <c r="U80" i="14"/>
  <c r="V80" i="14" s="1"/>
  <c r="F80" i="14" s="1"/>
  <c r="B302" i="14" s="1"/>
  <c r="R79" i="14"/>
  <c r="S80" i="14"/>
  <c r="BL21" i="5"/>
  <c r="BQ21" i="5" s="1"/>
  <c r="BP21" i="5"/>
  <c r="B750" i="5" s="1"/>
  <c r="BF19" i="5"/>
  <c r="BG19" i="5" s="1"/>
  <c r="BO19" i="5" s="1"/>
  <c r="J37" i="12"/>
  <c r="L37" i="12"/>
  <c r="N39" i="12"/>
  <c r="O38" i="12"/>
  <c r="AE31" i="5"/>
  <c r="AF30" i="5"/>
  <c r="BN20" i="5"/>
  <c r="BB48" i="5"/>
  <c r="AV48" i="5"/>
  <c r="AX48" i="5" s="1"/>
  <c r="AO32" i="9"/>
  <c r="AW32" i="9"/>
  <c r="AU49" i="5"/>
  <c r="BO26" i="9"/>
  <c r="AW26" i="9"/>
  <c r="CW102" i="5"/>
  <c r="CY102" i="5"/>
  <c r="B557" i="5" s="1"/>
  <c r="CO101" i="5"/>
  <c r="CV102" i="5"/>
  <c r="BF27" i="9"/>
  <c r="BG26" i="9"/>
  <c r="B306" i="9"/>
  <c r="CJ28" i="9"/>
  <c r="B197" i="9" s="1"/>
  <c r="BI28" i="9"/>
  <c r="B435" i="9" s="1"/>
  <c r="BB30" i="9"/>
  <c r="BD30" i="9" s="1"/>
  <c r="AK28" i="9"/>
  <c r="B290" i="9" s="1"/>
  <c r="CQ31" i="9"/>
  <c r="CP31" i="9"/>
  <c r="AV28" i="9"/>
  <c r="BE28" i="9" s="1"/>
  <c r="B274" i="9" s="1"/>
  <c r="BC29" i="9"/>
  <c r="AD29" i="9"/>
  <c r="AM29" i="9" s="1"/>
  <c r="AL29" i="9" s="1"/>
  <c r="BB29" i="9"/>
  <c r="BD29" i="9" s="1"/>
  <c r="AZ29" i="9"/>
  <c r="BA29" i="9"/>
  <c r="AH29" i="9"/>
  <c r="AI29" i="9" s="1"/>
  <c r="AJ29" i="9" s="1"/>
  <c r="AK29" i="9" s="1"/>
  <c r="AX29" i="9"/>
  <c r="BH29" i="9" s="1"/>
  <c r="CL32" i="9"/>
  <c r="CH33" i="9"/>
  <c r="CI33" i="9" s="1"/>
  <c r="AU32" i="9"/>
  <c r="AT33" i="9"/>
  <c r="AY33" i="9" s="1"/>
  <c r="BL33" i="9"/>
  <c r="BM33" i="9" s="1"/>
  <c r="BN33" i="9" s="1"/>
  <c r="BE30" i="8"/>
  <c r="BF29" i="8"/>
  <c r="AI28" i="8"/>
  <c r="B177" i="8" s="1"/>
  <c r="AX29" i="8"/>
  <c r="AF29" i="8"/>
  <c r="AG29" i="8" s="1"/>
  <c r="AB29" i="8"/>
  <c r="AK29" i="8" s="1"/>
  <c r="AJ29" i="8" s="1"/>
  <c r="AY29" i="8"/>
  <c r="AU29" i="8"/>
  <c r="BK28" i="8"/>
  <c r="BO28" i="8" s="1"/>
  <c r="BP28" i="8" s="1"/>
  <c r="AV30" i="8"/>
  <c r="AT30" i="8"/>
  <c r="AW29" i="8" s="1"/>
  <c r="AS31" i="8"/>
  <c r="AW28" i="8"/>
  <c r="AL21" i="5"/>
  <c r="B336" i="5"/>
  <c r="BD23" i="5"/>
  <c r="BC22" i="5"/>
  <c r="AG22" i="5"/>
  <c r="AH22" i="5" s="1"/>
  <c r="AI22" i="5" s="1"/>
  <c r="AJ22" i="5" s="1"/>
  <c r="BE21" i="5"/>
  <c r="BM21" i="5" s="1"/>
  <c r="BH22" i="5"/>
  <c r="BU25" i="5"/>
  <c r="BV25" i="5" s="1"/>
  <c r="BT26" i="5"/>
  <c r="AF32" i="16" l="1"/>
  <c r="AJ32" i="16"/>
  <c r="AL32" i="16" s="1"/>
  <c r="A1376" i="16" s="1"/>
  <c r="AG32" i="16"/>
  <c r="AH32" i="16" s="1"/>
  <c r="AL31" i="16"/>
  <c r="A1375" i="16" s="1"/>
  <c r="A1167" i="16"/>
  <c r="AI32" i="16"/>
  <c r="A1054" i="16" s="1"/>
  <c r="Q33" i="16"/>
  <c r="R33" i="16" s="1"/>
  <c r="AA33" i="16" s="1"/>
  <c r="A632" i="16"/>
  <c r="AD32" i="16"/>
  <c r="N44" i="16"/>
  <c r="O44" i="16" s="1"/>
  <c r="H18" i="13"/>
  <c r="T79" i="14"/>
  <c r="U79" i="14"/>
  <c r="V79" i="14" s="1"/>
  <c r="F79" i="14" s="1"/>
  <c r="B301" i="14" s="1"/>
  <c r="R78" i="14"/>
  <c r="S79" i="14"/>
  <c r="BP22" i="5"/>
  <c r="BP744" i="5" s="1"/>
  <c r="BL22" i="5"/>
  <c r="BQ22" i="5" s="1"/>
  <c r="BF20" i="5"/>
  <c r="BG20" i="5" s="1"/>
  <c r="BO20" i="5" s="1"/>
  <c r="N40" i="12"/>
  <c r="O39" i="12"/>
  <c r="J38" i="12"/>
  <c r="B142" i="12" s="1"/>
  <c r="L38" i="12"/>
  <c r="B167" i="12" s="1"/>
  <c r="AF31" i="5"/>
  <c r="AE32" i="5"/>
  <c r="H45" i="13"/>
  <c r="B368" i="5"/>
  <c r="BB49" i="5"/>
  <c r="AV49" i="5"/>
  <c r="AO33" i="9"/>
  <c r="AW33" i="9"/>
  <c r="BO27" i="9"/>
  <c r="AW27" i="9"/>
  <c r="AU50" i="5"/>
  <c r="AX49" i="5" s="1"/>
  <c r="BS26" i="9"/>
  <c r="BT26" i="9"/>
  <c r="BN21" i="5"/>
  <c r="CY101" i="5"/>
  <c r="B556" i="5" s="1"/>
  <c r="CW101" i="5"/>
  <c r="CO100" i="5"/>
  <c r="CV101" i="5"/>
  <c r="BI29" i="9"/>
  <c r="BD431" i="9"/>
  <c r="BI30" i="9"/>
  <c r="BD432" i="9"/>
  <c r="BF28" i="9"/>
  <c r="AH30" i="9"/>
  <c r="AI30" i="9" s="1"/>
  <c r="AJ30" i="9" s="1"/>
  <c r="BA30" i="9"/>
  <c r="BC30" i="9"/>
  <c r="AX30" i="9"/>
  <c r="BH30" i="9" s="1"/>
  <c r="AZ30" i="9"/>
  <c r="AV29" i="9"/>
  <c r="BE29" i="9" s="1"/>
  <c r="AD30" i="9"/>
  <c r="AM30" i="9" s="1"/>
  <c r="AL30" i="9" s="1"/>
  <c r="CQ32" i="9"/>
  <c r="CP32" i="9"/>
  <c r="CL33" i="9"/>
  <c r="CH34" i="9"/>
  <c r="CI34" i="9" s="1"/>
  <c r="BL34" i="9"/>
  <c r="BM34" i="9" s="1"/>
  <c r="BN34" i="9" s="1"/>
  <c r="AU33" i="9"/>
  <c r="AT34" i="9"/>
  <c r="AY34" i="9" s="1"/>
  <c r="BE31" i="8"/>
  <c r="BF30" i="8"/>
  <c r="AV31" i="8"/>
  <c r="AT31" i="8"/>
  <c r="AW30" i="8" s="1"/>
  <c r="AS32" i="8"/>
  <c r="AX30" i="8"/>
  <c r="AF30" i="8"/>
  <c r="AG30" i="8" s="1"/>
  <c r="AH30" i="8" s="1"/>
  <c r="AB30" i="8"/>
  <c r="AK30" i="8" s="1"/>
  <c r="AJ30" i="8" s="1"/>
  <c r="AY30" i="8"/>
  <c r="AU30" i="8"/>
  <c r="BK29" i="8"/>
  <c r="BO29" i="8" s="1"/>
  <c r="BP29" i="8" s="1"/>
  <c r="AH29" i="8"/>
  <c r="AI29" i="8" s="1"/>
  <c r="AL22" i="5"/>
  <c r="BE22" i="5"/>
  <c r="BM22" i="5" s="1"/>
  <c r="BH23" i="5"/>
  <c r="BP23" i="5" s="1"/>
  <c r="BD24" i="5"/>
  <c r="BC23" i="5"/>
  <c r="BL23" i="5" s="1"/>
  <c r="BQ23" i="5" s="1"/>
  <c r="AG23" i="5"/>
  <c r="AH23" i="5" s="1"/>
  <c r="AI23" i="5" s="1"/>
  <c r="AJ23" i="5" s="1"/>
  <c r="BU26" i="5"/>
  <c r="BV26" i="5" s="1"/>
  <c r="BT27" i="5"/>
  <c r="AF33" i="16" l="1"/>
  <c r="Q34" i="16"/>
  <c r="R34" i="16" s="1"/>
  <c r="AA34" i="16" s="1"/>
  <c r="A633" i="16"/>
  <c r="AJ33" i="16"/>
  <c r="AL33" i="16" s="1"/>
  <c r="A1377" i="16" s="1"/>
  <c r="AG33" i="16"/>
  <c r="AH33" i="16" s="1"/>
  <c r="AD33" i="16"/>
  <c r="AK32" i="16"/>
  <c r="A1272" i="16" s="1"/>
  <c r="A1168" i="16"/>
  <c r="AI33" i="16"/>
  <c r="A1055" i="16" s="1"/>
  <c r="N45" i="16"/>
  <c r="O45" i="16" s="1"/>
  <c r="H19" i="13"/>
  <c r="BB50" i="5"/>
  <c r="B668" i="5"/>
  <c r="T78" i="14"/>
  <c r="U78" i="14"/>
  <c r="V78" i="14" s="1"/>
  <c r="F78" i="14" s="1"/>
  <c r="B300" i="14" s="1"/>
  <c r="R77" i="14"/>
  <c r="S78" i="14"/>
  <c r="N41" i="12"/>
  <c r="O40" i="12"/>
  <c r="J39" i="12"/>
  <c r="L39" i="12"/>
  <c r="AF32" i="5"/>
  <c r="AE33" i="5"/>
  <c r="H20" i="13"/>
  <c r="BO28" i="9"/>
  <c r="AW28" i="9"/>
  <c r="AO34" i="9"/>
  <c r="AW34" i="9"/>
  <c r="BS27" i="9"/>
  <c r="BT27" i="9"/>
  <c r="AU51" i="5"/>
  <c r="AX50" i="5" s="1"/>
  <c r="AV50" i="5"/>
  <c r="B436" i="9"/>
  <c r="B304" i="5"/>
  <c r="BF21" i="5"/>
  <c r="BG21" i="5" s="1"/>
  <c r="BO21" i="5" s="1"/>
  <c r="BN22" i="5"/>
  <c r="CW100" i="5"/>
  <c r="CY100" i="5"/>
  <c r="B555" i="5" s="1"/>
  <c r="CO99" i="5"/>
  <c r="CV100" i="5"/>
  <c r="BF29" i="9"/>
  <c r="BG28" i="9"/>
  <c r="B339" i="9" s="1"/>
  <c r="AK30" i="9"/>
  <c r="BA32" i="9"/>
  <c r="AV30" i="9"/>
  <c r="BE30" i="9" s="1"/>
  <c r="AZ31" i="9"/>
  <c r="BA31" i="9"/>
  <c r="AD31" i="9"/>
  <c r="AM31" i="9" s="1"/>
  <c r="AL31" i="9" s="1"/>
  <c r="BB31" i="9"/>
  <c r="BC31" i="9"/>
  <c r="AH31" i="9"/>
  <c r="AI31" i="9" s="1"/>
  <c r="AJ31" i="9" s="1"/>
  <c r="AX31" i="9"/>
  <c r="BB32" i="9"/>
  <c r="BD32" i="9" s="1"/>
  <c r="CQ33" i="9"/>
  <c r="CP33" i="9"/>
  <c r="BC32" i="9"/>
  <c r="CL34" i="9"/>
  <c r="CH35" i="9"/>
  <c r="CI35" i="9" s="1"/>
  <c r="AU34" i="9"/>
  <c r="AT35" i="9"/>
  <c r="AY35" i="9" s="1"/>
  <c r="BL35" i="9"/>
  <c r="BM35" i="9" s="1"/>
  <c r="BN35" i="9" s="1"/>
  <c r="BE32" i="8"/>
  <c r="BF31" i="8"/>
  <c r="AI30" i="8"/>
  <c r="BK30" i="8"/>
  <c r="BO30" i="8" s="1"/>
  <c r="BP30" i="8" s="1"/>
  <c r="AV32" i="8"/>
  <c r="AT32" i="8"/>
  <c r="AW31" i="8" s="1"/>
  <c r="AS33" i="8"/>
  <c r="AX31" i="8"/>
  <c r="AF31" i="8"/>
  <c r="AG31" i="8" s="1"/>
  <c r="AH31" i="8" s="1"/>
  <c r="AB31" i="8"/>
  <c r="AK31" i="8" s="1"/>
  <c r="AJ31" i="8" s="1"/>
  <c r="AY31" i="8"/>
  <c r="AU31" i="8"/>
  <c r="AL23" i="5"/>
  <c r="BE23" i="5"/>
  <c r="BM23" i="5" s="1"/>
  <c r="BH24" i="5"/>
  <c r="BP24" i="5" s="1"/>
  <c r="BD25" i="5"/>
  <c r="BC24" i="5"/>
  <c r="BL24" i="5" s="1"/>
  <c r="BQ24" i="5" s="1"/>
  <c r="AG24" i="5"/>
  <c r="AH24" i="5" s="1"/>
  <c r="AI24" i="5" s="1"/>
  <c r="AJ24" i="5" s="1"/>
  <c r="BU27" i="5"/>
  <c r="BV27" i="5" s="1"/>
  <c r="BT28" i="5"/>
  <c r="AJ34" i="16" l="1"/>
  <c r="A1170" i="16" s="1"/>
  <c r="A1169" i="16"/>
  <c r="AF34" i="16"/>
  <c r="Q35" i="16"/>
  <c r="R35" i="16" s="1"/>
  <c r="AA35" i="16" s="1"/>
  <c r="AG34" i="16"/>
  <c r="AH34" i="16" s="1"/>
  <c r="AI34" i="16" s="1"/>
  <c r="A1056" i="16" s="1"/>
  <c r="A634" i="16"/>
  <c r="AD34" i="16"/>
  <c r="AK33" i="16"/>
  <c r="A1273" i="16" s="1"/>
  <c r="AL34" i="16"/>
  <c r="A1378" i="16" s="1"/>
  <c r="BB51" i="5"/>
  <c r="N46" i="16"/>
  <c r="O46" i="16" s="1"/>
  <c r="T77" i="14"/>
  <c r="U77" i="14"/>
  <c r="V77" i="14" s="1"/>
  <c r="F77" i="14" s="1"/>
  <c r="B299" i="14" s="1"/>
  <c r="R76" i="14"/>
  <c r="S77" i="14"/>
  <c r="N42" i="12"/>
  <c r="O41" i="12"/>
  <c r="J40" i="12"/>
  <c r="L40" i="12"/>
  <c r="AE34" i="5"/>
  <c r="AF33" i="5"/>
  <c r="H21" i="13"/>
  <c r="B417" i="5"/>
  <c r="BS28" i="9"/>
  <c r="B727" i="9" s="1"/>
  <c r="BT28" i="9"/>
  <c r="B743" i="9" s="1"/>
  <c r="AO35" i="9"/>
  <c r="AW35" i="9"/>
  <c r="AU52" i="5"/>
  <c r="AX51" i="5"/>
  <c r="AV51" i="5"/>
  <c r="BN23" i="5"/>
  <c r="BF22" i="5"/>
  <c r="BG22" i="5" s="1"/>
  <c r="BO22" i="5" s="1"/>
  <c r="CY99" i="5"/>
  <c r="B554" i="5" s="1"/>
  <c r="CW99" i="5"/>
  <c r="CO98" i="5"/>
  <c r="CV99" i="5"/>
  <c r="BD434" i="9"/>
  <c r="BI32" i="9"/>
  <c r="B437" i="9" s="1"/>
  <c r="BF30" i="9"/>
  <c r="BG29" i="9"/>
  <c r="AZ32" i="9"/>
  <c r="AD32" i="9"/>
  <c r="AM32" i="9" s="1"/>
  <c r="AL32" i="9" s="1"/>
  <c r="AV31" i="9"/>
  <c r="AH32" i="9"/>
  <c r="AI32" i="9" s="1"/>
  <c r="AJ32" i="9" s="1"/>
  <c r="AK32" i="9" s="1"/>
  <c r="AX32" i="9"/>
  <c r="BH32" i="9" s="1"/>
  <c r="AK31" i="9"/>
  <c r="CQ34" i="9"/>
  <c r="CP34" i="9"/>
  <c r="CL35" i="9"/>
  <c r="B182" i="9"/>
  <c r="CH36" i="9"/>
  <c r="CI36" i="9" s="1"/>
  <c r="BL36" i="9"/>
  <c r="BM36" i="9" s="1"/>
  <c r="BN36" i="9" s="1"/>
  <c r="AU35" i="9"/>
  <c r="AT36" i="9"/>
  <c r="AY36" i="9" s="1"/>
  <c r="BH25" i="5"/>
  <c r="BP25" i="5" s="1"/>
  <c r="BE24" i="5"/>
  <c r="BM24" i="5" s="1"/>
  <c r="BE33" i="8"/>
  <c r="BF32" i="8"/>
  <c r="AV33" i="8"/>
  <c r="AT33" i="8"/>
  <c r="AW32" i="8" s="1"/>
  <c r="AS34" i="8"/>
  <c r="AX32" i="8"/>
  <c r="AF32" i="8"/>
  <c r="AG32" i="8" s="1"/>
  <c r="AH32" i="8" s="1"/>
  <c r="AB32" i="8"/>
  <c r="AK32" i="8" s="1"/>
  <c r="AJ32" i="8" s="1"/>
  <c r="AY32" i="8"/>
  <c r="AU32" i="8"/>
  <c r="BK31" i="8"/>
  <c r="BO31" i="8" s="1"/>
  <c r="BP31" i="8" s="1"/>
  <c r="AI31" i="8"/>
  <c r="AL24" i="5"/>
  <c r="BD26" i="5"/>
  <c r="BC25" i="5"/>
  <c r="BL25" i="5" s="1"/>
  <c r="BQ25" i="5" s="1"/>
  <c r="AG25" i="5"/>
  <c r="AH25" i="5" s="1"/>
  <c r="AI25" i="5" s="1"/>
  <c r="AJ25" i="5" s="1"/>
  <c r="BU28" i="5"/>
  <c r="BV28" i="5" s="1"/>
  <c r="BT29" i="5"/>
  <c r="AK34" i="16" l="1"/>
  <c r="A1274" i="16" s="1"/>
  <c r="AJ35" i="16"/>
  <c r="AL35" i="16" s="1"/>
  <c r="A1379" i="16" s="1"/>
  <c r="A635" i="16"/>
  <c r="V35" i="16"/>
  <c r="AB35" i="16" s="1"/>
  <c r="AD35" i="16"/>
  <c r="Q36" i="16"/>
  <c r="R36" i="16" s="1"/>
  <c r="AA36" i="16" s="1"/>
  <c r="AI35" i="16"/>
  <c r="A1057" i="16" s="1"/>
  <c r="AF35" i="16"/>
  <c r="AG35" i="16" s="1"/>
  <c r="AH35" i="16" s="1"/>
  <c r="A1171" i="16"/>
  <c r="AK35" i="16"/>
  <c r="A1275" i="16" s="1"/>
  <c r="BB52" i="5"/>
  <c r="N47" i="16"/>
  <c r="T76" i="14"/>
  <c r="U76" i="14"/>
  <c r="V76" i="14" s="1"/>
  <c r="F76" i="14" s="1"/>
  <c r="B298" i="14" s="1"/>
  <c r="R75" i="14"/>
  <c r="S76" i="14"/>
  <c r="N43" i="12"/>
  <c r="O42" i="12"/>
  <c r="J41" i="12"/>
  <c r="L41" i="12"/>
  <c r="AE35" i="5"/>
  <c r="AF34" i="5"/>
  <c r="H22" i="13"/>
  <c r="B669" i="5"/>
  <c r="AU53" i="5"/>
  <c r="AV52" i="5"/>
  <c r="AX52" i="5"/>
  <c r="BN24" i="5"/>
  <c r="BF23" i="5"/>
  <c r="BG23" i="5" s="1"/>
  <c r="BO23" i="5" s="1"/>
  <c r="CW98" i="5"/>
  <c r="CY98" i="5"/>
  <c r="B553" i="5" s="1"/>
  <c r="CO97" i="5"/>
  <c r="CV98" i="5"/>
  <c r="BF31" i="9"/>
  <c r="BG30" i="9"/>
  <c r="BB33" i="9"/>
  <c r="BD33" i="9" s="1"/>
  <c r="AV32" i="9"/>
  <c r="BE32" i="9" s="1"/>
  <c r="AZ33" i="9"/>
  <c r="AH33" i="9"/>
  <c r="AI33" i="9" s="1"/>
  <c r="BA33" i="9"/>
  <c r="AX33" i="9"/>
  <c r="BH33" i="9" s="1"/>
  <c r="BC33" i="9"/>
  <c r="AD33" i="9"/>
  <c r="AM33" i="9" s="1"/>
  <c r="AL33" i="9" s="1"/>
  <c r="B230" i="9"/>
  <c r="CQ35" i="9"/>
  <c r="CP35" i="9"/>
  <c r="BC34" i="9"/>
  <c r="CL36" i="9"/>
  <c r="CH37" i="9"/>
  <c r="CI37" i="9" s="1"/>
  <c r="AU36" i="9"/>
  <c r="AT37" i="9"/>
  <c r="AY37" i="9" s="1"/>
  <c r="BL37" i="9"/>
  <c r="AI32" i="8"/>
  <c r="BE34" i="8"/>
  <c r="BF33" i="8"/>
  <c r="BK32" i="8"/>
  <c r="BO32" i="8" s="1"/>
  <c r="BP32" i="8" s="1"/>
  <c r="AV34" i="8"/>
  <c r="AT34" i="8"/>
  <c r="AW33" i="8" s="1"/>
  <c r="AS35" i="8"/>
  <c r="AX33" i="8"/>
  <c r="AF33" i="8"/>
  <c r="AG33" i="8" s="1"/>
  <c r="AH33" i="8" s="1"/>
  <c r="AB33" i="8"/>
  <c r="AK33" i="8" s="1"/>
  <c r="AJ33" i="8" s="1"/>
  <c r="AY33" i="8"/>
  <c r="AU33" i="8"/>
  <c r="AL25" i="5"/>
  <c r="BE25" i="5"/>
  <c r="BH26" i="5"/>
  <c r="BP26" i="5" s="1"/>
  <c r="BC26" i="5"/>
  <c r="AG26" i="5"/>
  <c r="AH26" i="5" s="1"/>
  <c r="AI26" i="5" s="1"/>
  <c r="AJ26" i="5" s="1"/>
  <c r="BD27" i="5"/>
  <c r="BE26" i="5"/>
  <c r="BM26" i="5" s="1"/>
  <c r="BU29" i="5"/>
  <c r="BV29" i="5" s="1"/>
  <c r="BT30" i="5"/>
  <c r="AF36" i="16" l="1"/>
  <c r="AG36" i="16" s="1"/>
  <c r="AH36" i="16" s="1"/>
  <c r="Q37" i="16"/>
  <c r="R37" i="16" s="1"/>
  <c r="AA37" i="16" s="1"/>
  <c r="A851" i="16"/>
  <c r="A636" i="16"/>
  <c r="AJ36" i="16"/>
  <c r="AL36" i="16" s="1"/>
  <c r="A1380" i="16" s="1"/>
  <c r="AE35" i="16"/>
  <c r="A956" i="16" s="1"/>
  <c r="AD36" i="16"/>
  <c r="V36" i="16"/>
  <c r="AB36" i="16" s="1"/>
  <c r="AI36" i="16"/>
  <c r="A1058" i="16" s="1"/>
  <c r="AJ37" i="16"/>
  <c r="A1173" i="16" s="1"/>
  <c r="BB53" i="5"/>
  <c r="N48" i="16"/>
  <c r="T75" i="14"/>
  <c r="U75" i="14"/>
  <c r="V75" i="14" s="1"/>
  <c r="F75" i="14" s="1"/>
  <c r="B297" i="14" s="1"/>
  <c r="R74" i="14"/>
  <c r="S75" i="14"/>
  <c r="BL26" i="5"/>
  <c r="BQ26" i="5" s="1"/>
  <c r="BF24" i="5"/>
  <c r="BG24" i="5" s="1"/>
  <c r="BO24" i="5" s="1"/>
  <c r="J42" i="12"/>
  <c r="L42" i="12"/>
  <c r="N44" i="12"/>
  <c r="O43" i="12"/>
  <c r="AE36" i="5"/>
  <c r="AF35" i="5"/>
  <c r="B402" i="5" s="1"/>
  <c r="BM25" i="5"/>
  <c r="BN25" i="5" s="1"/>
  <c r="AU54" i="5"/>
  <c r="N50" i="16" s="1"/>
  <c r="AV53" i="5"/>
  <c r="AX53" i="5"/>
  <c r="CY97" i="5"/>
  <c r="B552" i="5" s="1"/>
  <c r="CW97" i="5"/>
  <c r="CO96" i="5"/>
  <c r="CV97" i="5"/>
  <c r="BD435" i="9"/>
  <c r="BI33" i="9"/>
  <c r="BF32" i="9"/>
  <c r="BG31" i="9"/>
  <c r="AJ33" i="9"/>
  <c r="AK33" i="9" s="1"/>
  <c r="AV33" i="9"/>
  <c r="BE33" i="9" s="1"/>
  <c r="BA34" i="9"/>
  <c r="AD34" i="9"/>
  <c r="AM34" i="9" s="1"/>
  <c r="AL34" i="9" s="1"/>
  <c r="BB34" i="9"/>
  <c r="BD34" i="9" s="1"/>
  <c r="AH34" i="9"/>
  <c r="AI34" i="9" s="1"/>
  <c r="AJ34" i="9" s="1"/>
  <c r="AK34" i="9" s="1"/>
  <c r="AX34" i="9"/>
  <c r="BH34" i="9" s="1"/>
  <c r="AZ34" i="9"/>
  <c r="CQ36" i="9"/>
  <c r="CP36" i="9"/>
  <c r="CL37" i="9"/>
  <c r="CH38" i="9"/>
  <c r="CI38" i="9" s="1"/>
  <c r="BL38" i="9"/>
  <c r="BM38" i="9" s="1"/>
  <c r="BN38" i="9" s="1"/>
  <c r="AU37" i="9"/>
  <c r="AT38" i="9"/>
  <c r="AY38" i="9" s="1"/>
  <c r="BM37" i="9"/>
  <c r="BN37" i="9" s="1"/>
  <c r="BE35" i="8"/>
  <c r="BF34" i="8"/>
  <c r="AI33" i="8"/>
  <c r="AX34" i="8"/>
  <c r="AF34" i="8"/>
  <c r="AG34" i="8" s="1"/>
  <c r="AH34" i="8" s="1"/>
  <c r="AB34" i="8"/>
  <c r="AK34" i="8" s="1"/>
  <c r="AJ34" i="8" s="1"/>
  <c r="AY34" i="8"/>
  <c r="AU34" i="8"/>
  <c r="BK33" i="8"/>
  <c r="BO33" i="8" s="1"/>
  <c r="BP33" i="8" s="1"/>
  <c r="AV35" i="8"/>
  <c r="AT35" i="8"/>
  <c r="AS36" i="8"/>
  <c r="AL26" i="5"/>
  <c r="BH27" i="5"/>
  <c r="BP27" i="5" s="1"/>
  <c r="BD28" i="5"/>
  <c r="BC27" i="5"/>
  <c r="BL27" i="5" s="1"/>
  <c r="BQ27" i="5" s="1"/>
  <c r="AG27" i="5"/>
  <c r="AH27" i="5" s="1"/>
  <c r="AI27" i="5" s="1"/>
  <c r="AJ27" i="5" s="1"/>
  <c r="BU30" i="5"/>
  <c r="BV30" i="5" s="1"/>
  <c r="BT31" i="5"/>
  <c r="A1172" i="16" l="1"/>
  <c r="AF37" i="16"/>
  <c r="AG37" i="16" s="1"/>
  <c r="AH37" i="16" s="1"/>
  <c r="A637" i="16"/>
  <c r="V37" i="16"/>
  <c r="AB37" i="16" s="1"/>
  <c r="AD37" i="16"/>
  <c r="Q38" i="16"/>
  <c r="R38" i="16" s="1"/>
  <c r="AA38" i="16" s="1"/>
  <c r="AI37" i="16"/>
  <c r="A1059" i="16" s="1"/>
  <c r="AK36" i="16"/>
  <c r="A1276" i="16" s="1"/>
  <c r="AE36" i="16"/>
  <c r="A957" i="16" s="1"/>
  <c r="A852" i="16"/>
  <c r="AL37" i="16"/>
  <c r="A1381" i="16" s="1"/>
  <c r="AK37" i="16"/>
  <c r="A1277" i="16" s="1"/>
  <c r="N49" i="16"/>
  <c r="H23" i="13"/>
  <c r="A187" i="13" s="1"/>
  <c r="T74" i="14"/>
  <c r="U74" i="14"/>
  <c r="V74" i="14" s="1"/>
  <c r="F74" i="14" s="1"/>
  <c r="B296" i="14" s="1"/>
  <c r="R73" i="14"/>
  <c r="S74" i="14"/>
  <c r="B670" i="5"/>
  <c r="N45" i="12"/>
  <c r="O44" i="12"/>
  <c r="J43" i="12"/>
  <c r="B143" i="12" s="1"/>
  <c r="L43" i="12"/>
  <c r="B168" i="12" s="1"/>
  <c r="AE37" i="5"/>
  <c r="AF36" i="5"/>
  <c r="BB54" i="5"/>
  <c r="BB55" i="5"/>
  <c r="BF25" i="5"/>
  <c r="BG25" i="5" s="1"/>
  <c r="BO25" i="5" s="1"/>
  <c r="BN26" i="5"/>
  <c r="AX54" i="5"/>
  <c r="AV54" i="5"/>
  <c r="CW96" i="5"/>
  <c r="CY96" i="5"/>
  <c r="B551" i="5" s="1"/>
  <c r="CO95" i="5"/>
  <c r="CV96" i="5"/>
  <c r="BD436" i="9"/>
  <c r="BI34" i="9"/>
  <c r="B438" i="9" s="1"/>
  <c r="BF33" i="9"/>
  <c r="BG32" i="9"/>
  <c r="AD35" i="9"/>
  <c r="AM35" i="9" s="1"/>
  <c r="AL35" i="9" s="1"/>
  <c r="B307" i="9" s="1"/>
  <c r="AH35" i="9"/>
  <c r="AI35" i="9" s="1"/>
  <c r="AJ35" i="9" s="1"/>
  <c r="AV34" i="9"/>
  <c r="BE34" i="9" s="1"/>
  <c r="BC35" i="9"/>
  <c r="AX35" i="9"/>
  <c r="BH35" i="9" s="1"/>
  <c r="B662" i="9" s="1"/>
  <c r="BB35" i="9"/>
  <c r="BD35" i="9" s="1"/>
  <c r="AZ35" i="9"/>
  <c r="BA35" i="9"/>
  <c r="CQ37" i="9"/>
  <c r="CP37" i="9"/>
  <c r="BG36" i="9"/>
  <c r="B341" i="9" s="1"/>
  <c r="CL38" i="9"/>
  <c r="CH39" i="9"/>
  <c r="CI39" i="9" s="1"/>
  <c r="AU38" i="9"/>
  <c r="AT39" i="9"/>
  <c r="AY39" i="9" s="1"/>
  <c r="BL39" i="9"/>
  <c r="BM39" i="9" s="1"/>
  <c r="BN39" i="9" s="1"/>
  <c r="BE36" i="8"/>
  <c r="BF35" i="8"/>
  <c r="B231" i="8" s="1"/>
  <c r="AI34" i="8"/>
  <c r="AX35" i="8"/>
  <c r="AF35" i="8"/>
  <c r="AG35" i="8" s="1"/>
  <c r="AH35" i="8" s="1"/>
  <c r="AB35" i="8"/>
  <c r="AK35" i="8" s="1"/>
  <c r="AJ35" i="8" s="1"/>
  <c r="B194" i="8" s="1"/>
  <c r="AY35" i="8"/>
  <c r="AU35" i="8"/>
  <c r="BK34" i="8"/>
  <c r="BO34" i="8" s="1"/>
  <c r="BP34" i="8" s="1"/>
  <c r="AV36" i="8"/>
  <c r="AT36" i="8"/>
  <c r="AW35" i="8" s="1"/>
  <c r="AS37" i="8"/>
  <c r="AW34" i="8"/>
  <c r="AL27" i="5"/>
  <c r="BH28" i="5"/>
  <c r="H24" i="13"/>
  <c r="A188" i="13" s="1"/>
  <c r="BE27" i="5"/>
  <c r="BM27" i="5" s="1"/>
  <c r="BE28" i="5"/>
  <c r="BM28" i="5" s="1"/>
  <c r="BD29" i="5"/>
  <c r="BC28" i="5"/>
  <c r="BL28" i="5" s="1"/>
  <c r="AG28" i="5"/>
  <c r="AH28" i="5" s="1"/>
  <c r="AI28" i="5" s="1"/>
  <c r="AJ28" i="5" s="1"/>
  <c r="BU31" i="5"/>
  <c r="BV31" i="5" s="1"/>
  <c r="BT32" i="5"/>
  <c r="AJ38" i="16" l="1"/>
  <c r="AL38" i="16" s="1"/>
  <c r="A1382" i="16" s="1"/>
  <c r="AF38" i="16"/>
  <c r="AE37" i="16"/>
  <c r="A958" i="16" s="1"/>
  <c r="A853" i="16"/>
  <c r="Q39" i="16"/>
  <c r="R39" i="16" s="1"/>
  <c r="AA39" i="16" s="1"/>
  <c r="AD38" i="16"/>
  <c r="AG38" i="16"/>
  <c r="AH38" i="16" s="1"/>
  <c r="V38" i="16"/>
  <c r="AB38" i="16" s="1"/>
  <c r="A638" i="16"/>
  <c r="AI38" i="16"/>
  <c r="A1060" i="16" s="1"/>
  <c r="A1174" i="16"/>
  <c r="AE38" i="16"/>
  <c r="A959" i="16" s="1"/>
  <c r="AK38" i="16"/>
  <c r="A1278" i="16" s="1"/>
  <c r="T73" i="14"/>
  <c r="U73" i="14"/>
  <c r="V73" i="14" s="1"/>
  <c r="F73" i="14" s="1"/>
  <c r="B295" i="14" s="1"/>
  <c r="R72" i="14"/>
  <c r="S73" i="14"/>
  <c r="BP28" i="5"/>
  <c r="B751" i="5" s="1"/>
  <c r="BQ28" i="5"/>
  <c r="B671" i="5" s="1"/>
  <c r="BL674" i="5"/>
  <c r="BF26" i="5"/>
  <c r="BG26" i="5" s="1"/>
  <c r="BO26" i="5" s="1"/>
  <c r="J44" i="12"/>
  <c r="L44" i="12"/>
  <c r="N46" i="12"/>
  <c r="O45" i="12"/>
  <c r="AE38" i="5"/>
  <c r="AF37" i="5"/>
  <c r="BN27" i="5"/>
  <c r="CY95" i="5"/>
  <c r="B550" i="5" s="1"/>
  <c r="CW95" i="5"/>
  <c r="CO94" i="5"/>
  <c r="CV95" i="5"/>
  <c r="BD437" i="9"/>
  <c r="BI35" i="9"/>
  <c r="B439" i="9" s="1"/>
  <c r="BF34" i="9"/>
  <c r="BG33" i="9"/>
  <c r="AK35" i="9"/>
  <c r="B291" i="9" s="1"/>
  <c r="CQ38" i="9"/>
  <c r="CP38" i="9"/>
  <c r="AV35" i="9"/>
  <c r="BE35" i="9" s="1"/>
  <c r="B275" i="9" s="1"/>
  <c r="BC36" i="9"/>
  <c r="AW36" i="9"/>
  <c r="AD36" i="9"/>
  <c r="AM36" i="9" s="1"/>
  <c r="AL36" i="9" s="1"/>
  <c r="BB36" i="9"/>
  <c r="AH36" i="9"/>
  <c r="AI36" i="9" s="1"/>
  <c r="AJ36" i="9" s="1"/>
  <c r="AK36" i="9" s="1"/>
  <c r="AX36" i="9"/>
  <c r="AZ36" i="9"/>
  <c r="BA36" i="9"/>
  <c r="AV36" i="9"/>
  <c r="CL39" i="9"/>
  <c r="CH40" i="9"/>
  <c r="CI40" i="9" s="1"/>
  <c r="AU39" i="9"/>
  <c r="AT40" i="9"/>
  <c r="AY40" i="9" s="1"/>
  <c r="BL40" i="9"/>
  <c r="BM40" i="9" s="1"/>
  <c r="BN40" i="9" s="1"/>
  <c r="BE37" i="8"/>
  <c r="BF36" i="8"/>
  <c r="AX36" i="8"/>
  <c r="AF36" i="8"/>
  <c r="AG36" i="8" s="1"/>
  <c r="AB36" i="8"/>
  <c r="AK36" i="8" s="1"/>
  <c r="AJ36" i="8" s="1"/>
  <c r="AY36" i="8"/>
  <c r="AU36" i="8"/>
  <c r="BK35" i="8"/>
  <c r="BO35" i="8" s="1"/>
  <c r="BP35" i="8" s="1"/>
  <c r="AV37" i="8"/>
  <c r="AT37" i="8"/>
  <c r="AW36" i="8" s="1"/>
  <c r="AS38" i="8"/>
  <c r="AI35" i="8"/>
  <c r="AL28" i="5"/>
  <c r="AK28" i="5" s="1"/>
  <c r="B337" i="5"/>
  <c r="BH29" i="5"/>
  <c r="BP29" i="5" s="1"/>
  <c r="B305" i="5"/>
  <c r="BC29" i="5"/>
  <c r="BL29" i="5" s="1"/>
  <c r="AG29" i="5"/>
  <c r="AH29" i="5" s="1"/>
  <c r="AI29" i="5" s="1"/>
  <c r="AJ29" i="5" s="1"/>
  <c r="BD30" i="5"/>
  <c r="BU32" i="5"/>
  <c r="BV32" i="5" s="1"/>
  <c r="BT33" i="5"/>
  <c r="AD39" i="16" l="1"/>
  <c r="AE39" i="16" s="1"/>
  <c r="A960" i="16" s="1"/>
  <c r="V39" i="16"/>
  <c r="AB39" i="16" s="1"/>
  <c r="AJ39" i="16"/>
  <c r="AL39" i="16" s="1"/>
  <c r="A1383" i="16" s="1"/>
  <c r="AF39" i="16"/>
  <c r="A639" i="16"/>
  <c r="AG39" i="16"/>
  <c r="AH39" i="16" s="1"/>
  <c r="Q40" i="16"/>
  <c r="R40" i="16" s="1"/>
  <c r="AA40" i="16" s="1"/>
  <c r="AI39" i="16"/>
  <c r="A1061" i="16" s="1"/>
  <c r="A854" i="16"/>
  <c r="A855" i="16"/>
  <c r="H25" i="13"/>
  <c r="T72" i="14"/>
  <c r="U72" i="14"/>
  <c r="V72" i="14" s="1"/>
  <c r="F72" i="14" s="1"/>
  <c r="B294" i="14" s="1"/>
  <c r="R71" i="14"/>
  <c r="S72" i="14"/>
  <c r="BQ29" i="5"/>
  <c r="H26" i="13" s="1"/>
  <c r="BL675" i="5"/>
  <c r="BF27" i="5"/>
  <c r="BG27" i="5" s="1"/>
  <c r="BO27" i="5" s="1"/>
  <c r="J45" i="12"/>
  <c r="L45" i="12"/>
  <c r="N47" i="12"/>
  <c r="O46" i="12"/>
  <c r="AE39" i="5"/>
  <c r="AF38" i="5"/>
  <c r="BN28" i="5"/>
  <c r="B369" i="5"/>
  <c r="CW94" i="5"/>
  <c r="CY94" i="5"/>
  <c r="B549" i="5" s="1"/>
  <c r="CO93" i="5"/>
  <c r="CV94" i="5"/>
  <c r="BF35" i="9"/>
  <c r="BG34" i="9"/>
  <c r="AL38" i="9"/>
  <c r="CQ39" i="9"/>
  <c r="CP39" i="9"/>
  <c r="BC37" i="9"/>
  <c r="AZ37" i="9"/>
  <c r="BA37" i="9"/>
  <c r="AW37" i="9"/>
  <c r="AH37" i="9"/>
  <c r="AI37" i="9" s="1"/>
  <c r="AJ37" i="9" s="1"/>
  <c r="AX37" i="9"/>
  <c r="AL37" i="9"/>
  <c r="AD37" i="9"/>
  <c r="AM37" i="9" s="1"/>
  <c r="BB37" i="9"/>
  <c r="AX38" i="9"/>
  <c r="CL40" i="9"/>
  <c r="CH41" i="9"/>
  <c r="CI41" i="9" s="1"/>
  <c r="BL41" i="9"/>
  <c r="BM41" i="9" s="1"/>
  <c r="BN41" i="9" s="1"/>
  <c r="AU40" i="9"/>
  <c r="AT41" i="9"/>
  <c r="AY41" i="9" s="1"/>
  <c r="BE29" i="5"/>
  <c r="BM29" i="5" s="1"/>
  <c r="BE38" i="8"/>
  <c r="BF37" i="8"/>
  <c r="AV38" i="8"/>
  <c r="AT38" i="8"/>
  <c r="AW37" i="8" s="1"/>
  <c r="AS39" i="8"/>
  <c r="B178" i="8"/>
  <c r="AX37" i="8"/>
  <c r="AF37" i="8"/>
  <c r="AG37" i="8" s="1"/>
  <c r="AH37" i="8" s="1"/>
  <c r="AB37" i="8"/>
  <c r="AK37" i="8" s="1"/>
  <c r="AJ37" i="8" s="1"/>
  <c r="AY37" i="8"/>
  <c r="AU37" i="8"/>
  <c r="BK36" i="8"/>
  <c r="BO36" i="8" s="1"/>
  <c r="BP36" i="8" s="1"/>
  <c r="AH36" i="8"/>
  <c r="AI36" i="8" s="1"/>
  <c r="AL29" i="5"/>
  <c r="BH30" i="5"/>
  <c r="BP30" i="5" s="1"/>
  <c r="BD31" i="5"/>
  <c r="BC30" i="5"/>
  <c r="BL30" i="5" s="1"/>
  <c r="AG30" i="5"/>
  <c r="AH30" i="5" s="1"/>
  <c r="AI30" i="5" s="1"/>
  <c r="AJ30" i="5" s="1"/>
  <c r="BU33" i="5"/>
  <c r="BV33" i="5" s="1"/>
  <c r="BT34" i="5"/>
  <c r="AK39" i="16" l="1"/>
  <c r="A1279" i="16" s="1"/>
  <c r="A1175" i="16"/>
  <c r="AJ40" i="16"/>
  <c r="AL40" i="16" s="1"/>
  <c r="A1384" i="16" s="1"/>
  <c r="V40" i="16"/>
  <c r="AB40" i="16" s="1"/>
  <c r="AI40" i="16"/>
  <c r="A1062" i="16" s="1"/>
  <c r="AF40" i="16"/>
  <c r="AG40" i="16" s="1"/>
  <c r="Q41" i="16"/>
  <c r="R41" i="16" s="1"/>
  <c r="AA41" i="16" s="1"/>
  <c r="A640" i="16"/>
  <c r="AD40" i="16"/>
  <c r="AE40" i="16" s="1"/>
  <c r="A961" i="16" s="1"/>
  <c r="BQ30" i="5"/>
  <c r="H27" i="13" s="1"/>
  <c r="A1176" i="16"/>
  <c r="AH40" i="16"/>
  <c r="A856" i="16"/>
  <c r="T71" i="14"/>
  <c r="U71" i="14"/>
  <c r="V71" i="14" s="1"/>
  <c r="F71" i="14" s="1"/>
  <c r="B293" i="14" s="1"/>
  <c r="R70" i="14"/>
  <c r="S71" i="14"/>
  <c r="BN29" i="5"/>
  <c r="J46" i="12"/>
  <c r="L46" i="12"/>
  <c r="N48" i="12"/>
  <c r="O47" i="12"/>
  <c r="AE40" i="5"/>
  <c r="AF39" i="5"/>
  <c r="BF28" i="5"/>
  <c r="BG28" i="5" s="1"/>
  <c r="BO28" i="5" s="1"/>
  <c r="CY93" i="5"/>
  <c r="B548" i="5" s="1"/>
  <c r="CW93" i="5"/>
  <c r="CO92" i="5"/>
  <c r="CV93" i="5"/>
  <c r="BF36" i="9"/>
  <c r="BF37" i="9" s="1"/>
  <c r="BF38" i="9" s="1"/>
  <c r="BF39" i="9" s="1"/>
  <c r="BF40" i="9" s="1"/>
  <c r="BF41" i="9" s="1"/>
  <c r="BF42" i="9" s="1"/>
  <c r="BF43" i="9" s="1"/>
  <c r="BF44" i="9" s="1"/>
  <c r="BF45" i="9" s="1"/>
  <c r="BF46" i="9" s="1"/>
  <c r="BF47" i="9" s="1"/>
  <c r="BF48" i="9" s="1"/>
  <c r="BF49" i="9" s="1"/>
  <c r="BF50" i="9" s="1"/>
  <c r="BF51" i="9" s="1"/>
  <c r="BF52" i="9" s="1"/>
  <c r="BF53" i="9" s="1"/>
  <c r="BF54" i="9" s="1"/>
  <c r="BF55" i="9" s="1"/>
  <c r="BF56" i="9" s="1"/>
  <c r="BF57" i="9" s="1"/>
  <c r="BF58" i="9" s="1"/>
  <c r="BF59" i="9" s="1"/>
  <c r="BF60" i="9" s="1"/>
  <c r="BF61" i="9" s="1"/>
  <c r="BF62" i="9" s="1"/>
  <c r="BF63" i="9" s="1"/>
  <c r="BF64" i="9" s="1"/>
  <c r="BF65" i="9" s="1"/>
  <c r="BF66" i="9" s="1"/>
  <c r="BF67" i="9" s="1"/>
  <c r="BF68" i="9" s="1"/>
  <c r="BF69" i="9" s="1"/>
  <c r="BF70" i="9" s="1"/>
  <c r="BF71" i="9" s="1"/>
  <c r="BF72" i="9" s="1"/>
  <c r="BF73" i="9" s="1"/>
  <c r="BF74" i="9" s="1"/>
  <c r="BF75" i="9" s="1"/>
  <c r="BF76" i="9" s="1"/>
  <c r="BF77" i="9" s="1"/>
  <c r="BF78" i="9" s="1"/>
  <c r="BF79" i="9" s="1"/>
  <c r="BF80" i="9" s="1"/>
  <c r="BF81" i="9" s="1"/>
  <c r="BF82" i="9" s="1"/>
  <c r="BF83" i="9" s="1"/>
  <c r="BF84" i="9" s="1"/>
  <c r="BF85" i="9" s="1"/>
  <c r="BF86" i="9" s="1"/>
  <c r="BF87" i="9" s="1"/>
  <c r="BF88" i="9" s="1"/>
  <c r="BF89" i="9" s="1"/>
  <c r="BF90" i="9" s="1"/>
  <c r="BF91" i="9" s="1"/>
  <c r="BF92" i="9" s="1"/>
  <c r="BF93" i="9" s="1"/>
  <c r="BF94" i="9" s="1"/>
  <c r="BF95" i="9" s="1"/>
  <c r="BF96" i="9" s="1"/>
  <c r="BF97" i="9" s="1"/>
  <c r="BF98" i="9" s="1"/>
  <c r="BF99" i="9" s="1"/>
  <c r="BF100" i="9" s="1"/>
  <c r="BF101" i="9" s="1"/>
  <c r="BF102" i="9" s="1"/>
  <c r="BF103" i="9" s="1"/>
  <c r="BF104" i="9" s="1"/>
  <c r="BF105" i="9" s="1"/>
  <c r="BF106" i="9" s="1"/>
  <c r="BF107" i="9" s="1"/>
  <c r="BF108" i="9" s="1"/>
  <c r="BF109" i="9" s="1"/>
  <c r="BF110" i="9" s="1"/>
  <c r="BF111" i="9" s="1"/>
  <c r="BF112" i="9" s="1"/>
  <c r="BF113" i="9" s="1"/>
  <c r="BF114" i="9" s="1"/>
  <c r="BG35" i="9"/>
  <c r="B340" i="9" s="1"/>
  <c r="AW38" i="9"/>
  <c r="BA38" i="9"/>
  <c r="AH38" i="9"/>
  <c r="AI38" i="9" s="1"/>
  <c r="AJ38" i="9" s="1"/>
  <c r="AZ38" i="9"/>
  <c r="AV37" i="9"/>
  <c r="AD38" i="9"/>
  <c r="BC38" i="9"/>
  <c r="BB38" i="9"/>
  <c r="AK37" i="9"/>
  <c r="CQ40" i="9"/>
  <c r="CP40" i="9"/>
  <c r="B183" i="9"/>
  <c r="CL41" i="9"/>
  <c r="CH42" i="9"/>
  <c r="CI42" i="9" s="1"/>
  <c r="AU41" i="9"/>
  <c r="AT42" i="9"/>
  <c r="AY42" i="9" s="1"/>
  <c r="BL42" i="9"/>
  <c r="BM42" i="9" s="1"/>
  <c r="BN42" i="9" s="1"/>
  <c r="AI37" i="8"/>
  <c r="BE39" i="8"/>
  <c r="BF38" i="8"/>
  <c r="BK37" i="8"/>
  <c r="BO37" i="8" s="1"/>
  <c r="BP37" i="8" s="1"/>
  <c r="AV39" i="8"/>
  <c r="AT39" i="8"/>
  <c r="AW38" i="8" s="1"/>
  <c r="AS40" i="8"/>
  <c r="AX38" i="8"/>
  <c r="AF38" i="8"/>
  <c r="AG38" i="8" s="1"/>
  <c r="AB38" i="8"/>
  <c r="AK38" i="8" s="1"/>
  <c r="AJ38" i="8" s="1"/>
  <c r="AY38" i="8"/>
  <c r="AU38" i="8"/>
  <c r="AL30" i="5"/>
  <c r="AK30" i="5" s="1"/>
  <c r="BE30" i="5"/>
  <c r="BM30" i="5" s="1"/>
  <c r="BH31" i="5"/>
  <c r="BP31" i="5" s="1"/>
  <c r="BD32" i="5"/>
  <c r="BC31" i="5"/>
  <c r="BL31" i="5" s="1"/>
  <c r="AG31" i="5"/>
  <c r="AH31" i="5" s="1"/>
  <c r="AI31" i="5" s="1"/>
  <c r="AJ31" i="5" s="1"/>
  <c r="BU34" i="5"/>
  <c r="BV34" i="5" s="1"/>
  <c r="BT35" i="5"/>
  <c r="AK40" i="16" l="1"/>
  <c r="A1280" i="16" s="1"/>
  <c r="B672" i="5"/>
  <c r="AF41" i="16"/>
  <c r="AG41" i="16" s="1"/>
  <c r="V41" i="16"/>
  <c r="AB41" i="16" s="1"/>
  <c r="AI41" i="16"/>
  <c r="A1063" i="16" s="1"/>
  <c r="AJ41" i="16"/>
  <c r="Q42" i="16"/>
  <c r="R42" i="16" s="1"/>
  <c r="AA42" i="16" s="1"/>
  <c r="A641" i="16"/>
  <c r="AD41" i="16"/>
  <c r="AE41" i="16" s="1"/>
  <c r="A962" i="16" s="1"/>
  <c r="AK41" i="16"/>
  <c r="A1281" i="16" s="1"/>
  <c r="AH41" i="16"/>
  <c r="A857" i="16"/>
  <c r="BQ31" i="5"/>
  <c r="H28" i="13" s="1"/>
  <c r="T70" i="14"/>
  <c r="U70" i="14"/>
  <c r="V70" i="14" s="1"/>
  <c r="F70" i="14" s="1"/>
  <c r="B292" i="14" s="1"/>
  <c r="R69" i="14"/>
  <c r="S70" i="14"/>
  <c r="BN30" i="5"/>
  <c r="BF30" i="5" s="1"/>
  <c r="BG30" i="5" s="1"/>
  <c r="BO30" i="5" s="1"/>
  <c r="BF29" i="5"/>
  <c r="BG29" i="5" s="1"/>
  <c r="BO29" i="5" s="1"/>
  <c r="B418" i="5"/>
  <c r="J47" i="12"/>
  <c r="L47" i="12"/>
  <c r="N49" i="12"/>
  <c r="O48" i="12"/>
  <c r="AE41" i="5"/>
  <c r="AF40" i="5"/>
  <c r="CW92" i="5"/>
  <c r="CY92" i="5"/>
  <c r="B547" i="5" s="1"/>
  <c r="CO91" i="5"/>
  <c r="CV92" i="5"/>
  <c r="AM38" i="9"/>
  <c r="AK38" i="9"/>
  <c r="AV38" i="9"/>
  <c r="AZ39" i="9"/>
  <c r="BA39" i="9"/>
  <c r="AL39" i="9"/>
  <c r="AD39" i="9"/>
  <c r="AM39" i="9" s="1"/>
  <c r="BB39" i="9"/>
  <c r="BC39" i="9"/>
  <c r="AW39" i="9"/>
  <c r="AH39" i="9"/>
  <c r="AI39" i="9" s="1"/>
  <c r="AJ39" i="9" s="1"/>
  <c r="AK39" i="9" s="1"/>
  <c r="AX39" i="9"/>
  <c r="CQ41" i="9"/>
  <c r="CP41" i="9"/>
  <c r="CL42" i="9"/>
  <c r="CH43" i="9"/>
  <c r="CI43" i="9" s="1"/>
  <c r="AU42" i="9"/>
  <c r="AT43" i="9"/>
  <c r="AY43" i="9" s="1"/>
  <c r="BL43" i="9"/>
  <c r="BM43" i="9" s="1"/>
  <c r="BN43" i="9" s="1"/>
  <c r="BE40" i="8"/>
  <c r="BF39" i="8"/>
  <c r="AX39" i="8"/>
  <c r="AF39" i="8"/>
  <c r="AG39" i="8" s="1"/>
  <c r="AB39" i="8"/>
  <c r="AK39" i="8" s="1"/>
  <c r="AJ39" i="8" s="1"/>
  <c r="AY39" i="8"/>
  <c r="AU39" i="8"/>
  <c r="BK38" i="8"/>
  <c r="BO38" i="8" s="1"/>
  <c r="BP38" i="8" s="1"/>
  <c r="AV40" i="8"/>
  <c r="AT40" i="8"/>
  <c r="AW39" i="8" s="1"/>
  <c r="AS41" i="8"/>
  <c r="AH38" i="8"/>
  <c r="AI38" i="8" s="1"/>
  <c r="AL31" i="5"/>
  <c r="AK31" i="5" s="1"/>
  <c r="BE31" i="5"/>
  <c r="BH32" i="5"/>
  <c r="BP32" i="5" s="1"/>
  <c r="BD33" i="5"/>
  <c r="BC32" i="5"/>
  <c r="BL32" i="5" s="1"/>
  <c r="AG32" i="5"/>
  <c r="AH32" i="5" s="1"/>
  <c r="AI32" i="5" s="1"/>
  <c r="AJ32" i="5" s="1"/>
  <c r="BU35" i="5"/>
  <c r="BV35" i="5" s="1"/>
  <c r="BT36" i="5"/>
  <c r="AF42" i="16" l="1"/>
  <c r="AG42" i="16" s="1"/>
  <c r="AH42" i="16" s="1"/>
  <c r="AI42" i="16" s="1"/>
  <c r="A1064" i="16" s="1"/>
  <c r="AL41" i="16"/>
  <c r="A1385" i="16" s="1"/>
  <c r="A1177" i="16"/>
  <c r="AD42" i="16"/>
  <c r="AJ42" i="16"/>
  <c r="AL42" i="16" s="1"/>
  <c r="A1386" i="16" s="1"/>
  <c r="Q43" i="16"/>
  <c r="R43" i="16" s="1"/>
  <c r="AA43" i="16" s="1"/>
  <c r="A642" i="16"/>
  <c r="BQ32" i="5"/>
  <c r="H29" i="13" s="1"/>
  <c r="T69" i="14"/>
  <c r="U69" i="14"/>
  <c r="V69" i="14" s="1"/>
  <c r="F69" i="14" s="1"/>
  <c r="B291" i="14" s="1"/>
  <c r="R68" i="14"/>
  <c r="S69" i="14"/>
  <c r="BM31" i="5"/>
  <c r="BN31" i="5" s="1"/>
  <c r="BF31" i="5" s="1"/>
  <c r="BG31" i="5" s="1"/>
  <c r="N50" i="12"/>
  <c r="O49" i="12"/>
  <c r="J48" i="12"/>
  <c r="B144" i="12" s="1"/>
  <c r="L48" i="12"/>
  <c r="B169" i="12" s="1"/>
  <c r="AF41" i="5"/>
  <c r="AE42" i="5"/>
  <c r="CY91" i="5"/>
  <c r="B546" i="5" s="1"/>
  <c r="CW91" i="5"/>
  <c r="CO90" i="5"/>
  <c r="CV91" i="5"/>
  <c r="AV40" i="9"/>
  <c r="AV39" i="9"/>
  <c r="BC40" i="9"/>
  <c r="AL40" i="9"/>
  <c r="BB40" i="9"/>
  <c r="AZ40" i="9"/>
  <c r="BA40" i="9"/>
  <c r="AW40" i="9"/>
  <c r="AH40" i="9"/>
  <c r="AI40" i="9" s="1"/>
  <c r="AJ40" i="9" s="1"/>
  <c r="AX40" i="9"/>
  <c r="AD40" i="9"/>
  <c r="AM40" i="9" s="1"/>
  <c r="B231" i="9"/>
  <c r="CQ42" i="9"/>
  <c r="CP42" i="9"/>
  <c r="CL43" i="9"/>
  <c r="CH44" i="9"/>
  <c r="CI44" i="9" s="1"/>
  <c r="BL44" i="9"/>
  <c r="BM44" i="9" s="1"/>
  <c r="BN44" i="9" s="1"/>
  <c r="AU43" i="9"/>
  <c r="AT44" i="9"/>
  <c r="AY44" i="9" s="1"/>
  <c r="BE41" i="8"/>
  <c r="BF40" i="8"/>
  <c r="AV41" i="8"/>
  <c r="AT41" i="8"/>
  <c r="AW40" i="8" s="1"/>
  <c r="AS42" i="8"/>
  <c r="AX40" i="8"/>
  <c r="AF40" i="8"/>
  <c r="AG40" i="8" s="1"/>
  <c r="AH40" i="8" s="1"/>
  <c r="AB40" i="8"/>
  <c r="AK40" i="8" s="1"/>
  <c r="AJ40" i="8" s="1"/>
  <c r="AY40" i="8"/>
  <c r="AU40" i="8"/>
  <c r="BK39" i="8"/>
  <c r="BO39" i="8" s="1"/>
  <c r="BP39" i="8" s="1"/>
  <c r="AH39" i="8"/>
  <c r="AI39" i="8" s="1"/>
  <c r="AL32" i="5"/>
  <c r="AK32" i="5" s="1"/>
  <c r="BE32" i="5"/>
  <c r="BM32" i="5" s="1"/>
  <c r="BH33" i="5"/>
  <c r="BP33" i="5" s="1"/>
  <c r="BD34" i="5"/>
  <c r="BC33" i="5"/>
  <c r="BL33" i="5" s="1"/>
  <c r="AG33" i="5"/>
  <c r="AH33" i="5" s="1"/>
  <c r="AI33" i="5" s="1"/>
  <c r="AJ33" i="5" s="1"/>
  <c r="BU36" i="5"/>
  <c r="BV36" i="5" s="1"/>
  <c r="BT37" i="5"/>
  <c r="A1178" i="16" l="1"/>
  <c r="AJ43" i="16"/>
  <c r="AL43" i="16" s="1"/>
  <c r="A1387" i="16" s="1"/>
  <c r="AF43" i="16"/>
  <c r="AG43" i="16" s="1"/>
  <c r="Q44" i="16"/>
  <c r="R44" i="16" s="1"/>
  <c r="AA44" i="16" s="1"/>
  <c r="A644" i="16" s="1"/>
  <c r="AD43" i="16"/>
  <c r="A643" i="16"/>
  <c r="A1179" i="16"/>
  <c r="AK42" i="16"/>
  <c r="A1282" i="16" s="1"/>
  <c r="AH43" i="16"/>
  <c r="AI43" i="16" s="1"/>
  <c r="A1065" i="16" s="1"/>
  <c r="AJ44" i="16"/>
  <c r="AL44" i="16" s="1"/>
  <c r="A1388" i="16" s="1"/>
  <c r="BQ33" i="5"/>
  <c r="H30" i="13" s="1"/>
  <c r="B673" i="5"/>
  <c r="T68" i="14"/>
  <c r="U68" i="14"/>
  <c r="V68" i="14" s="1"/>
  <c r="F68" i="14" s="1"/>
  <c r="B290" i="14" s="1"/>
  <c r="R67" i="14"/>
  <c r="S68" i="14"/>
  <c r="BO31" i="5"/>
  <c r="BN32" i="5"/>
  <c r="J49" i="12"/>
  <c r="L49" i="12"/>
  <c r="N51" i="12"/>
  <c r="O50" i="12"/>
  <c r="AF42" i="5"/>
  <c r="B403" i="5" s="1"/>
  <c r="AE43" i="5"/>
  <c r="CW90" i="5"/>
  <c r="CY90" i="5"/>
  <c r="B545" i="5" s="1"/>
  <c r="CO89" i="5"/>
  <c r="CV90" i="5"/>
  <c r="BA41" i="9"/>
  <c r="AZ41" i="9"/>
  <c r="AL41" i="9"/>
  <c r="AD41" i="9"/>
  <c r="AM41" i="9" s="1"/>
  <c r="BB41" i="9"/>
  <c r="BC41" i="9"/>
  <c r="AW41" i="9"/>
  <c r="AH41" i="9"/>
  <c r="AI41" i="9" s="1"/>
  <c r="AJ41" i="9" s="1"/>
  <c r="AK41" i="9" s="1"/>
  <c r="AX41" i="9"/>
  <c r="CQ43" i="9"/>
  <c r="CP43" i="9"/>
  <c r="AK40" i="9"/>
  <c r="CL44" i="9"/>
  <c r="CH45" i="9"/>
  <c r="CI45" i="9" s="1"/>
  <c r="AU44" i="9"/>
  <c r="AT45" i="9"/>
  <c r="AY45" i="9" s="1"/>
  <c r="BL45" i="9"/>
  <c r="BM45" i="9" s="1"/>
  <c r="BN45" i="9" s="1"/>
  <c r="BE42" i="8"/>
  <c r="BF41" i="8"/>
  <c r="BK40" i="8"/>
  <c r="BO40" i="8" s="1"/>
  <c r="BP40" i="8" s="1"/>
  <c r="AV42" i="8"/>
  <c r="AT42" i="8"/>
  <c r="AS43" i="8"/>
  <c r="AX41" i="8"/>
  <c r="AF41" i="8"/>
  <c r="AG41" i="8" s="1"/>
  <c r="AB41" i="8"/>
  <c r="AK41" i="8" s="1"/>
  <c r="AJ41" i="8" s="1"/>
  <c r="AY41" i="8"/>
  <c r="AU41" i="8"/>
  <c r="AI40" i="8"/>
  <c r="AL33" i="5"/>
  <c r="AK33" i="5" s="1"/>
  <c r="BE33" i="5"/>
  <c r="BM33" i="5" s="1"/>
  <c r="BH34" i="5"/>
  <c r="BP34" i="5" s="1"/>
  <c r="BD35" i="5"/>
  <c r="BC34" i="5"/>
  <c r="BL34" i="5" s="1"/>
  <c r="AG34" i="5"/>
  <c r="AH34" i="5" s="1"/>
  <c r="AI34" i="5" s="1"/>
  <c r="AJ34" i="5" s="1"/>
  <c r="BU37" i="5"/>
  <c r="BV37" i="5" s="1"/>
  <c r="BT38" i="5"/>
  <c r="Q45" i="16" l="1"/>
  <c r="R45" i="16" s="1"/>
  <c r="AA45" i="16" s="1"/>
  <c r="A645" i="16" s="1"/>
  <c r="AD44" i="16"/>
  <c r="AF44" i="16"/>
  <c r="AG44" i="16" s="1"/>
  <c r="BQ34" i="5"/>
  <c r="H31" i="13" s="1"/>
  <c r="AK43" i="16"/>
  <c r="A1283" i="16" s="1"/>
  <c r="A1180" i="16"/>
  <c r="AH44" i="16"/>
  <c r="AI44" i="16" s="1"/>
  <c r="A1066" i="16" s="1"/>
  <c r="T67" i="14"/>
  <c r="U67" i="14"/>
  <c r="V67" i="14" s="1"/>
  <c r="F67" i="14" s="1"/>
  <c r="B289" i="14" s="1"/>
  <c r="R66" i="14"/>
  <c r="S67" i="14"/>
  <c r="BF32" i="5"/>
  <c r="BG32" i="5" s="1"/>
  <c r="BO32" i="5" s="1"/>
  <c r="BN33" i="5"/>
  <c r="J50" i="12"/>
  <c r="L50" i="12"/>
  <c r="N52" i="12"/>
  <c r="O51" i="12"/>
  <c r="AE44" i="5"/>
  <c r="AF43" i="5"/>
  <c r="CY89" i="5"/>
  <c r="B544" i="5" s="1"/>
  <c r="CW89" i="5"/>
  <c r="CO88" i="5"/>
  <c r="CV89" i="5"/>
  <c r="B292" i="9"/>
  <c r="AV42" i="9"/>
  <c r="AV41" i="9"/>
  <c r="BA42" i="9"/>
  <c r="AL42" i="9"/>
  <c r="B308" i="9" s="1"/>
  <c r="AD42" i="9"/>
  <c r="AM42" i="9" s="1"/>
  <c r="BB42" i="9"/>
  <c r="BC42" i="9"/>
  <c r="AW42" i="9"/>
  <c r="AH42" i="9"/>
  <c r="AI42" i="9" s="1"/>
  <c r="AJ42" i="9" s="1"/>
  <c r="AK42" i="9" s="1"/>
  <c r="AX42" i="9"/>
  <c r="AZ42" i="9"/>
  <c r="BA43" i="9"/>
  <c r="CQ44" i="9"/>
  <c r="CP44" i="9"/>
  <c r="CL45" i="9"/>
  <c r="CH46" i="9"/>
  <c r="CI46" i="9" s="1"/>
  <c r="AU45" i="9"/>
  <c r="AT46" i="9"/>
  <c r="AY46" i="9" s="1"/>
  <c r="BL46" i="9"/>
  <c r="BE43" i="8"/>
  <c r="BF42" i="8"/>
  <c r="B232" i="8" s="1"/>
  <c r="AX42" i="8"/>
  <c r="AF42" i="8"/>
  <c r="AG42" i="8" s="1"/>
  <c r="AH42" i="8" s="1"/>
  <c r="AB42" i="8"/>
  <c r="AK42" i="8" s="1"/>
  <c r="AJ42" i="8" s="1"/>
  <c r="B195" i="8" s="1"/>
  <c r="AY42" i="8"/>
  <c r="AU42" i="8"/>
  <c r="BK41" i="8"/>
  <c r="BO41" i="8" s="1"/>
  <c r="BP41" i="8" s="1"/>
  <c r="AV43" i="8"/>
  <c r="AT43" i="8"/>
  <c r="AS44" i="8"/>
  <c r="AH41" i="8"/>
  <c r="AI41" i="8" s="1"/>
  <c r="B179" i="8" s="1"/>
  <c r="AW41" i="8"/>
  <c r="AL34" i="5"/>
  <c r="AK34" i="5" s="1"/>
  <c r="BE34" i="5"/>
  <c r="BM34" i="5" s="1"/>
  <c r="BH35" i="5"/>
  <c r="BD36" i="5"/>
  <c r="BC35" i="5"/>
  <c r="BL35" i="5" s="1"/>
  <c r="AG35" i="5"/>
  <c r="AH35" i="5" s="1"/>
  <c r="AI35" i="5" s="1"/>
  <c r="AJ35" i="5" s="1"/>
  <c r="BU38" i="5"/>
  <c r="BV38" i="5" s="1"/>
  <c r="BT39" i="5"/>
  <c r="AI45" i="16" l="1"/>
  <c r="A1067" i="16" s="1"/>
  <c r="Q46" i="16"/>
  <c r="R46" i="16" s="1"/>
  <c r="AA46" i="16" s="1"/>
  <c r="AF45" i="16"/>
  <c r="AG45" i="16" s="1"/>
  <c r="AG46" i="16" s="1"/>
  <c r="AG47" i="16" s="1"/>
  <c r="AG48" i="16" s="1"/>
  <c r="AG49" i="16" s="1"/>
  <c r="AG50" i="16" s="1"/>
  <c r="AG51" i="16" s="1"/>
  <c r="AG52" i="16" s="1"/>
  <c r="AG53" i="16" s="1"/>
  <c r="AG54" i="16" s="1"/>
  <c r="AG55" i="16" s="1"/>
  <c r="AG56" i="16" s="1"/>
  <c r="AG57" i="16" s="1"/>
  <c r="AG58" i="16" s="1"/>
  <c r="AG59" i="16" s="1"/>
  <c r="AG60" i="16" s="1"/>
  <c r="AG61" i="16" s="1"/>
  <c r="AG62" i="16" s="1"/>
  <c r="AG63" i="16" s="1"/>
  <c r="AG64" i="16" s="1"/>
  <c r="AG65" i="16" s="1"/>
  <c r="AG66" i="16" s="1"/>
  <c r="AG67" i="16" s="1"/>
  <c r="AG68" i="16" s="1"/>
  <c r="AG69" i="16" s="1"/>
  <c r="AG70" i="16" s="1"/>
  <c r="AG71" i="16" s="1"/>
  <c r="AG72" i="16" s="1"/>
  <c r="AG73" i="16" s="1"/>
  <c r="AG74" i="16" s="1"/>
  <c r="AG75" i="16" s="1"/>
  <c r="AG76" i="16" s="1"/>
  <c r="AG77" i="16" s="1"/>
  <c r="AG78" i="16" s="1"/>
  <c r="AG79" i="16" s="1"/>
  <c r="AG80" i="16" s="1"/>
  <c r="AG81" i="16" s="1"/>
  <c r="AG82" i="16" s="1"/>
  <c r="AG83" i="16" s="1"/>
  <c r="AG84" i="16" s="1"/>
  <c r="AG85" i="16" s="1"/>
  <c r="AG86" i="16" s="1"/>
  <c r="AG87" i="16" s="1"/>
  <c r="AG88" i="16" s="1"/>
  <c r="AG89" i="16" s="1"/>
  <c r="AG90" i="16" s="1"/>
  <c r="AG91" i="16" s="1"/>
  <c r="AG92" i="16" s="1"/>
  <c r="AG93" i="16" s="1"/>
  <c r="AG94" i="16" s="1"/>
  <c r="AG95" i="16" s="1"/>
  <c r="AG96" i="16" s="1"/>
  <c r="AG97" i="16" s="1"/>
  <c r="AG98" i="16" s="1"/>
  <c r="AG99" i="16" s="1"/>
  <c r="AG100" i="16" s="1"/>
  <c r="AG101" i="16" s="1"/>
  <c r="AG102" i="16" s="1"/>
  <c r="AG103" i="16" s="1"/>
  <c r="AG104" i="16" s="1"/>
  <c r="AG105" i="16" s="1"/>
  <c r="AG106" i="16" s="1"/>
  <c r="AG107" i="16" s="1"/>
  <c r="AG108" i="16" s="1"/>
  <c r="AG109" i="16" s="1"/>
  <c r="AD45" i="16"/>
  <c r="AJ45" i="16"/>
  <c r="AL45" i="16" s="1"/>
  <c r="A1389" i="16" s="1"/>
  <c r="AJ46" i="16"/>
  <c r="AL46" i="16" s="1"/>
  <c r="A1390" i="16" s="1"/>
  <c r="B674" i="5"/>
  <c r="BQ35" i="5"/>
  <c r="H32" i="13" s="1"/>
  <c r="A1181" i="16"/>
  <c r="AK44" i="16"/>
  <c r="A1284" i="16" s="1"/>
  <c r="AK45" i="16"/>
  <c r="A1285" i="16" s="1"/>
  <c r="AH45" i="16"/>
  <c r="A1182" i="16"/>
  <c r="AD46" i="16"/>
  <c r="AI46" i="16"/>
  <c r="A1068" i="16" s="1"/>
  <c r="A646" i="16"/>
  <c r="Q47" i="16"/>
  <c r="R47" i="16" s="1"/>
  <c r="AA47" i="16" s="1"/>
  <c r="BP35" i="5"/>
  <c r="B752" i="5" s="1"/>
  <c r="T66" i="14"/>
  <c r="U66" i="14"/>
  <c r="V66" i="14" s="1"/>
  <c r="F66" i="14" s="1"/>
  <c r="B288" i="14" s="1"/>
  <c r="R65" i="14"/>
  <c r="S66" i="14"/>
  <c r="BF33" i="5"/>
  <c r="BG33" i="5" s="1"/>
  <c r="BO33" i="5" s="1"/>
  <c r="BN34" i="5"/>
  <c r="J51" i="12"/>
  <c r="L51" i="12"/>
  <c r="N53" i="12"/>
  <c r="O52" i="12"/>
  <c r="AE45" i="5"/>
  <c r="AF44" i="5"/>
  <c r="CW88" i="5"/>
  <c r="CY88" i="5"/>
  <c r="B543" i="5" s="1"/>
  <c r="CO87" i="5"/>
  <c r="CV88" i="5"/>
  <c r="AL43" i="9"/>
  <c r="BC43" i="9"/>
  <c r="AZ43" i="9"/>
  <c r="AH43" i="9"/>
  <c r="AI43" i="9" s="1"/>
  <c r="AJ43" i="9" s="1"/>
  <c r="AX43" i="9"/>
  <c r="AW43" i="9"/>
  <c r="AD43" i="9"/>
  <c r="AM43" i="9" s="1"/>
  <c r="BB43" i="9"/>
  <c r="CQ45" i="9"/>
  <c r="CP45" i="9"/>
  <c r="CL46" i="9"/>
  <c r="CH47" i="9"/>
  <c r="CI47" i="9" s="1"/>
  <c r="BL47" i="9"/>
  <c r="BM47" i="9" s="1"/>
  <c r="BN47" i="9" s="1"/>
  <c r="AU46" i="9"/>
  <c r="AT47" i="9"/>
  <c r="AY47" i="9" s="1"/>
  <c r="BM46" i="9"/>
  <c r="BN46" i="9" s="1"/>
  <c r="AI42" i="8"/>
  <c r="BE44" i="8"/>
  <c r="BF43" i="8"/>
  <c r="AX43" i="8"/>
  <c r="AF43" i="8"/>
  <c r="AG43" i="8" s="1"/>
  <c r="AH43" i="8" s="1"/>
  <c r="AB43" i="8"/>
  <c r="AK43" i="8" s="1"/>
  <c r="AJ43" i="8" s="1"/>
  <c r="AY43" i="8"/>
  <c r="AU43" i="8"/>
  <c r="BK42" i="8"/>
  <c r="BO42" i="8" s="1"/>
  <c r="BP42" i="8" s="1"/>
  <c r="AV44" i="8"/>
  <c r="AT44" i="8"/>
  <c r="AW43" i="8" s="1"/>
  <c r="AS45" i="8"/>
  <c r="AW42" i="8"/>
  <c r="AL35" i="5"/>
  <c r="B338" i="5"/>
  <c r="BE35" i="5"/>
  <c r="BM35" i="5" s="1"/>
  <c r="B306" i="5" s="1"/>
  <c r="BH36" i="5"/>
  <c r="BP36" i="5" s="1"/>
  <c r="BD37" i="5"/>
  <c r="BC36" i="5"/>
  <c r="BL36" i="5" s="1"/>
  <c r="AG36" i="5"/>
  <c r="AH36" i="5" s="1"/>
  <c r="AI36" i="5" s="1"/>
  <c r="AC36" i="5"/>
  <c r="BU39" i="5"/>
  <c r="BV39" i="5" s="1"/>
  <c r="BT40" i="5"/>
  <c r="AH46" i="16" l="1"/>
  <c r="AK46" i="16"/>
  <c r="A1286" i="16" s="1"/>
  <c r="AJ47" i="16"/>
  <c r="AL47" i="16" s="1"/>
  <c r="A1391" i="16" s="1"/>
  <c r="B370" i="5"/>
  <c r="A1183" i="16"/>
  <c r="AD47" i="16"/>
  <c r="AH47" i="16"/>
  <c r="AI47" i="16"/>
  <c r="A1069" i="16" s="1"/>
  <c r="A647" i="16"/>
  <c r="Q48" i="16"/>
  <c r="R48" i="16" s="1"/>
  <c r="AA48" i="16" s="1"/>
  <c r="V47" i="16"/>
  <c r="BQ36" i="5"/>
  <c r="B675" i="5" s="1"/>
  <c r="T65" i="14"/>
  <c r="U65" i="14"/>
  <c r="V65" i="14" s="1"/>
  <c r="F65" i="14" s="1"/>
  <c r="B287" i="14" s="1"/>
  <c r="R64" i="14"/>
  <c r="S65" i="14"/>
  <c r="AJ36" i="5"/>
  <c r="BF34" i="5"/>
  <c r="BG34" i="5" s="1"/>
  <c r="BO34" i="5" s="1"/>
  <c r="BN35" i="5"/>
  <c r="J52" i="12"/>
  <c r="L52" i="12"/>
  <c r="N54" i="12"/>
  <c r="O53" i="12"/>
  <c r="AE46" i="5"/>
  <c r="AF45" i="5"/>
  <c r="CY87" i="5"/>
  <c r="B542" i="5" s="1"/>
  <c r="CW87" i="5"/>
  <c r="CO86" i="5"/>
  <c r="CV87" i="5"/>
  <c r="AK43" i="9"/>
  <c r="AL45" i="9"/>
  <c r="AV43" i="9"/>
  <c r="AL44" i="9"/>
  <c r="BB44" i="9"/>
  <c r="AZ44" i="9"/>
  <c r="BA44" i="9"/>
  <c r="AV44" i="9"/>
  <c r="AW44" i="9"/>
  <c r="AH44" i="9"/>
  <c r="AI44" i="9" s="1"/>
  <c r="AJ44" i="9" s="1"/>
  <c r="AX44" i="9"/>
  <c r="BC44" i="9"/>
  <c r="AD44" i="9"/>
  <c r="AM44" i="9" s="1"/>
  <c r="AX45" i="9"/>
  <c r="AW45" i="9"/>
  <c r="CQ46" i="9"/>
  <c r="CP46" i="9"/>
  <c r="CL47" i="9"/>
  <c r="CH48" i="9"/>
  <c r="CI48" i="9" s="1"/>
  <c r="AU47" i="9"/>
  <c r="AT48" i="9"/>
  <c r="AY48" i="9" s="1"/>
  <c r="BL48" i="9"/>
  <c r="BM48" i="9" s="1"/>
  <c r="BN48" i="9" s="1"/>
  <c r="BE45" i="8"/>
  <c r="BF44" i="8"/>
  <c r="AI43" i="8"/>
  <c r="AV45" i="8"/>
  <c r="AT45" i="8"/>
  <c r="AW44" i="8" s="1"/>
  <c r="AS46" i="8"/>
  <c r="AX44" i="8"/>
  <c r="AF44" i="8"/>
  <c r="AG44" i="8" s="1"/>
  <c r="AB44" i="8"/>
  <c r="AK44" i="8" s="1"/>
  <c r="AJ44" i="8" s="1"/>
  <c r="AY44" i="8"/>
  <c r="AU44" i="8"/>
  <c r="BK43" i="8"/>
  <c r="BO43" i="8" s="1"/>
  <c r="BP43" i="8" s="1"/>
  <c r="AL36" i="5"/>
  <c r="BE36" i="5"/>
  <c r="BM36" i="5" s="1"/>
  <c r="BH37" i="5"/>
  <c r="BP37" i="5" s="1"/>
  <c r="BD38" i="5"/>
  <c r="AC37" i="5"/>
  <c r="BC37" i="5"/>
  <c r="BL37" i="5" s="1"/>
  <c r="AG37" i="5"/>
  <c r="AH37" i="5" s="1"/>
  <c r="AI37" i="5" s="1"/>
  <c r="AJ37" i="5" s="1"/>
  <c r="BU40" i="5"/>
  <c r="BV40" i="5" s="1"/>
  <c r="BT41" i="5"/>
  <c r="AK47" i="16" l="1"/>
  <c r="A1287" i="16" s="1"/>
  <c r="AJ48" i="16"/>
  <c r="AL48" i="16" s="1"/>
  <c r="A1392" i="16" s="1"/>
  <c r="A648" i="16"/>
  <c r="H33" i="13"/>
  <c r="AB47" i="16"/>
  <c r="AE47" i="16" s="1"/>
  <c r="A968" i="16" s="1"/>
  <c r="A1184" i="16"/>
  <c r="AD48" i="16"/>
  <c r="AH48" i="16"/>
  <c r="A863" i="16"/>
  <c r="Q49" i="16"/>
  <c r="R49" i="16" s="1"/>
  <c r="AA49" i="16" s="1"/>
  <c r="BQ37" i="5"/>
  <c r="T64" i="14"/>
  <c r="U64" i="14"/>
  <c r="V64" i="14" s="1"/>
  <c r="F64" i="14" s="1"/>
  <c r="B286" i="14" s="1"/>
  <c r="R63" i="14"/>
  <c r="S64" i="14"/>
  <c r="BF35" i="5"/>
  <c r="BG35" i="5" s="1"/>
  <c r="BO35" i="5" s="1"/>
  <c r="B419" i="5" s="1"/>
  <c r="BN36" i="5"/>
  <c r="J53" i="12"/>
  <c r="B145" i="12" s="1"/>
  <c r="L53" i="12"/>
  <c r="B170" i="12" s="1"/>
  <c r="N55" i="12"/>
  <c r="O54" i="12"/>
  <c r="AE47" i="5"/>
  <c r="AF46" i="5"/>
  <c r="CW86" i="5"/>
  <c r="CY86" i="5"/>
  <c r="B541" i="5" s="1"/>
  <c r="CO85" i="5"/>
  <c r="CV86" i="5"/>
  <c r="BA45" i="9"/>
  <c r="AH45" i="9"/>
  <c r="AI45" i="9" s="1"/>
  <c r="AJ45" i="9" s="1"/>
  <c r="AX46" i="9"/>
  <c r="AZ45" i="9"/>
  <c r="AD45" i="9"/>
  <c r="AM45" i="9" s="1"/>
  <c r="BC45" i="9"/>
  <c r="BB45" i="9"/>
  <c r="AK44" i="9"/>
  <c r="CQ47" i="9"/>
  <c r="CP47" i="9"/>
  <c r="B184" i="9"/>
  <c r="CL48" i="9"/>
  <c r="CH49" i="9"/>
  <c r="CI49" i="9" s="1"/>
  <c r="AU48" i="9"/>
  <c r="AT49" i="9"/>
  <c r="AY49" i="9" s="1"/>
  <c r="BL49" i="9"/>
  <c r="BM49" i="9" s="1"/>
  <c r="BN49" i="9" s="1"/>
  <c r="BE46" i="8"/>
  <c r="BF45" i="8"/>
  <c r="AX45" i="8"/>
  <c r="AF45" i="8"/>
  <c r="AG45" i="8" s="1"/>
  <c r="AB45" i="8"/>
  <c r="AK45" i="8" s="1"/>
  <c r="AJ45" i="8" s="1"/>
  <c r="AY45" i="8"/>
  <c r="AU45" i="8"/>
  <c r="BK44" i="8"/>
  <c r="BO44" i="8" s="1"/>
  <c r="BP44" i="8" s="1"/>
  <c r="AV46" i="8"/>
  <c r="AT46" i="8"/>
  <c r="AW45" i="8" s="1"/>
  <c r="AS47" i="8"/>
  <c r="AH44" i="8"/>
  <c r="AI44" i="8" s="1"/>
  <c r="AL37" i="5"/>
  <c r="BD39" i="5"/>
  <c r="BC38" i="5"/>
  <c r="BL38" i="5" s="1"/>
  <c r="AG38" i="5"/>
  <c r="AH38" i="5" s="1"/>
  <c r="AI38" i="5" s="1"/>
  <c r="AC38" i="5"/>
  <c r="BH38" i="5"/>
  <c r="BP38" i="5" s="1"/>
  <c r="BE37" i="5"/>
  <c r="BM37" i="5" s="1"/>
  <c r="BU41" i="5"/>
  <c r="BV41" i="5" s="1"/>
  <c r="BT42" i="5"/>
  <c r="AK48" i="16" l="1"/>
  <c r="A1288" i="16" s="1"/>
  <c r="AJ49" i="16"/>
  <c r="AL49" i="16" s="1"/>
  <c r="A1393" i="16" s="1"/>
  <c r="AI48" i="16"/>
  <c r="A1070" i="16" s="1"/>
  <c r="A1185" i="16"/>
  <c r="AD49" i="16"/>
  <c r="AH49" i="16"/>
  <c r="A649" i="16"/>
  <c r="Q50" i="16"/>
  <c r="R50" i="16" s="1"/>
  <c r="AA50" i="16" s="1"/>
  <c r="BQ38" i="5"/>
  <c r="H35" i="13" s="1"/>
  <c r="T63" i="14"/>
  <c r="U63" i="14"/>
  <c r="V63" i="14" s="1"/>
  <c r="F63" i="14" s="1"/>
  <c r="B285" i="14" s="1"/>
  <c r="R62" i="14"/>
  <c r="S63" i="14"/>
  <c r="BF36" i="5"/>
  <c r="BG36" i="5" s="1"/>
  <c r="BO36" i="5" s="1"/>
  <c r="BN37" i="5"/>
  <c r="AJ38" i="5"/>
  <c r="N56" i="12"/>
  <c r="O55" i="12"/>
  <c r="J54" i="12"/>
  <c r="L54" i="12"/>
  <c r="AE48" i="5"/>
  <c r="AF47" i="5"/>
  <c r="CY85" i="5"/>
  <c r="B540" i="5" s="1"/>
  <c r="CW85" i="5"/>
  <c r="CO84" i="5"/>
  <c r="CV85" i="5"/>
  <c r="BC46" i="9"/>
  <c r="AD46" i="9"/>
  <c r="AM46" i="9" s="1"/>
  <c r="AL46" i="9"/>
  <c r="BB46" i="9"/>
  <c r="AZ46" i="9"/>
  <c r="BA46" i="9"/>
  <c r="AH46" i="9"/>
  <c r="AI46" i="9" s="1"/>
  <c r="AJ46" i="9" s="1"/>
  <c r="AV45" i="9"/>
  <c r="AW46" i="9"/>
  <c r="AK45" i="9"/>
  <c r="BC47" i="9"/>
  <c r="CQ48" i="9"/>
  <c r="CP48" i="9"/>
  <c r="CL49" i="9"/>
  <c r="CH50" i="9"/>
  <c r="CI50" i="9" s="1"/>
  <c r="BL50" i="9"/>
  <c r="BM50" i="9" s="1"/>
  <c r="BN50" i="9" s="1"/>
  <c r="AU49" i="9"/>
  <c r="AT50" i="9"/>
  <c r="AY50" i="9" s="1"/>
  <c r="BE47" i="8"/>
  <c r="BF46" i="8"/>
  <c r="AV47" i="8"/>
  <c r="AT47" i="8"/>
  <c r="AW46" i="8" s="1"/>
  <c r="AS48" i="8"/>
  <c r="AX46" i="8"/>
  <c r="AF46" i="8"/>
  <c r="AG46" i="8" s="1"/>
  <c r="AH46" i="8" s="1"/>
  <c r="AB46" i="8"/>
  <c r="AK46" i="8" s="1"/>
  <c r="AJ46" i="8" s="1"/>
  <c r="AY46" i="8"/>
  <c r="AU46" i="8"/>
  <c r="BK45" i="8"/>
  <c r="BO45" i="8" s="1"/>
  <c r="BP45" i="8" s="1"/>
  <c r="AH45" i="8"/>
  <c r="AI45" i="8" s="1"/>
  <c r="AL38" i="5"/>
  <c r="BH39" i="5"/>
  <c r="BP39" i="5" s="1"/>
  <c r="BE38" i="5"/>
  <c r="BM38" i="5" s="1"/>
  <c r="BD40" i="5"/>
  <c r="AC39" i="5"/>
  <c r="BC39" i="5"/>
  <c r="BL39" i="5" s="1"/>
  <c r="AG39" i="5"/>
  <c r="AH39" i="5" s="1"/>
  <c r="AI39" i="5" s="1"/>
  <c r="BU42" i="5"/>
  <c r="BV42" i="5" s="1"/>
  <c r="BT43" i="5"/>
  <c r="AK49" i="16" l="1"/>
  <c r="A1289" i="16" s="1"/>
  <c r="AJ50" i="16"/>
  <c r="AL50" i="16" s="1"/>
  <c r="A1394" i="16" s="1"/>
  <c r="AI49" i="16"/>
  <c r="A1071" i="16" s="1"/>
  <c r="A1186" i="16"/>
  <c r="AD50" i="16"/>
  <c r="AH50" i="16"/>
  <c r="A650" i="16"/>
  <c r="Q51" i="16"/>
  <c r="R51" i="16" s="1"/>
  <c r="AA51" i="16" s="1"/>
  <c r="B676" i="5"/>
  <c r="BQ39" i="5"/>
  <c r="T62" i="14"/>
  <c r="U62" i="14"/>
  <c r="V62" i="14" s="1"/>
  <c r="F62" i="14" s="1"/>
  <c r="B284" i="14" s="1"/>
  <c r="R61" i="14"/>
  <c r="S62" i="14"/>
  <c r="BF37" i="5"/>
  <c r="BG37" i="5" s="1"/>
  <c r="BO37" i="5" s="1"/>
  <c r="BN38" i="5"/>
  <c r="AJ39" i="5"/>
  <c r="N57" i="12"/>
  <c r="O56" i="12"/>
  <c r="J55" i="12"/>
  <c r="L55" i="12"/>
  <c r="AE49" i="5"/>
  <c r="AF48" i="5"/>
  <c r="CW84" i="5"/>
  <c r="CY84" i="5"/>
  <c r="B539" i="5" s="1"/>
  <c r="CO83" i="5"/>
  <c r="CV84" i="5"/>
  <c r="AK46" i="9"/>
  <c r="AV46" i="9"/>
  <c r="AL47" i="9"/>
  <c r="BA47" i="9"/>
  <c r="AW47" i="9"/>
  <c r="AH47" i="9"/>
  <c r="AI47" i="9" s="1"/>
  <c r="AJ47" i="9" s="1"/>
  <c r="AX47" i="9"/>
  <c r="AZ47" i="9"/>
  <c r="AD47" i="9"/>
  <c r="AM47" i="9" s="1"/>
  <c r="BB47" i="9"/>
  <c r="B232" i="9"/>
  <c r="CQ49" i="9"/>
  <c r="CP49" i="9"/>
  <c r="CL50" i="9"/>
  <c r="CH51" i="9"/>
  <c r="CI51" i="9" s="1"/>
  <c r="AU50" i="9"/>
  <c r="AT51" i="9"/>
  <c r="AY51" i="9" s="1"/>
  <c r="BL51" i="9"/>
  <c r="BM51" i="9" s="1"/>
  <c r="BN51" i="9" s="1"/>
  <c r="BE48" i="8"/>
  <c r="BF47" i="8"/>
  <c r="BK46" i="8"/>
  <c r="BO46" i="8" s="1"/>
  <c r="BP46" i="8" s="1"/>
  <c r="AV48" i="8"/>
  <c r="AT48" i="8"/>
  <c r="AW47" i="8" s="1"/>
  <c r="AS49" i="8"/>
  <c r="AX47" i="8"/>
  <c r="AF47" i="8"/>
  <c r="AG47" i="8" s="1"/>
  <c r="AH47" i="8" s="1"/>
  <c r="AB47" i="8"/>
  <c r="AK47" i="8" s="1"/>
  <c r="AJ47" i="8" s="1"/>
  <c r="AY47" i="8"/>
  <c r="AU47" i="8"/>
  <c r="AI46" i="8"/>
  <c r="AL39" i="5"/>
  <c r="BE39" i="5"/>
  <c r="BM39" i="5" s="1"/>
  <c r="BH40" i="5"/>
  <c r="BP40" i="5" s="1"/>
  <c r="BC40" i="5"/>
  <c r="BL40" i="5" s="1"/>
  <c r="BQ40" i="5" s="1"/>
  <c r="AG40" i="5"/>
  <c r="AH40" i="5" s="1"/>
  <c r="AI40" i="5" s="1"/>
  <c r="AC40" i="5"/>
  <c r="BD41" i="5"/>
  <c r="BE40" i="5"/>
  <c r="BM40" i="5" s="1"/>
  <c r="BU43" i="5"/>
  <c r="BV43" i="5" s="1"/>
  <c r="BT44" i="5"/>
  <c r="F8" i="2"/>
  <c r="C102" i="1"/>
  <c r="B102" i="1"/>
  <c r="A102" i="1"/>
  <c r="C101" i="1"/>
  <c r="B101" i="1"/>
  <c r="A101" i="1"/>
  <c r="C100" i="1"/>
  <c r="B100" i="1"/>
  <c r="A100" i="1"/>
  <c r="C99" i="1"/>
  <c r="B99" i="1"/>
  <c r="A99" i="1"/>
  <c r="C98" i="1"/>
  <c r="B98" i="1"/>
  <c r="A98" i="1"/>
  <c r="C97" i="1"/>
  <c r="B97" i="1"/>
  <c r="A97" i="1"/>
  <c r="C96" i="1"/>
  <c r="B96" i="1"/>
  <c r="A96" i="1"/>
  <c r="C95" i="1"/>
  <c r="B95" i="1"/>
  <c r="A95" i="1"/>
  <c r="C94" i="1"/>
  <c r="B94" i="1"/>
  <c r="A94" i="1"/>
  <c r="C93" i="1"/>
  <c r="B93" i="1"/>
  <c r="A93" i="1"/>
  <c r="C92" i="1"/>
  <c r="B92" i="1"/>
  <c r="A92" i="1"/>
  <c r="C91" i="1"/>
  <c r="B91" i="1"/>
  <c r="A91" i="1"/>
  <c r="C90" i="1"/>
  <c r="B90" i="1"/>
  <c r="A90" i="1"/>
  <c r="C89" i="1"/>
  <c r="B89" i="1"/>
  <c r="A89" i="1"/>
  <c r="C88" i="1"/>
  <c r="B88" i="1"/>
  <c r="A88" i="1"/>
  <c r="C87" i="1"/>
  <c r="B87" i="1"/>
  <c r="A87" i="1"/>
  <c r="C86" i="1"/>
  <c r="B86" i="1"/>
  <c r="A86" i="1"/>
  <c r="C85" i="1"/>
  <c r="B85" i="1"/>
  <c r="A85" i="1"/>
  <c r="C84" i="1"/>
  <c r="B84" i="1"/>
  <c r="A84" i="1"/>
  <c r="C83" i="1"/>
  <c r="B83" i="1"/>
  <c r="A83" i="1"/>
  <c r="C82" i="1"/>
  <c r="B82" i="1"/>
  <c r="A82" i="1"/>
  <c r="C81" i="1"/>
  <c r="B81" i="1"/>
  <c r="A81" i="1"/>
  <c r="C80" i="1"/>
  <c r="B80" i="1"/>
  <c r="A80" i="1"/>
  <c r="C79" i="1"/>
  <c r="B79" i="1"/>
  <c r="A79" i="1"/>
  <c r="C78" i="1"/>
  <c r="B78" i="1"/>
  <c r="A78" i="1"/>
  <c r="C77" i="1"/>
  <c r="B77" i="1"/>
  <c r="A77" i="1"/>
  <c r="C76" i="1"/>
  <c r="B76" i="1"/>
  <c r="A76" i="1"/>
  <c r="C75" i="1"/>
  <c r="B75" i="1"/>
  <c r="A75" i="1"/>
  <c r="C74" i="1"/>
  <c r="B74" i="1"/>
  <c r="A74" i="1"/>
  <c r="C73" i="1"/>
  <c r="B73" i="1"/>
  <c r="A73" i="1"/>
  <c r="C72" i="1"/>
  <c r="B72" i="1"/>
  <c r="A72" i="1"/>
  <c r="C71" i="1"/>
  <c r="B71" i="1"/>
  <c r="A71" i="1"/>
  <c r="C70" i="1"/>
  <c r="B70" i="1"/>
  <c r="A70" i="1"/>
  <c r="C69" i="1"/>
  <c r="B69" i="1"/>
  <c r="A69" i="1"/>
  <c r="C68" i="1"/>
  <c r="B68" i="1"/>
  <c r="A68" i="1"/>
  <c r="C67" i="1"/>
  <c r="B67" i="1"/>
  <c r="A67" i="1"/>
  <c r="C66" i="1"/>
  <c r="B66" i="1"/>
  <c r="A66" i="1"/>
  <c r="C65" i="1"/>
  <c r="B65" i="1"/>
  <c r="A65" i="1"/>
  <c r="C64" i="1"/>
  <c r="B64" i="1"/>
  <c r="A64" i="1"/>
  <c r="C63" i="1"/>
  <c r="B63" i="1"/>
  <c r="A63" i="1"/>
  <c r="C62" i="1"/>
  <c r="B62" i="1"/>
  <c r="A62" i="1"/>
  <c r="C61" i="1"/>
  <c r="B61" i="1"/>
  <c r="A61" i="1"/>
  <c r="C60" i="1"/>
  <c r="B60" i="1"/>
  <c r="A60" i="1"/>
  <c r="C59" i="1"/>
  <c r="B59" i="1"/>
  <c r="A59" i="1"/>
  <c r="C58" i="1"/>
  <c r="B58" i="1"/>
  <c r="A58" i="1"/>
  <c r="C57" i="1"/>
  <c r="B57" i="1"/>
  <c r="A57" i="1"/>
  <c r="C56" i="1"/>
  <c r="B56" i="1"/>
  <c r="A56" i="1"/>
  <c r="C55" i="1"/>
  <c r="B55" i="1"/>
  <c r="A55" i="1"/>
  <c r="C54" i="1"/>
  <c r="B54" i="1"/>
  <c r="A54" i="1"/>
  <c r="C53" i="1"/>
  <c r="B53" i="1"/>
  <c r="A53" i="1"/>
  <c r="C52" i="1"/>
  <c r="B52" i="1"/>
  <c r="A52" i="1"/>
  <c r="C51" i="1"/>
  <c r="B51" i="1"/>
  <c r="A51" i="1"/>
  <c r="C50" i="1"/>
  <c r="B50" i="1"/>
  <c r="A50" i="1"/>
  <c r="C49" i="1"/>
  <c r="B49" i="1"/>
  <c r="A49" i="1"/>
  <c r="C48" i="1"/>
  <c r="B48" i="1"/>
  <c r="A48" i="1"/>
  <c r="C47" i="1"/>
  <c r="B47" i="1"/>
  <c r="A47" i="1"/>
  <c r="C46" i="1"/>
  <c r="B46" i="1"/>
  <c r="A46" i="1"/>
  <c r="C45" i="1"/>
  <c r="B45" i="1"/>
  <c r="A45" i="1"/>
  <c r="C44" i="1"/>
  <c r="B44" i="1"/>
  <c r="A44" i="1"/>
  <c r="C43" i="1"/>
  <c r="B43" i="1"/>
  <c r="A43" i="1"/>
  <c r="C42" i="1"/>
  <c r="B42" i="1"/>
  <c r="A42" i="1"/>
  <c r="C41" i="1"/>
  <c r="B41" i="1"/>
  <c r="A41" i="1"/>
  <c r="C40" i="1"/>
  <c r="B40" i="1"/>
  <c r="A40" i="1"/>
  <c r="C39" i="1"/>
  <c r="B39" i="1"/>
  <c r="A39" i="1"/>
  <c r="C38" i="1"/>
  <c r="B38" i="1"/>
  <c r="A38" i="1"/>
  <c r="C37" i="1"/>
  <c r="B37" i="1"/>
  <c r="A37" i="1"/>
  <c r="C36" i="1"/>
  <c r="B36" i="1"/>
  <c r="A36" i="1"/>
  <c r="C35" i="1"/>
  <c r="B35" i="1"/>
  <c r="A35" i="1"/>
  <c r="C34" i="1"/>
  <c r="B34" i="1"/>
  <c r="A34" i="1"/>
  <c r="C33" i="1"/>
  <c r="B33" i="1"/>
  <c r="A33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B24" i="1"/>
  <c r="A24" i="1"/>
  <c r="C23" i="1"/>
  <c r="B23" i="1"/>
  <c r="A23" i="1"/>
  <c r="C22" i="1"/>
  <c r="B22" i="1"/>
  <c r="A22" i="1"/>
  <c r="C21" i="1"/>
  <c r="B21" i="1"/>
  <c r="A21" i="1"/>
  <c r="C20" i="1"/>
  <c r="B20" i="1"/>
  <c r="A20" i="1"/>
  <c r="C19" i="1"/>
  <c r="B19" i="1"/>
  <c r="A19" i="1"/>
  <c r="C18" i="1"/>
  <c r="B18" i="1"/>
  <c r="A18" i="1"/>
  <c r="C17" i="1"/>
  <c r="B17" i="1"/>
  <c r="A17" i="1"/>
  <c r="C16" i="1"/>
  <c r="B16" i="1"/>
  <c r="A16" i="1"/>
  <c r="C15" i="1"/>
  <c r="B15" i="1"/>
  <c r="A15" i="1"/>
  <c r="C14" i="1"/>
  <c r="B14" i="1"/>
  <c r="A14" i="1"/>
  <c r="C13" i="1"/>
  <c r="B13" i="1"/>
  <c r="A13" i="1"/>
  <c r="C12" i="1"/>
  <c r="B12" i="1"/>
  <c r="A12" i="1"/>
  <c r="C11" i="1"/>
  <c r="B11" i="1"/>
  <c r="A11" i="1"/>
  <c r="C10" i="1"/>
  <c r="B10" i="1"/>
  <c r="A10" i="1"/>
  <c r="C9" i="1"/>
  <c r="B9" i="1"/>
  <c r="A9" i="1"/>
  <c r="C8" i="1"/>
  <c r="B8" i="1"/>
  <c r="A8" i="1"/>
  <c r="C7" i="1"/>
  <c r="B7" i="1"/>
  <c r="A7" i="1"/>
  <c r="H6" i="1"/>
  <c r="C6" i="1"/>
  <c r="B6" i="1"/>
  <c r="A6" i="1"/>
  <c r="H5" i="1"/>
  <c r="C5" i="1"/>
  <c r="B5" i="1"/>
  <c r="A5" i="1"/>
  <c r="C4" i="1"/>
  <c r="B4" i="1"/>
  <c r="A4" i="1"/>
  <c r="H3" i="1"/>
  <c r="C3" i="1"/>
  <c r="B3" i="1"/>
  <c r="A3" i="1"/>
  <c r="H2" i="1"/>
  <c r="B1" i="1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I111" i="2"/>
  <c r="D111" i="2" s="1"/>
  <c r="H111" i="2"/>
  <c r="I110" i="2"/>
  <c r="H110" i="2"/>
  <c r="I109" i="2"/>
  <c r="D109" i="2" s="1"/>
  <c r="H109" i="2"/>
  <c r="I108" i="2"/>
  <c r="H108" i="2"/>
  <c r="I107" i="2"/>
  <c r="D107" i="2" s="1"/>
  <c r="H107" i="2"/>
  <c r="I106" i="2"/>
  <c r="H106" i="2"/>
  <c r="I105" i="2"/>
  <c r="D105" i="2" s="1"/>
  <c r="H105" i="2"/>
  <c r="I104" i="2"/>
  <c r="H104" i="2"/>
  <c r="I103" i="2"/>
  <c r="D103" i="2" s="1"/>
  <c r="H103" i="2"/>
  <c r="I102" i="2"/>
  <c r="H102" i="2"/>
  <c r="I101" i="2"/>
  <c r="D101" i="2" s="1"/>
  <c r="H101" i="2"/>
  <c r="I100" i="2"/>
  <c r="H100" i="2"/>
  <c r="I99" i="2"/>
  <c r="D99" i="2" s="1"/>
  <c r="H99" i="2"/>
  <c r="I98" i="2"/>
  <c r="H98" i="2"/>
  <c r="I97" i="2"/>
  <c r="D97" i="2" s="1"/>
  <c r="H97" i="2"/>
  <c r="I96" i="2"/>
  <c r="H96" i="2"/>
  <c r="I95" i="2"/>
  <c r="D95" i="2" s="1"/>
  <c r="H95" i="2"/>
  <c r="I94" i="2"/>
  <c r="H94" i="2"/>
  <c r="I93" i="2"/>
  <c r="D93" i="2" s="1"/>
  <c r="H93" i="2"/>
  <c r="I92" i="2"/>
  <c r="H92" i="2"/>
  <c r="I91" i="2"/>
  <c r="D91" i="2" s="1"/>
  <c r="H91" i="2"/>
  <c r="I90" i="2"/>
  <c r="H90" i="2"/>
  <c r="I89" i="2"/>
  <c r="D89" i="2" s="1"/>
  <c r="H89" i="2"/>
  <c r="I88" i="2"/>
  <c r="H88" i="2"/>
  <c r="I87" i="2"/>
  <c r="D87" i="2" s="1"/>
  <c r="H87" i="2"/>
  <c r="I86" i="2"/>
  <c r="H86" i="2"/>
  <c r="I85" i="2"/>
  <c r="D85" i="2" s="1"/>
  <c r="H85" i="2"/>
  <c r="I84" i="2"/>
  <c r="H84" i="2"/>
  <c r="I83" i="2"/>
  <c r="D83" i="2" s="1"/>
  <c r="H83" i="2"/>
  <c r="I82" i="2"/>
  <c r="H82" i="2"/>
  <c r="I81" i="2"/>
  <c r="D81" i="2" s="1"/>
  <c r="H81" i="2"/>
  <c r="I80" i="2"/>
  <c r="H80" i="2"/>
  <c r="I79" i="2"/>
  <c r="D79" i="2" s="1"/>
  <c r="H79" i="2"/>
  <c r="I78" i="2"/>
  <c r="H78" i="2"/>
  <c r="I77" i="2"/>
  <c r="D77" i="2" s="1"/>
  <c r="H77" i="2"/>
  <c r="I76" i="2"/>
  <c r="H76" i="2"/>
  <c r="I75" i="2"/>
  <c r="D75" i="2" s="1"/>
  <c r="H75" i="2"/>
  <c r="I74" i="2"/>
  <c r="H74" i="2"/>
  <c r="I73" i="2"/>
  <c r="D73" i="2" s="1"/>
  <c r="H73" i="2"/>
  <c r="I72" i="2"/>
  <c r="H72" i="2"/>
  <c r="I71" i="2"/>
  <c r="D71" i="2" s="1"/>
  <c r="H71" i="2"/>
  <c r="I70" i="2"/>
  <c r="H70" i="2"/>
  <c r="I69" i="2"/>
  <c r="D69" i="2" s="1"/>
  <c r="H69" i="2"/>
  <c r="I68" i="2"/>
  <c r="H68" i="2"/>
  <c r="I67" i="2"/>
  <c r="D67" i="2" s="1"/>
  <c r="H67" i="2"/>
  <c r="I66" i="2"/>
  <c r="H66" i="2"/>
  <c r="I65" i="2"/>
  <c r="D65" i="2" s="1"/>
  <c r="H65" i="2"/>
  <c r="I64" i="2"/>
  <c r="H64" i="2"/>
  <c r="I63" i="2"/>
  <c r="D63" i="2" s="1"/>
  <c r="H63" i="2"/>
  <c r="I62" i="2"/>
  <c r="H62" i="2"/>
  <c r="I61" i="2"/>
  <c r="D61" i="2" s="1"/>
  <c r="H61" i="2"/>
  <c r="I60" i="2"/>
  <c r="H60" i="2"/>
  <c r="I59" i="2"/>
  <c r="D59" i="2" s="1"/>
  <c r="H59" i="2"/>
  <c r="I58" i="2"/>
  <c r="H58" i="2"/>
  <c r="I57" i="2"/>
  <c r="D57" i="2" s="1"/>
  <c r="H57" i="2"/>
  <c r="I56" i="2"/>
  <c r="H56" i="2"/>
  <c r="I55" i="2"/>
  <c r="D55" i="2" s="1"/>
  <c r="H55" i="2"/>
  <c r="I54" i="2"/>
  <c r="H54" i="2"/>
  <c r="I53" i="2"/>
  <c r="D53" i="2" s="1"/>
  <c r="H53" i="2"/>
  <c r="I52" i="2"/>
  <c r="H52" i="2"/>
  <c r="I51" i="2"/>
  <c r="D51" i="2" s="1"/>
  <c r="H51" i="2"/>
  <c r="I50" i="2"/>
  <c r="H50" i="2"/>
  <c r="I49" i="2"/>
  <c r="D49" i="2" s="1"/>
  <c r="H49" i="2"/>
  <c r="I48" i="2"/>
  <c r="H48" i="2"/>
  <c r="I47" i="2"/>
  <c r="D47" i="2" s="1"/>
  <c r="H47" i="2"/>
  <c r="I46" i="2"/>
  <c r="H46" i="2"/>
  <c r="I45" i="2"/>
  <c r="D45" i="2" s="1"/>
  <c r="H45" i="2"/>
  <c r="I44" i="2"/>
  <c r="H44" i="2"/>
  <c r="I43" i="2"/>
  <c r="H43" i="2"/>
  <c r="I42" i="2"/>
  <c r="H42" i="2"/>
  <c r="I41" i="2"/>
  <c r="D41" i="2" s="1"/>
  <c r="H41" i="2"/>
  <c r="I40" i="2"/>
  <c r="H40" i="2"/>
  <c r="I39" i="2"/>
  <c r="D39" i="2" s="1"/>
  <c r="H39" i="2"/>
  <c r="I38" i="2"/>
  <c r="H38" i="2"/>
  <c r="I37" i="2"/>
  <c r="D37" i="2" s="1"/>
  <c r="H37" i="2"/>
  <c r="I36" i="2"/>
  <c r="H36" i="2"/>
  <c r="I35" i="2"/>
  <c r="D35" i="2" s="1"/>
  <c r="H35" i="2"/>
  <c r="I34" i="2"/>
  <c r="H34" i="2"/>
  <c r="I33" i="2"/>
  <c r="D33" i="2" s="1"/>
  <c r="H33" i="2"/>
  <c r="I32" i="2"/>
  <c r="H32" i="2"/>
  <c r="I31" i="2"/>
  <c r="D31" i="2" s="1"/>
  <c r="H31" i="2"/>
  <c r="I30" i="2"/>
  <c r="H30" i="2"/>
  <c r="I29" i="2"/>
  <c r="D29" i="2" s="1"/>
  <c r="H29" i="2"/>
  <c r="I28" i="2"/>
  <c r="H28" i="2"/>
  <c r="I27" i="2"/>
  <c r="D27" i="2" s="1"/>
  <c r="H27" i="2"/>
  <c r="I26" i="2"/>
  <c r="H26" i="2"/>
  <c r="I25" i="2"/>
  <c r="D25" i="2" s="1"/>
  <c r="H25" i="2"/>
  <c r="I24" i="2"/>
  <c r="H24" i="2"/>
  <c r="I23" i="2"/>
  <c r="D23" i="2" s="1"/>
  <c r="H23" i="2"/>
  <c r="I22" i="2"/>
  <c r="H22" i="2"/>
  <c r="I21" i="2"/>
  <c r="D21" i="2" s="1"/>
  <c r="H21" i="2"/>
  <c r="I20" i="2"/>
  <c r="H20" i="2"/>
  <c r="I19" i="2"/>
  <c r="H19" i="2"/>
  <c r="I18" i="2"/>
  <c r="H18" i="2"/>
  <c r="I17" i="2"/>
  <c r="D17" i="2" s="1"/>
  <c r="H17" i="2"/>
  <c r="I16" i="2"/>
  <c r="H16" i="2"/>
  <c r="I15" i="2"/>
  <c r="D15" i="2" s="1"/>
  <c r="H15" i="2"/>
  <c r="I14" i="2"/>
  <c r="H14" i="2"/>
  <c r="I13" i="2"/>
  <c r="D13" i="2" s="1"/>
  <c r="H13" i="2"/>
  <c r="I12" i="2"/>
  <c r="H12" i="2"/>
  <c r="N19" i="5"/>
  <c r="B884" i="5"/>
  <c r="B852" i="5"/>
  <c r="B740" i="5"/>
  <c r="B715" i="5"/>
  <c r="B303" i="5"/>
  <c r="L10" i="3"/>
  <c r="L147" i="3"/>
  <c r="L145" i="3"/>
  <c r="L146" i="3"/>
  <c r="L144" i="3"/>
  <c r="I145" i="3"/>
  <c r="I146" i="3"/>
  <c r="I147" i="3"/>
  <c r="I148" i="3"/>
  <c r="I149" i="3"/>
  <c r="I150" i="3"/>
  <c r="I151" i="3"/>
  <c r="I144" i="3"/>
  <c r="F151" i="3"/>
  <c r="F145" i="3"/>
  <c r="F146" i="3"/>
  <c r="F147" i="3"/>
  <c r="F148" i="3"/>
  <c r="F149" i="3"/>
  <c r="F150" i="3"/>
  <c r="F144" i="3"/>
  <c r="F143" i="3"/>
  <c r="D211" i="3"/>
  <c r="B209" i="3"/>
  <c r="B137" i="3"/>
  <c r="AK50" i="16" l="1"/>
  <c r="A1290" i="16" s="1"/>
  <c r="AJ51" i="16"/>
  <c r="AL51" i="16" s="1"/>
  <c r="A1395" i="16" s="1"/>
  <c r="AI50" i="16"/>
  <c r="A1072" i="16" s="1"/>
  <c r="A1187" i="16"/>
  <c r="AD51" i="16"/>
  <c r="AH51" i="16"/>
  <c r="A651" i="16"/>
  <c r="Q52" i="16"/>
  <c r="R52" i="16" s="1"/>
  <c r="AA52" i="16" s="1"/>
  <c r="B677" i="5"/>
  <c r="T61" i="14"/>
  <c r="U61" i="14"/>
  <c r="V61" i="14" s="1"/>
  <c r="F61" i="14" s="1"/>
  <c r="B283" i="14" s="1"/>
  <c r="R60" i="14"/>
  <c r="S61" i="14"/>
  <c r="BF38" i="5"/>
  <c r="BG38" i="5" s="1"/>
  <c r="BO38" i="5" s="1"/>
  <c r="BN39" i="5"/>
  <c r="AJ40" i="5"/>
  <c r="N58" i="12"/>
  <c r="O57" i="12"/>
  <c r="J56" i="12"/>
  <c r="L56" i="12"/>
  <c r="AE50" i="5"/>
  <c r="AF49" i="5"/>
  <c r="B404" i="5" s="1"/>
  <c r="D19" i="2"/>
  <c r="CY83" i="5"/>
  <c r="B538" i="5" s="1"/>
  <c r="CW83" i="5"/>
  <c r="CO82" i="5"/>
  <c r="CV83" i="5"/>
  <c r="B776" i="9"/>
  <c r="B741" i="5"/>
  <c r="B416" i="5"/>
  <c r="B570" i="9"/>
  <c r="AX49" i="9"/>
  <c r="AK47" i="9"/>
  <c r="CQ50" i="9"/>
  <c r="CP50" i="9"/>
  <c r="AV47" i="9"/>
  <c r="BC48" i="9"/>
  <c r="AZ48" i="9"/>
  <c r="BA48" i="9"/>
  <c r="AL48" i="9"/>
  <c r="AD48" i="9"/>
  <c r="AM48" i="9" s="1"/>
  <c r="BB48" i="9"/>
  <c r="AW48" i="9"/>
  <c r="AH48" i="9"/>
  <c r="AI48" i="9" s="1"/>
  <c r="AJ48" i="9" s="1"/>
  <c r="AX48" i="9"/>
  <c r="AL49" i="9"/>
  <c r="B309" i="9" s="1"/>
  <c r="BC49" i="9"/>
  <c r="CL51" i="9"/>
  <c r="CH52" i="9"/>
  <c r="CI52" i="9" s="1"/>
  <c r="AU51" i="9"/>
  <c r="AT52" i="9"/>
  <c r="AY52" i="9" s="1"/>
  <c r="BL52" i="9"/>
  <c r="BM52" i="9" s="1"/>
  <c r="BN52" i="9" s="1"/>
  <c r="BE49" i="8"/>
  <c r="BF48" i="8"/>
  <c r="AV49" i="8"/>
  <c r="AT49" i="8"/>
  <c r="AW48" i="8" s="1"/>
  <c r="AS50" i="8"/>
  <c r="AX48" i="8"/>
  <c r="AF48" i="8"/>
  <c r="AG48" i="8" s="1"/>
  <c r="AH48" i="8" s="1"/>
  <c r="AB48" i="8"/>
  <c r="AK48" i="8" s="1"/>
  <c r="AJ48" i="8" s="1"/>
  <c r="AY48" i="8"/>
  <c r="AU48" i="8"/>
  <c r="BK47" i="8"/>
  <c r="BO47" i="8" s="1"/>
  <c r="BP47" i="8" s="1"/>
  <c r="AI47" i="8"/>
  <c r="AL40" i="5"/>
  <c r="B432" i="5"/>
  <c r="B6" i="5"/>
  <c r="D14" i="2"/>
  <c r="D16" i="2"/>
  <c r="D18" i="2"/>
  <c r="D20" i="2"/>
  <c r="D22" i="2"/>
  <c r="D24" i="2"/>
  <c r="D26" i="2"/>
  <c r="D28" i="2"/>
  <c r="D30" i="2"/>
  <c r="D32" i="2"/>
  <c r="D34" i="2"/>
  <c r="D36" i="2"/>
  <c r="D38" i="2"/>
  <c r="D40" i="2"/>
  <c r="D42" i="2"/>
  <c r="D44" i="2"/>
  <c r="D46" i="2"/>
  <c r="D48" i="2"/>
  <c r="D50" i="2"/>
  <c r="D52" i="2"/>
  <c r="D54" i="2"/>
  <c r="D56" i="2"/>
  <c r="D58" i="2"/>
  <c r="D60" i="2"/>
  <c r="D62" i="2"/>
  <c r="D64" i="2"/>
  <c r="D66" i="2"/>
  <c r="D68" i="2"/>
  <c r="D70" i="2"/>
  <c r="D72" i="2"/>
  <c r="D74" i="2"/>
  <c r="D76" i="2"/>
  <c r="D78" i="2"/>
  <c r="D80" i="2"/>
  <c r="D82" i="2"/>
  <c r="D84" i="2"/>
  <c r="D86" i="2"/>
  <c r="D88" i="2"/>
  <c r="D90" i="2"/>
  <c r="D92" i="2"/>
  <c r="D94" i="2"/>
  <c r="D96" i="2"/>
  <c r="D98" i="2"/>
  <c r="D100" i="2"/>
  <c r="D102" i="2"/>
  <c r="D104" i="2"/>
  <c r="D106" i="2"/>
  <c r="D108" i="2"/>
  <c r="D110" i="2"/>
  <c r="D12" i="2"/>
  <c r="D43" i="2"/>
  <c r="BH41" i="5"/>
  <c r="BP41" i="5" s="1"/>
  <c r="BD42" i="5"/>
  <c r="AC41" i="5"/>
  <c r="BC41" i="5"/>
  <c r="BL41" i="5" s="1"/>
  <c r="BQ41" i="5" s="1"/>
  <c r="AG41" i="5"/>
  <c r="AH41" i="5" s="1"/>
  <c r="AI41" i="5" s="1"/>
  <c r="AJ41" i="5" s="1"/>
  <c r="BU44" i="5"/>
  <c r="BV44" i="5" s="1"/>
  <c r="BT45" i="5"/>
  <c r="B24" i="2"/>
  <c r="B25" i="2"/>
  <c r="A25" i="2" s="1"/>
  <c r="B26" i="2"/>
  <c r="A26" i="2" s="1"/>
  <c r="B27" i="2"/>
  <c r="A27" i="2" s="1"/>
  <c r="B28" i="2"/>
  <c r="B29" i="2"/>
  <c r="A29" i="2" s="1"/>
  <c r="B30" i="2"/>
  <c r="A30" i="2" s="1"/>
  <c r="B31" i="2"/>
  <c r="A31" i="2" s="1"/>
  <c r="B32" i="2"/>
  <c r="B33" i="2"/>
  <c r="A33" i="2" s="1"/>
  <c r="B34" i="2"/>
  <c r="A34" i="2" s="1"/>
  <c r="B35" i="2"/>
  <c r="A35" i="2" s="1"/>
  <c r="B36" i="2"/>
  <c r="A36" i="2" s="1"/>
  <c r="B37" i="2"/>
  <c r="A37" i="2" s="1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23" i="2"/>
  <c r="A23" i="2" s="1"/>
  <c r="B14" i="2"/>
  <c r="B15" i="2"/>
  <c r="A15" i="2" s="1"/>
  <c r="B16" i="2"/>
  <c r="A16" i="2" s="1"/>
  <c r="B17" i="2"/>
  <c r="A17" i="2" s="1"/>
  <c r="B18" i="2"/>
  <c r="B19" i="2"/>
  <c r="A19" i="2" s="1"/>
  <c r="B20" i="2"/>
  <c r="B21" i="2"/>
  <c r="A21" i="2" s="1"/>
  <c r="B22" i="2"/>
  <c r="B13" i="2"/>
  <c r="A13" i="2" s="1"/>
  <c r="B12" i="2"/>
  <c r="B718" i="5"/>
  <c r="AK51" i="16" l="1"/>
  <c r="A1291" i="16" s="1"/>
  <c r="AJ52" i="16"/>
  <c r="AL52" i="16" s="1"/>
  <c r="A1396" i="16" s="1"/>
  <c r="A652" i="16"/>
  <c r="A32" i="2"/>
  <c r="A24" i="2"/>
  <c r="A22" i="2"/>
  <c r="A18" i="2"/>
  <c r="AI51" i="16"/>
  <c r="A1073" i="16" s="1"/>
  <c r="A28" i="2"/>
  <c r="A1188" i="16"/>
  <c r="AD52" i="16"/>
  <c r="AH52" i="16"/>
  <c r="Q53" i="16"/>
  <c r="R53" i="16" s="1"/>
  <c r="AA53" i="16" s="1"/>
  <c r="T60" i="14"/>
  <c r="U60" i="14"/>
  <c r="V60" i="14" s="1"/>
  <c r="F60" i="14" s="1"/>
  <c r="B282" i="14" s="1"/>
  <c r="R59" i="14"/>
  <c r="S60" i="14"/>
  <c r="BF39" i="5"/>
  <c r="BG39" i="5" s="1"/>
  <c r="BO39" i="5" s="1"/>
  <c r="BN40" i="5"/>
  <c r="A20" i="2"/>
  <c r="C109" i="2"/>
  <c r="A109" i="2"/>
  <c r="C105" i="2"/>
  <c r="A105" i="2"/>
  <c r="C101" i="2"/>
  <c r="A101" i="2"/>
  <c r="C97" i="2"/>
  <c r="A97" i="2"/>
  <c r="C93" i="2"/>
  <c r="A93" i="2"/>
  <c r="C89" i="2"/>
  <c r="A89" i="2"/>
  <c r="C85" i="2"/>
  <c r="A85" i="2"/>
  <c r="C81" i="2"/>
  <c r="A81" i="2"/>
  <c r="C75" i="2"/>
  <c r="A75" i="2"/>
  <c r="C71" i="2"/>
  <c r="A71" i="2"/>
  <c r="C110" i="2"/>
  <c r="A110" i="2"/>
  <c r="C108" i="2"/>
  <c r="A108" i="2"/>
  <c r="C106" i="2"/>
  <c r="A106" i="2"/>
  <c r="C104" i="2"/>
  <c r="A104" i="2"/>
  <c r="C102" i="2"/>
  <c r="A102" i="2"/>
  <c r="C100" i="2"/>
  <c r="A100" i="2"/>
  <c r="C98" i="2"/>
  <c r="A98" i="2"/>
  <c r="C96" i="2"/>
  <c r="A96" i="2"/>
  <c r="C94" i="2"/>
  <c r="A94" i="2"/>
  <c r="C92" i="2"/>
  <c r="A92" i="2"/>
  <c r="C90" i="2"/>
  <c r="A90" i="2"/>
  <c r="C88" i="2"/>
  <c r="A88" i="2"/>
  <c r="C86" i="2"/>
  <c r="A86" i="2"/>
  <c r="C84" i="2"/>
  <c r="A84" i="2"/>
  <c r="C82" i="2"/>
  <c r="A82" i="2"/>
  <c r="C80" i="2"/>
  <c r="A80" i="2"/>
  <c r="C78" i="2"/>
  <c r="A78" i="2"/>
  <c r="C76" i="2"/>
  <c r="A76" i="2"/>
  <c r="C74" i="2"/>
  <c r="A74" i="2"/>
  <c r="C72" i="2"/>
  <c r="A72" i="2"/>
  <c r="C70" i="2"/>
  <c r="A70" i="2"/>
  <c r="C68" i="2"/>
  <c r="A68" i="2"/>
  <c r="C66" i="2"/>
  <c r="A66" i="2"/>
  <c r="C64" i="2"/>
  <c r="A64" i="2"/>
  <c r="C62" i="2"/>
  <c r="A62" i="2"/>
  <c r="C60" i="2"/>
  <c r="A60" i="2"/>
  <c r="C58" i="2"/>
  <c r="A58" i="2"/>
  <c r="C56" i="2"/>
  <c r="A56" i="2"/>
  <c r="C54" i="2"/>
  <c r="A54" i="2"/>
  <c r="C52" i="2"/>
  <c r="A52" i="2"/>
  <c r="C50" i="2"/>
  <c r="A50" i="2"/>
  <c r="C48" i="2"/>
  <c r="A48" i="2"/>
  <c r="C46" i="2"/>
  <c r="A46" i="2"/>
  <c r="C44" i="2"/>
  <c r="A44" i="2"/>
  <c r="C42" i="2"/>
  <c r="A42" i="2"/>
  <c r="C40" i="2"/>
  <c r="A40" i="2"/>
  <c r="C38" i="2"/>
  <c r="A38" i="2"/>
  <c r="C111" i="2"/>
  <c r="A111" i="2"/>
  <c r="C107" i="2"/>
  <c r="A107" i="2"/>
  <c r="C103" i="2"/>
  <c r="A103" i="2"/>
  <c r="C99" i="2"/>
  <c r="A99" i="2"/>
  <c r="C95" i="2"/>
  <c r="A95" i="2"/>
  <c r="C91" i="2"/>
  <c r="A91" i="2"/>
  <c r="C87" i="2"/>
  <c r="A87" i="2"/>
  <c r="C83" i="2"/>
  <c r="A83" i="2"/>
  <c r="C79" i="2"/>
  <c r="A79" i="2"/>
  <c r="C77" i="2"/>
  <c r="A77" i="2"/>
  <c r="C73" i="2"/>
  <c r="A73" i="2"/>
  <c r="C69" i="2"/>
  <c r="A69" i="2"/>
  <c r="C67" i="2"/>
  <c r="A67" i="2"/>
  <c r="C65" i="2"/>
  <c r="A65" i="2"/>
  <c r="C63" i="2"/>
  <c r="A63" i="2"/>
  <c r="C61" i="2"/>
  <c r="A61" i="2"/>
  <c r="C59" i="2"/>
  <c r="A59" i="2"/>
  <c r="C57" i="2"/>
  <c r="A57" i="2"/>
  <c r="C55" i="2"/>
  <c r="A55" i="2"/>
  <c r="C53" i="2"/>
  <c r="A53" i="2"/>
  <c r="C51" i="2"/>
  <c r="A51" i="2"/>
  <c r="C49" i="2"/>
  <c r="A49" i="2"/>
  <c r="C47" i="2"/>
  <c r="A47" i="2"/>
  <c r="C45" i="2"/>
  <c r="A45" i="2"/>
  <c r="C43" i="2"/>
  <c r="A43" i="2"/>
  <c r="C41" i="2"/>
  <c r="A41" i="2"/>
  <c r="C39" i="2"/>
  <c r="A39" i="2"/>
  <c r="J57" i="12"/>
  <c r="L57" i="12"/>
  <c r="N59" i="12"/>
  <c r="O58" i="12"/>
  <c r="AE51" i="5"/>
  <c r="AF50" i="5"/>
  <c r="B367" i="5"/>
  <c r="C23" i="2"/>
  <c r="C36" i="2"/>
  <c r="C34" i="2"/>
  <c r="C26" i="2"/>
  <c r="C37" i="2"/>
  <c r="C35" i="2"/>
  <c r="C33" i="2"/>
  <c r="C20" i="2"/>
  <c r="CW82" i="5"/>
  <c r="CY82" i="5"/>
  <c r="B537" i="5" s="1"/>
  <c r="CO81" i="5"/>
  <c r="CV82" i="5"/>
  <c r="C17" i="2"/>
  <c r="C14" i="2"/>
  <c r="A14" i="2"/>
  <c r="A12" i="2"/>
  <c r="B371" i="5"/>
  <c r="AW49" i="9"/>
  <c r="BB49" i="9"/>
  <c r="AZ49" i="9"/>
  <c r="BA49" i="9"/>
  <c r="AD49" i="9"/>
  <c r="AM49" i="9" s="1"/>
  <c r="AV48" i="9"/>
  <c r="AH49" i="9"/>
  <c r="AI49" i="9" s="1"/>
  <c r="AJ49" i="9" s="1"/>
  <c r="AK49" i="9" s="1"/>
  <c r="AK48" i="9"/>
  <c r="B293" i="9" s="1"/>
  <c r="CQ51" i="9"/>
  <c r="CP51" i="9"/>
  <c r="CL52" i="9"/>
  <c r="CH53" i="9"/>
  <c r="CI53" i="9" s="1"/>
  <c r="AT53" i="9"/>
  <c r="AY53" i="9" s="1"/>
  <c r="AU52" i="9"/>
  <c r="BL53" i="9"/>
  <c r="BM53" i="9" s="1"/>
  <c r="BN53" i="9" s="1"/>
  <c r="BE50" i="8"/>
  <c r="BF49" i="8"/>
  <c r="B233" i="8" s="1"/>
  <c r="BK48" i="8"/>
  <c r="BO48" i="8" s="1"/>
  <c r="BP48" i="8" s="1"/>
  <c r="AV50" i="8"/>
  <c r="AT50" i="8"/>
  <c r="AW49" i="8" s="1"/>
  <c r="AS51" i="8"/>
  <c r="AX49" i="8"/>
  <c r="AF49" i="8"/>
  <c r="AG49" i="8" s="1"/>
  <c r="AH49" i="8" s="1"/>
  <c r="AB49" i="8"/>
  <c r="AK49" i="8" s="1"/>
  <c r="AJ49" i="8" s="1"/>
  <c r="B196" i="8" s="1"/>
  <c r="AY49" i="8"/>
  <c r="AU49" i="8"/>
  <c r="AI48" i="8"/>
  <c r="B180" i="8" s="1"/>
  <c r="AL41" i="5"/>
  <c r="B339" i="5"/>
  <c r="C31" i="2"/>
  <c r="C29" i="2"/>
  <c r="C27" i="2"/>
  <c r="C25" i="2"/>
  <c r="C30" i="2"/>
  <c r="C28" i="2"/>
  <c r="BE41" i="5"/>
  <c r="BM41" i="5" s="1"/>
  <c r="C18" i="2"/>
  <c r="C16" i="2"/>
  <c r="C24" i="2"/>
  <c r="C22" i="2"/>
  <c r="C21" i="2"/>
  <c r="C19" i="2"/>
  <c r="C15" i="2"/>
  <c r="BH42" i="5"/>
  <c r="C12" i="2"/>
  <c r="C13" i="2"/>
  <c r="C32" i="2"/>
  <c r="BC42" i="5"/>
  <c r="BL42" i="5" s="1"/>
  <c r="AG42" i="5"/>
  <c r="AH42" i="5" s="1"/>
  <c r="AI42" i="5" s="1"/>
  <c r="AC42" i="5"/>
  <c r="BD43" i="5"/>
  <c r="BE42" i="5"/>
  <c r="BM42" i="5" s="1"/>
  <c r="BU45" i="5"/>
  <c r="BV45" i="5" s="1"/>
  <c r="BT46" i="5"/>
  <c r="A336" i="1"/>
  <c r="AL8" i="1"/>
  <c r="AI8" i="1"/>
  <c r="AE5" i="1"/>
  <c r="Y3" i="1"/>
  <c r="W3" i="1"/>
  <c r="AD3" i="1" s="1"/>
  <c r="AB3" i="1"/>
  <c r="AT3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K52" i="16" l="1"/>
  <c r="A1292" i="16" s="1"/>
  <c r="AJ53" i="16"/>
  <c r="A653" i="16"/>
  <c r="AI52" i="16"/>
  <c r="A1074" i="16" s="1"/>
  <c r="B307" i="5"/>
  <c r="A1189" i="16"/>
  <c r="AL53" i="16"/>
  <c r="A1397" i="16" s="1"/>
  <c r="AD53" i="16"/>
  <c r="AH53" i="16"/>
  <c r="AK53" i="16" s="1"/>
  <c r="A1293" i="16" s="1"/>
  <c r="Q54" i="16"/>
  <c r="R54" i="16" s="1"/>
  <c r="AA54" i="16" s="1"/>
  <c r="BP42" i="5"/>
  <c r="B753" i="5" s="1"/>
  <c r="BQ42" i="5"/>
  <c r="B678" i="5" s="1"/>
  <c r="T59" i="14"/>
  <c r="U59" i="14"/>
  <c r="V59" i="14" s="1"/>
  <c r="F59" i="14" s="1"/>
  <c r="B281" i="14" s="1"/>
  <c r="R58" i="14"/>
  <c r="S59" i="14"/>
  <c r="BF40" i="5"/>
  <c r="BG40" i="5" s="1"/>
  <c r="BO40" i="5" s="1"/>
  <c r="BN41" i="5"/>
  <c r="AJ42" i="5"/>
  <c r="J58" i="12"/>
  <c r="B146" i="12" s="1"/>
  <c r="L58" i="12"/>
  <c r="B171" i="12" s="1"/>
  <c r="N60" i="12"/>
  <c r="O59" i="12"/>
  <c r="AE52" i="5"/>
  <c r="AF51" i="5"/>
  <c r="CY81" i="5"/>
  <c r="B536" i="5" s="1"/>
  <c r="CW81" i="5"/>
  <c r="CO80" i="5"/>
  <c r="CV81" i="5"/>
  <c r="AZ50" i="9"/>
  <c r="BA50" i="9"/>
  <c r="AW50" i="9"/>
  <c r="AH50" i="9"/>
  <c r="AI50" i="9" s="1"/>
  <c r="AJ50" i="9" s="1"/>
  <c r="AX50" i="9"/>
  <c r="AV49" i="9"/>
  <c r="BC50" i="9"/>
  <c r="AL50" i="9"/>
  <c r="AD50" i="9"/>
  <c r="AM50" i="9" s="1"/>
  <c r="BB50" i="9"/>
  <c r="CQ52" i="9"/>
  <c r="CP52" i="9"/>
  <c r="BC52" i="9" s="1"/>
  <c r="AZ52" i="9"/>
  <c r="CL53" i="9"/>
  <c r="CH54" i="9"/>
  <c r="CI54" i="9" s="1"/>
  <c r="BL54" i="9"/>
  <c r="BM54" i="9" s="1"/>
  <c r="BN54" i="9" s="1"/>
  <c r="AH52" i="9"/>
  <c r="AT54" i="9"/>
  <c r="AY54" i="9" s="1"/>
  <c r="AU53" i="9"/>
  <c r="BE51" i="8"/>
  <c r="BF50" i="8"/>
  <c r="AV51" i="8"/>
  <c r="AT51" i="8"/>
  <c r="AW50" i="8" s="1"/>
  <c r="AS52" i="8"/>
  <c r="AX50" i="8"/>
  <c r="AF50" i="8"/>
  <c r="AG50" i="8" s="1"/>
  <c r="AH50" i="8" s="1"/>
  <c r="AB50" i="8"/>
  <c r="AK50" i="8" s="1"/>
  <c r="AJ50" i="8" s="1"/>
  <c r="AY50" i="8"/>
  <c r="AU50" i="8"/>
  <c r="BK49" i="8"/>
  <c r="BO49" i="8" s="1"/>
  <c r="BP49" i="8" s="1"/>
  <c r="AI49" i="8"/>
  <c r="AL42" i="5"/>
  <c r="BH43" i="5"/>
  <c r="BP43" i="5" s="1"/>
  <c r="AC43" i="5"/>
  <c r="BC43" i="5"/>
  <c r="BL43" i="5" s="1"/>
  <c r="AG43" i="5"/>
  <c r="AH43" i="5" s="1"/>
  <c r="AI43" i="5" s="1"/>
  <c r="AJ43" i="5" s="1"/>
  <c r="BD44" i="5"/>
  <c r="BE43" i="5"/>
  <c r="BM43" i="5" s="1"/>
  <c r="BU46" i="5"/>
  <c r="BV46" i="5" s="1"/>
  <c r="BT47" i="5"/>
  <c r="A335" i="1"/>
  <c r="A333" i="1"/>
  <c r="A331" i="1"/>
  <c r="A329" i="1"/>
  <c r="AA4" i="1"/>
  <c r="AT4" i="1"/>
  <c r="A334" i="1"/>
  <c r="A332" i="1"/>
  <c r="A330" i="1"/>
  <c r="AA5" i="1"/>
  <c r="V5" i="1" s="1"/>
  <c r="AT5" i="1"/>
  <c r="M101" i="1"/>
  <c r="N101" i="1" s="1"/>
  <c r="AA101" i="1"/>
  <c r="M99" i="1"/>
  <c r="N99" i="1" s="1"/>
  <c r="AA99" i="1"/>
  <c r="M97" i="1"/>
  <c r="N97" i="1" s="1"/>
  <c r="AA97" i="1"/>
  <c r="M95" i="1"/>
  <c r="N95" i="1" s="1"/>
  <c r="AA95" i="1"/>
  <c r="M93" i="1"/>
  <c r="N93" i="1" s="1"/>
  <c r="AA93" i="1"/>
  <c r="M91" i="1"/>
  <c r="N91" i="1" s="1"/>
  <c r="AA91" i="1"/>
  <c r="M89" i="1"/>
  <c r="N89" i="1" s="1"/>
  <c r="AA89" i="1"/>
  <c r="M87" i="1"/>
  <c r="N87" i="1" s="1"/>
  <c r="AA87" i="1"/>
  <c r="M85" i="1"/>
  <c r="N85" i="1" s="1"/>
  <c r="AA85" i="1"/>
  <c r="M83" i="1"/>
  <c r="N83" i="1" s="1"/>
  <c r="AA83" i="1"/>
  <c r="M81" i="1"/>
  <c r="N81" i="1" s="1"/>
  <c r="AA81" i="1"/>
  <c r="M79" i="1"/>
  <c r="N79" i="1" s="1"/>
  <c r="AA79" i="1"/>
  <c r="M77" i="1"/>
  <c r="N77" i="1" s="1"/>
  <c r="AA77" i="1"/>
  <c r="M75" i="1"/>
  <c r="N75" i="1" s="1"/>
  <c r="AA75" i="1"/>
  <c r="M73" i="1"/>
  <c r="N73" i="1" s="1"/>
  <c r="AA73" i="1"/>
  <c r="M71" i="1"/>
  <c r="N71" i="1" s="1"/>
  <c r="AA71" i="1"/>
  <c r="M69" i="1"/>
  <c r="N69" i="1" s="1"/>
  <c r="AA69" i="1"/>
  <c r="M67" i="1"/>
  <c r="N67" i="1" s="1"/>
  <c r="AA67" i="1"/>
  <c r="M65" i="1"/>
  <c r="N65" i="1" s="1"/>
  <c r="AA65" i="1"/>
  <c r="M63" i="1"/>
  <c r="N63" i="1" s="1"/>
  <c r="AA63" i="1"/>
  <c r="M61" i="1"/>
  <c r="N61" i="1" s="1"/>
  <c r="AA61" i="1"/>
  <c r="M59" i="1"/>
  <c r="N59" i="1" s="1"/>
  <c r="AA59" i="1"/>
  <c r="M57" i="1"/>
  <c r="N57" i="1" s="1"/>
  <c r="AA57" i="1"/>
  <c r="M55" i="1"/>
  <c r="N55" i="1" s="1"/>
  <c r="AA55" i="1"/>
  <c r="M53" i="1"/>
  <c r="N53" i="1" s="1"/>
  <c r="AA53" i="1"/>
  <c r="M51" i="1"/>
  <c r="N51" i="1" s="1"/>
  <c r="AA51" i="1"/>
  <c r="M49" i="1"/>
  <c r="N49" i="1" s="1"/>
  <c r="AA49" i="1"/>
  <c r="M47" i="1"/>
  <c r="N47" i="1" s="1"/>
  <c r="AA47" i="1"/>
  <c r="M45" i="1"/>
  <c r="N45" i="1" s="1"/>
  <c r="AA45" i="1"/>
  <c r="M43" i="1"/>
  <c r="N43" i="1" s="1"/>
  <c r="AA43" i="1"/>
  <c r="M41" i="1"/>
  <c r="N41" i="1" s="1"/>
  <c r="AA41" i="1"/>
  <c r="M39" i="1"/>
  <c r="N39" i="1" s="1"/>
  <c r="AA39" i="1"/>
  <c r="M37" i="1"/>
  <c r="N37" i="1" s="1"/>
  <c r="AA37" i="1"/>
  <c r="M35" i="1"/>
  <c r="N35" i="1" s="1"/>
  <c r="AA35" i="1"/>
  <c r="M33" i="1"/>
  <c r="N33" i="1" s="1"/>
  <c r="AA33" i="1"/>
  <c r="M31" i="1"/>
  <c r="N31" i="1" s="1"/>
  <c r="AA31" i="1"/>
  <c r="M29" i="1"/>
  <c r="N29" i="1" s="1"/>
  <c r="AA29" i="1"/>
  <c r="M27" i="1"/>
  <c r="N27" i="1" s="1"/>
  <c r="AA27" i="1"/>
  <c r="M25" i="1"/>
  <c r="N25" i="1" s="1"/>
  <c r="AA25" i="1"/>
  <c r="M23" i="1"/>
  <c r="N23" i="1" s="1"/>
  <c r="AA23" i="1"/>
  <c r="M21" i="1"/>
  <c r="N21" i="1" s="1"/>
  <c r="AA21" i="1"/>
  <c r="M19" i="1"/>
  <c r="N19" i="1" s="1"/>
  <c r="AA19" i="1"/>
  <c r="M17" i="1"/>
  <c r="N17" i="1" s="1"/>
  <c r="AA17" i="1"/>
  <c r="M15" i="1"/>
  <c r="N15" i="1" s="1"/>
  <c r="AA15" i="1"/>
  <c r="M13" i="1"/>
  <c r="N13" i="1" s="1"/>
  <c r="AA13" i="1"/>
  <c r="M11" i="1"/>
  <c r="N11" i="1" s="1"/>
  <c r="AA11" i="1"/>
  <c r="V11" i="1" s="1"/>
  <c r="M9" i="1"/>
  <c r="N9" i="1" s="1"/>
  <c r="AA9" i="1"/>
  <c r="A145" i="1" s="1"/>
  <c r="AA7" i="1"/>
  <c r="A143" i="1" s="1"/>
  <c r="M102" i="1"/>
  <c r="N102" i="1" s="1"/>
  <c r="A327" i="1" s="1"/>
  <c r="AA102" i="1"/>
  <c r="M100" i="1"/>
  <c r="N100" i="1" s="1"/>
  <c r="AA100" i="1"/>
  <c r="V100" i="1" s="1"/>
  <c r="M98" i="1"/>
  <c r="N98" i="1" s="1"/>
  <c r="AA98" i="1"/>
  <c r="V98" i="1" s="1"/>
  <c r="M96" i="1"/>
  <c r="N96" i="1" s="1"/>
  <c r="AA96" i="1"/>
  <c r="V96" i="1" s="1"/>
  <c r="M94" i="1"/>
  <c r="N94" i="1" s="1"/>
  <c r="AA94" i="1"/>
  <c r="V94" i="1" s="1"/>
  <c r="M92" i="1"/>
  <c r="N92" i="1" s="1"/>
  <c r="AA92" i="1"/>
  <c r="V92" i="1" s="1"/>
  <c r="M90" i="1"/>
  <c r="N90" i="1" s="1"/>
  <c r="AA90" i="1"/>
  <c r="V90" i="1" s="1"/>
  <c r="M88" i="1"/>
  <c r="N88" i="1" s="1"/>
  <c r="AA88" i="1"/>
  <c r="V88" i="1" s="1"/>
  <c r="M86" i="1"/>
  <c r="N86" i="1" s="1"/>
  <c r="AA86" i="1"/>
  <c r="V86" i="1" s="1"/>
  <c r="M84" i="1"/>
  <c r="N84" i="1" s="1"/>
  <c r="AA84" i="1"/>
  <c r="V84" i="1" s="1"/>
  <c r="M82" i="1"/>
  <c r="N82" i="1" s="1"/>
  <c r="AA82" i="1"/>
  <c r="V82" i="1" s="1"/>
  <c r="M80" i="1"/>
  <c r="N80" i="1" s="1"/>
  <c r="AA80" i="1"/>
  <c r="V80" i="1" s="1"/>
  <c r="M78" i="1"/>
  <c r="N78" i="1" s="1"/>
  <c r="AA78" i="1"/>
  <c r="V78" i="1" s="1"/>
  <c r="M76" i="1"/>
  <c r="N76" i="1" s="1"/>
  <c r="AA76" i="1"/>
  <c r="V76" i="1" s="1"/>
  <c r="M74" i="1"/>
  <c r="N74" i="1" s="1"/>
  <c r="AA74" i="1"/>
  <c r="V74" i="1" s="1"/>
  <c r="M72" i="1"/>
  <c r="N72" i="1" s="1"/>
  <c r="AA72" i="1"/>
  <c r="V72" i="1" s="1"/>
  <c r="M70" i="1"/>
  <c r="N70" i="1" s="1"/>
  <c r="AA70" i="1"/>
  <c r="V70" i="1" s="1"/>
  <c r="M68" i="1"/>
  <c r="N68" i="1" s="1"/>
  <c r="AA68" i="1"/>
  <c r="V68" i="1" s="1"/>
  <c r="M66" i="1"/>
  <c r="N66" i="1" s="1"/>
  <c r="AA66" i="1"/>
  <c r="V66" i="1" s="1"/>
  <c r="M64" i="1"/>
  <c r="N64" i="1" s="1"/>
  <c r="AA64" i="1"/>
  <c r="V64" i="1" s="1"/>
  <c r="M62" i="1"/>
  <c r="N62" i="1" s="1"/>
  <c r="AA62" i="1"/>
  <c r="V62" i="1" s="1"/>
  <c r="M60" i="1"/>
  <c r="N60" i="1" s="1"/>
  <c r="AA60" i="1"/>
  <c r="V60" i="1" s="1"/>
  <c r="M58" i="1"/>
  <c r="N58" i="1" s="1"/>
  <c r="AA58" i="1"/>
  <c r="V58" i="1" s="1"/>
  <c r="M56" i="1"/>
  <c r="N56" i="1" s="1"/>
  <c r="AA56" i="1"/>
  <c r="V56" i="1" s="1"/>
  <c r="M54" i="1"/>
  <c r="N54" i="1" s="1"/>
  <c r="AA54" i="1"/>
  <c r="V54" i="1" s="1"/>
  <c r="M52" i="1"/>
  <c r="N52" i="1" s="1"/>
  <c r="AA52" i="1"/>
  <c r="V52" i="1" s="1"/>
  <c r="M50" i="1"/>
  <c r="N50" i="1" s="1"/>
  <c r="AA50" i="1"/>
  <c r="V50" i="1" s="1"/>
  <c r="M48" i="1"/>
  <c r="N48" i="1" s="1"/>
  <c r="AA48" i="1"/>
  <c r="V48" i="1" s="1"/>
  <c r="M46" i="1"/>
  <c r="N46" i="1" s="1"/>
  <c r="AA46" i="1"/>
  <c r="V46" i="1" s="1"/>
  <c r="M44" i="1"/>
  <c r="N44" i="1" s="1"/>
  <c r="AA44" i="1"/>
  <c r="V44" i="1" s="1"/>
  <c r="M42" i="1"/>
  <c r="N42" i="1" s="1"/>
  <c r="AA42" i="1"/>
  <c r="V42" i="1" s="1"/>
  <c r="M40" i="1"/>
  <c r="N40" i="1" s="1"/>
  <c r="AA40" i="1"/>
  <c r="V40" i="1" s="1"/>
  <c r="M38" i="1"/>
  <c r="N38" i="1" s="1"/>
  <c r="AA38" i="1"/>
  <c r="V38" i="1" s="1"/>
  <c r="M36" i="1"/>
  <c r="N36" i="1" s="1"/>
  <c r="AA36" i="1"/>
  <c r="V36" i="1" s="1"/>
  <c r="M34" i="1"/>
  <c r="N34" i="1" s="1"/>
  <c r="AA34" i="1"/>
  <c r="V34" i="1" s="1"/>
  <c r="M32" i="1"/>
  <c r="N32" i="1" s="1"/>
  <c r="AA32" i="1"/>
  <c r="V32" i="1" s="1"/>
  <c r="M30" i="1"/>
  <c r="N30" i="1" s="1"/>
  <c r="AA30" i="1"/>
  <c r="V30" i="1" s="1"/>
  <c r="M28" i="1"/>
  <c r="N28" i="1" s="1"/>
  <c r="AA28" i="1"/>
  <c r="V28" i="1" s="1"/>
  <c r="M26" i="1"/>
  <c r="N26" i="1" s="1"/>
  <c r="AA26" i="1"/>
  <c r="V26" i="1" s="1"/>
  <c r="M24" i="1"/>
  <c r="N24" i="1" s="1"/>
  <c r="AA24" i="1"/>
  <c r="V24" i="1" s="1"/>
  <c r="M22" i="1"/>
  <c r="N22" i="1" s="1"/>
  <c r="AA22" i="1"/>
  <c r="V22" i="1" s="1"/>
  <c r="M20" i="1"/>
  <c r="N20" i="1" s="1"/>
  <c r="AA20" i="1"/>
  <c r="V20" i="1" s="1"/>
  <c r="M18" i="1"/>
  <c r="N18" i="1" s="1"/>
  <c r="AA18" i="1"/>
  <c r="V18" i="1" s="1"/>
  <c r="M16" i="1"/>
  <c r="N16" i="1" s="1"/>
  <c r="AA16" i="1"/>
  <c r="V16" i="1" s="1"/>
  <c r="M14" i="1"/>
  <c r="N14" i="1" s="1"/>
  <c r="AA14" i="1"/>
  <c r="V14" i="1" s="1"/>
  <c r="M12" i="1"/>
  <c r="N12" i="1" s="1"/>
  <c r="AA12" i="1"/>
  <c r="V12" i="1" s="1"/>
  <c r="M10" i="1"/>
  <c r="N10" i="1" s="1"/>
  <c r="AA10" i="1"/>
  <c r="V10" i="1" s="1"/>
  <c r="M8" i="1"/>
  <c r="AA8" i="1"/>
  <c r="A144" i="1" s="1"/>
  <c r="X3" i="1"/>
  <c r="AA3" i="1"/>
  <c r="AS3" i="1" s="1"/>
  <c r="AA6" i="1"/>
  <c r="V6" i="1" s="1"/>
  <c r="V102" i="1"/>
  <c r="H8" i="1"/>
  <c r="J8" i="1" s="1"/>
  <c r="M3" i="1"/>
  <c r="M7" i="1"/>
  <c r="M5" i="1"/>
  <c r="M4" i="1"/>
  <c r="M6" i="1"/>
  <c r="AJ54" i="16" l="1"/>
  <c r="AL54" i="16" s="1"/>
  <c r="A1398" i="16" s="1"/>
  <c r="AI53" i="16"/>
  <c r="A1075" i="16" s="1"/>
  <c r="A1190" i="16"/>
  <c r="AD54" i="16"/>
  <c r="AH54" i="16"/>
  <c r="AK54" i="16" s="1"/>
  <c r="A1294" i="16" s="1"/>
  <c r="A654" i="16"/>
  <c r="Q55" i="16"/>
  <c r="R55" i="16" s="1"/>
  <c r="AA55" i="16" s="1"/>
  <c r="BQ43" i="5"/>
  <c r="H40" i="13" s="1"/>
  <c r="T58" i="14"/>
  <c r="U58" i="14"/>
  <c r="V58" i="14" s="1"/>
  <c r="F58" i="14" s="1"/>
  <c r="B280" i="14" s="1"/>
  <c r="R57" i="14"/>
  <c r="S58" i="14"/>
  <c r="BF41" i="5"/>
  <c r="BG41" i="5" s="1"/>
  <c r="BO41" i="5" s="1"/>
  <c r="BN42" i="5"/>
  <c r="J59" i="12"/>
  <c r="L59" i="12"/>
  <c r="N61" i="12"/>
  <c r="O60" i="12"/>
  <c r="AE53" i="5"/>
  <c r="AF52" i="5"/>
  <c r="CW80" i="5"/>
  <c r="CY80" i="5"/>
  <c r="B535" i="5" s="1"/>
  <c r="CO79" i="5"/>
  <c r="CV80" i="5"/>
  <c r="AK50" i="9"/>
  <c r="AW52" i="9"/>
  <c r="AX52" i="9"/>
  <c r="BA52" i="9"/>
  <c r="CQ53" i="9"/>
  <c r="CP53" i="9"/>
  <c r="AV50" i="9"/>
  <c r="AZ51" i="9"/>
  <c r="BA51" i="9"/>
  <c r="AV51" i="9"/>
  <c r="AW51" i="9"/>
  <c r="AH51" i="9"/>
  <c r="AI51" i="9" s="1"/>
  <c r="AJ51" i="9" s="1"/>
  <c r="AX51" i="9"/>
  <c r="BC51" i="9"/>
  <c r="AL51" i="9"/>
  <c r="AD51" i="9"/>
  <c r="AM51" i="9" s="1"/>
  <c r="BB51" i="9"/>
  <c r="BB52" i="9"/>
  <c r="AD52" i="9"/>
  <c r="AM52" i="9" s="1"/>
  <c r="AL52" i="9"/>
  <c r="CL54" i="9"/>
  <c r="CH55" i="9"/>
  <c r="CI55" i="9" s="1"/>
  <c r="AT55" i="9"/>
  <c r="AY55" i="9" s="1"/>
  <c r="AU54" i="9"/>
  <c r="BL55" i="9"/>
  <c r="BM55" i="9" s="1"/>
  <c r="BN55" i="9" s="1"/>
  <c r="BE52" i="8"/>
  <c r="BF51" i="8"/>
  <c r="BK50" i="8"/>
  <c r="BO50" i="8" s="1"/>
  <c r="BP50" i="8" s="1"/>
  <c r="AV52" i="8"/>
  <c r="AT52" i="8"/>
  <c r="AW51" i="8" s="1"/>
  <c r="AS53" i="8"/>
  <c r="AX51" i="8"/>
  <c r="AF51" i="8"/>
  <c r="AG51" i="8" s="1"/>
  <c r="AH51" i="8" s="1"/>
  <c r="AB51" i="8"/>
  <c r="AK51" i="8" s="1"/>
  <c r="AJ51" i="8" s="1"/>
  <c r="AY51" i="8"/>
  <c r="AU51" i="8"/>
  <c r="AI50" i="8"/>
  <c r="AL43" i="5"/>
  <c r="BH44" i="5"/>
  <c r="BP44" i="5" s="1"/>
  <c r="BD45" i="5"/>
  <c r="BC44" i="5"/>
  <c r="BL44" i="5" s="1"/>
  <c r="BQ44" i="5" s="1"/>
  <c r="AG44" i="5"/>
  <c r="AH44" i="5" s="1"/>
  <c r="AI44" i="5" s="1"/>
  <c r="AC44" i="5"/>
  <c r="BU47" i="5"/>
  <c r="BT48" i="5"/>
  <c r="BV47" i="5"/>
  <c r="B273" i="5"/>
  <c r="V63" i="1"/>
  <c r="AS4" i="1"/>
  <c r="V31" i="1"/>
  <c r="V95" i="1"/>
  <c r="A141" i="1"/>
  <c r="V15" i="1"/>
  <c r="V47" i="1"/>
  <c r="V79" i="1"/>
  <c r="V7" i="1"/>
  <c r="A323" i="1"/>
  <c r="V23" i="1"/>
  <c r="V39" i="1"/>
  <c r="V55" i="1"/>
  <c r="V71" i="1"/>
  <c r="V87" i="1"/>
  <c r="A328" i="1"/>
  <c r="B161" i="3"/>
  <c r="V19" i="1"/>
  <c r="V27" i="1"/>
  <c r="V35" i="1"/>
  <c r="V43" i="1"/>
  <c r="V51" i="1"/>
  <c r="V59" i="1"/>
  <c r="V67" i="1"/>
  <c r="V75" i="1"/>
  <c r="V83" i="1"/>
  <c r="V91" i="1"/>
  <c r="V99" i="1"/>
  <c r="A321" i="1"/>
  <c r="A325" i="1"/>
  <c r="A326" i="1"/>
  <c r="A140" i="1"/>
  <c r="A322" i="1"/>
  <c r="A324" i="1"/>
  <c r="V9" i="1"/>
  <c r="V13" i="1"/>
  <c r="V17" i="1"/>
  <c r="V21" i="1"/>
  <c r="V25" i="1"/>
  <c r="V29" i="1"/>
  <c r="V33" i="1"/>
  <c r="V37" i="1"/>
  <c r="V41" i="1"/>
  <c r="V45" i="1"/>
  <c r="V49" i="1"/>
  <c r="V53" i="1"/>
  <c r="V57" i="1"/>
  <c r="V61" i="1"/>
  <c r="V65" i="1"/>
  <c r="V69" i="1"/>
  <c r="V73" i="1"/>
  <c r="V77" i="1"/>
  <c r="V81" i="1"/>
  <c r="V85" i="1"/>
  <c r="V89" i="1"/>
  <c r="V93" i="1"/>
  <c r="V97" i="1"/>
  <c r="V101" i="1"/>
  <c r="V4" i="1"/>
  <c r="AS5" i="1"/>
  <c r="AS6" i="1" s="1"/>
  <c r="AS7" i="1" s="1"/>
  <c r="AS8" i="1" s="1"/>
  <c r="AS9" i="1" s="1"/>
  <c r="AS10" i="1" s="1"/>
  <c r="AS11" i="1" s="1"/>
  <c r="AS12" i="1" s="1"/>
  <c r="AS13" i="1" s="1"/>
  <c r="AS14" i="1" s="1"/>
  <c r="AS15" i="1" s="1"/>
  <c r="AS16" i="1" s="1"/>
  <c r="AS17" i="1" s="1"/>
  <c r="AS18" i="1" s="1"/>
  <c r="AS19" i="1" s="1"/>
  <c r="AS20" i="1" s="1"/>
  <c r="AS21" i="1" s="1"/>
  <c r="AS22" i="1" s="1"/>
  <c r="AS23" i="1" s="1"/>
  <c r="AS24" i="1" s="1"/>
  <c r="AS25" i="1" s="1"/>
  <c r="AS26" i="1" s="1"/>
  <c r="AS27" i="1" s="1"/>
  <c r="AS28" i="1" s="1"/>
  <c r="AS29" i="1" s="1"/>
  <c r="AS30" i="1" s="1"/>
  <c r="AS31" i="1" s="1"/>
  <c r="AS32" i="1" s="1"/>
  <c r="AS33" i="1" s="1"/>
  <c r="AS34" i="1" s="1"/>
  <c r="AS35" i="1" s="1"/>
  <c r="AS36" i="1" s="1"/>
  <c r="AS37" i="1" s="1"/>
  <c r="AS38" i="1" s="1"/>
  <c r="AS39" i="1" s="1"/>
  <c r="AS40" i="1" s="1"/>
  <c r="AS41" i="1" s="1"/>
  <c r="AS42" i="1" s="1"/>
  <c r="AS43" i="1" s="1"/>
  <c r="AS44" i="1" s="1"/>
  <c r="AS45" i="1" s="1"/>
  <c r="AS46" i="1" s="1"/>
  <c r="AS47" i="1" s="1"/>
  <c r="AS48" i="1" s="1"/>
  <c r="AS49" i="1" s="1"/>
  <c r="AS50" i="1" s="1"/>
  <c r="AS51" i="1" s="1"/>
  <c r="AS52" i="1" s="1"/>
  <c r="AS53" i="1" s="1"/>
  <c r="AS54" i="1" s="1"/>
  <c r="AS55" i="1" s="1"/>
  <c r="AS56" i="1" s="1"/>
  <c r="AS57" i="1" s="1"/>
  <c r="AS58" i="1" s="1"/>
  <c r="AS59" i="1" s="1"/>
  <c r="AS60" i="1" s="1"/>
  <c r="AS61" i="1" s="1"/>
  <c r="AS62" i="1" s="1"/>
  <c r="AS63" i="1" s="1"/>
  <c r="AS64" i="1" s="1"/>
  <c r="AS65" i="1" s="1"/>
  <c r="AS66" i="1" s="1"/>
  <c r="AS67" i="1" s="1"/>
  <c r="AS68" i="1" s="1"/>
  <c r="AS69" i="1" s="1"/>
  <c r="AS70" i="1" s="1"/>
  <c r="AS71" i="1" s="1"/>
  <c r="AS72" i="1" s="1"/>
  <c r="AS73" i="1" s="1"/>
  <c r="AS74" i="1" s="1"/>
  <c r="AS75" i="1" s="1"/>
  <c r="AS76" i="1" s="1"/>
  <c r="AS77" i="1" s="1"/>
  <c r="AS78" i="1" s="1"/>
  <c r="AS79" i="1" s="1"/>
  <c r="AS80" i="1" s="1"/>
  <c r="AS81" i="1" s="1"/>
  <c r="AS82" i="1" s="1"/>
  <c r="AS83" i="1" s="1"/>
  <c r="AS84" i="1" s="1"/>
  <c r="AS85" i="1" s="1"/>
  <c r="AS86" i="1" s="1"/>
  <c r="AS87" i="1" s="1"/>
  <c r="AS88" i="1" s="1"/>
  <c r="AS89" i="1" s="1"/>
  <c r="AS90" i="1" s="1"/>
  <c r="AS91" i="1" s="1"/>
  <c r="AS92" i="1" s="1"/>
  <c r="AS93" i="1" s="1"/>
  <c r="AS94" i="1" s="1"/>
  <c r="AS95" i="1" s="1"/>
  <c r="AS96" i="1" s="1"/>
  <c r="AS97" i="1" s="1"/>
  <c r="AS98" i="1" s="1"/>
  <c r="AS99" i="1" s="1"/>
  <c r="AS100" i="1" s="1"/>
  <c r="AS101" i="1" s="1"/>
  <c r="AS102" i="1" s="1"/>
  <c r="V8" i="1"/>
  <c r="V3" i="1"/>
  <c r="AC3" i="1" s="1"/>
  <c r="AK3" i="1"/>
  <c r="AK4" i="1" s="1"/>
  <c r="A139" i="1"/>
  <c r="AH3" i="1"/>
  <c r="AH4" i="1" s="1"/>
  <c r="AH5" i="1" s="1"/>
  <c r="AH6" i="1" s="1"/>
  <c r="AH7" i="1" s="1"/>
  <c r="AH8" i="1" s="1"/>
  <c r="AH9" i="1" s="1"/>
  <c r="AH10" i="1" s="1"/>
  <c r="AH11" i="1" s="1"/>
  <c r="AH12" i="1" s="1"/>
  <c r="AH13" i="1" s="1"/>
  <c r="AH14" i="1" s="1"/>
  <c r="AH15" i="1" s="1"/>
  <c r="AH16" i="1" s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146" i="1"/>
  <c r="B162" i="3" s="1"/>
  <c r="A150" i="1"/>
  <c r="A154" i="1"/>
  <c r="A158" i="1"/>
  <c r="A162" i="1"/>
  <c r="A166" i="1"/>
  <c r="A170" i="1"/>
  <c r="A174" i="1"/>
  <c r="A178" i="1"/>
  <c r="A182" i="1"/>
  <c r="A186" i="1"/>
  <c r="A190" i="1"/>
  <c r="A194" i="1"/>
  <c r="A198" i="1"/>
  <c r="A202" i="1"/>
  <c r="A206" i="1"/>
  <c r="A210" i="1"/>
  <c r="A214" i="1"/>
  <c r="A218" i="1"/>
  <c r="A222" i="1"/>
  <c r="A226" i="1"/>
  <c r="A230" i="1"/>
  <c r="A234" i="1"/>
  <c r="A238" i="1"/>
  <c r="A147" i="1"/>
  <c r="A151" i="1"/>
  <c r="A155" i="1"/>
  <c r="A159" i="1"/>
  <c r="A163" i="1"/>
  <c r="A167" i="1"/>
  <c r="A171" i="1"/>
  <c r="A175" i="1"/>
  <c r="A179" i="1"/>
  <c r="A183" i="1"/>
  <c r="A187" i="1"/>
  <c r="A191" i="1"/>
  <c r="A195" i="1"/>
  <c r="A199" i="1"/>
  <c r="A203" i="1"/>
  <c r="A207" i="1"/>
  <c r="A211" i="1"/>
  <c r="A215" i="1"/>
  <c r="A219" i="1"/>
  <c r="A223" i="1"/>
  <c r="A227" i="1"/>
  <c r="A231" i="1"/>
  <c r="A235" i="1"/>
  <c r="A142" i="1"/>
  <c r="B160" i="3" s="1"/>
  <c r="X4" i="1"/>
  <c r="X5" i="1" s="1"/>
  <c r="X6" i="1" s="1"/>
  <c r="X7" i="1" s="1"/>
  <c r="X8" i="1" s="1"/>
  <c r="X9" i="1" s="1"/>
  <c r="X10" i="1" s="1"/>
  <c r="X11" i="1" s="1"/>
  <c r="X12" i="1" s="1"/>
  <c r="X13" i="1" s="1"/>
  <c r="X14" i="1" s="1"/>
  <c r="X15" i="1" s="1"/>
  <c r="X16" i="1" s="1"/>
  <c r="X17" i="1" s="1"/>
  <c r="X18" i="1" s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A148" i="1"/>
  <c r="A152" i="1"/>
  <c r="A156" i="1"/>
  <c r="A160" i="1"/>
  <c r="A164" i="1"/>
  <c r="A168" i="1"/>
  <c r="A172" i="1"/>
  <c r="A176" i="1"/>
  <c r="A180" i="1"/>
  <c r="A184" i="1"/>
  <c r="A188" i="1"/>
  <c r="A192" i="1"/>
  <c r="A196" i="1"/>
  <c r="A200" i="1"/>
  <c r="A204" i="1"/>
  <c r="A208" i="1"/>
  <c r="A212" i="1"/>
  <c r="A216" i="1"/>
  <c r="A220" i="1"/>
  <c r="A224" i="1"/>
  <c r="A228" i="1"/>
  <c r="A232" i="1"/>
  <c r="A236" i="1"/>
  <c r="A149" i="1"/>
  <c r="A153" i="1"/>
  <c r="A157" i="1"/>
  <c r="A161" i="1"/>
  <c r="A165" i="1"/>
  <c r="A169" i="1"/>
  <c r="A173" i="1"/>
  <c r="A177" i="1"/>
  <c r="A181" i="1"/>
  <c r="A185" i="1"/>
  <c r="A189" i="1"/>
  <c r="A193" i="1"/>
  <c r="A197" i="1"/>
  <c r="A201" i="1"/>
  <c r="A205" i="1"/>
  <c r="A209" i="1"/>
  <c r="A213" i="1"/>
  <c r="A217" i="1"/>
  <c r="A221" i="1"/>
  <c r="A225" i="1"/>
  <c r="A229" i="1"/>
  <c r="A233" i="1"/>
  <c r="A237" i="1"/>
  <c r="AN11" i="1"/>
  <c r="AG11" i="1"/>
  <c r="AN15" i="1"/>
  <c r="AG15" i="1"/>
  <c r="AN19" i="1"/>
  <c r="AG19" i="1"/>
  <c r="AN23" i="1"/>
  <c r="AG23" i="1"/>
  <c r="AN27" i="1"/>
  <c r="AG27" i="1"/>
  <c r="AN31" i="1"/>
  <c r="AG31" i="1"/>
  <c r="AN35" i="1"/>
  <c r="AG35" i="1"/>
  <c r="AN39" i="1"/>
  <c r="AG39" i="1"/>
  <c r="AN43" i="1"/>
  <c r="AG43" i="1"/>
  <c r="AN47" i="1"/>
  <c r="AG47" i="1"/>
  <c r="AN51" i="1"/>
  <c r="AG51" i="1"/>
  <c r="AN55" i="1"/>
  <c r="AG55" i="1"/>
  <c r="AN59" i="1"/>
  <c r="AG59" i="1"/>
  <c r="AN63" i="1"/>
  <c r="AG63" i="1"/>
  <c r="AN67" i="1"/>
  <c r="AG67" i="1"/>
  <c r="AN71" i="1"/>
  <c r="AG71" i="1"/>
  <c r="AN75" i="1"/>
  <c r="AG75" i="1"/>
  <c r="AN79" i="1"/>
  <c r="AG79" i="1"/>
  <c r="AN83" i="1"/>
  <c r="AG83" i="1"/>
  <c r="AN87" i="1"/>
  <c r="AG87" i="1"/>
  <c r="AN91" i="1"/>
  <c r="AG91" i="1"/>
  <c r="AN95" i="1"/>
  <c r="AG95" i="1"/>
  <c r="AN99" i="1"/>
  <c r="AG99" i="1"/>
  <c r="AN8" i="1"/>
  <c r="AG10" i="1"/>
  <c r="AN10" i="1"/>
  <c r="AG12" i="1"/>
  <c r="AN12" i="1"/>
  <c r="AG14" i="1"/>
  <c r="AN14" i="1"/>
  <c r="AG16" i="1"/>
  <c r="AN16" i="1"/>
  <c r="AG18" i="1"/>
  <c r="AN18" i="1"/>
  <c r="AG20" i="1"/>
  <c r="AN20" i="1"/>
  <c r="AG22" i="1"/>
  <c r="AN22" i="1"/>
  <c r="AG24" i="1"/>
  <c r="AN24" i="1"/>
  <c r="AG26" i="1"/>
  <c r="AN26" i="1"/>
  <c r="AG28" i="1"/>
  <c r="AN28" i="1"/>
  <c r="AG30" i="1"/>
  <c r="AN30" i="1"/>
  <c r="AG32" i="1"/>
  <c r="AN32" i="1"/>
  <c r="AG34" i="1"/>
  <c r="AN34" i="1"/>
  <c r="AG36" i="1"/>
  <c r="AN36" i="1"/>
  <c r="AG38" i="1"/>
  <c r="AN38" i="1"/>
  <c r="AG40" i="1"/>
  <c r="AN40" i="1"/>
  <c r="AG42" i="1"/>
  <c r="AN42" i="1"/>
  <c r="AG44" i="1"/>
  <c r="AN44" i="1"/>
  <c r="AG46" i="1"/>
  <c r="AN46" i="1"/>
  <c r="AG48" i="1"/>
  <c r="AN48" i="1"/>
  <c r="AG50" i="1"/>
  <c r="AN50" i="1"/>
  <c r="AG52" i="1"/>
  <c r="AN52" i="1"/>
  <c r="AG54" i="1"/>
  <c r="AN54" i="1"/>
  <c r="AG56" i="1"/>
  <c r="AN56" i="1"/>
  <c r="AG58" i="1"/>
  <c r="AN58" i="1"/>
  <c r="AG60" i="1"/>
  <c r="AN60" i="1"/>
  <c r="AG62" i="1"/>
  <c r="AN62" i="1"/>
  <c r="AG64" i="1"/>
  <c r="AN64" i="1"/>
  <c r="AG66" i="1"/>
  <c r="AN66" i="1"/>
  <c r="AG68" i="1"/>
  <c r="AN68" i="1"/>
  <c r="AG70" i="1"/>
  <c r="AN70" i="1"/>
  <c r="AG72" i="1"/>
  <c r="AN72" i="1"/>
  <c r="AG74" i="1"/>
  <c r="AN74" i="1"/>
  <c r="AG76" i="1"/>
  <c r="AN76" i="1"/>
  <c r="AG78" i="1"/>
  <c r="AN78" i="1"/>
  <c r="AG80" i="1"/>
  <c r="AN80" i="1"/>
  <c r="AG82" i="1"/>
  <c r="AN82" i="1"/>
  <c r="AG84" i="1"/>
  <c r="AN84" i="1"/>
  <c r="AG86" i="1"/>
  <c r="AN86" i="1"/>
  <c r="AG88" i="1"/>
  <c r="AN88" i="1"/>
  <c r="AG90" i="1"/>
  <c r="AN90" i="1"/>
  <c r="AG92" i="1"/>
  <c r="AN92" i="1"/>
  <c r="AG94" i="1"/>
  <c r="AN94" i="1"/>
  <c r="AG96" i="1"/>
  <c r="AN96" i="1"/>
  <c r="AG98" i="1"/>
  <c r="AN98" i="1"/>
  <c r="AG100" i="1"/>
  <c r="AN100" i="1"/>
  <c r="AG102" i="1"/>
  <c r="AN102" i="1"/>
  <c r="A307" i="1" s="1"/>
  <c r="AN9" i="1"/>
  <c r="AG9" i="1"/>
  <c r="AN13" i="1"/>
  <c r="AG13" i="1"/>
  <c r="AN17" i="1"/>
  <c r="AG17" i="1"/>
  <c r="AN21" i="1"/>
  <c r="AG21" i="1"/>
  <c r="AN25" i="1"/>
  <c r="AG25" i="1"/>
  <c r="AN29" i="1"/>
  <c r="AG29" i="1"/>
  <c r="AN33" i="1"/>
  <c r="AG33" i="1"/>
  <c r="AN37" i="1"/>
  <c r="AG37" i="1"/>
  <c r="AN41" i="1"/>
  <c r="AG41" i="1"/>
  <c r="AN45" i="1"/>
  <c r="AG45" i="1"/>
  <c r="AN49" i="1"/>
  <c r="AG49" i="1"/>
  <c r="AN53" i="1"/>
  <c r="AG53" i="1"/>
  <c r="AN57" i="1"/>
  <c r="AG57" i="1"/>
  <c r="AN61" i="1"/>
  <c r="AG61" i="1"/>
  <c r="AN65" i="1"/>
  <c r="AG65" i="1"/>
  <c r="AN69" i="1"/>
  <c r="AG69" i="1"/>
  <c r="AN73" i="1"/>
  <c r="AG73" i="1"/>
  <c r="AN77" i="1"/>
  <c r="AG77" i="1"/>
  <c r="AN81" i="1"/>
  <c r="AG81" i="1"/>
  <c r="AN85" i="1"/>
  <c r="AG85" i="1"/>
  <c r="AN89" i="1"/>
  <c r="AG89" i="1"/>
  <c r="AN93" i="1"/>
  <c r="AG93" i="1"/>
  <c r="AN97" i="1"/>
  <c r="AG97" i="1"/>
  <c r="AN101" i="1"/>
  <c r="AG101" i="1"/>
  <c r="B119" i="3"/>
  <c r="AJ55" i="16" l="1"/>
  <c r="AI54" i="16"/>
  <c r="A1076" i="16" s="1"/>
  <c r="A1191" i="16"/>
  <c r="AL55" i="16"/>
  <c r="A1399" i="16" s="1"/>
  <c r="AD55" i="16"/>
  <c r="AH55" i="16"/>
  <c r="AK55" i="16" s="1"/>
  <c r="A1295" i="16" s="1"/>
  <c r="A655" i="16"/>
  <c r="Q56" i="16"/>
  <c r="R56" i="16" s="1"/>
  <c r="AA56" i="16" s="1"/>
  <c r="B679" i="5"/>
  <c r="T57" i="14"/>
  <c r="U57" i="14"/>
  <c r="V57" i="14" s="1"/>
  <c r="F57" i="14" s="1"/>
  <c r="B279" i="14" s="1"/>
  <c r="R56" i="14"/>
  <c r="S57" i="14"/>
  <c r="BN43" i="5"/>
  <c r="BF42" i="5"/>
  <c r="BG42" i="5" s="1"/>
  <c r="BO42" i="5" s="1"/>
  <c r="B420" i="5" s="1"/>
  <c r="AJ44" i="5"/>
  <c r="N62" i="12"/>
  <c r="N63" i="12" s="1"/>
  <c r="N64" i="12" s="1"/>
  <c r="N65" i="12" s="1"/>
  <c r="N66" i="12" s="1"/>
  <c r="N67" i="12" s="1"/>
  <c r="N68" i="12" s="1"/>
  <c r="N69" i="12" s="1"/>
  <c r="N70" i="12" s="1"/>
  <c r="N71" i="12" s="1"/>
  <c r="N72" i="12" s="1"/>
  <c r="N73" i="12" s="1"/>
  <c r="N74" i="12" s="1"/>
  <c r="N75" i="12" s="1"/>
  <c r="N76" i="12" s="1"/>
  <c r="N77" i="12" s="1"/>
  <c r="N78" i="12" s="1"/>
  <c r="N79" i="12" s="1"/>
  <c r="N80" i="12" s="1"/>
  <c r="N81" i="12" s="1"/>
  <c r="N82" i="12" s="1"/>
  <c r="N83" i="12" s="1"/>
  <c r="N84" i="12" s="1"/>
  <c r="N85" i="12" s="1"/>
  <c r="N86" i="12" s="1"/>
  <c r="N87" i="12" s="1"/>
  <c r="N88" i="12" s="1"/>
  <c r="N89" i="12" s="1"/>
  <c r="N90" i="12" s="1"/>
  <c r="N91" i="12" s="1"/>
  <c r="N92" i="12" s="1"/>
  <c r="N93" i="12" s="1"/>
  <c r="N94" i="12" s="1"/>
  <c r="N95" i="12" s="1"/>
  <c r="N96" i="12" s="1"/>
  <c r="N97" i="12" s="1"/>
  <c r="N98" i="12" s="1"/>
  <c r="N99" i="12" s="1"/>
  <c r="N100" i="12" s="1"/>
  <c r="N101" i="12" s="1"/>
  <c r="N102" i="12" s="1"/>
  <c r="N103" i="12" s="1"/>
  <c r="N104" i="12" s="1"/>
  <c r="N105" i="12" s="1"/>
  <c r="N106" i="12" s="1"/>
  <c r="N107" i="12" s="1"/>
  <c r="N108" i="12" s="1"/>
  <c r="O61" i="12"/>
  <c r="J60" i="12"/>
  <c r="L60" i="12"/>
  <c r="AE54" i="5"/>
  <c r="AF53" i="5"/>
  <c r="CY79" i="5"/>
  <c r="B534" i="5" s="1"/>
  <c r="CW79" i="5"/>
  <c r="CO78" i="5"/>
  <c r="CV79" i="5"/>
  <c r="AI52" i="9"/>
  <c r="AJ52" i="9" s="1"/>
  <c r="AK52" i="9" s="1"/>
  <c r="CQ54" i="9"/>
  <c r="CP54" i="9"/>
  <c r="AK51" i="9"/>
  <c r="B185" i="9"/>
  <c r="CL55" i="9"/>
  <c r="CH56" i="9"/>
  <c r="CI56" i="9" s="1"/>
  <c r="AT56" i="9"/>
  <c r="AY56" i="9" s="1"/>
  <c r="AU55" i="9"/>
  <c r="BL56" i="9"/>
  <c r="BM56" i="9" s="1"/>
  <c r="BN56" i="9" s="1"/>
  <c r="BE53" i="8"/>
  <c r="BF52" i="8"/>
  <c r="AV53" i="8"/>
  <c r="AT53" i="8"/>
  <c r="AW52" i="8" s="1"/>
  <c r="AS54" i="8"/>
  <c r="AX52" i="8"/>
  <c r="AF52" i="8"/>
  <c r="AG52" i="8" s="1"/>
  <c r="AH52" i="8" s="1"/>
  <c r="AB52" i="8"/>
  <c r="AK52" i="8" s="1"/>
  <c r="AJ52" i="8" s="1"/>
  <c r="AY52" i="8"/>
  <c r="AU52" i="8"/>
  <c r="BK51" i="8"/>
  <c r="BO51" i="8" s="1"/>
  <c r="BP51" i="8" s="1"/>
  <c r="AI51" i="8"/>
  <c r="AL44" i="5"/>
  <c r="BE44" i="5"/>
  <c r="BM44" i="5" s="1"/>
  <c r="BH45" i="5"/>
  <c r="BP45" i="5" s="1"/>
  <c r="BD46" i="5"/>
  <c r="AC45" i="5"/>
  <c r="BC45" i="5"/>
  <c r="BL45" i="5" s="1"/>
  <c r="AG45" i="5"/>
  <c r="AH45" i="5" s="1"/>
  <c r="AI45" i="5" s="1"/>
  <c r="AJ45" i="5" s="1"/>
  <c r="BU48" i="5"/>
  <c r="BV48" i="5" s="1"/>
  <c r="BT49" i="5"/>
  <c r="A112" i="1"/>
  <c r="A110" i="1"/>
  <c r="A111" i="1"/>
  <c r="B166" i="3"/>
  <c r="B208" i="3"/>
  <c r="B204" i="3"/>
  <c r="B200" i="3"/>
  <c r="B196" i="3"/>
  <c r="B192" i="3"/>
  <c r="B188" i="3"/>
  <c r="B184" i="3"/>
  <c r="B180" i="3"/>
  <c r="B176" i="3"/>
  <c r="B172" i="3"/>
  <c r="B168" i="3"/>
  <c r="A132" i="1"/>
  <c r="B151" i="3" s="1"/>
  <c r="B206" i="3"/>
  <c r="B202" i="3"/>
  <c r="B198" i="3"/>
  <c r="B194" i="3"/>
  <c r="B190" i="3"/>
  <c r="B186" i="3"/>
  <c r="B182" i="3"/>
  <c r="B178" i="3"/>
  <c r="B174" i="3"/>
  <c r="B170" i="3"/>
  <c r="B164" i="3"/>
  <c r="AC4" i="1"/>
  <c r="AC5" i="1" s="1"/>
  <c r="AC6" i="1" s="1"/>
  <c r="AC7" i="1" s="1"/>
  <c r="B207" i="3"/>
  <c r="B203" i="3"/>
  <c r="B205" i="3"/>
  <c r="B199" i="3"/>
  <c r="B195" i="3"/>
  <c r="B201" i="3"/>
  <c r="B197" i="3"/>
  <c r="B193" i="3"/>
  <c r="B189" i="3"/>
  <c r="B185" i="3"/>
  <c r="B181" i="3"/>
  <c r="B177" i="3"/>
  <c r="B191" i="3"/>
  <c r="B187" i="3"/>
  <c r="B183" i="3"/>
  <c r="B179" i="3"/>
  <c r="B175" i="3"/>
  <c r="B171" i="3"/>
  <c r="B173" i="3"/>
  <c r="B169" i="3"/>
  <c r="B167" i="3"/>
  <c r="B165" i="3"/>
  <c r="B163" i="3"/>
  <c r="A109" i="1"/>
  <c r="AK236" i="1"/>
  <c r="AK5" i="1"/>
  <c r="AK6" i="1" s="1"/>
  <c r="AK7" i="1" s="1"/>
  <c r="AK8" i="1" s="1"/>
  <c r="AK9" i="1" s="1"/>
  <c r="AK10" i="1" s="1"/>
  <c r="AK11" i="1" s="1"/>
  <c r="AK12" i="1" s="1"/>
  <c r="AK13" i="1" s="1"/>
  <c r="AK14" i="1" s="1"/>
  <c r="AK15" i="1" s="1"/>
  <c r="AK16" i="1" s="1"/>
  <c r="AK17" i="1" s="1"/>
  <c r="AK18" i="1" s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300" i="1"/>
  <c r="A292" i="1"/>
  <c r="A284" i="1"/>
  <c r="A276" i="1"/>
  <c r="A108" i="1"/>
  <c r="B138" i="3" s="1"/>
  <c r="A122" i="1"/>
  <c r="A295" i="1"/>
  <c r="A291" i="1"/>
  <c r="A303" i="1"/>
  <c r="A299" i="1"/>
  <c r="A287" i="1"/>
  <c r="A283" i="1"/>
  <c r="A304" i="1"/>
  <c r="A279" i="1"/>
  <c r="A306" i="1"/>
  <c r="A305" i="1"/>
  <c r="A301" i="1"/>
  <c r="A302" i="1"/>
  <c r="A296" i="1"/>
  <c r="A288" i="1"/>
  <c r="A280" i="1"/>
  <c r="A297" i="1"/>
  <c r="A293" i="1"/>
  <c r="A289" i="1"/>
  <c r="A285" i="1"/>
  <c r="A281" i="1"/>
  <c r="A277" i="1"/>
  <c r="A294" i="1"/>
  <c r="A286" i="1"/>
  <c r="A278" i="1"/>
  <c r="A298" i="1"/>
  <c r="A290" i="1"/>
  <c r="A282" i="1"/>
  <c r="A130" i="1"/>
  <c r="A128" i="1"/>
  <c r="A126" i="1"/>
  <c r="A124" i="1"/>
  <c r="A131" i="1"/>
  <c r="A129" i="1"/>
  <c r="A127" i="1"/>
  <c r="A125" i="1"/>
  <c r="A123" i="1"/>
  <c r="B146" i="3" s="1"/>
  <c r="AJ56" i="16" l="1"/>
  <c r="AL56" i="16" s="1"/>
  <c r="A1400" i="16" s="1"/>
  <c r="AI55" i="16"/>
  <c r="A1077" i="16" s="1"/>
  <c r="A1192" i="16"/>
  <c r="AD56" i="16"/>
  <c r="AH56" i="16"/>
  <c r="A656" i="16"/>
  <c r="Q57" i="16"/>
  <c r="R57" i="16" s="1"/>
  <c r="AA57" i="16" s="1"/>
  <c r="BQ45" i="5"/>
  <c r="T56" i="14"/>
  <c r="U56" i="14"/>
  <c r="V56" i="14" s="1"/>
  <c r="F56" i="14" s="1"/>
  <c r="B278" i="14" s="1"/>
  <c r="R55" i="14"/>
  <c r="S56" i="14"/>
  <c r="BF43" i="5"/>
  <c r="BG43" i="5" s="1"/>
  <c r="BO43" i="5" s="1"/>
  <c r="BN44" i="5"/>
  <c r="J61" i="12"/>
  <c r="B147" i="12" s="1"/>
  <c r="L61" i="12"/>
  <c r="B172" i="12" s="1"/>
  <c r="AE55" i="5"/>
  <c r="AF54" i="5"/>
  <c r="CW78" i="5"/>
  <c r="CY78" i="5"/>
  <c r="B533" i="5" s="1"/>
  <c r="CO77" i="5"/>
  <c r="CV78" i="5"/>
  <c r="AZ53" i="9"/>
  <c r="BA53" i="9"/>
  <c r="AX53" i="9"/>
  <c r="AW53" i="9"/>
  <c r="AH53" i="9"/>
  <c r="AI53" i="9" s="1"/>
  <c r="AJ53" i="9" s="1"/>
  <c r="AV52" i="9"/>
  <c r="BC53" i="9"/>
  <c r="BB53" i="9"/>
  <c r="AL53" i="9"/>
  <c r="AD53" i="9"/>
  <c r="AM53" i="9" s="1"/>
  <c r="AL54" i="9"/>
  <c r="CQ55" i="9"/>
  <c r="CP55" i="9"/>
  <c r="CL56" i="9"/>
  <c r="CH57" i="9"/>
  <c r="CI57" i="9" s="1"/>
  <c r="BL57" i="9"/>
  <c r="BM57" i="9" s="1"/>
  <c r="BN57" i="9" s="1"/>
  <c r="AT57" i="9"/>
  <c r="AY57" i="9" s="1"/>
  <c r="AU56" i="9"/>
  <c r="BE54" i="8"/>
  <c r="BF53" i="8"/>
  <c r="AI52" i="8"/>
  <c r="AX53" i="8"/>
  <c r="AF53" i="8"/>
  <c r="AG53" i="8" s="1"/>
  <c r="AH53" i="8" s="1"/>
  <c r="AB53" i="8"/>
  <c r="AK53" i="8" s="1"/>
  <c r="AJ53" i="8" s="1"/>
  <c r="AY53" i="8"/>
  <c r="AU53" i="8"/>
  <c r="BK52" i="8"/>
  <c r="BO52" i="8" s="1"/>
  <c r="BP52" i="8" s="1"/>
  <c r="AV54" i="8"/>
  <c r="AT54" i="8"/>
  <c r="AW53" i="8" s="1"/>
  <c r="AS55" i="8"/>
  <c r="AL45" i="5"/>
  <c r="BE45" i="5"/>
  <c r="BM45" i="5" s="1"/>
  <c r="BH46" i="5"/>
  <c r="BP46" i="5" s="1"/>
  <c r="BD47" i="5"/>
  <c r="BC46" i="5"/>
  <c r="BL46" i="5" s="1"/>
  <c r="AG46" i="5"/>
  <c r="AH46" i="5" s="1"/>
  <c r="AI46" i="5" s="1"/>
  <c r="AC46" i="5"/>
  <c r="BU49" i="5"/>
  <c r="BV49" i="5" s="1"/>
  <c r="BT50" i="5"/>
  <c r="A247" i="1"/>
  <c r="A249" i="1"/>
  <c r="A256" i="1"/>
  <c r="A259" i="1"/>
  <c r="A254" i="1"/>
  <c r="A252" i="1"/>
  <c r="A257" i="1"/>
  <c r="A255" i="1"/>
  <c r="A246" i="1"/>
  <c r="A250" i="1"/>
  <c r="A258" i="1"/>
  <c r="B218" i="3" s="1"/>
  <c r="A261" i="1"/>
  <c r="A251" i="1"/>
  <c r="A253" i="1"/>
  <c r="A262" i="1"/>
  <c r="A260" i="1"/>
  <c r="B219" i="3" s="1"/>
  <c r="A248" i="1"/>
  <c r="A244" i="1"/>
  <c r="A245" i="1"/>
  <c r="A243" i="1"/>
  <c r="B231" i="3"/>
  <c r="B230" i="3"/>
  <c r="B147" i="3"/>
  <c r="B149" i="3"/>
  <c r="B148" i="3"/>
  <c r="B150" i="3"/>
  <c r="AC8" i="1"/>
  <c r="N5" i="1"/>
  <c r="B255" i="3"/>
  <c r="B256" i="3"/>
  <c r="B241" i="3"/>
  <c r="B244" i="3"/>
  <c r="B226" i="3"/>
  <c r="B236" i="3"/>
  <c r="B237" i="3"/>
  <c r="B141" i="3"/>
  <c r="B142" i="3"/>
  <c r="B156" i="3"/>
  <c r="B136" i="3"/>
  <c r="B135" i="3"/>
  <c r="N4" i="1"/>
  <c r="A11" i="2"/>
  <c r="A10" i="2"/>
  <c r="A8" i="2"/>
  <c r="D346" i="1"/>
  <c r="D345" i="1"/>
  <c r="D344" i="1"/>
  <c r="D343" i="1"/>
  <c r="D342" i="1"/>
  <c r="D341" i="1"/>
  <c r="D340" i="1"/>
  <c r="A339" i="1"/>
  <c r="A272" i="1"/>
  <c r="A265" i="1"/>
  <c r="A264" i="1"/>
  <c r="B221" i="3" s="1"/>
  <c r="B159" i="3"/>
  <c r="B158" i="3"/>
  <c r="A138" i="1"/>
  <c r="A121" i="1"/>
  <c r="A120" i="1"/>
  <c r="A119" i="1"/>
  <c r="A118" i="1"/>
  <c r="A117" i="1"/>
  <c r="AP8" i="1"/>
  <c r="Y8" i="1"/>
  <c r="W8" i="1"/>
  <c r="AD8" i="1" s="1"/>
  <c r="Q8" i="1"/>
  <c r="N8" i="1"/>
  <c r="K8" i="1"/>
  <c r="AQ6" i="1" s="1"/>
  <c r="AL7" i="1"/>
  <c r="AI7" i="1"/>
  <c r="Y7" i="1"/>
  <c r="AB7" i="1" s="1"/>
  <c r="AU7" i="1" s="1"/>
  <c r="W7" i="1"/>
  <c r="AD7" i="1" s="1"/>
  <c r="Q7" i="1"/>
  <c r="N7" i="1"/>
  <c r="AL6" i="1"/>
  <c r="AI6" i="1"/>
  <c r="Y6" i="1"/>
  <c r="AB6" i="1" s="1"/>
  <c r="AU6" i="1" s="1"/>
  <c r="W6" i="1"/>
  <c r="AD6" i="1" s="1"/>
  <c r="Q6" i="1"/>
  <c r="N6" i="1"/>
  <c r="AL5" i="1"/>
  <c r="AI5" i="1"/>
  <c r="Y5" i="1"/>
  <c r="AB5" i="1" s="1"/>
  <c r="AU5" i="1" s="1"/>
  <c r="W5" i="1"/>
  <c r="AD5" i="1" s="1"/>
  <c r="Q5" i="1"/>
  <c r="AL4" i="1"/>
  <c r="AI4" i="1"/>
  <c r="Y4" i="1"/>
  <c r="AB4" i="1" s="1"/>
  <c r="AU4" i="1" s="1"/>
  <c r="W4" i="1"/>
  <c r="AD4" i="1" s="1"/>
  <c r="Q4" i="1"/>
  <c r="AP3" i="1"/>
  <c r="A316" i="1" s="1"/>
  <c r="AL3" i="1"/>
  <c r="AI3" i="1"/>
  <c r="Q3" i="1"/>
  <c r="AL2" i="1"/>
  <c r="AI2" i="1"/>
  <c r="Y2" i="1"/>
  <c r="AB2" i="1" s="1"/>
  <c r="W2" i="1"/>
  <c r="Q2" i="1"/>
  <c r="AK56" i="16" l="1"/>
  <c r="A1296" i="16" s="1"/>
  <c r="AJ57" i="16"/>
  <c r="AI56" i="16"/>
  <c r="A1078" i="16" s="1"/>
  <c r="A1193" i="16"/>
  <c r="AL57" i="16"/>
  <c r="A1401" i="16" s="1"/>
  <c r="AD57" i="16"/>
  <c r="AH57" i="16"/>
  <c r="AK57" i="16" s="1"/>
  <c r="A1297" i="16" s="1"/>
  <c r="A657" i="16"/>
  <c r="Q58" i="16"/>
  <c r="R58" i="16" s="1"/>
  <c r="AA58" i="16" s="1"/>
  <c r="BQ46" i="5"/>
  <c r="B680" i="5" s="1"/>
  <c r="H43" i="13"/>
  <c r="T55" i="14"/>
  <c r="U55" i="14"/>
  <c r="V55" i="14" s="1"/>
  <c r="F55" i="14" s="1"/>
  <c r="B277" i="14" s="1"/>
  <c r="R54" i="14"/>
  <c r="S55" i="14"/>
  <c r="BF44" i="5"/>
  <c r="BG44" i="5" s="1"/>
  <c r="BO44" i="5" s="1"/>
  <c r="BN45" i="5"/>
  <c r="AJ46" i="5"/>
  <c r="AE56" i="5"/>
  <c r="AF55" i="5"/>
  <c r="B211" i="3"/>
  <c r="B213" i="3"/>
  <c r="CY77" i="5"/>
  <c r="B532" i="5" s="1"/>
  <c r="CW77" i="5"/>
  <c r="CO76" i="5"/>
  <c r="CV77" i="5"/>
  <c r="B120" i="3"/>
  <c r="B143" i="3"/>
  <c r="B144" i="3"/>
  <c r="B759" i="9"/>
  <c r="B521" i="8"/>
  <c r="BA54" i="9"/>
  <c r="AD54" i="9"/>
  <c r="AM54" i="9" s="1"/>
  <c r="AX54" i="9"/>
  <c r="AZ54" i="9"/>
  <c r="BC54" i="9"/>
  <c r="BB54" i="9"/>
  <c r="AH54" i="9"/>
  <c r="AI54" i="9" s="1"/>
  <c r="AJ54" i="9" s="1"/>
  <c r="AV53" i="9"/>
  <c r="AW54" i="9"/>
  <c r="BC55" i="9"/>
  <c r="AK53" i="9"/>
  <c r="B233" i="9"/>
  <c r="CQ56" i="9"/>
  <c r="CP56" i="9"/>
  <c r="CL57" i="9"/>
  <c r="CH58" i="9"/>
  <c r="CI58" i="9" s="1"/>
  <c r="AT58" i="9"/>
  <c r="AY58" i="9" s="1"/>
  <c r="AU57" i="9"/>
  <c r="BL58" i="9"/>
  <c r="BM58" i="9" s="1"/>
  <c r="BN58" i="9" s="1"/>
  <c r="BE55" i="8"/>
  <c r="BF54" i="8"/>
  <c r="AI53" i="8"/>
  <c r="AX54" i="8"/>
  <c r="AF54" i="8"/>
  <c r="AG54" i="8" s="1"/>
  <c r="AH54" i="8" s="1"/>
  <c r="AB54" i="8"/>
  <c r="AK54" i="8" s="1"/>
  <c r="AJ54" i="8" s="1"/>
  <c r="AY54" i="8"/>
  <c r="AU54" i="8"/>
  <c r="BK53" i="8"/>
  <c r="BO53" i="8" s="1"/>
  <c r="BP53" i="8" s="1"/>
  <c r="AV55" i="8"/>
  <c r="AT55" i="8"/>
  <c r="AS56" i="8"/>
  <c r="AW54" i="8"/>
  <c r="AL46" i="5"/>
  <c r="BH47" i="5"/>
  <c r="BP47" i="5" s="1"/>
  <c r="BE46" i="5"/>
  <c r="BM46" i="5" s="1"/>
  <c r="B157" i="3"/>
  <c r="B245" i="3"/>
  <c r="B214" i="3"/>
  <c r="AC47" i="5"/>
  <c r="BC47" i="5"/>
  <c r="BL47" i="5" s="1"/>
  <c r="AG47" i="5"/>
  <c r="AH47" i="5" s="1"/>
  <c r="AI47" i="5" s="1"/>
  <c r="AJ47" i="5" s="1"/>
  <c r="BD48" i="5"/>
  <c r="BE47" i="5"/>
  <c r="BM47" i="5" s="1"/>
  <c r="BU50" i="5"/>
  <c r="BV50" i="5" s="1"/>
  <c r="BT51" i="5"/>
  <c r="B216" i="3"/>
  <c r="B212" i="3"/>
  <c r="B217" i="3"/>
  <c r="B215" i="3"/>
  <c r="B220" i="3"/>
  <c r="B115" i="3"/>
  <c r="B238" i="3"/>
  <c r="AC9" i="1"/>
  <c r="AC10" i="1" s="1"/>
  <c r="AC11" i="1" s="1"/>
  <c r="AC12" i="1" s="1"/>
  <c r="AC13" i="1" s="1"/>
  <c r="AC14" i="1" s="1"/>
  <c r="AC15" i="1" s="1"/>
  <c r="AC16" i="1" s="1"/>
  <c r="AC17" i="1" s="1"/>
  <c r="AC18" i="1" s="1"/>
  <c r="B272" i="5"/>
  <c r="B271" i="5"/>
  <c r="B222" i="3"/>
  <c r="B227" i="3"/>
  <c r="A320" i="1"/>
  <c r="AB8" i="1"/>
  <c r="AD2" i="1"/>
  <c r="T2" i="1"/>
  <c r="A345" i="1"/>
  <c r="AN6" i="1"/>
  <c r="A343" i="1"/>
  <c r="AN7" i="1"/>
  <c r="A344" i="1"/>
  <c r="AO6" i="1"/>
  <c r="B117" i="3"/>
  <c r="A242" i="1"/>
  <c r="B118" i="3"/>
  <c r="H7" i="1"/>
  <c r="A341" i="1"/>
  <c r="AG4" i="1"/>
  <c r="AN4" i="1"/>
  <c r="A342" i="1"/>
  <c r="AG5" i="1"/>
  <c r="AN5" i="1"/>
  <c r="AO2" i="1"/>
  <c r="AU2" i="1"/>
  <c r="AU3" i="1"/>
  <c r="AO3" i="1"/>
  <c r="AG6" i="1"/>
  <c r="AO4" i="1"/>
  <c r="AO5" i="1"/>
  <c r="AG7" i="1"/>
  <c r="AO7" i="1"/>
  <c r="AG8" i="1"/>
  <c r="AJ58" i="16" l="1"/>
  <c r="AL58" i="16" s="1"/>
  <c r="A1402" i="16" s="1"/>
  <c r="AI57" i="16"/>
  <c r="A1079" i="16" s="1"/>
  <c r="A1194" i="16"/>
  <c r="AD58" i="16"/>
  <c r="AH58" i="16"/>
  <c r="AI58" i="16" s="1"/>
  <c r="A1080" i="16" s="1"/>
  <c r="A658" i="16"/>
  <c r="Q59" i="16"/>
  <c r="R59" i="16" s="1"/>
  <c r="AA59" i="16" s="1"/>
  <c r="BQ47" i="5"/>
  <c r="H44" i="13" s="1"/>
  <c r="T54" i="14"/>
  <c r="U54" i="14"/>
  <c r="V54" i="14" s="1"/>
  <c r="F54" i="14" s="1"/>
  <c r="B276" i="14" s="1"/>
  <c r="R53" i="14"/>
  <c r="S54" i="14"/>
  <c r="BF45" i="5"/>
  <c r="BG45" i="5" s="1"/>
  <c r="BO45" i="5" s="1"/>
  <c r="BN46" i="5"/>
  <c r="B274" i="5"/>
  <c r="AE57" i="5"/>
  <c r="AF56" i="5"/>
  <c r="B405" i="5" s="1"/>
  <c r="CW76" i="5"/>
  <c r="CY76" i="5"/>
  <c r="B531" i="5" s="1"/>
  <c r="CO75" i="5"/>
  <c r="CV76" i="5"/>
  <c r="AK54" i="9"/>
  <c r="AV54" i="9"/>
  <c r="AZ55" i="9"/>
  <c r="BB55" i="9"/>
  <c r="AL55" i="9"/>
  <c r="AD55" i="9"/>
  <c r="AM55" i="9" s="1"/>
  <c r="BA55" i="9"/>
  <c r="AX55" i="9"/>
  <c r="AW55" i="9"/>
  <c r="AH55" i="9"/>
  <c r="AI55" i="9" s="1"/>
  <c r="AJ55" i="9" s="1"/>
  <c r="AK55" i="9" s="1"/>
  <c r="CQ57" i="9"/>
  <c r="CP57" i="9"/>
  <c r="CL58" i="9"/>
  <c r="CH59" i="9"/>
  <c r="CI59" i="9" s="1"/>
  <c r="BL59" i="9"/>
  <c r="AT59" i="9"/>
  <c r="AY59" i="9" s="1"/>
  <c r="AU58" i="9"/>
  <c r="BE56" i="8"/>
  <c r="BF55" i="8"/>
  <c r="AI54" i="8"/>
  <c r="AV56" i="8"/>
  <c r="AT56" i="8"/>
  <c r="AW55" i="8" s="1"/>
  <c r="AS57" i="8"/>
  <c r="AX55" i="8"/>
  <c r="AF55" i="8"/>
  <c r="AG55" i="8" s="1"/>
  <c r="AH55" i="8" s="1"/>
  <c r="AB55" i="8"/>
  <c r="AK55" i="8" s="1"/>
  <c r="AJ55" i="8" s="1"/>
  <c r="AY55" i="8"/>
  <c r="AU55" i="8"/>
  <c r="BK54" i="8"/>
  <c r="BO54" i="8" s="1"/>
  <c r="BP54" i="8" s="1"/>
  <c r="AL47" i="5"/>
  <c r="BH48" i="5"/>
  <c r="BP48" i="5" s="1"/>
  <c r="BD49" i="5"/>
  <c r="BC48" i="5"/>
  <c r="BL48" i="5" s="1"/>
  <c r="BQ48" i="5" s="1"/>
  <c r="AG48" i="5"/>
  <c r="AH48" i="5" s="1"/>
  <c r="AI48" i="5" s="1"/>
  <c r="AC48" i="5"/>
  <c r="BU51" i="5"/>
  <c r="BV51" i="5" s="1"/>
  <c r="BT52" i="5"/>
  <c r="S3" i="1"/>
  <c r="B247" i="3"/>
  <c r="B250" i="3"/>
  <c r="B249" i="3"/>
  <c r="B251" i="3"/>
  <c r="B248" i="3"/>
  <c r="AC19" i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B242" i="3"/>
  <c r="A275" i="1"/>
  <c r="A241" i="1"/>
  <c r="AU8" i="1"/>
  <c r="AO8" i="1"/>
  <c r="A114" i="1"/>
  <c r="B140" i="3" s="1"/>
  <c r="J7" i="1"/>
  <c r="K7" i="1" s="1"/>
  <c r="A318" i="1" s="1"/>
  <c r="AP7" i="1"/>
  <c r="A340" i="1"/>
  <c r="AN3" i="1"/>
  <c r="AG3" i="1"/>
  <c r="AJ59" i="16" l="1"/>
  <c r="AL59" i="16" s="1"/>
  <c r="A1403" i="16" s="1"/>
  <c r="AK58" i="16"/>
  <c r="A1298" i="16" s="1"/>
  <c r="A1195" i="16"/>
  <c r="AD59" i="16"/>
  <c r="AH59" i="16"/>
  <c r="A659" i="16"/>
  <c r="Q60" i="16"/>
  <c r="R60" i="16" s="1"/>
  <c r="AA60" i="16" s="1"/>
  <c r="B681" i="5"/>
  <c r="T53" i="14"/>
  <c r="U53" i="14"/>
  <c r="V53" i="14" s="1"/>
  <c r="F53" i="14" s="1"/>
  <c r="B275" i="14" s="1"/>
  <c r="R52" i="14"/>
  <c r="S53" i="14"/>
  <c r="BN47" i="5"/>
  <c r="BF46" i="5"/>
  <c r="BG46" i="5" s="1"/>
  <c r="BO46" i="5" s="1"/>
  <c r="AJ48" i="5"/>
  <c r="B340" i="5" s="1"/>
  <c r="AE58" i="5"/>
  <c r="AF57" i="5"/>
  <c r="CY75" i="5"/>
  <c r="B530" i="5" s="1"/>
  <c r="CW75" i="5"/>
  <c r="CO74" i="5"/>
  <c r="CV75" i="5"/>
  <c r="B294" i="9"/>
  <c r="AZ57" i="9"/>
  <c r="AZ56" i="9"/>
  <c r="BA56" i="9"/>
  <c r="AX56" i="9"/>
  <c r="AD56" i="9"/>
  <c r="AM56" i="9" s="1"/>
  <c r="AL56" i="9"/>
  <c r="B310" i="9" s="1"/>
  <c r="AV55" i="9"/>
  <c r="BC56" i="9"/>
  <c r="BB56" i="9"/>
  <c r="AW56" i="9"/>
  <c r="AH56" i="9"/>
  <c r="AI56" i="9" s="1"/>
  <c r="AJ56" i="9" s="1"/>
  <c r="AK56" i="9" s="1"/>
  <c r="CQ58" i="9"/>
  <c r="CP58" i="9"/>
  <c r="CL59" i="9"/>
  <c r="CH60" i="9"/>
  <c r="CI60" i="9" s="1"/>
  <c r="BL60" i="9"/>
  <c r="BM60" i="9" s="1"/>
  <c r="BN60" i="9" s="1"/>
  <c r="AT60" i="9"/>
  <c r="AY60" i="9" s="1"/>
  <c r="AU59" i="9"/>
  <c r="BM59" i="9"/>
  <c r="BN59" i="9" s="1"/>
  <c r="BE57" i="8"/>
  <c r="BF56" i="8"/>
  <c r="B234" i="8" s="1"/>
  <c r="AI55" i="8"/>
  <c r="B181" i="8" s="1"/>
  <c r="BK55" i="8"/>
  <c r="BO55" i="8" s="1"/>
  <c r="BP55" i="8" s="1"/>
  <c r="AV57" i="8"/>
  <c r="AT57" i="8"/>
  <c r="AS58" i="8"/>
  <c r="AW56" i="8"/>
  <c r="AX56" i="8"/>
  <c r="AF56" i="8"/>
  <c r="AG56" i="8" s="1"/>
  <c r="AH56" i="8" s="1"/>
  <c r="AB56" i="8"/>
  <c r="AK56" i="8" s="1"/>
  <c r="AJ56" i="8" s="1"/>
  <c r="B197" i="8" s="1"/>
  <c r="AY56" i="8"/>
  <c r="AU56" i="8"/>
  <c r="AL48" i="5"/>
  <c r="BH49" i="5"/>
  <c r="BE48" i="5"/>
  <c r="BM48" i="5" s="1"/>
  <c r="BE49" i="5"/>
  <c r="BM49" i="5" s="1"/>
  <c r="BD50" i="5"/>
  <c r="AC49" i="5"/>
  <c r="BC49" i="5"/>
  <c r="BL49" i="5" s="1"/>
  <c r="AG49" i="5"/>
  <c r="AH49" i="5" s="1"/>
  <c r="AI49" i="5" s="1"/>
  <c r="AJ49" i="5" s="1"/>
  <c r="BU52" i="5"/>
  <c r="BV52" i="5" s="1"/>
  <c r="BT53" i="5"/>
  <c r="AC34" i="1"/>
  <c r="AC35" i="1" s="1"/>
  <c r="AC36" i="1" s="1"/>
  <c r="AC37" i="1" s="1"/>
  <c r="AC38" i="1" s="1"/>
  <c r="AC39" i="1" s="1"/>
  <c r="AC40" i="1" s="1"/>
  <c r="AC41" i="1" s="1"/>
  <c r="AC42" i="1" s="1"/>
  <c r="AC43" i="1" s="1"/>
  <c r="AC44" i="1" s="1"/>
  <c r="AC45" i="1" s="1"/>
  <c r="AC46" i="1" s="1"/>
  <c r="AC47" i="1" s="1"/>
  <c r="AC48" i="1" s="1"/>
  <c r="B246" i="3"/>
  <c r="B240" i="3"/>
  <c r="S4" i="1"/>
  <c r="B229" i="3"/>
  <c r="B210" i="3"/>
  <c r="B243" i="3"/>
  <c r="A274" i="1"/>
  <c r="B145" i="3"/>
  <c r="A317" i="1"/>
  <c r="AK59" i="16" l="1"/>
  <c r="A1299" i="16" s="1"/>
  <c r="AJ60" i="16"/>
  <c r="AI59" i="16"/>
  <c r="A1081" i="16" s="1"/>
  <c r="A1196" i="16"/>
  <c r="AL60" i="16"/>
  <c r="A1404" i="16" s="1"/>
  <c r="AD60" i="16"/>
  <c r="AH60" i="16"/>
  <c r="AK60" i="16" s="1"/>
  <c r="A1300" i="16" s="1"/>
  <c r="A660" i="16"/>
  <c r="Q61" i="16"/>
  <c r="R61" i="16" s="1"/>
  <c r="AA61" i="16" s="1"/>
  <c r="B308" i="5"/>
  <c r="BQ49" i="5"/>
  <c r="H46" i="13" s="1"/>
  <c r="BP49" i="5"/>
  <c r="B754" i="5" s="1"/>
  <c r="T52" i="14"/>
  <c r="U52" i="14"/>
  <c r="V52" i="14" s="1"/>
  <c r="F52" i="14" s="1"/>
  <c r="B274" i="14" s="1"/>
  <c r="R51" i="14"/>
  <c r="S52" i="14"/>
  <c r="BN48" i="5"/>
  <c r="BF47" i="5"/>
  <c r="BG47" i="5" s="1"/>
  <c r="BO47" i="5" s="1"/>
  <c r="AE59" i="5"/>
  <c r="AF58" i="5"/>
  <c r="CW74" i="5"/>
  <c r="CO73" i="5"/>
  <c r="CV74" i="5"/>
  <c r="BA57" i="9"/>
  <c r="AV57" i="9"/>
  <c r="AW57" i="9"/>
  <c r="BC57" i="9"/>
  <c r="BB57" i="9"/>
  <c r="AX57" i="9"/>
  <c r="AH57" i="9"/>
  <c r="AL57" i="9"/>
  <c r="AD57" i="9"/>
  <c r="AM57" i="9" s="1"/>
  <c r="AV56" i="9"/>
  <c r="AH58" i="9"/>
  <c r="AZ58" i="9"/>
  <c r="AI57" i="9"/>
  <c r="AJ57" i="9" s="1"/>
  <c r="AK57" i="9" s="1"/>
  <c r="CQ59" i="9"/>
  <c r="CP59" i="9"/>
  <c r="CL60" i="9"/>
  <c r="CH61" i="9"/>
  <c r="CI61" i="9" s="1"/>
  <c r="AU60" i="9"/>
  <c r="AT61" i="9"/>
  <c r="AY61" i="9" s="1"/>
  <c r="BL61" i="9"/>
  <c r="BM61" i="9" s="1"/>
  <c r="BN61" i="9" s="1"/>
  <c r="BE58" i="8"/>
  <c r="BF57" i="8"/>
  <c r="AX57" i="8"/>
  <c r="AF57" i="8"/>
  <c r="AG57" i="8" s="1"/>
  <c r="AH57" i="8" s="1"/>
  <c r="AB57" i="8"/>
  <c r="AK57" i="8" s="1"/>
  <c r="AJ57" i="8" s="1"/>
  <c r="AY57" i="8"/>
  <c r="AU57" i="8"/>
  <c r="BK56" i="8"/>
  <c r="BO56" i="8" s="1"/>
  <c r="BP56" i="8" s="1"/>
  <c r="AV58" i="8"/>
  <c r="AT58" i="8"/>
  <c r="AW57" i="8" s="1"/>
  <c r="AS59" i="8"/>
  <c r="AI56" i="8"/>
  <c r="AL49" i="5"/>
  <c r="B372" i="5" s="1"/>
  <c r="BH50" i="5"/>
  <c r="BP50" i="5" s="1"/>
  <c r="BD51" i="5"/>
  <c r="BC50" i="5"/>
  <c r="BL50" i="5" s="1"/>
  <c r="BQ50" i="5" s="1"/>
  <c r="AG50" i="5"/>
  <c r="AH50" i="5" s="1"/>
  <c r="AI50" i="5" s="1"/>
  <c r="AC50" i="5"/>
  <c r="BU53" i="5"/>
  <c r="BV53" i="5" s="1"/>
  <c r="BT54" i="5"/>
  <c r="AC49" i="1"/>
  <c r="AC50" i="1" s="1"/>
  <c r="AC51" i="1" s="1"/>
  <c r="AC52" i="1" s="1"/>
  <c r="AC53" i="1" s="1"/>
  <c r="AC54" i="1" s="1"/>
  <c r="AC55" i="1" s="1"/>
  <c r="AC56" i="1" s="1"/>
  <c r="AC57" i="1" s="1"/>
  <c r="AC58" i="1" s="1"/>
  <c r="AC59" i="1" s="1"/>
  <c r="AC60" i="1" s="1"/>
  <c r="AC61" i="1" s="1"/>
  <c r="AC62" i="1" s="1"/>
  <c r="AC63" i="1" s="1"/>
  <c r="S5" i="1"/>
  <c r="B239" i="3"/>
  <c r="B228" i="3"/>
  <c r="AJ61" i="16" l="1"/>
  <c r="AL61" i="16" s="1"/>
  <c r="A1405" i="16" s="1"/>
  <c r="A661" i="16"/>
  <c r="AI60" i="16"/>
  <c r="A1082" i="16" s="1"/>
  <c r="CY74" i="5"/>
  <c r="B529" i="5" s="1"/>
  <c r="A1197" i="16"/>
  <c r="AK61" i="16"/>
  <c r="A1301" i="16" s="1"/>
  <c r="AD61" i="16"/>
  <c r="AI61" i="16"/>
  <c r="A1083" i="16" s="1"/>
  <c r="AH61" i="16"/>
  <c r="Q62" i="16"/>
  <c r="R62" i="16" s="1"/>
  <c r="AA62" i="16" s="1"/>
  <c r="B682" i="5"/>
  <c r="T51" i="14"/>
  <c r="U51" i="14"/>
  <c r="V51" i="14" s="1"/>
  <c r="F51" i="14" s="1"/>
  <c r="B273" i="14" s="1"/>
  <c r="R50" i="14"/>
  <c r="S51" i="14"/>
  <c r="BN49" i="5"/>
  <c r="BF48" i="5"/>
  <c r="BG48" i="5" s="1"/>
  <c r="BO48" i="5" s="1"/>
  <c r="AJ50" i="5"/>
  <c r="AE60" i="5"/>
  <c r="AF59" i="5"/>
  <c r="CY73" i="5"/>
  <c r="B528" i="5" s="1"/>
  <c r="CW73" i="5"/>
  <c r="CO72" i="5"/>
  <c r="CV73" i="5"/>
  <c r="BB58" i="9"/>
  <c r="AL58" i="9"/>
  <c r="BA58" i="9"/>
  <c r="AW58" i="9"/>
  <c r="AD58" i="9"/>
  <c r="AM58" i="9" s="1"/>
  <c r="BC58" i="9"/>
  <c r="AX58" i="9"/>
  <c r="AD59" i="9"/>
  <c r="AM59" i="9" s="1"/>
  <c r="AI58" i="9"/>
  <c r="CQ60" i="9"/>
  <c r="CP60" i="9"/>
  <c r="CL61" i="9"/>
  <c r="CH62" i="9"/>
  <c r="CI62" i="9" s="1"/>
  <c r="AU61" i="9"/>
  <c r="AT62" i="9"/>
  <c r="AY62" i="9" s="1"/>
  <c r="BL62" i="9"/>
  <c r="BM62" i="9" s="1"/>
  <c r="BN62" i="9" s="1"/>
  <c r="BE50" i="5"/>
  <c r="BM50" i="5" s="1"/>
  <c r="BE59" i="8"/>
  <c r="BF58" i="8"/>
  <c r="AI57" i="8"/>
  <c r="AV59" i="8"/>
  <c r="AT59" i="8"/>
  <c r="AW58" i="8" s="1"/>
  <c r="AS60" i="8"/>
  <c r="AX58" i="8"/>
  <c r="AF58" i="8"/>
  <c r="AG58" i="8" s="1"/>
  <c r="AH58" i="8" s="1"/>
  <c r="AB58" i="8"/>
  <c r="AK58" i="8" s="1"/>
  <c r="AJ58" i="8" s="1"/>
  <c r="AY58" i="8"/>
  <c r="AU58" i="8"/>
  <c r="BK57" i="8"/>
  <c r="BO57" i="8" s="1"/>
  <c r="BP57" i="8" s="1"/>
  <c r="AL50" i="5"/>
  <c r="BH51" i="5"/>
  <c r="BP51" i="5" s="1"/>
  <c r="BD52" i="5"/>
  <c r="AC51" i="5"/>
  <c r="BC51" i="5"/>
  <c r="BL51" i="5" s="1"/>
  <c r="AG51" i="5"/>
  <c r="AH51" i="5" s="1"/>
  <c r="BU54" i="5"/>
  <c r="BV54" i="5" s="1"/>
  <c r="BT55" i="5"/>
  <c r="AC64" i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S6" i="1"/>
  <c r="AJ62" i="16" l="1"/>
  <c r="AL62" i="16" s="1"/>
  <c r="A1406" i="16" s="1"/>
  <c r="A662" i="16"/>
  <c r="A1198" i="16"/>
  <c r="AD62" i="16"/>
  <c r="AH62" i="16"/>
  <c r="AI62" i="16"/>
  <c r="A1084" i="16" s="1"/>
  <c r="Q63" i="16"/>
  <c r="R63" i="16" s="1"/>
  <c r="AA63" i="16" s="1"/>
  <c r="BQ51" i="5"/>
  <c r="H48" i="13" s="1"/>
  <c r="T50" i="14"/>
  <c r="U50" i="14"/>
  <c r="V50" i="14" s="1"/>
  <c r="F50" i="14" s="1"/>
  <c r="B272" i="14" s="1"/>
  <c r="R49" i="14"/>
  <c r="S50" i="14"/>
  <c r="BF49" i="5"/>
  <c r="BG49" i="5" s="1"/>
  <c r="BO49" i="5" s="1"/>
  <c r="B421" i="5" s="1"/>
  <c r="BN50" i="5"/>
  <c r="AE61" i="5"/>
  <c r="AF60" i="5"/>
  <c r="CW72" i="5"/>
  <c r="CO71" i="5"/>
  <c r="CV72" i="5"/>
  <c r="CY72" i="5" s="1"/>
  <c r="B527" i="5" s="1"/>
  <c r="BA59" i="9"/>
  <c r="AL59" i="9"/>
  <c r="AZ59" i="9"/>
  <c r="BB59" i="9"/>
  <c r="AV58" i="9"/>
  <c r="BC59" i="9"/>
  <c r="AX59" i="9"/>
  <c r="AH59" i="9"/>
  <c r="AI59" i="9" s="1"/>
  <c r="AJ59" i="9" s="1"/>
  <c r="AK59" i="9" s="1"/>
  <c r="AW59" i="9"/>
  <c r="AJ58" i="9"/>
  <c r="AK58" i="9" s="1"/>
  <c r="CQ61" i="9"/>
  <c r="CP61" i="9"/>
  <c r="B186" i="9"/>
  <c r="CL62" i="9"/>
  <c r="CH63" i="9"/>
  <c r="CI63" i="9" s="1"/>
  <c r="AU62" i="9"/>
  <c r="AT63" i="9"/>
  <c r="AY63" i="9" s="1"/>
  <c r="BL63" i="9"/>
  <c r="BM63" i="9" s="1"/>
  <c r="BN63" i="9" s="1"/>
  <c r="BH52" i="5"/>
  <c r="BP52" i="5" s="1"/>
  <c r="BE51" i="5"/>
  <c r="BM51" i="5" s="1"/>
  <c r="BE60" i="8"/>
  <c r="BF59" i="8"/>
  <c r="AI58" i="8"/>
  <c r="BK58" i="8"/>
  <c r="BO58" i="8" s="1"/>
  <c r="BP58" i="8" s="1"/>
  <c r="AV60" i="8"/>
  <c r="AT60" i="8"/>
  <c r="AW59" i="8" s="1"/>
  <c r="AS61" i="8"/>
  <c r="AX59" i="8"/>
  <c r="AF59" i="8"/>
  <c r="AG59" i="8" s="1"/>
  <c r="AB59" i="8"/>
  <c r="AK59" i="8" s="1"/>
  <c r="AJ59" i="8" s="1"/>
  <c r="AY59" i="8"/>
  <c r="AU59" i="8"/>
  <c r="AL51" i="5"/>
  <c r="BD53" i="5"/>
  <c r="AI51" i="5"/>
  <c r="AJ51" i="5" s="1"/>
  <c r="BC52" i="5"/>
  <c r="BL52" i="5" s="1"/>
  <c r="BQ52" i="5" s="1"/>
  <c r="AG52" i="5"/>
  <c r="AH52" i="5" s="1"/>
  <c r="AI52" i="5" s="1"/>
  <c r="AC52" i="5"/>
  <c r="BU55" i="5"/>
  <c r="BV55" i="5" s="1"/>
  <c r="BT56" i="5"/>
  <c r="AC79" i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S7" i="1"/>
  <c r="AK62" i="16" l="1"/>
  <c r="A1302" i="16" s="1"/>
  <c r="AJ63" i="16"/>
  <c r="AL63" i="16" s="1"/>
  <c r="A1407" i="16" s="1"/>
  <c r="A663" i="16"/>
  <c r="A1199" i="16"/>
  <c r="AD63" i="16"/>
  <c r="AH63" i="16"/>
  <c r="AK63" i="16" s="1"/>
  <c r="A1303" i="16" s="1"/>
  <c r="Q64" i="16"/>
  <c r="R64" i="16" s="1"/>
  <c r="AA64" i="16" s="1"/>
  <c r="B683" i="5"/>
  <c r="T49" i="14"/>
  <c r="U49" i="14"/>
  <c r="V49" i="14" s="1"/>
  <c r="F49" i="14" s="1"/>
  <c r="B271" i="14" s="1"/>
  <c r="R48" i="14"/>
  <c r="S49" i="14"/>
  <c r="BN51" i="5"/>
  <c r="BF50" i="5"/>
  <c r="BG50" i="5" s="1"/>
  <c r="BO50" i="5" s="1"/>
  <c r="AJ52" i="5"/>
  <c r="AE62" i="5"/>
  <c r="AF61" i="5"/>
  <c r="CY71" i="5"/>
  <c r="B526" i="5" s="1"/>
  <c r="CW71" i="5"/>
  <c r="CO70" i="5"/>
  <c r="CV71" i="5"/>
  <c r="AZ61" i="9"/>
  <c r="CQ62" i="9"/>
  <c r="CP62" i="9"/>
  <c r="BC60" i="9"/>
  <c r="AD60" i="9"/>
  <c r="AM60" i="9" s="1"/>
  <c r="AZ60" i="9"/>
  <c r="BA60" i="9"/>
  <c r="AW60" i="9"/>
  <c r="BB60" i="9"/>
  <c r="AL60" i="9"/>
  <c r="AV59" i="9"/>
  <c r="AX60" i="9"/>
  <c r="AH60" i="9"/>
  <c r="AI60" i="9" s="1"/>
  <c r="AL61" i="9"/>
  <c r="CL63" i="9"/>
  <c r="CH64" i="9"/>
  <c r="CI64" i="9" s="1"/>
  <c r="AU63" i="9"/>
  <c r="AT64" i="9"/>
  <c r="AY64" i="9" s="1"/>
  <c r="BL64" i="9"/>
  <c r="BM64" i="9" s="1"/>
  <c r="BN64" i="9" s="1"/>
  <c r="BE61" i="8"/>
  <c r="BF60" i="8"/>
  <c r="AX60" i="8"/>
  <c r="AF60" i="8"/>
  <c r="AG60" i="8" s="1"/>
  <c r="AB60" i="8"/>
  <c r="AK60" i="8" s="1"/>
  <c r="AJ60" i="8" s="1"/>
  <c r="AY60" i="8"/>
  <c r="AU60" i="8"/>
  <c r="BK59" i="8"/>
  <c r="BO59" i="8" s="1"/>
  <c r="BP59" i="8" s="1"/>
  <c r="AV61" i="8"/>
  <c r="AT61" i="8"/>
  <c r="AW60" i="8" s="1"/>
  <c r="AS62" i="8"/>
  <c r="AH59" i="8"/>
  <c r="AI59" i="8" s="1"/>
  <c r="AL52" i="5"/>
  <c r="BE52" i="5"/>
  <c r="BM52" i="5" s="1"/>
  <c r="BH53" i="5"/>
  <c r="BP53" i="5" s="1"/>
  <c r="BD54" i="5"/>
  <c r="AC53" i="5"/>
  <c r="BC53" i="5"/>
  <c r="BL53" i="5" s="1"/>
  <c r="AG53" i="5"/>
  <c r="AH53" i="5" s="1"/>
  <c r="AI53" i="5" s="1"/>
  <c r="BU56" i="5"/>
  <c r="BV56" i="5" s="1"/>
  <c r="BT57" i="5"/>
  <c r="AC94" i="1"/>
  <c r="AC95" i="1" s="1"/>
  <c r="AC96" i="1" s="1"/>
  <c r="AC97" i="1" s="1"/>
  <c r="AC98" i="1" s="1"/>
  <c r="AC99" i="1" s="1"/>
  <c r="AC100" i="1" s="1"/>
  <c r="AC101" i="1" s="1"/>
  <c r="AC102" i="1" s="1"/>
  <c r="S8" i="1"/>
  <c r="AJ64" i="16" l="1"/>
  <c r="AL64" i="16" s="1"/>
  <c r="A1408" i="16" s="1"/>
  <c r="A664" i="16"/>
  <c r="AI63" i="16"/>
  <c r="A1085" i="16" s="1"/>
  <c r="AJ53" i="5"/>
  <c r="A1200" i="16"/>
  <c r="AD64" i="16"/>
  <c r="AI64" i="16"/>
  <c r="A1086" i="16" s="1"/>
  <c r="AH64" i="16"/>
  <c r="Q65" i="16"/>
  <c r="R65" i="16" s="1"/>
  <c r="AA65" i="16" s="1"/>
  <c r="V64" i="16"/>
  <c r="AB64" i="16" s="1"/>
  <c r="BQ53" i="5"/>
  <c r="H50" i="13" s="1"/>
  <c r="T48" i="14"/>
  <c r="U48" i="14"/>
  <c r="V48" i="14" s="1"/>
  <c r="F48" i="14" s="1"/>
  <c r="B270" i="14" s="1"/>
  <c r="R47" i="14"/>
  <c r="S48" i="14"/>
  <c r="BN52" i="5"/>
  <c r="BF51" i="5"/>
  <c r="BG51" i="5" s="1"/>
  <c r="BO51" i="5" s="1"/>
  <c r="AE63" i="5"/>
  <c r="AF62" i="5"/>
  <c r="CW70" i="5"/>
  <c r="CY70" i="5"/>
  <c r="B525" i="5" s="1"/>
  <c r="CO69" i="5"/>
  <c r="CV70" i="5"/>
  <c r="B275" i="5"/>
  <c r="AH61" i="9"/>
  <c r="BA61" i="9"/>
  <c r="AI61" i="9"/>
  <c r="AV60" i="9"/>
  <c r="AW61" i="9"/>
  <c r="BC61" i="9"/>
  <c r="AX61" i="9"/>
  <c r="BB61" i="9"/>
  <c r="AD61" i="9"/>
  <c r="AM61" i="9" s="1"/>
  <c r="AJ60" i="9"/>
  <c r="AK60" i="9" s="1"/>
  <c r="AJ61" i="9"/>
  <c r="B234" i="9"/>
  <c r="CQ63" i="9"/>
  <c r="CP63" i="9"/>
  <c r="CL64" i="9"/>
  <c r="CH65" i="9"/>
  <c r="CI65" i="9" s="1"/>
  <c r="AU64" i="9"/>
  <c r="AT65" i="9"/>
  <c r="AY65" i="9" s="1"/>
  <c r="BL65" i="9"/>
  <c r="BM65" i="9" s="1"/>
  <c r="BN65" i="9" s="1"/>
  <c r="BE53" i="5"/>
  <c r="BM53" i="5" s="1"/>
  <c r="BE62" i="8"/>
  <c r="BF61" i="8"/>
  <c r="AV62" i="8"/>
  <c r="AT62" i="8"/>
  <c r="AW61" i="8" s="1"/>
  <c r="AS63" i="8"/>
  <c r="AX61" i="8"/>
  <c r="AF61" i="8"/>
  <c r="AG61" i="8" s="1"/>
  <c r="AH61" i="8" s="1"/>
  <c r="AB61" i="8"/>
  <c r="AK61" i="8" s="1"/>
  <c r="AJ61" i="8" s="1"/>
  <c r="AY61" i="8"/>
  <c r="AU61" i="8"/>
  <c r="BK60" i="8"/>
  <c r="BO60" i="8" s="1"/>
  <c r="BP60" i="8" s="1"/>
  <c r="AH60" i="8"/>
  <c r="AI60" i="8" s="1"/>
  <c r="AL53" i="5"/>
  <c r="BH54" i="5"/>
  <c r="BP54" i="5" s="1"/>
  <c r="BD55" i="5"/>
  <c r="BC54" i="5"/>
  <c r="BL54" i="5" s="1"/>
  <c r="BQ54" i="5" s="1"/>
  <c r="AG54" i="5"/>
  <c r="AH54" i="5" s="1"/>
  <c r="AI54" i="5" s="1"/>
  <c r="AC54" i="5"/>
  <c r="BU57" i="5"/>
  <c r="BV57" i="5" s="1"/>
  <c r="BT58" i="5"/>
  <c r="S9" i="1"/>
  <c r="T4" i="1" s="1"/>
  <c r="AK64" i="16" l="1"/>
  <c r="A1304" i="16" s="1"/>
  <c r="AJ65" i="16"/>
  <c r="A665" i="16"/>
  <c r="A1201" i="16"/>
  <c r="AL65" i="16"/>
  <c r="A1409" i="16" s="1"/>
  <c r="AD65" i="16"/>
  <c r="AH65" i="16"/>
  <c r="AK65" i="16" s="1"/>
  <c r="A1305" i="16" s="1"/>
  <c r="A880" i="16"/>
  <c r="AE64" i="16"/>
  <c r="A985" i="16" s="1"/>
  <c r="Q66" i="16"/>
  <c r="R66" i="16" s="1"/>
  <c r="AA66" i="16" s="1"/>
  <c r="B684" i="5"/>
  <c r="T47" i="14"/>
  <c r="U47" i="14"/>
  <c r="V47" i="14" s="1"/>
  <c r="F47" i="14" s="1"/>
  <c r="B269" i="14" s="1"/>
  <c r="R46" i="14"/>
  <c r="S47" i="14"/>
  <c r="BN53" i="5"/>
  <c r="BF52" i="5"/>
  <c r="BG52" i="5" s="1"/>
  <c r="BO52" i="5" s="1"/>
  <c r="AJ54" i="5"/>
  <c r="AE64" i="5"/>
  <c r="AF63" i="5"/>
  <c r="B406" i="5" s="1"/>
  <c r="CY69" i="5"/>
  <c r="B524" i="5" s="1"/>
  <c r="CW69" i="5"/>
  <c r="CO68" i="5"/>
  <c r="CV69" i="5"/>
  <c r="AK61" i="9"/>
  <c r="AV61" i="9"/>
  <c r="AZ62" i="9"/>
  <c r="BA62" i="9"/>
  <c r="BC62" i="9"/>
  <c r="AL62" i="9"/>
  <c r="AD62" i="9"/>
  <c r="AM62" i="9" s="1"/>
  <c r="BB62" i="9"/>
  <c r="AW62" i="9"/>
  <c r="AH62" i="9"/>
  <c r="AI62" i="9" s="1"/>
  <c r="AJ62" i="9" s="1"/>
  <c r="AX62" i="9"/>
  <c r="CQ64" i="9"/>
  <c r="CP64" i="9"/>
  <c r="CL65" i="9"/>
  <c r="CH66" i="9"/>
  <c r="CI66" i="9" s="1"/>
  <c r="BL66" i="9"/>
  <c r="BM66" i="9" s="1"/>
  <c r="BN66" i="9" s="1"/>
  <c r="AU65" i="9"/>
  <c r="AT66" i="9"/>
  <c r="AY66" i="9" s="1"/>
  <c r="BE63" i="8"/>
  <c r="BF62" i="8"/>
  <c r="BK61" i="8"/>
  <c r="BO61" i="8" s="1"/>
  <c r="BP61" i="8" s="1"/>
  <c r="AV63" i="8"/>
  <c r="AT63" i="8"/>
  <c r="AS64" i="8"/>
  <c r="AX62" i="8"/>
  <c r="AF62" i="8"/>
  <c r="AG62" i="8" s="1"/>
  <c r="AB62" i="8"/>
  <c r="AK62" i="8" s="1"/>
  <c r="AJ62" i="8" s="1"/>
  <c r="AY62" i="8"/>
  <c r="AU62" i="8"/>
  <c r="AI61" i="8"/>
  <c r="AL54" i="5"/>
  <c r="BE54" i="5"/>
  <c r="BM54" i="5" s="1"/>
  <c r="B121" i="3"/>
  <c r="BH55" i="5"/>
  <c r="BP55" i="5" s="1"/>
  <c r="BD56" i="5"/>
  <c r="AC55" i="5"/>
  <c r="BC55" i="5"/>
  <c r="BL55" i="5" s="1"/>
  <c r="AG55" i="5"/>
  <c r="AH55" i="5" s="1"/>
  <c r="AI55" i="5" s="1"/>
  <c r="AJ55" i="5" s="1"/>
  <c r="BU58" i="5"/>
  <c r="BV58" i="5" s="1"/>
  <c r="BT59" i="5"/>
  <c r="T107" i="1"/>
  <c r="A113" i="1"/>
  <c r="B139" i="3" s="1"/>
  <c r="AJ66" i="16" l="1"/>
  <c r="A1202" i="16" s="1"/>
  <c r="V65" i="16"/>
  <c r="AB65" i="16" s="1"/>
  <c r="AE65" i="16" s="1"/>
  <c r="A986" i="16" s="1"/>
  <c r="AI65" i="16"/>
  <c r="A1087" i="16" s="1"/>
  <c r="AL66" i="16"/>
  <c r="A1410" i="16" s="1"/>
  <c r="AD66" i="16"/>
  <c r="AH66" i="16"/>
  <c r="AK66" i="16" s="1"/>
  <c r="A1306" i="16" s="1"/>
  <c r="A881" i="16"/>
  <c r="A666" i="16"/>
  <c r="Q67" i="16"/>
  <c r="R67" i="16" s="1"/>
  <c r="AA67" i="16" s="1"/>
  <c r="V66" i="16"/>
  <c r="AB66" i="16" s="1"/>
  <c r="BQ55" i="5"/>
  <c r="T46" i="14"/>
  <c r="U46" i="14"/>
  <c r="V46" i="14" s="1"/>
  <c r="F46" i="14" s="1"/>
  <c r="B268" i="14" s="1"/>
  <c r="R45" i="14"/>
  <c r="S46" i="14"/>
  <c r="BF53" i="5"/>
  <c r="BG53" i="5" s="1"/>
  <c r="BO53" i="5" s="1"/>
  <c r="BN54" i="5"/>
  <c r="AE65" i="5"/>
  <c r="AF64" i="5"/>
  <c r="CW68" i="5"/>
  <c r="CO67" i="5"/>
  <c r="CV68" i="5"/>
  <c r="B373" i="5"/>
  <c r="AK62" i="9"/>
  <c r="B295" i="9" s="1"/>
  <c r="AH64" i="9"/>
  <c r="CQ65" i="9"/>
  <c r="CP65" i="9"/>
  <c r="AV62" i="9"/>
  <c r="AZ63" i="9"/>
  <c r="BA63" i="9"/>
  <c r="AV63" i="9"/>
  <c r="AW63" i="9"/>
  <c r="AH63" i="9"/>
  <c r="AI63" i="9" s="1"/>
  <c r="AJ63" i="9" s="1"/>
  <c r="AX63" i="9"/>
  <c r="BC63" i="9"/>
  <c r="AL63" i="9"/>
  <c r="B311" i="9" s="1"/>
  <c r="AD63" i="9"/>
  <c r="AM63" i="9" s="1"/>
  <c r="BB63" i="9"/>
  <c r="AX64" i="9"/>
  <c r="AW64" i="9"/>
  <c r="CL66" i="9"/>
  <c r="CH67" i="9"/>
  <c r="CI67" i="9" s="1"/>
  <c r="AU66" i="9"/>
  <c r="AT67" i="9"/>
  <c r="AY67" i="9" s="1"/>
  <c r="BL67" i="9"/>
  <c r="BM67" i="9" s="1"/>
  <c r="BN67" i="9" s="1"/>
  <c r="BE55" i="5"/>
  <c r="BM55" i="5" s="1"/>
  <c r="BE64" i="8"/>
  <c r="BF63" i="8"/>
  <c r="B235" i="8" s="1"/>
  <c r="AX63" i="8"/>
  <c r="AF63" i="8"/>
  <c r="AG63" i="8" s="1"/>
  <c r="AH63" i="8" s="1"/>
  <c r="AB63" i="8"/>
  <c r="AK63" i="8" s="1"/>
  <c r="AJ63" i="8" s="1"/>
  <c r="B198" i="8" s="1"/>
  <c r="AY63" i="8"/>
  <c r="AU63" i="8"/>
  <c r="BK62" i="8"/>
  <c r="BO62" i="8" s="1"/>
  <c r="BP62" i="8" s="1"/>
  <c r="AV64" i="8"/>
  <c r="AT64" i="8"/>
  <c r="AS65" i="8"/>
  <c r="AH62" i="8"/>
  <c r="AI62" i="8" s="1"/>
  <c r="B182" i="8" s="1"/>
  <c r="AW62" i="8"/>
  <c r="AL55" i="5"/>
  <c r="B341" i="5"/>
  <c r="BH56" i="5"/>
  <c r="BD57" i="5"/>
  <c r="BC56" i="5"/>
  <c r="BL56" i="5" s="1"/>
  <c r="BQ56" i="5" s="1"/>
  <c r="AG56" i="5"/>
  <c r="AH56" i="5" s="1"/>
  <c r="AI56" i="5" s="1"/>
  <c r="AC56" i="5"/>
  <c r="BE56" i="5"/>
  <c r="BM56" i="5" s="1"/>
  <c r="BU59" i="5"/>
  <c r="BV59" i="5" s="1"/>
  <c r="BT60" i="5"/>
  <c r="AJ67" i="16" l="1"/>
  <c r="A1203" i="16" s="1"/>
  <c r="AI66" i="16"/>
  <c r="A1088" i="16" s="1"/>
  <c r="AL67" i="16"/>
  <c r="A1411" i="16" s="1"/>
  <c r="AD67" i="16"/>
  <c r="AH67" i="16"/>
  <c r="AK67" i="16" s="1"/>
  <c r="A1307" i="16" s="1"/>
  <c r="AI67" i="16"/>
  <c r="A1089" i="16" s="1"/>
  <c r="A882" i="16"/>
  <c r="AE66" i="16"/>
  <c r="A987" i="16" s="1"/>
  <c r="A667" i="16"/>
  <c r="Q68" i="16"/>
  <c r="R68" i="16" s="1"/>
  <c r="AA68" i="16" s="1"/>
  <c r="V67" i="16"/>
  <c r="AB67" i="16" s="1"/>
  <c r="CY68" i="5"/>
  <c r="B523" i="5" s="1"/>
  <c r="B685" i="5"/>
  <c r="BP56" i="5"/>
  <c r="B755" i="5" s="1"/>
  <c r="B309" i="5"/>
  <c r="T45" i="14"/>
  <c r="U45" i="14"/>
  <c r="V45" i="14" s="1"/>
  <c r="F45" i="14" s="1"/>
  <c r="B267" i="14" s="1"/>
  <c r="R44" i="14"/>
  <c r="S45" i="14"/>
  <c r="BN55" i="5"/>
  <c r="BF54" i="5"/>
  <c r="BG54" i="5" s="1"/>
  <c r="BO54" i="5" s="1"/>
  <c r="AJ56" i="5"/>
  <c r="AE66" i="5"/>
  <c r="AF65" i="5"/>
  <c r="CW67" i="5"/>
  <c r="CO66" i="5"/>
  <c r="CV67" i="5"/>
  <c r="AI64" i="9"/>
  <c r="AJ64" i="9" s="1"/>
  <c r="BC64" i="9"/>
  <c r="AZ64" i="9"/>
  <c r="AL64" i="9"/>
  <c r="BB64" i="9"/>
  <c r="AD64" i="9"/>
  <c r="AM64" i="9" s="1"/>
  <c r="BA64" i="9"/>
  <c r="CQ66" i="9"/>
  <c r="CP66" i="9"/>
  <c r="AK63" i="9"/>
  <c r="CL67" i="9"/>
  <c r="CH68" i="9"/>
  <c r="CI68" i="9" s="1"/>
  <c r="AU67" i="9"/>
  <c r="AT68" i="9"/>
  <c r="AY68" i="9" s="1"/>
  <c r="BL68" i="9"/>
  <c r="BM68" i="9" s="1"/>
  <c r="BN68" i="9" s="1"/>
  <c r="AI63" i="8"/>
  <c r="BE65" i="8"/>
  <c r="BF64" i="8"/>
  <c r="AX64" i="8"/>
  <c r="AF64" i="8"/>
  <c r="AG64" i="8" s="1"/>
  <c r="AH64" i="8" s="1"/>
  <c r="AB64" i="8"/>
  <c r="AK64" i="8" s="1"/>
  <c r="AJ64" i="8" s="1"/>
  <c r="AY64" i="8"/>
  <c r="AU64" i="8"/>
  <c r="BK63" i="8"/>
  <c r="BO63" i="8" s="1"/>
  <c r="BP63" i="8" s="1"/>
  <c r="AV65" i="8"/>
  <c r="AT65" i="8"/>
  <c r="AW64" i="8" s="1"/>
  <c r="AS66" i="8"/>
  <c r="AW63" i="8"/>
  <c r="AL56" i="5"/>
  <c r="BH57" i="5"/>
  <c r="BP57" i="5" s="1"/>
  <c r="BD58" i="5"/>
  <c r="AC57" i="5"/>
  <c r="BC57" i="5"/>
  <c r="BL57" i="5" s="1"/>
  <c r="AG57" i="5"/>
  <c r="AH57" i="5" s="1"/>
  <c r="AI57" i="5" s="1"/>
  <c r="BU60" i="5"/>
  <c r="BV60" i="5" s="1"/>
  <c r="BT61" i="5"/>
  <c r="AJ68" i="16" l="1"/>
  <c r="A1204" i="16" s="1"/>
  <c r="AD68" i="16"/>
  <c r="AH68" i="16"/>
  <c r="AK68" i="16" s="1"/>
  <c r="A1308" i="16" s="1"/>
  <c r="A883" i="16"/>
  <c r="AE67" i="16"/>
  <c r="A988" i="16" s="1"/>
  <c r="A668" i="16"/>
  <c r="Q69" i="16"/>
  <c r="R69" i="16" s="1"/>
  <c r="AA69" i="16" s="1"/>
  <c r="V68" i="16"/>
  <c r="AB68" i="16" s="1"/>
  <c r="CY67" i="5"/>
  <c r="BQ57" i="5"/>
  <c r="H54" i="13" s="1"/>
  <c r="T44" i="14"/>
  <c r="U44" i="14"/>
  <c r="V44" i="14" s="1"/>
  <c r="F44" i="14" s="1"/>
  <c r="R43" i="14"/>
  <c r="S44" i="14"/>
  <c r="BF55" i="5"/>
  <c r="BG55" i="5" s="1"/>
  <c r="BO55" i="5" s="1"/>
  <c r="BN56" i="5"/>
  <c r="AJ57" i="5"/>
  <c r="AE67" i="5"/>
  <c r="AF66" i="5"/>
  <c r="CW66" i="5"/>
  <c r="CO65" i="5"/>
  <c r="CV66" i="5"/>
  <c r="CY66" i="5" s="1"/>
  <c r="AK64" i="9"/>
  <c r="AV64" i="9"/>
  <c r="BC65" i="9"/>
  <c r="AW65" i="9"/>
  <c r="AH65" i="9"/>
  <c r="AI65" i="9" s="1"/>
  <c r="AJ65" i="9" s="1"/>
  <c r="AX65" i="9"/>
  <c r="AZ65" i="9"/>
  <c r="BA65" i="9"/>
  <c r="AL65" i="9"/>
  <c r="AD65" i="9"/>
  <c r="AM65" i="9" s="1"/>
  <c r="BB65" i="9"/>
  <c r="BC66" i="9"/>
  <c r="CQ67" i="9"/>
  <c r="CP67" i="9"/>
  <c r="CL68" i="9"/>
  <c r="CH69" i="9"/>
  <c r="CI69" i="9" s="1"/>
  <c r="AU68" i="9"/>
  <c r="AT69" i="9"/>
  <c r="AY69" i="9" s="1"/>
  <c r="BL69" i="9"/>
  <c r="BM69" i="9" s="1"/>
  <c r="BN69" i="9" s="1"/>
  <c r="BE66" i="8"/>
  <c r="BF65" i="8"/>
  <c r="AI64" i="8"/>
  <c r="AV66" i="8"/>
  <c r="AT66" i="8"/>
  <c r="AW65" i="8" s="1"/>
  <c r="AS67" i="8"/>
  <c r="AX65" i="8"/>
  <c r="AF65" i="8"/>
  <c r="AG65" i="8" s="1"/>
  <c r="AB65" i="8"/>
  <c r="AK65" i="8" s="1"/>
  <c r="AJ65" i="8" s="1"/>
  <c r="AY65" i="8"/>
  <c r="AU65" i="8"/>
  <c r="BK64" i="8"/>
  <c r="BO64" i="8" s="1"/>
  <c r="BP64" i="8" s="1"/>
  <c r="AL57" i="5"/>
  <c r="BE57" i="5"/>
  <c r="BM57" i="5" s="1"/>
  <c r="BH58" i="5"/>
  <c r="BD59" i="5"/>
  <c r="BC58" i="5"/>
  <c r="BL58" i="5" s="1"/>
  <c r="AG58" i="5"/>
  <c r="AH58" i="5" s="1"/>
  <c r="AI58" i="5" s="1"/>
  <c r="AC58" i="5"/>
  <c r="BU61" i="5"/>
  <c r="BV61" i="5" s="1"/>
  <c r="BT62" i="5"/>
  <c r="AL68" i="16" l="1"/>
  <c r="A1412" i="16" s="1"/>
  <c r="AJ69" i="16"/>
  <c r="B521" i="5"/>
  <c r="V62" i="16"/>
  <c r="B522" i="5"/>
  <c r="V63" i="16"/>
  <c r="AI68" i="16"/>
  <c r="A1090" i="16" s="1"/>
  <c r="A1205" i="16"/>
  <c r="AL69" i="16"/>
  <c r="A1413" i="16" s="1"/>
  <c r="AD69" i="16"/>
  <c r="AH69" i="16"/>
  <c r="AK69" i="16" s="1"/>
  <c r="A1309" i="16" s="1"/>
  <c r="A884" i="16"/>
  <c r="AE68" i="16"/>
  <c r="A989" i="16" s="1"/>
  <c r="A669" i="16"/>
  <c r="Q70" i="16"/>
  <c r="R70" i="16" s="1"/>
  <c r="AA70" i="16" s="1"/>
  <c r="V69" i="16"/>
  <c r="AB69" i="16" s="1"/>
  <c r="BQ58" i="5"/>
  <c r="H55" i="13" s="1"/>
  <c r="BP58" i="5"/>
  <c r="B266" i="14"/>
  <c r="T43" i="14"/>
  <c r="U43" i="14"/>
  <c r="V43" i="14" s="1"/>
  <c r="F43" i="14" s="1"/>
  <c r="R42" i="14"/>
  <c r="S43" i="14"/>
  <c r="BF56" i="5"/>
  <c r="BG56" i="5" s="1"/>
  <c r="BO56" i="5" s="1"/>
  <c r="B422" i="5" s="1"/>
  <c r="BN57" i="5"/>
  <c r="AJ58" i="5"/>
  <c r="AE68" i="5"/>
  <c r="AF67" i="5"/>
  <c r="CW65" i="5"/>
  <c r="CO64" i="5"/>
  <c r="CV65" i="5"/>
  <c r="AK65" i="9"/>
  <c r="AV65" i="9"/>
  <c r="BA66" i="9"/>
  <c r="AZ66" i="9"/>
  <c r="AL66" i="9"/>
  <c r="AD66" i="9"/>
  <c r="AM66" i="9" s="1"/>
  <c r="BB66" i="9"/>
  <c r="AW66" i="9"/>
  <c r="AH66" i="9"/>
  <c r="AI66" i="9" s="1"/>
  <c r="AJ66" i="9" s="1"/>
  <c r="AX66" i="9"/>
  <c r="AD67" i="9"/>
  <c r="AM67" i="9" s="1"/>
  <c r="CQ68" i="9"/>
  <c r="CP68" i="9"/>
  <c r="B187" i="9"/>
  <c r="CL69" i="9"/>
  <c r="CH70" i="9"/>
  <c r="CI70" i="9" s="1"/>
  <c r="AU69" i="9"/>
  <c r="AT70" i="9"/>
  <c r="AY70" i="9" s="1"/>
  <c r="BL70" i="9"/>
  <c r="BM70" i="9" s="1"/>
  <c r="BN70" i="9" s="1"/>
  <c r="BE67" i="8"/>
  <c r="BF66" i="8"/>
  <c r="AX66" i="8"/>
  <c r="AF66" i="8"/>
  <c r="AG66" i="8" s="1"/>
  <c r="AB66" i="8"/>
  <c r="AK66" i="8" s="1"/>
  <c r="AJ66" i="8" s="1"/>
  <c r="AY66" i="8"/>
  <c r="AU66" i="8"/>
  <c r="BK65" i="8"/>
  <c r="BO65" i="8" s="1"/>
  <c r="BP65" i="8" s="1"/>
  <c r="AV67" i="8"/>
  <c r="AT67" i="8"/>
  <c r="AW66" i="8" s="1"/>
  <c r="AS68" i="8"/>
  <c r="AH65" i="8"/>
  <c r="AI65" i="8" s="1"/>
  <c r="AL58" i="5"/>
  <c r="BH59" i="5"/>
  <c r="BP59" i="5" s="1"/>
  <c r="BE58" i="5"/>
  <c r="BM58" i="5" s="1"/>
  <c r="BD60" i="5"/>
  <c r="AC59" i="5"/>
  <c r="BC59" i="5"/>
  <c r="BL59" i="5" s="1"/>
  <c r="AG59" i="5"/>
  <c r="AH59" i="5" s="1"/>
  <c r="AI59" i="5" s="1"/>
  <c r="AJ59" i="5" s="1"/>
  <c r="BU62" i="5"/>
  <c r="BV62" i="5" s="1"/>
  <c r="BT63" i="5"/>
  <c r="AJ70" i="16" l="1"/>
  <c r="AB63" i="16"/>
  <c r="AE63" i="16" s="1"/>
  <c r="A984" i="16" s="1"/>
  <c r="A879" i="16"/>
  <c r="AB62" i="16"/>
  <c r="AE62" i="16" s="1"/>
  <c r="A983" i="16" s="1"/>
  <c r="A878" i="16"/>
  <c r="AI69" i="16"/>
  <c r="A1091" i="16" s="1"/>
  <c r="A1206" i="16"/>
  <c r="AL70" i="16"/>
  <c r="A1414" i="16" s="1"/>
  <c r="AD70" i="16"/>
  <c r="AH70" i="16"/>
  <c r="AK70" i="16" s="1"/>
  <c r="A1310" i="16" s="1"/>
  <c r="A885" i="16"/>
  <c r="AE69" i="16"/>
  <c r="A990" i="16" s="1"/>
  <c r="A670" i="16"/>
  <c r="Q71" i="16"/>
  <c r="R71" i="16" s="1"/>
  <c r="AA71" i="16" s="1"/>
  <c r="V70" i="16"/>
  <c r="AB70" i="16" s="1"/>
  <c r="B686" i="5"/>
  <c r="CY65" i="5"/>
  <c r="BQ59" i="5"/>
  <c r="H56" i="13" s="1"/>
  <c r="B265" i="14"/>
  <c r="T42" i="14"/>
  <c r="U42" i="14"/>
  <c r="V42" i="14" s="1"/>
  <c r="F42" i="14" s="1"/>
  <c r="R41" i="14"/>
  <c r="S42" i="14"/>
  <c r="BN58" i="5"/>
  <c r="BF57" i="5"/>
  <c r="BG57" i="5" s="1"/>
  <c r="BO57" i="5" s="1"/>
  <c r="AE69" i="5"/>
  <c r="AF68" i="5"/>
  <c r="CW64" i="5"/>
  <c r="CO63" i="5"/>
  <c r="CV64" i="5"/>
  <c r="CY64" i="5" s="1"/>
  <c r="AL67" i="9"/>
  <c r="BC68" i="9"/>
  <c r="AK66" i="9"/>
  <c r="BA68" i="9"/>
  <c r="BC67" i="9"/>
  <c r="AV66" i="9"/>
  <c r="BA67" i="9"/>
  <c r="AZ67" i="9"/>
  <c r="AH67" i="9"/>
  <c r="AI67" i="9" s="1"/>
  <c r="AJ67" i="9" s="1"/>
  <c r="AK67" i="9" s="1"/>
  <c r="BB67" i="9"/>
  <c r="AW67" i="9"/>
  <c r="AX67" i="9"/>
  <c r="CQ69" i="9"/>
  <c r="CP69" i="9"/>
  <c r="CL70" i="9"/>
  <c r="CH71" i="9"/>
  <c r="CI71" i="9" s="1"/>
  <c r="AU70" i="9"/>
  <c r="AT71" i="9"/>
  <c r="AY71" i="9" s="1"/>
  <c r="BL71" i="9"/>
  <c r="BM71" i="9" s="1"/>
  <c r="BN71" i="9" s="1"/>
  <c r="BE68" i="8"/>
  <c r="BF67" i="8"/>
  <c r="AV68" i="8"/>
  <c r="AT68" i="8"/>
  <c r="AW67" i="8" s="1"/>
  <c r="AS69" i="8"/>
  <c r="AX67" i="8"/>
  <c r="AF67" i="8"/>
  <c r="AG67" i="8" s="1"/>
  <c r="AH67" i="8" s="1"/>
  <c r="AB67" i="8"/>
  <c r="AK67" i="8" s="1"/>
  <c r="AJ67" i="8" s="1"/>
  <c r="AY67" i="8"/>
  <c r="AU67" i="8"/>
  <c r="BK66" i="8"/>
  <c r="BO66" i="8" s="1"/>
  <c r="BP66" i="8" s="1"/>
  <c r="AH66" i="8"/>
  <c r="AI66" i="8" s="1"/>
  <c r="AL59" i="5"/>
  <c r="BE59" i="5"/>
  <c r="BM59" i="5" s="1"/>
  <c r="BH60" i="5"/>
  <c r="BP60" i="5" s="1"/>
  <c r="BD61" i="5"/>
  <c r="BC60" i="5"/>
  <c r="BL60" i="5" s="1"/>
  <c r="AG60" i="5"/>
  <c r="AH60" i="5" s="1"/>
  <c r="AI60" i="5" s="1"/>
  <c r="AC60" i="5"/>
  <c r="BU63" i="5"/>
  <c r="BV63" i="5" s="1"/>
  <c r="BT64" i="5"/>
  <c r="AJ71" i="16" l="1"/>
  <c r="A1207" i="16" s="1"/>
  <c r="B519" i="5"/>
  <c r="V60" i="16"/>
  <c r="B520" i="5"/>
  <c r="V61" i="16"/>
  <c r="AI70" i="16"/>
  <c r="A1092" i="16" s="1"/>
  <c r="BQ60" i="5"/>
  <c r="B687" i="5" s="1"/>
  <c r="AL71" i="16"/>
  <c r="A1415" i="16" s="1"/>
  <c r="AD71" i="16"/>
  <c r="AH71" i="16"/>
  <c r="AK71" i="16" s="1"/>
  <c r="A1311" i="16" s="1"/>
  <c r="A886" i="16"/>
  <c r="AE70" i="16"/>
  <c r="A991" i="16" s="1"/>
  <c r="A671" i="16"/>
  <c r="Q72" i="16"/>
  <c r="R72" i="16" s="1"/>
  <c r="AA72" i="16" s="1"/>
  <c r="V71" i="16"/>
  <c r="AB71" i="16" s="1"/>
  <c r="B264" i="14"/>
  <c r="T41" i="14"/>
  <c r="U41" i="14"/>
  <c r="V41" i="14" s="1"/>
  <c r="F41" i="14" s="1"/>
  <c r="R40" i="14"/>
  <c r="S41" i="14"/>
  <c r="BF58" i="5"/>
  <c r="BG58" i="5" s="1"/>
  <c r="BO58" i="5" s="1"/>
  <c r="BN59" i="5"/>
  <c r="AJ60" i="5"/>
  <c r="AE70" i="5"/>
  <c r="AF69" i="5"/>
  <c r="CW63" i="5"/>
  <c r="CO62" i="5"/>
  <c r="CV63" i="5"/>
  <c r="B276" i="5"/>
  <c r="AV67" i="9"/>
  <c r="AW68" i="9"/>
  <c r="AH68" i="9"/>
  <c r="AI68" i="9" s="1"/>
  <c r="AJ68" i="9" s="1"/>
  <c r="AX68" i="9"/>
  <c r="AZ68" i="9"/>
  <c r="AL68" i="9"/>
  <c r="AD68" i="9"/>
  <c r="AM68" i="9" s="1"/>
  <c r="BB68" i="9"/>
  <c r="BC69" i="9"/>
  <c r="B235" i="9"/>
  <c r="CQ70" i="9"/>
  <c r="CP70" i="9"/>
  <c r="CL71" i="9"/>
  <c r="CH72" i="9"/>
  <c r="CI72" i="9" s="1"/>
  <c r="BL72" i="9"/>
  <c r="BM72" i="9" s="1"/>
  <c r="BN72" i="9" s="1"/>
  <c r="AU71" i="9"/>
  <c r="AT72" i="9"/>
  <c r="AY72" i="9" s="1"/>
  <c r="BE69" i="8"/>
  <c r="BF68" i="8"/>
  <c r="BK67" i="8"/>
  <c r="BO67" i="8" s="1"/>
  <c r="BP67" i="8" s="1"/>
  <c r="AV69" i="8"/>
  <c r="AT69" i="8"/>
  <c r="AW68" i="8" s="1"/>
  <c r="AS70" i="8"/>
  <c r="AX68" i="8"/>
  <c r="AF68" i="8"/>
  <c r="AG68" i="8" s="1"/>
  <c r="AH68" i="8" s="1"/>
  <c r="AB68" i="8"/>
  <c r="AK68" i="8" s="1"/>
  <c r="AJ68" i="8" s="1"/>
  <c r="AY68" i="8"/>
  <c r="AU68" i="8"/>
  <c r="AI67" i="8"/>
  <c r="AL60" i="5"/>
  <c r="BE60" i="5"/>
  <c r="BM60" i="5" s="1"/>
  <c r="BH61" i="5"/>
  <c r="BP61" i="5" s="1"/>
  <c r="BD62" i="5"/>
  <c r="AC61" i="5"/>
  <c r="BC61" i="5"/>
  <c r="BL61" i="5" s="1"/>
  <c r="AG61" i="5"/>
  <c r="AH61" i="5" s="1"/>
  <c r="AI61" i="5" s="1"/>
  <c r="BU64" i="5"/>
  <c r="BV64" i="5" s="1"/>
  <c r="BT65" i="5"/>
  <c r="AJ72" i="16" l="1"/>
  <c r="AB61" i="16"/>
  <c r="AE61" i="16" s="1"/>
  <c r="A982" i="16" s="1"/>
  <c r="A877" i="16"/>
  <c r="AB60" i="16"/>
  <c r="AE60" i="16" s="1"/>
  <c r="A981" i="16" s="1"/>
  <c r="A876" i="16"/>
  <c r="AI71" i="16"/>
  <c r="A1093" i="16" s="1"/>
  <c r="H57" i="13"/>
  <c r="AJ61" i="5"/>
  <c r="A1208" i="16"/>
  <c r="AL72" i="16"/>
  <c r="A1416" i="16" s="1"/>
  <c r="AK72" i="16"/>
  <c r="A1312" i="16" s="1"/>
  <c r="AD72" i="16"/>
  <c r="AI72" i="16"/>
  <c r="A1094" i="16" s="1"/>
  <c r="AH72" i="16"/>
  <c r="A887" i="16"/>
  <c r="AE71" i="16"/>
  <c r="A992" i="16" s="1"/>
  <c r="A672" i="16"/>
  <c r="Q73" i="16"/>
  <c r="R73" i="16" s="1"/>
  <c r="AA73" i="16" s="1"/>
  <c r="V72" i="16"/>
  <c r="AB72" i="16" s="1"/>
  <c r="CY63" i="5"/>
  <c r="BQ61" i="5"/>
  <c r="B263" i="14"/>
  <c r="T40" i="14"/>
  <c r="U40" i="14"/>
  <c r="V40" i="14" s="1"/>
  <c r="F40" i="14" s="1"/>
  <c r="R39" i="14"/>
  <c r="S40" i="14"/>
  <c r="BN60" i="5"/>
  <c r="BF59" i="5"/>
  <c r="BG59" i="5" s="1"/>
  <c r="BO59" i="5" s="1"/>
  <c r="AE71" i="5"/>
  <c r="AF70" i="5"/>
  <c r="B407" i="5" s="1"/>
  <c r="CW62" i="5"/>
  <c r="CO61" i="5"/>
  <c r="CV62" i="5"/>
  <c r="CY62" i="5" s="1"/>
  <c r="AK68" i="9"/>
  <c r="AV68" i="9"/>
  <c r="BA69" i="9"/>
  <c r="AH69" i="9"/>
  <c r="AI69" i="9" s="1"/>
  <c r="AJ69" i="9" s="1"/>
  <c r="AX69" i="9"/>
  <c r="AW69" i="9"/>
  <c r="AD69" i="9"/>
  <c r="AM69" i="9" s="1"/>
  <c r="BB69" i="9"/>
  <c r="AL69" i="9"/>
  <c r="AZ69" i="9"/>
  <c r="CQ71" i="9"/>
  <c r="CP71" i="9"/>
  <c r="CL72" i="9"/>
  <c r="CH73" i="9"/>
  <c r="CI73" i="9" s="1"/>
  <c r="AU72" i="9"/>
  <c r="AT73" i="9"/>
  <c r="AY73" i="9" s="1"/>
  <c r="BL73" i="9"/>
  <c r="BE61" i="5"/>
  <c r="BM61" i="5" s="1"/>
  <c r="BE70" i="8"/>
  <c r="BF69" i="8"/>
  <c r="AV70" i="8"/>
  <c r="AT70" i="8"/>
  <c r="AW69" i="8" s="1"/>
  <c r="AS71" i="8"/>
  <c r="AX69" i="8"/>
  <c r="AF69" i="8"/>
  <c r="AG69" i="8" s="1"/>
  <c r="AH69" i="8" s="1"/>
  <c r="AB69" i="8"/>
  <c r="AK69" i="8" s="1"/>
  <c r="AJ69" i="8" s="1"/>
  <c r="AY69" i="8"/>
  <c r="AU69" i="8"/>
  <c r="BK68" i="8"/>
  <c r="BO68" i="8" s="1"/>
  <c r="BP68" i="8" s="1"/>
  <c r="AI68" i="8"/>
  <c r="B122" i="3"/>
  <c r="AL61" i="5"/>
  <c r="BH62" i="5"/>
  <c r="BP62" i="5" s="1"/>
  <c r="BD63" i="5"/>
  <c r="BC62" i="5"/>
  <c r="BL62" i="5" s="1"/>
  <c r="BQ62" i="5" s="1"/>
  <c r="AG62" i="5"/>
  <c r="AH62" i="5" s="1"/>
  <c r="AI62" i="5" s="1"/>
  <c r="AC62" i="5"/>
  <c r="BU65" i="5"/>
  <c r="BV65" i="5" s="1"/>
  <c r="BT66" i="5"/>
  <c r="AJ73" i="16" l="1"/>
  <c r="A1209" i="16" s="1"/>
  <c r="B518" i="5"/>
  <c r="V59" i="16"/>
  <c r="B517" i="5"/>
  <c r="V58" i="16"/>
  <c r="AL73" i="16"/>
  <c r="A1417" i="16" s="1"/>
  <c r="AD73" i="16"/>
  <c r="AI73" i="16"/>
  <c r="A1095" i="16" s="1"/>
  <c r="AH73" i="16"/>
  <c r="A888" i="16"/>
  <c r="AE72" i="16"/>
  <c r="A993" i="16" s="1"/>
  <c r="A673" i="16"/>
  <c r="Q74" i="16"/>
  <c r="R74" i="16" s="1"/>
  <c r="AA74" i="16" s="1"/>
  <c r="V73" i="16"/>
  <c r="AB73" i="16" s="1"/>
  <c r="B688" i="5"/>
  <c r="B262" i="14"/>
  <c r="T39" i="14"/>
  <c r="U39" i="14"/>
  <c r="V39" i="14" s="1"/>
  <c r="F39" i="14" s="1"/>
  <c r="R38" i="14"/>
  <c r="S39" i="14"/>
  <c r="BF60" i="5"/>
  <c r="BG60" i="5" s="1"/>
  <c r="BO60" i="5" s="1"/>
  <c r="BN61" i="5"/>
  <c r="AJ62" i="5"/>
  <c r="B342" i="5" s="1"/>
  <c r="AE72" i="5"/>
  <c r="AF71" i="5"/>
  <c r="CW61" i="5"/>
  <c r="CO60" i="5"/>
  <c r="CV61" i="5"/>
  <c r="B374" i="5"/>
  <c r="AZ71" i="9"/>
  <c r="AK69" i="9"/>
  <c r="B296" i="9" s="1"/>
  <c r="AV70" i="9"/>
  <c r="BB71" i="9"/>
  <c r="BC71" i="9"/>
  <c r="CQ72" i="9"/>
  <c r="CP72" i="9"/>
  <c r="AV69" i="9"/>
  <c r="AZ70" i="9"/>
  <c r="BA70" i="9"/>
  <c r="AD70" i="9"/>
  <c r="AM70" i="9" s="1"/>
  <c r="BC70" i="9"/>
  <c r="AW70" i="9"/>
  <c r="AH70" i="9"/>
  <c r="AI70" i="9" s="1"/>
  <c r="AJ70" i="9" s="1"/>
  <c r="AX70" i="9"/>
  <c r="AL70" i="9"/>
  <c r="B312" i="9" s="1"/>
  <c r="BB70" i="9"/>
  <c r="AH71" i="9"/>
  <c r="BA71" i="9"/>
  <c r="CL73" i="9"/>
  <c r="CH74" i="9"/>
  <c r="CI74" i="9" s="1"/>
  <c r="BL74" i="9"/>
  <c r="BM74" i="9" s="1"/>
  <c r="BN74" i="9" s="1"/>
  <c r="AU73" i="9"/>
  <c r="AT74" i="9"/>
  <c r="AY74" i="9" s="1"/>
  <c r="BM73" i="9"/>
  <c r="BN73" i="9" s="1"/>
  <c r="BE71" i="8"/>
  <c r="BF70" i="8"/>
  <c r="B236" i="8" s="1"/>
  <c r="BK69" i="8"/>
  <c r="BO69" i="8" s="1"/>
  <c r="BP69" i="8" s="1"/>
  <c r="AV71" i="8"/>
  <c r="AT71" i="8"/>
  <c r="AW70" i="8" s="1"/>
  <c r="AS72" i="8"/>
  <c r="AX70" i="8"/>
  <c r="AF70" i="8"/>
  <c r="AG70" i="8" s="1"/>
  <c r="AH70" i="8" s="1"/>
  <c r="AB70" i="8"/>
  <c r="AK70" i="8" s="1"/>
  <c r="AJ70" i="8" s="1"/>
  <c r="B199" i="8" s="1"/>
  <c r="AY70" i="8"/>
  <c r="AU70" i="8"/>
  <c r="AI69" i="8"/>
  <c r="B183" i="8" s="1"/>
  <c r="AL62" i="5"/>
  <c r="BE62" i="5"/>
  <c r="BM62" i="5" s="1"/>
  <c r="BH63" i="5"/>
  <c r="BP63" i="5" s="1"/>
  <c r="B756" i="5" s="1"/>
  <c r="BD64" i="5"/>
  <c r="AC63" i="5"/>
  <c r="BC63" i="5"/>
  <c r="BL63" i="5" s="1"/>
  <c r="BQ63" i="5" s="1"/>
  <c r="AG63" i="5"/>
  <c r="AH63" i="5" s="1"/>
  <c r="AI63" i="5" s="1"/>
  <c r="BE63" i="5"/>
  <c r="BM63" i="5" s="1"/>
  <c r="BU66" i="5"/>
  <c r="BV66" i="5" s="1"/>
  <c r="BT67" i="5"/>
  <c r="BH64" i="5"/>
  <c r="BP64" i="5" s="1"/>
  <c r="AK73" i="16" l="1"/>
  <c r="A1313" i="16" s="1"/>
  <c r="AJ74" i="16"/>
  <c r="A1210" i="16" s="1"/>
  <c r="AB58" i="16"/>
  <c r="AE58" i="16" s="1"/>
  <c r="A979" i="16" s="1"/>
  <c r="A874" i="16"/>
  <c r="AB59" i="16"/>
  <c r="AE59" i="16" s="1"/>
  <c r="A980" i="16" s="1"/>
  <c r="A875" i="16"/>
  <c r="AL74" i="16"/>
  <c r="A1418" i="16" s="1"/>
  <c r="AD74" i="16"/>
  <c r="AH74" i="16"/>
  <c r="AI74" i="16"/>
  <c r="A1096" i="16" s="1"/>
  <c r="A889" i="16"/>
  <c r="AE73" i="16"/>
  <c r="A994" i="16" s="1"/>
  <c r="A674" i="16"/>
  <c r="Q75" i="16"/>
  <c r="R75" i="16" s="1"/>
  <c r="AA75" i="16" s="1"/>
  <c r="V74" i="16"/>
  <c r="AB74" i="16" s="1"/>
  <c r="B310" i="5"/>
  <c r="CY61" i="5"/>
  <c r="B261" i="14"/>
  <c r="T38" i="14"/>
  <c r="U38" i="14"/>
  <c r="V38" i="14" s="1"/>
  <c r="F38" i="14" s="1"/>
  <c r="R37" i="14"/>
  <c r="S38" i="14"/>
  <c r="BN62" i="5"/>
  <c r="BF61" i="5"/>
  <c r="BG61" i="5" s="1"/>
  <c r="BO61" i="5" s="1"/>
  <c r="AJ63" i="5"/>
  <c r="AE73" i="5"/>
  <c r="AF72" i="5"/>
  <c r="CW60" i="5"/>
  <c r="CO59" i="5"/>
  <c r="CV60" i="5"/>
  <c r="AW71" i="9"/>
  <c r="AX71" i="9"/>
  <c r="AL71" i="9"/>
  <c r="AD71" i="9"/>
  <c r="AM71" i="9" s="1"/>
  <c r="AI71" i="9"/>
  <c r="AJ71" i="9" s="1"/>
  <c r="CQ73" i="9"/>
  <c r="CP73" i="9"/>
  <c r="AK70" i="9"/>
  <c r="CL74" i="9"/>
  <c r="CH75" i="9"/>
  <c r="CI75" i="9" s="1"/>
  <c r="AU74" i="9"/>
  <c r="AT75" i="9"/>
  <c r="AY75" i="9" s="1"/>
  <c r="BL75" i="9"/>
  <c r="BM75" i="9" s="1"/>
  <c r="BN75" i="9" s="1"/>
  <c r="BE72" i="8"/>
  <c r="BF71" i="8"/>
  <c r="AV72" i="8"/>
  <c r="AT72" i="8"/>
  <c r="AW71" i="8" s="1"/>
  <c r="AS73" i="8"/>
  <c r="AX71" i="8"/>
  <c r="AF71" i="8"/>
  <c r="AG71" i="8" s="1"/>
  <c r="AH71" i="8" s="1"/>
  <c r="AB71" i="8"/>
  <c r="AK71" i="8" s="1"/>
  <c r="AJ71" i="8" s="1"/>
  <c r="AY71" i="8"/>
  <c r="AU71" i="8"/>
  <c r="BK70" i="8"/>
  <c r="BO70" i="8" s="1"/>
  <c r="BP70" i="8" s="1"/>
  <c r="AI70" i="8"/>
  <c r="AL63" i="5"/>
  <c r="BD65" i="5"/>
  <c r="BC64" i="5"/>
  <c r="BL64" i="5" s="1"/>
  <c r="AG64" i="5"/>
  <c r="AH64" i="5" s="1"/>
  <c r="AI64" i="5" s="1"/>
  <c r="AC64" i="5"/>
  <c r="BU67" i="5"/>
  <c r="BV67" i="5" s="1"/>
  <c r="BT68" i="5"/>
  <c r="AK74" i="16" l="1"/>
  <c r="A1314" i="16" s="1"/>
  <c r="AJ75" i="16"/>
  <c r="A1211" i="16" s="1"/>
  <c r="B516" i="5"/>
  <c r="V57" i="16"/>
  <c r="AD75" i="16"/>
  <c r="AH75" i="16"/>
  <c r="AI75" i="16"/>
  <c r="A1097" i="16" s="1"/>
  <c r="A890" i="16"/>
  <c r="AE74" i="16"/>
  <c r="A995" i="16" s="1"/>
  <c r="A675" i="16"/>
  <c r="Q76" i="16"/>
  <c r="R76" i="16" s="1"/>
  <c r="AA76" i="16" s="1"/>
  <c r="V75" i="16"/>
  <c r="AB75" i="16" s="1"/>
  <c r="BQ64" i="5"/>
  <c r="B689" i="5" s="1"/>
  <c r="CY60" i="5"/>
  <c r="B260" i="14"/>
  <c r="T37" i="14"/>
  <c r="U37" i="14"/>
  <c r="V37" i="14" s="1"/>
  <c r="F37" i="14" s="1"/>
  <c r="R36" i="14"/>
  <c r="S37" i="14"/>
  <c r="BF62" i="5"/>
  <c r="BG62" i="5" s="1"/>
  <c r="BO62" i="5" s="1"/>
  <c r="BN63" i="5"/>
  <c r="AJ64" i="5"/>
  <c r="AE74" i="5"/>
  <c r="AF73" i="5"/>
  <c r="CW59" i="5"/>
  <c r="CO58" i="5"/>
  <c r="CV59" i="5"/>
  <c r="AK71" i="9"/>
  <c r="AV71" i="9"/>
  <c r="BC72" i="9"/>
  <c r="AW72" i="9"/>
  <c r="AH72" i="9"/>
  <c r="AI72" i="9" s="1"/>
  <c r="AX72" i="9"/>
  <c r="AZ72" i="9"/>
  <c r="BA72" i="9"/>
  <c r="AL72" i="9"/>
  <c r="AD72" i="9"/>
  <c r="AM72" i="9" s="1"/>
  <c r="BB72" i="9"/>
  <c r="BB73" i="9"/>
  <c r="CQ74" i="9"/>
  <c r="CP74" i="9"/>
  <c r="CL75" i="9"/>
  <c r="CH76" i="9"/>
  <c r="CI76" i="9" s="1"/>
  <c r="BL76" i="9"/>
  <c r="BM76" i="9" s="1"/>
  <c r="BN76" i="9" s="1"/>
  <c r="AU75" i="9"/>
  <c r="AT76" i="9"/>
  <c r="AY76" i="9" s="1"/>
  <c r="BE73" i="8"/>
  <c r="BF72" i="8"/>
  <c r="BK71" i="8"/>
  <c r="BO71" i="8" s="1"/>
  <c r="BP71" i="8" s="1"/>
  <c r="AV73" i="8"/>
  <c r="AT73" i="8"/>
  <c r="AW72" i="8" s="1"/>
  <c r="AS74" i="8"/>
  <c r="AX72" i="8"/>
  <c r="AF72" i="8"/>
  <c r="AG72" i="8" s="1"/>
  <c r="AH72" i="8" s="1"/>
  <c r="AB72" i="8"/>
  <c r="AK72" i="8" s="1"/>
  <c r="AJ72" i="8" s="1"/>
  <c r="AY72" i="8"/>
  <c r="AU72" i="8"/>
  <c r="AI71" i="8"/>
  <c r="AL64" i="5"/>
  <c r="BE64" i="5"/>
  <c r="BM64" i="5" s="1"/>
  <c r="BH65" i="5"/>
  <c r="BP65" i="5" s="1"/>
  <c r="BD66" i="5"/>
  <c r="AC65" i="5"/>
  <c r="BC65" i="5"/>
  <c r="BL65" i="5" s="1"/>
  <c r="AG65" i="5"/>
  <c r="AH65" i="5" s="1"/>
  <c r="AI65" i="5" s="1"/>
  <c r="BU68" i="5"/>
  <c r="BV68" i="5" s="1"/>
  <c r="BT69" i="5"/>
  <c r="AL75" i="16" l="1"/>
  <c r="A1419" i="16" s="1"/>
  <c r="AK75" i="16"/>
  <c r="A1315" i="16" s="1"/>
  <c r="AJ76" i="16"/>
  <c r="A1212" i="16" s="1"/>
  <c r="AB57" i="16"/>
  <c r="AE57" i="16" s="1"/>
  <c r="A978" i="16" s="1"/>
  <c r="A873" i="16"/>
  <c r="B515" i="5"/>
  <c r="V56" i="16"/>
  <c r="AB56" i="16" s="1"/>
  <c r="AD76" i="16"/>
  <c r="AI76" i="16"/>
  <c r="A1098" i="16" s="1"/>
  <c r="AH76" i="16"/>
  <c r="A891" i="16"/>
  <c r="AE75" i="16"/>
  <c r="A996" i="16" s="1"/>
  <c r="A676" i="16"/>
  <c r="Q77" i="16"/>
  <c r="R77" i="16" s="1"/>
  <c r="AA77" i="16" s="1"/>
  <c r="V76" i="16"/>
  <c r="AB76" i="16" s="1"/>
  <c r="BQ65" i="5"/>
  <c r="CY59" i="5"/>
  <c r="B259" i="14"/>
  <c r="T36" i="14"/>
  <c r="U36" i="14"/>
  <c r="V36" i="14" s="1"/>
  <c r="F36" i="14" s="1"/>
  <c r="R35" i="14"/>
  <c r="S36" i="14"/>
  <c r="BN64" i="5"/>
  <c r="BF63" i="5"/>
  <c r="BG63" i="5" s="1"/>
  <c r="BO63" i="5" s="1"/>
  <c r="B423" i="5" s="1"/>
  <c r="AJ65" i="5"/>
  <c r="AE75" i="5"/>
  <c r="AF74" i="5"/>
  <c r="CW58" i="5"/>
  <c r="CO57" i="5"/>
  <c r="CV58" i="5"/>
  <c r="BA73" i="9"/>
  <c r="AD73" i="9"/>
  <c r="AM73" i="9" s="1"/>
  <c r="AL73" i="9"/>
  <c r="AZ73" i="9"/>
  <c r="BC73" i="9"/>
  <c r="AH73" i="9"/>
  <c r="AI73" i="9" s="1"/>
  <c r="AJ73" i="9" s="1"/>
  <c r="AV72" i="9"/>
  <c r="AW73" i="9"/>
  <c r="AX73" i="9"/>
  <c r="AJ72" i="9"/>
  <c r="AK72" i="9" s="1"/>
  <c r="CQ75" i="9"/>
  <c r="CP75" i="9"/>
  <c r="B188" i="9"/>
  <c r="CL76" i="9"/>
  <c r="CH77" i="9"/>
  <c r="CI77" i="9" s="1"/>
  <c r="AU76" i="9"/>
  <c r="AT77" i="9"/>
  <c r="AY77" i="9" s="1"/>
  <c r="BL77" i="9"/>
  <c r="BM77" i="9" s="1"/>
  <c r="BN77" i="9" s="1"/>
  <c r="BE74" i="8"/>
  <c r="BF73" i="8"/>
  <c r="AV74" i="8"/>
  <c r="AT74" i="8"/>
  <c r="AW73" i="8" s="1"/>
  <c r="AS75" i="8"/>
  <c r="AX73" i="8"/>
  <c r="AF73" i="8"/>
  <c r="AG73" i="8" s="1"/>
  <c r="AH73" i="8" s="1"/>
  <c r="AB73" i="8"/>
  <c r="AK73" i="8" s="1"/>
  <c r="AJ73" i="8" s="1"/>
  <c r="AY73" i="8"/>
  <c r="AU73" i="8"/>
  <c r="BK72" i="8"/>
  <c r="BO72" i="8" s="1"/>
  <c r="BP72" i="8" s="1"/>
  <c r="AI72" i="8"/>
  <c r="AL65" i="5"/>
  <c r="BE65" i="5"/>
  <c r="BM65" i="5" s="1"/>
  <c r="BH66" i="5"/>
  <c r="BP66" i="5" s="1"/>
  <c r="BD67" i="5"/>
  <c r="BC66" i="5"/>
  <c r="BL66" i="5" s="1"/>
  <c r="BQ66" i="5" s="1"/>
  <c r="AG66" i="5"/>
  <c r="AH66" i="5" s="1"/>
  <c r="AI66" i="5" s="1"/>
  <c r="AC66" i="5"/>
  <c r="BU69" i="5"/>
  <c r="BV69" i="5" s="1"/>
  <c r="BT70" i="5"/>
  <c r="AL76" i="16" l="1"/>
  <c r="A1420" i="16" s="1"/>
  <c r="AK76" i="16"/>
  <c r="A1316" i="16" s="1"/>
  <c r="AJ77" i="16"/>
  <c r="A1213" i="16" s="1"/>
  <c r="B514" i="5"/>
  <c r="V55" i="16"/>
  <c r="AB55" i="16" s="1"/>
  <c r="A872" i="16"/>
  <c r="AE56" i="16"/>
  <c r="A977" i="16" s="1"/>
  <c r="AD77" i="16"/>
  <c r="AI77" i="16"/>
  <c r="A1099" i="16" s="1"/>
  <c r="AH77" i="16"/>
  <c r="A892" i="16"/>
  <c r="AE76" i="16"/>
  <c r="A997" i="16" s="1"/>
  <c r="A677" i="16"/>
  <c r="Q78" i="16"/>
  <c r="R78" i="16" s="1"/>
  <c r="AA78" i="16" s="1"/>
  <c r="V77" i="16"/>
  <c r="AB77" i="16" s="1"/>
  <c r="B690" i="5"/>
  <c r="CY58" i="5"/>
  <c r="B258" i="14"/>
  <c r="U35" i="14"/>
  <c r="V35" i="14" s="1"/>
  <c r="F35" i="14" s="1"/>
  <c r="T35" i="14"/>
  <c r="R34" i="14"/>
  <c r="S35" i="14"/>
  <c r="BN65" i="5"/>
  <c r="BF64" i="5"/>
  <c r="BG64" i="5" s="1"/>
  <c r="BO64" i="5" s="1"/>
  <c r="AJ66" i="5"/>
  <c r="AE76" i="5"/>
  <c r="AF75" i="5"/>
  <c r="CW57" i="5"/>
  <c r="CO56" i="5"/>
  <c r="CV57" i="5"/>
  <c r="AK73" i="9"/>
  <c r="AV73" i="9"/>
  <c r="BC74" i="9"/>
  <c r="AW74" i="9"/>
  <c r="AH74" i="9"/>
  <c r="AI74" i="9" s="1"/>
  <c r="AJ74" i="9" s="1"/>
  <c r="AX74" i="9"/>
  <c r="AZ74" i="9"/>
  <c r="BA74" i="9"/>
  <c r="AL74" i="9"/>
  <c r="AD74" i="9"/>
  <c r="AM74" i="9" s="1"/>
  <c r="BB74" i="9"/>
  <c r="CQ76" i="9"/>
  <c r="CP76" i="9"/>
  <c r="CL77" i="9"/>
  <c r="CH78" i="9"/>
  <c r="CI78" i="9" s="1"/>
  <c r="BL78" i="9"/>
  <c r="BM78" i="9" s="1"/>
  <c r="BN78" i="9" s="1"/>
  <c r="AU77" i="9"/>
  <c r="AT78" i="9"/>
  <c r="AY78" i="9" s="1"/>
  <c r="AI73" i="8"/>
  <c r="BE75" i="8"/>
  <c r="BF74" i="8"/>
  <c r="AX74" i="8"/>
  <c r="AF74" i="8"/>
  <c r="AG74" i="8" s="1"/>
  <c r="AH74" i="8" s="1"/>
  <c r="AB74" i="8"/>
  <c r="AK74" i="8" s="1"/>
  <c r="AJ74" i="8" s="1"/>
  <c r="AY74" i="8"/>
  <c r="AU74" i="8"/>
  <c r="BK73" i="8"/>
  <c r="BO73" i="8" s="1"/>
  <c r="BP73" i="8" s="1"/>
  <c r="AV75" i="8"/>
  <c r="AT75" i="8"/>
  <c r="AW74" i="8" s="1"/>
  <c r="AS76" i="8"/>
  <c r="AL66" i="5"/>
  <c r="BE66" i="5"/>
  <c r="BM66" i="5" s="1"/>
  <c r="BH67" i="5"/>
  <c r="BP67" i="5" s="1"/>
  <c r="BD68" i="5"/>
  <c r="AC67" i="5"/>
  <c r="BC67" i="5"/>
  <c r="BL67" i="5" s="1"/>
  <c r="AG67" i="5"/>
  <c r="AH67" i="5" s="1"/>
  <c r="AI67" i="5" s="1"/>
  <c r="AJ67" i="5" s="1"/>
  <c r="BU70" i="5"/>
  <c r="BV70" i="5" s="1"/>
  <c r="BT71" i="5"/>
  <c r="AL77" i="16" l="1"/>
  <c r="A1421" i="16" s="1"/>
  <c r="AK77" i="16"/>
  <c r="A1317" i="16" s="1"/>
  <c r="AJ78" i="16"/>
  <c r="A1214" i="16" s="1"/>
  <c r="B513" i="5"/>
  <c r="V54" i="16"/>
  <c r="AB54" i="16" s="1"/>
  <c r="A871" i="16"/>
  <c r="AE55" i="16"/>
  <c r="A976" i="16" s="1"/>
  <c r="AD78" i="16"/>
  <c r="AH78" i="16"/>
  <c r="AI78" i="16"/>
  <c r="A1100" i="16" s="1"/>
  <c r="A893" i="16"/>
  <c r="AE77" i="16"/>
  <c r="A998" i="16" s="1"/>
  <c r="A678" i="16"/>
  <c r="Q79" i="16"/>
  <c r="R79" i="16" s="1"/>
  <c r="AA79" i="16" s="1"/>
  <c r="V78" i="16"/>
  <c r="AB78" i="16" s="1"/>
  <c r="BQ67" i="5"/>
  <c r="H64" i="13" s="1"/>
  <c r="CY57" i="5"/>
  <c r="B257" i="14"/>
  <c r="T34" i="14"/>
  <c r="U34" i="14"/>
  <c r="V34" i="14" s="1"/>
  <c r="F34" i="14" s="1"/>
  <c r="R33" i="14"/>
  <c r="S34" i="14"/>
  <c r="BN66" i="5"/>
  <c r="BF65" i="5"/>
  <c r="BG65" i="5" s="1"/>
  <c r="BO65" i="5" s="1"/>
  <c r="AE77" i="5"/>
  <c r="AF76" i="5"/>
  <c r="CW56" i="5"/>
  <c r="CO55" i="5"/>
  <c r="CV56" i="5"/>
  <c r="CY56" i="5" s="1"/>
  <c r="AI74" i="8"/>
  <c r="AV74" i="9"/>
  <c r="AZ75" i="9"/>
  <c r="AW75" i="9"/>
  <c r="AH75" i="9"/>
  <c r="AI75" i="9" s="1"/>
  <c r="AJ75" i="9" s="1"/>
  <c r="BA75" i="9"/>
  <c r="AL75" i="9"/>
  <c r="AD75" i="9"/>
  <c r="AM75" i="9" s="1"/>
  <c r="BB75" i="9"/>
  <c r="AX75" i="9"/>
  <c r="BC75" i="9"/>
  <c r="AK74" i="9"/>
  <c r="B236" i="9"/>
  <c r="CQ77" i="9"/>
  <c r="CP77" i="9"/>
  <c r="CL78" i="9"/>
  <c r="CH79" i="9"/>
  <c r="CI79" i="9" s="1"/>
  <c r="AU78" i="9"/>
  <c r="AT79" i="9"/>
  <c r="AY79" i="9" s="1"/>
  <c r="BL79" i="9"/>
  <c r="BM79" i="9" s="1"/>
  <c r="BN79" i="9" s="1"/>
  <c r="BE67" i="5"/>
  <c r="BM67" i="5" s="1"/>
  <c r="BE76" i="8"/>
  <c r="BF75" i="8"/>
  <c r="AX75" i="8"/>
  <c r="AF75" i="8"/>
  <c r="AG75" i="8" s="1"/>
  <c r="AH75" i="8" s="1"/>
  <c r="AB75" i="8"/>
  <c r="AK75" i="8" s="1"/>
  <c r="AJ75" i="8" s="1"/>
  <c r="AY75" i="8"/>
  <c r="AU75" i="8"/>
  <c r="BK74" i="8"/>
  <c r="BO74" i="8" s="1"/>
  <c r="BP74" i="8" s="1"/>
  <c r="AV76" i="8"/>
  <c r="AT76" i="8"/>
  <c r="AW75" i="8" s="1"/>
  <c r="AS77" i="8"/>
  <c r="AL67" i="5"/>
  <c r="BH68" i="5"/>
  <c r="BP68" i="5" s="1"/>
  <c r="B757" i="5" s="1"/>
  <c r="BD69" i="5"/>
  <c r="BC68" i="5"/>
  <c r="BL68" i="5" s="1"/>
  <c r="BQ68" i="5" s="1"/>
  <c r="AG68" i="5"/>
  <c r="AH68" i="5" s="1"/>
  <c r="AI68" i="5" s="1"/>
  <c r="AC68" i="5"/>
  <c r="BU71" i="5"/>
  <c r="BV71" i="5" s="1"/>
  <c r="BT72" i="5"/>
  <c r="AL78" i="16" l="1"/>
  <c r="A1422" i="16" s="1"/>
  <c r="AK78" i="16"/>
  <c r="A1318" i="16" s="1"/>
  <c r="AJ79" i="16"/>
  <c r="A1215" i="16" s="1"/>
  <c r="B511" i="5"/>
  <c r="V52" i="16"/>
  <c r="AB52" i="16" s="1"/>
  <c r="B512" i="5"/>
  <c r="V53" i="16"/>
  <c r="AB53" i="16" s="1"/>
  <c r="A870" i="16"/>
  <c r="AE54" i="16"/>
  <c r="A975" i="16" s="1"/>
  <c r="AD79" i="16"/>
  <c r="AH79" i="16"/>
  <c r="AI79" i="16"/>
  <c r="A1101" i="16" s="1"/>
  <c r="A894" i="16"/>
  <c r="AE78" i="16"/>
  <c r="A999" i="16" s="1"/>
  <c r="A679" i="16"/>
  <c r="Q80" i="16"/>
  <c r="R80" i="16" s="1"/>
  <c r="AA80" i="16" s="1"/>
  <c r="V79" i="16"/>
  <c r="AB79" i="16" s="1"/>
  <c r="B691" i="5"/>
  <c r="B256" i="14"/>
  <c r="U33" i="14"/>
  <c r="V33" i="14" s="1"/>
  <c r="F33" i="14" s="1"/>
  <c r="T33" i="14"/>
  <c r="R32" i="14"/>
  <c r="S33" i="14"/>
  <c r="BF66" i="5"/>
  <c r="BG66" i="5" s="1"/>
  <c r="BO66" i="5" s="1"/>
  <c r="BN67" i="5"/>
  <c r="AJ68" i="5"/>
  <c r="AE78" i="5"/>
  <c r="AF77" i="5"/>
  <c r="B408" i="5" s="1"/>
  <c r="CW55" i="5"/>
  <c r="CO54" i="5"/>
  <c r="CV55" i="5"/>
  <c r="AK75" i="9"/>
  <c r="CQ78" i="9"/>
  <c r="CP78" i="9"/>
  <c r="AV76" i="9"/>
  <c r="AV75" i="9"/>
  <c r="AZ76" i="9"/>
  <c r="BA76" i="9"/>
  <c r="AW76" i="9"/>
  <c r="AX76" i="9"/>
  <c r="BC76" i="9"/>
  <c r="AL76" i="9"/>
  <c r="AD76" i="9"/>
  <c r="AM76" i="9" s="1"/>
  <c r="BB76" i="9"/>
  <c r="AH76" i="9"/>
  <c r="AI76" i="9" s="1"/>
  <c r="AJ76" i="9" s="1"/>
  <c r="CL79" i="9"/>
  <c r="CH80" i="9"/>
  <c r="CI80" i="9" s="1"/>
  <c r="BL80" i="9"/>
  <c r="BM80" i="9" s="1"/>
  <c r="BN80" i="9" s="1"/>
  <c r="AU79" i="9"/>
  <c r="AT80" i="9"/>
  <c r="AY80" i="9" s="1"/>
  <c r="BE77" i="8"/>
  <c r="BF76" i="8"/>
  <c r="AI75" i="8"/>
  <c r="AV77" i="8"/>
  <c r="AT77" i="8"/>
  <c r="AW76" i="8" s="1"/>
  <c r="AS78" i="8"/>
  <c r="AX76" i="8"/>
  <c r="AF76" i="8"/>
  <c r="AG76" i="8" s="1"/>
  <c r="AH76" i="8" s="1"/>
  <c r="AB76" i="8"/>
  <c r="AK76" i="8" s="1"/>
  <c r="AJ76" i="8" s="1"/>
  <c r="AY76" i="8"/>
  <c r="AU76" i="8"/>
  <c r="BK75" i="8"/>
  <c r="BO75" i="8" s="1"/>
  <c r="BP75" i="8" s="1"/>
  <c r="AL68" i="5"/>
  <c r="BE68" i="5"/>
  <c r="BM68" i="5" s="1"/>
  <c r="B311" i="5" s="1"/>
  <c r="B123" i="3"/>
  <c r="B277" i="5"/>
  <c r="BD70" i="5"/>
  <c r="AC69" i="5"/>
  <c r="BC69" i="5"/>
  <c r="AG69" i="5"/>
  <c r="AH69" i="5" s="1"/>
  <c r="BH69" i="5"/>
  <c r="BE69" i="5"/>
  <c r="BU72" i="5"/>
  <c r="BV72" i="5" s="1"/>
  <c r="BT73" i="5"/>
  <c r="AL79" i="16" l="1"/>
  <c r="A1423" i="16" s="1"/>
  <c r="AK79" i="16"/>
  <c r="A1319" i="16" s="1"/>
  <c r="AJ80" i="16"/>
  <c r="A1216" i="16" s="1"/>
  <c r="AE53" i="16"/>
  <c r="A974" i="16" s="1"/>
  <c r="A869" i="16"/>
  <c r="AE52" i="16"/>
  <c r="A973" i="16" s="1"/>
  <c r="A868" i="16"/>
  <c r="AD80" i="16"/>
  <c r="AI80" i="16"/>
  <c r="A1102" i="16" s="1"/>
  <c r="AH80" i="16"/>
  <c r="A895" i="16"/>
  <c r="AE79" i="16"/>
  <c r="A1000" i="16" s="1"/>
  <c r="A680" i="16"/>
  <c r="Q81" i="16"/>
  <c r="R81" i="16" s="1"/>
  <c r="AA81" i="16" s="1"/>
  <c r="V80" i="16"/>
  <c r="AB80" i="16" s="1"/>
  <c r="CY55" i="5"/>
  <c r="B255" i="14"/>
  <c r="T32" i="14"/>
  <c r="U32" i="14"/>
  <c r="V32" i="14" s="1"/>
  <c r="F32" i="14" s="1"/>
  <c r="R31" i="14"/>
  <c r="S32" i="14"/>
  <c r="BF67" i="5"/>
  <c r="BG67" i="5" s="1"/>
  <c r="BO67" i="5" s="1"/>
  <c r="BN68" i="5"/>
  <c r="AE79" i="5"/>
  <c r="AF78" i="5"/>
  <c r="AK76" i="9"/>
  <c r="B297" i="9" s="1"/>
  <c r="CW54" i="5"/>
  <c r="CO53" i="5"/>
  <c r="CV54" i="5"/>
  <c r="CY54" i="5" s="1"/>
  <c r="B375" i="5"/>
  <c r="CQ79" i="9"/>
  <c r="CP79" i="9"/>
  <c r="AZ77" i="9"/>
  <c r="BA77" i="9"/>
  <c r="AL77" i="9"/>
  <c r="B313" i="9" s="1"/>
  <c r="AD77" i="9"/>
  <c r="AM77" i="9" s="1"/>
  <c r="BB77" i="9"/>
  <c r="BC77" i="9"/>
  <c r="AW77" i="9"/>
  <c r="AH77" i="9"/>
  <c r="AI77" i="9" s="1"/>
  <c r="AJ77" i="9" s="1"/>
  <c r="AK77" i="9" s="1"/>
  <c r="AX77" i="9"/>
  <c r="CL80" i="9"/>
  <c r="CH81" i="9"/>
  <c r="CI81" i="9" s="1"/>
  <c r="AU80" i="9"/>
  <c r="AT81" i="9"/>
  <c r="AY81" i="9" s="1"/>
  <c r="BL81" i="9"/>
  <c r="BE78" i="8"/>
  <c r="BF77" i="8"/>
  <c r="B237" i="8" s="1"/>
  <c r="AI76" i="8"/>
  <c r="B184" i="8" s="1"/>
  <c r="BK76" i="8"/>
  <c r="BO76" i="8" s="1"/>
  <c r="BP76" i="8" s="1"/>
  <c r="AV78" i="8"/>
  <c r="AT78" i="8"/>
  <c r="AW77" i="8" s="1"/>
  <c r="AS79" i="8"/>
  <c r="AX77" i="8"/>
  <c r="AF77" i="8"/>
  <c r="AG77" i="8" s="1"/>
  <c r="AB77" i="8"/>
  <c r="AK77" i="8" s="1"/>
  <c r="AJ77" i="8" s="1"/>
  <c r="B200" i="8" s="1"/>
  <c r="AY77" i="8"/>
  <c r="AU77" i="8"/>
  <c r="AL69" i="5"/>
  <c r="BH70" i="5"/>
  <c r="BD71" i="5"/>
  <c r="AI69" i="5"/>
  <c r="AJ69" i="5" s="1"/>
  <c r="BC70" i="5"/>
  <c r="AG70" i="5"/>
  <c r="AH70" i="5" s="1"/>
  <c r="AC70" i="5"/>
  <c r="BU73" i="5"/>
  <c r="BV73" i="5" s="1"/>
  <c r="BT74" i="5"/>
  <c r="AL80" i="16" l="1"/>
  <c r="A1424" i="16" s="1"/>
  <c r="AK80" i="16"/>
  <c r="A1320" i="16" s="1"/>
  <c r="AJ81" i="16"/>
  <c r="A1217" i="16" s="1"/>
  <c r="B509" i="5"/>
  <c r="V50" i="16"/>
  <c r="AB50" i="16" s="1"/>
  <c r="B510" i="5"/>
  <c r="V51" i="16"/>
  <c r="AB51" i="16" s="1"/>
  <c r="AD81" i="16"/>
  <c r="AI81" i="16"/>
  <c r="A1103" i="16" s="1"/>
  <c r="AH81" i="16"/>
  <c r="A896" i="16"/>
  <c r="AE80" i="16"/>
  <c r="A1001" i="16" s="1"/>
  <c r="A681" i="16"/>
  <c r="Q82" i="16"/>
  <c r="R82" i="16" s="1"/>
  <c r="AA82" i="16" s="1"/>
  <c r="V81" i="16"/>
  <c r="AB81" i="16" s="1"/>
  <c r="B254" i="14"/>
  <c r="U31" i="14"/>
  <c r="V31" i="14" s="1"/>
  <c r="F31" i="14" s="1"/>
  <c r="T31" i="14"/>
  <c r="R30" i="14"/>
  <c r="S31" i="14"/>
  <c r="BF68" i="5"/>
  <c r="BG68" i="5" s="1"/>
  <c r="BO68" i="5" s="1"/>
  <c r="BN69" i="5"/>
  <c r="AE80" i="5"/>
  <c r="AF79" i="5"/>
  <c r="CW53" i="5"/>
  <c r="CO52" i="5"/>
  <c r="CV53" i="5"/>
  <c r="BB79" i="9"/>
  <c r="AX79" i="9"/>
  <c r="AH79" i="9"/>
  <c r="AW79" i="9"/>
  <c r="BC79" i="9"/>
  <c r="CQ80" i="9"/>
  <c r="CP80" i="9"/>
  <c r="AL78" i="9"/>
  <c r="BB78" i="9"/>
  <c r="AV77" i="9"/>
  <c r="BC78" i="9"/>
  <c r="AW78" i="9"/>
  <c r="AH78" i="9"/>
  <c r="AI78" i="9" s="1"/>
  <c r="AJ78" i="9" s="1"/>
  <c r="AX78" i="9"/>
  <c r="AZ78" i="9"/>
  <c r="BA78" i="9"/>
  <c r="AD78" i="9"/>
  <c r="AM78" i="9" s="1"/>
  <c r="CL81" i="9"/>
  <c r="CH82" i="9"/>
  <c r="CI82" i="9" s="1"/>
  <c r="BL82" i="9"/>
  <c r="BM82" i="9" s="1"/>
  <c r="BN82" i="9" s="1"/>
  <c r="AU81" i="9"/>
  <c r="AT82" i="9"/>
  <c r="AY82" i="9" s="1"/>
  <c r="BM81" i="9"/>
  <c r="BN81" i="9" s="1"/>
  <c r="BE79" i="8"/>
  <c r="BF78" i="8"/>
  <c r="AX78" i="8"/>
  <c r="AF78" i="8"/>
  <c r="AG78" i="8" s="1"/>
  <c r="AB78" i="8"/>
  <c r="AK78" i="8" s="1"/>
  <c r="AJ78" i="8" s="1"/>
  <c r="AY78" i="8"/>
  <c r="AU78" i="8"/>
  <c r="BK77" i="8"/>
  <c r="BO77" i="8" s="1"/>
  <c r="BP77" i="8" s="1"/>
  <c r="AV79" i="8"/>
  <c r="AT79" i="8"/>
  <c r="AW78" i="8" s="1"/>
  <c r="AS80" i="8"/>
  <c r="AH77" i="8"/>
  <c r="AI77" i="8" s="1"/>
  <c r="AL70" i="5"/>
  <c r="B343" i="5"/>
  <c r="BH71" i="5"/>
  <c r="BE70" i="5"/>
  <c r="AI70" i="5"/>
  <c r="AJ70" i="5" s="1"/>
  <c r="AC71" i="5"/>
  <c r="BC71" i="5"/>
  <c r="AG71" i="5"/>
  <c r="AH71" i="5" s="1"/>
  <c r="AI71" i="5" s="1"/>
  <c r="BD72" i="5"/>
  <c r="BU74" i="5"/>
  <c r="BV74" i="5" s="1"/>
  <c r="BT75" i="5"/>
  <c r="AL81" i="16" l="1"/>
  <c r="A1425" i="16" s="1"/>
  <c r="AK81" i="16"/>
  <c r="A1321" i="16" s="1"/>
  <c r="AJ82" i="16"/>
  <c r="A1218" i="16" s="1"/>
  <c r="A867" i="16"/>
  <c r="AE51" i="16"/>
  <c r="A972" i="16" s="1"/>
  <c r="AE50" i="16"/>
  <c r="A971" i="16" s="1"/>
  <c r="A866" i="16"/>
  <c r="AD82" i="16"/>
  <c r="AH82" i="16"/>
  <c r="AI82" i="16"/>
  <c r="A1104" i="16" s="1"/>
  <c r="A897" i="16"/>
  <c r="AE81" i="16"/>
  <c r="A1002" i="16" s="1"/>
  <c r="A682" i="16"/>
  <c r="Q83" i="16"/>
  <c r="R83" i="16" s="1"/>
  <c r="AA83" i="16" s="1"/>
  <c r="V82" i="16"/>
  <c r="AB82" i="16" s="1"/>
  <c r="CY53" i="5"/>
  <c r="B253" i="14"/>
  <c r="T30" i="14"/>
  <c r="U30" i="14"/>
  <c r="V30" i="14" s="1"/>
  <c r="F30" i="14" s="1"/>
  <c r="R29" i="14"/>
  <c r="R28" i="14" s="1"/>
  <c r="S30" i="14"/>
  <c r="BO69" i="5"/>
  <c r="BN70" i="5"/>
  <c r="BF69" i="5"/>
  <c r="BG69" i="5" s="1"/>
  <c r="AJ71" i="5"/>
  <c r="AE81" i="5"/>
  <c r="AF80" i="5"/>
  <c r="CW52" i="5"/>
  <c r="CO51" i="5"/>
  <c r="CV52" i="5"/>
  <c r="AL79" i="9"/>
  <c r="AZ79" i="9"/>
  <c r="AX80" i="9"/>
  <c r="AV78" i="9"/>
  <c r="BA79" i="9"/>
  <c r="AD79" i="9"/>
  <c r="AM79" i="9" s="1"/>
  <c r="AH80" i="9"/>
  <c r="BA80" i="9"/>
  <c r="AZ80" i="9"/>
  <c r="BB80" i="9"/>
  <c r="AD80" i="9"/>
  <c r="AM80" i="9" s="1"/>
  <c r="AL80" i="9"/>
  <c r="BC80" i="9"/>
  <c r="AI79" i="9"/>
  <c r="AJ79" i="9" s="1"/>
  <c r="AK79" i="9" s="1"/>
  <c r="CQ81" i="9"/>
  <c r="CP81" i="9"/>
  <c r="AK78" i="9"/>
  <c r="CL82" i="9"/>
  <c r="CH83" i="9"/>
  <c r="CI83" i="9" s="1"/>
  <c r="AU82" i="9"/>
  <c r="AT83" i="9"/>
  <c r="AY83" i="9" s="1"/>
  <c r="BL83" i="9"/>
  <c r="BE80" i="8"/>
  <c r="BF79" i="8"/>
  <c r="AV80" i="8"/>
  <c r="AT80" i="8"/>
  <c r="AW79" i="8" s="1"/>
  <c r="AS81" i="8"/>
  <c r="AX79" i="8"/>
  <c r="AF79" i="8"/>
  <c r="AG79" i="8" s="1"/>
  <c r="AH79" i="8" s="1"/>
  <c r="AB79" i="8"/>
  <c r="AK79" i="8" s="1"/>
  <c r="AJ79" i="8" s="1"/>
  <c r="AY79" i="8"/>
  <c r="AU79" i="8"/>
  <c r="BK78" i="8"/>
  <c r="BO78" i="8" s="1"/>
  <c r="BP78" i="8" s="1"/>
  <c r="AH78" i="8"/>
  <c r="AI78" i="8" s="1"/>
  <c r="AL71" i="5"/>
  <c r="BE71" i="5"/>
  <c r="BH72" i="5"/>
  <c r="BD73" i="5"/>
  <c r="BC72" i="5"/>
  <c r="AG72" i="5"/>
  <c r="AH72" i="5" s="1"/>
  <c r="AI72" i="5" s="1"/>
  <c r="AC72" i="5"/>
  <c r="BU75" i="5"/>
  <c r="BV75" i="5" s="1"/>
  <c r="BT76" i="5"/>
  <c r="AL82" i="16" l="1"/>
  <c r="A1426" i="16" s="1"/>
  <c r="AK82" i="16"/>
  <c r="A1322" i="16" s="1"/>
  <c r="AJ83" i="16"/>
  <c r="A1219" i="16" s="1"/>
  <c r="B508" i="5"/>
  <c r="V49" i="16"/>
  <c r="AB49" i="16" s="1"/>
  <c r="AD83" i="16"/>
  <c r="AH83" i="16"/>
  <c r="AI83" i="16"/>
  <c r="A1105" i="16" s="1"/>
  <c r="A898" i="16"/>
  <c r="AE82" i="16"/>
  <c r="A1003" i="16" s="1"/>
  <c r="A683" i="16"/>
  <c r="Q84" i="16"/>
  <c r="R84" i="16" s="1"/>
  <c r="AA84" i="16" s="1"/>
  <c r="V83" i="16"/>
  <c r="AB83" i="16" s="1"/>
  <c r="CY52" i="5"/>
  <c r="R27" i="14"/>
  <c r="U28" i="14"/>
  <c r="V28" i="14" s="1"/>
  <c r="B252" i="14"/>
  <c r="U29" i="14"/>
  <c r="V29" i="14" s="1"/>
  <c r="F29" i="14" s="1"/>
  <c r="T29" i="14"/>
  <c r="T28" i="14" s="1"/>
  <c r="S29" i="14"/>
  <c r="S28" i="14" s="1"/>
  <c r="BO70" i="5"/>
  <c r="B424" i="5" s="1"/>
  <c r="BN71" i="5"/>
  <c r="BF70" i="5"/>
  <c r="BG70" i="5" s="1"/>
  <c r="AJ72" i="5"/>
  <c r="AE82" i="5"/>
  <c r="AF81" i="5"/>
  <c r="CW51" i="5"/>
  <c r="CO50" i="5"/>
  <c r="CV51" i="5"/>
  <c r="AV79" i="9"/>
  <c r="AW80" i="9"/>
  <c r="BA81" i="9"/>
  <c r="CQ82" i="9"/>
  <c r="CP82" i="9"/>
  <c r="AI80" i="9"/>
  <c r="AJ80" i="9" s="1"/>
  <c r="AK80" i="9" s="1"/>
  <c r="B189" i="9"/>
  <c r="CL83" i="9"/>
  <c r="CH84" i="9"/>
  <c r="CI84" i="9" s="1"/>
  <c r="AU83" i="9"/>
  <c r="AT84" i="9"/>
  <c r="AY84" i="9" s="1"/>
  <c r="BL84" i="9"/>
  <c r="BM84" i="9" s="1"/>
  <c r="BN84" i="9" s="1"/>
  <c r="BM83" i="9"/>
  <c r="BN83" i="9" s="1"/>
  <c r="BE81" i="8"/>
  <c r="BF80" i="8"/>
  <c r="BK79" i="8"/>
  <c r="BO79" i="8" s="1"/>
  <c r="BP79" i="8" s="1"/>
  <c r="AV81" i="8"/>
  <c r="AT81" i="8"/>
  <c r="AW80" i="8" s="1"/>
  <c r="AS82" i="8"/>
  <c r="AX80" i="8"/>
  <c r="AF80" i="8"/>
  <c r="AG80" i="8" s="1"/>
  <c r="AH80" i="8" s="1"/>
  <c r="AB80" i="8"/>
  <c r="AK80" i="8" s="1"/>
  <c r="AJ80" i="8" s="1"/>
  <c r="AY80" i="8"/>
  <c r="AU80" i="8"/>
  <c r="AI79" i="8"/>
  <c r="AL72" i="5"/>
  <c r="BE72" i="5"/>
  <c r="BH73" i="5"/>
  <c r="BD74" i="5"/>
  <c r="AC73" i="5"/>
  <c r="BC73" i="5"/>
  <c r="AG73" i="5"/>
  <c r="AH73" i="5" s="1"/>
  <c r="AI73" i="5" s="1"/>
  <c r="AJ73" i="5" s="1"/>
  <c r="BU76" i="5"/>
  <c r="BV76" i="5" s="1"/>
  <c r="BT77" i="5"/>
  <c r="AL83" i="16" l="1"/>
  <c r="A1427" i="16" s="1"/>
  <c r="AK83" i="16"/>
  <c r="A1323" i="16" s="1"/>
  <c r="AJ84" i="16"/>
  <c r="A1220" i="16" s="1"/>
  <c r="B507" i="5"/>
  <c r="V48" i="16"/>
  <c r="AB48" i="16" s="1"/>
  <c r="AE49" i="16"/>
  <c r="A970" i="16" s="1"/>
  <c r="A865" i="16"/>
  <c r="AD84" i="16"/>
  <c r="AI84" i="16"/>
  <c r="A1106" i="16" s="1"/>
  <c r="AH84" i="16"/>
  <c r="A899" i="16"/>
  <c r="AE83" i="16"/>
  <c r="A1004" i="16" s="1"/>
  <c r="A684" i="16"/>
  <c r="Q85" i="16"/>
  <c r="R85" i="16" s="1"/>
  <c r="AA85" i="16" s="1"/>
  <c r="V84" i="16"/>
  <c r="AB84" i="16" s="1"/>
  <c r="S27" i="14"/>
  <c r="CY51" i="5"/>
  <c r="B506" i="5" s="1"/>
  <c r="T27" i="14"/>
  <c r="F28" i="14"/>
  <c r="B250" i="14" s="1"/>
  <c r="U27" i="14"/>
  <c r="V27" i="14" s="1"/>
  <c r="R26" i="14"/>
  <c r="B251" i="14"/>
  <c r="BO71" i="5"/>
  <c r="BF71" i="5"/>
  <c r="BG71" i="5" s="1"/>
  <c r="BN72" i="5"/>
  <c r="AE83" i="5"/>
  <c r="AF82" i="5"/>
  <c r="CW50" i="5"/>
  <c r="CO49" i="5"/>
  <c r="CV50" i="5"/>
  <c r="CY50" i="5" s="1"/>
  <c r="AL81" i="9"/>
  <c r="BC81" i="9"/>
  <c r="AD81" i="9"/>
  <c r="AM81" i="9" s="1"/>
  <c r="AZ81" i="9"/>
  <c r="BB81" i="9"/>
  <c r="AV80" i="9"/>
  <c r="AH81" i="9"/>
  <c r="AI81" i="9" s="1"/>
  <c r="AJ81" i="9" s="1"/>
  <c r="AK81" i="9" s="1"/>
  <c r="AW81" i="9"/>
  <c r="AX81" i="9"/>
  <c r="CQ83" i="9"/>
  <c r="CP83" i="9"/>
  <c r="CL84" i="9"/>
  <c r="CH85" i="9"/>
  <c r="CI85" i="9" s="1"/>
  <c r="BL85" i="9"/>
  <c r="BM85" i="9" s="1"/>
  <c r="BN85" i="9" s="1"/>
  <c r="AT85" i="9"/>
  <c r="AY85" i="9" s="1"/>
  <c r="AU84" i="9"/>
  <c r="BE82" i="8"/>
  <c r="BF81" i="8"/>
  <c r="AV82" i="8"/>
  <c r="AT82" i="8"/>
  <c r="AW81" i="8" s="1"/>
  <c r="AS83" i="8"/>
  <c r="AX81" i="8"/>
  <c r="AF81" i="8"/>
  <c r="AG81" i="8" s="1"/>
  <c r="AH81" i="8" s="1"/>
  <c r="AB81" i="8"/>
  <c r="AK81" i="8" s="1"/>
  <c r="AJ81" i="8" s="1"/>
  <c r="AY81" i="8"/>
  <c r="AU81" i="8"/>
  <c r="BK80" i="8"/>
  <c r="BO80" i="8" s="1"/>
  <c r="BP80" i="8" s="1"/>
  <c r="AI80" i="8"/>
  <c r="AL73" i="5"/>
  <c r="BE73" i="5"/>
  <c r="BH74" i="5"/>
  <c r="BD75" i="5"/>
  <c r="BC74" i="5"/>
  <c r="AG74" i="5"/>
  <c r="AH74" i="5" s="1"/>
  <c r="AI74" i="5" s="1"/>
  <c r="AC74" i="5"/>
  <c r="BU77" i="5"/>
  <c r="BV77" i="5" s="1"/>
  <c r="BT78" i="5"/>
  <c r="AL84" i="16" l="1"/>
  <c r="A1428" i="16" s="1"/>
  <c r="AK84" i="16"/>
  <c r="A1324" i="16" s="1"/>
  <c r="AJ85" i="16"/>
  <c r="AL85" i="16" s="1"/>
  <c r="A1429" i="16" s="1"/>
  <c r="S26" i="14"/>
  <c r="B505" i="5"/>
  <c r="V46" i="16"/>
  <c r="AB46" i="16" s="1"/>
  <c r="AE48" i="16"/>
  <c r="A969" i="16" s="1"/>
  <c r="A864" i="16"/>
  <c r="A1221" i="16"/>
  <c r="AD85" i="16"/>
  <c r="AI85" i="16"/>
  <c r="A1107" i="16" s="1"/>
  <c r="AH85" i="16"/>
  <c r="A900" i="16"/>
  <c r="AE84" i="16"/>
  <c r="A1005" i="16" s="1"/>
  <c r="A685" i="16"/>
  <c r="Q86" i="16"/>
  <c r="R86" i="16" s="1"/>
  <c r="AA86" i="16" s="1"/>
  <c r="V85" i="16"/>
  <c r="AB85" i="16" s="1"/>
  <c r="F27" i="14"/>
  <c r="B249" i="14" s="1"/>
  <c r="T26" i="14"/>
  <c r="U26" i="14"/>
  <c r="V26" i="14" s="1"/>
  <c r="R25" i="14"/>
  <c r="T25" i="14" s="1"/>
  <c r="BO72" i="5"/>
  <c r="BF72" i="5"/>
  <c r="BG72" i="5" s="1"/>
  <c r="BN73" i="5"/>
  <c r="AJ74" i="5"/>
  <c r="AE84" i="5"/>
  <c r="AF83" i="5"/>
  <c r="CW49" i="5"/>
  <c r="CO48" i="5"/>
  <c r="CV49" i="5"/>
  <c r="B278" i="5"/>
  <c r="AZ82" i="9"/>
  <c r="BA82" i="9"/>
  <c r="AL82" i="9"/>
  <c r="AD82" i="9"/>
  <c r="AM82" i="9" s="1"/>
  <c r="BB82" i="9"/>
  <c r="AV81" i="9"/>
  <c r="BC82" i="9"/>
  <c r="AW82" i="9"/>
  <c r="AH82" i="9"/>
  <c r="AI82" i="9" s="1"/>
  <c r="AJ82" i="9" s="1"/>
  <c r="AX82" i="9"/>
  <c r="B237" i="9"/>
  <c r="CQ84" i="9"/>
  <c r="CP84" i="9"/>
  <c r="CL85" i="9"/>
  <c r="CH86" i="9"/>
  <c r="CI86" i="9" s="1"/>
  <c r="BL86" i="9"/>
  <c r="BM86" i="9" s="1"/>
  <c r="BN86" i="9" s="1"/>
  <c r="AT86" i="9"/>
  <c r="AY86" i="9" s="1"/>
  <c r="AU85" i="9"/>
  <c r="BE83" i="8"/>
  <c r="BF82" i="8"/>
  <c r="AI81" i="8"/>
  <c r="BK81" i="8"/>
  <c r="BO81" i="8" s="1"/>
  <c r="BP81" i="8" s="1"/>
  <c r="AV83" i="8"/>
  <c r="AT83" i="8"/>
  <c r="AS84" i="8"/>
  <c r="AW82" i="8"/>
  <c r="AX82" i="8"/>
  <c r="AF82" i="8"/>
  <c r="AG82" i="8" s="1"/>
  <c r="AH82" i="8" s="1"/>
  <c r="AB82" i="8"/>
  <c r="AK82" i="8" s="1"/>
  <c r="AJ82" i="8" s="1"/>
  <c r="AU82" i="8"/>
  <c r="AY82" i="8"/>
  <c r="AL74" i="5"/>
  <c r="BE74" i="5"/>
  <c r="BH75" i="5"/>
  <c r="BD76" i="5"/>
  <c r="AC75" i="5"/>
  <c r="BC75" i="5"/>
  <c r="AG75" i="5"/>
  <c r="AH75" i="5" s="1"/>
  <c r="AI75" i="5" s="1"/>
  <c r="AJ75" i="5" s="1"/>
  <c r="BU78" i="5"/>
  <c r="BV78" i="5" s="1"/>
  <c r="BT79" i="5"/>
  <c r="AK85" i="16" l="1"/>
  <c r="A1325" i="16" s="1"/>
  <c r="AJ86" i="16"/>
  <c r="A1222" i="16" s="1"/>
  <c r="AE46" i="16"/>
  <c r="A967" i="16" s="1"/>
  <c r="A862" i="16"/>
  <c r="AL86" i="16"/>
  <c r="A1430" i="16" s="1"/>
  <c r="AD86" i="16"/>
  <c r="AH86" i="16"/>
  <c r="AI86" i="16"/>
  <c r="A1108" i="16" s="1"/>
  <c r="A901" i="16"/>
  <c r="AE85" i="16"/>
  <c r="A1006" i="16" s="1"/>
  <c r="A686" i="16"/>
  <c r="Q87" i="16"/>
  <c r="R87" i="16" s="1"/>
  <c r="AA87" i="16" s="1"/>
  <c r="V86" i="16"/>
  <c r="AB86" i="16" s="1"/>
  <c r="CY49" i="5"/>
  <c r="F26" i="14"/>
  <c r="B248" i="14" s="1"/>
  <c r="R24" i="14"/>
  <c r="U25" i="14"/>
  <c r="S25" i="14"/>
  <c r="BO73" i="5"/>
  <c r="BN74" i="5"/>
  <c r="BF73" i="5"/>
  <c r="BG73" i="5" s="1"/>
  <c r="AE85" i="5"/>
  <c r="AF84" i="5"/>
  <c r="B409" i="5" s="1"/>
  <c r="CW48" i="5"/>
  <c r="CO47" i="5"/>
  <c r="CV48" i="5"/>
  <c r="CY48" i="5" s="1"/>
  <c r="AH84" i="9"/>
  <c r="AK82" i="9"/>
  <c r="AL84" i="9"/>
  <c r="CQ85" i="9"/>
  <c r="CP85" i="9"/>
  <c r="AV82" i="9"/>
  <c r="BC83" i="9"/>
  <c r="AX83" i="9"/>
  <c r="AZ83" i="9"/>
  <c r="BA83" i="9"/>
  <c r="AL83" i="9"/>
  <c r="B314" i="9" s="1"/>
  <c r="AD83" i="9"/>
  <c r="AM83" i="9" s="1"/>
  <c r="BB83" i="9"/>
  <c r="AW83" i="9"/>
  <c r="AH83" i="9"/>
  <c r="AI83" i="9" s="1"/>
  <c r="AJ83" i="9" s="1"/>
  <c r="CL86" i="9"/>
  <c r="CH87" i="9"/>
  <c r="CI87" i="9" s="1"/>
  <c r="AT87" i="9"/>
  <c r="AY87" i="9" s="1"/>
  <c r="AU86" i="9"/>
  <c r="BL87" i="9"/>
  <c r="BM87" i="9" s="1"/>
  <c r="BN87" i="9" s="1"/>
  <c r="BE84" i="8"/>
  <c r="BF83" i="8"/>
  <c r="AI82" i="8"/>
  <c r="AV84" i="8"/>
  <c r="AT84" i="8"/>
  <c r="AS85" i="8"/>
  <c r="AX83" i="8"/>
  <c r="AF83" i="8"/>
  <c r="AG83" i="8" s="1"/>
  <c r="AH83" i="8" s="1"/>
  <c r="AB83" i="8"/>
  <c r="AK83" i="8" s="1"/>
  <c r="AJ83" i="8" s="1"/>
  <c r="AY83" i="8"/>
  <c r="AU83" i="8"/>
  <c r="BK82" i="8"/>
  <c r="BO82" i="8" s="1"/>
  <c r="BP82" i="8" s="1"/>
  <c r="AW83" i="8"/>
  <c r="AL75" i="5"/>
  <c r="BE75" i="5"/>
  <c r="B124" i="3"/>
  <c r="BH76" i="5"/>
  <c r="BD77" i="5"/>
  <c r="BC76" i="5"/>
  <c r="AG76" i="5"/>
  <c r="AH76" i="5" s="1"/>
  <c r="AI76" i="5" s="1"/>
  <c r="AC76" i="5"/>
  <c r="BU79" i="5"/>
  <c r="BV79" i="5" s="1"/>
  <c r="BT80" i="5"/>
  <c r="AK86" i="16" l="1"/>
  <c r="A1326" i="16" s="1"/>
  <c r="AJ87" i="16"/>
  <c r="A1223" i="16" s="1"/>
  <c r="B503" i="5"/>
  <c r="V44" i="16"/>
  <c r="AB44" i="16" s="1"/>
  <c r="B504" i="5"/>
  <c r="V45" i="16"/>
  <c r="AB45" i="16" s="1"/>
  <c r="AD87" i="16"/>
  <c r="AH87" i="16"/>
  <c r="AI87" i="16"/>
  <c r="A1109" i="16" s="1"/>
  <c r="A902" i="16"/>
  <c r="AE86" i="16"/>
  <c r="A1007" i="16" s="1"/>
  <c r="A687" i="16"/>
  <c r="Q88" i="16"/>
  <c r="R88" i="16" s="1"/>
  <c r="AA88" i="16" s="1"/>
  <c r="V87" i="16"/>
  <c r="AB87" i="16" s="1"/>
  <c r="V25" i="14"/>
  <c r="T24" i="14"/>
  <c r="S24" i="14"/>
  <c r="U24" i="14"/>
  <c r="R23" i="14"/>
  <c r="BO74" i="5"/>
  <c r="BF74" i="5"/>
  <c r="BG74" i="5" s="1"/>
  <c r="BN75" i="5"/>
  <c r="AJ76" i="5"/>
  <c r="B344" i="5" s="1"/>
  <c r="AE86" i="5"/>
  <c r="AF85" i="5"/>
  <c r="CW47" i="5"/>
  <c r="CO46" i="5"/>
  <c r="CV47" i="5"/>
  <c r="B376" i="5"/>
  <c r="AZ84" i="9"/>
  <c r="BB84" i="9"/>
  <c r="AV83" i="9"/>
  <c r="AW84" i="9"/>
  <c r="BC84" i="9"/>
  <c r="BA84" i="9"/>
  <c r="AD84" i="9"/>
  <c r="AM84" i="9" s="1"/>
  <c r="AX84" i="9"/>
  <c r="AK83" i="9"/>
  <c r="B298" i="9" s="1"/>
  <c r="AI84" i="9"/>
  <c r="AJ84" i="9" s="1"/>
  <c r="CQ86" i="9"/>
  <c r="CP86" i="9"/>
  <c r="CL87" i="9"/>
  <c r="CH88" i="9"/>
  <c r="CI88" i="9" s="1"/>
  <c r="BL88" i="9"/>
  <c r="BM88" i="9" s="1"/>
  <c r="BN88" i="9" s="1"/>
  <c r="AT88" i="9"/>
  <c r="AY88" i="9" s="1"/>
  <c r="AU87" i="9"/>
  <c r="BE85" i="8"/>
  <c r="BF84" i="8"/>
  <c r="B238" i="8" s="1"/>
  <c r="AI83" i="8"/>
  <c r="B185" i="8" s="1"/>
  <c r="AX84" i="8"/>
  <c r="AF84" i="8"/>
  <c r="AG84" i="8" s="1"/>
  <c r="AH84" i="8" s="1"/>
  <c r="AB84" i="8"/>
  <c r="AK84" i="8" s="1"/>
  <c r="AJ84" i="8" s="1"/>
  <c r="B201" i="8" s="1"/>
  <c r="AU84" i="8"/>
  <c r="AY84" i="8"/>
  <c r="BK83" i="8"/>
  <c r="BO83" i="8" s="1"/>
  <c r="BP83" i="8" s="1"/>
  <c r="AV85" i="8"/>
  <c r="AT85" i="8"/>
  <c r="AW84" i="8" s="1"/>
  <c r="AS86" i="8"/>
  <c r="AL76" i="5"/>
  <c r="BE76" i="5"/>
  <c r="BH77" i="5"/>
  <c r="BE77" i="5"/>
  <c r="BD78" i="5"/>
  <c r="AC77" i="5"/>
  <c r="BC77" i="5"/>
  <c r="AG77" i="5"/>
  <c r="AH77" i="5" s="1"/>
  <c r="AI77" i="5" s="1"/>
  <c r="BU80" i="5"/>
  <c r="BV80" i="5" s="1"/>
  <c r="BT81" i="5"/>
  <c r="AL87" i="16" l="1"/>
  <c r="A1431" i="16" s="1"/>
  <c r="AK87" i="16"/>
  <c r="A1327" i="16" s="1"/>
  <c r="AJ88" i="16"/>
  <c r="AL88" i="16" s="1"/>
  <c r="A1432" i="16" s="1"/>
  <c r="V24" i="14"/>
  <c r="F24" i="14" s="1"/>
  <c r="B246" i="14" s="1"/>
  <c r="AE45" i="16"/>
  <c r="A966" i="16" s="1"/>
  <c r="A861" i="16"/>
  <c r="AE44" i="16"/>
  <c r="A965" i="16" s="1"/>
  <c r="A860" i="16"/>
  <c r="A1224" i="16"/>
  <c r="AK88" i="16"/>
  <c r="A1328" i="16" s="1"/>
  <c r="AD88" i="16"/>
  <c r="AI88" i="16"/>
  <c r="A1110" i="16" s="1"/>
  <c r="AH88" i="16"/>
  <c r="A903" i="16"/>
  <c r="AE87" i="16"/>
  <c r="A1008" i="16" s="1"/>
  <c r="A688" i="16"/>
  <c r="Q89" i="16"/>
  <c r="R89" i="16" s="1"/>
  <c r="AA89" i="16" s="1"/>
  <c r="V88" i="16"/>
  <c r="AB88" i="16" s="1"/>
  <c r="CY47" i="5"/>
  <c r="AJ77" i="5"/>
  <c r="F25" i="14"/>
  <c r="B247" i="14" s="1"/>
  <c r="T23" i="14"/>
  <c r="S23" i="14"/>
  <c r="U23" i="14"/>
  <c r="R22" i="14"/>
  <c r="BO75" i="5"/>
  <c r="BN76" i="5"/>
  <c r="BF75" i="5"/>
  <c r="BG75" i="5" s="1"/>
  <c r="AE87" i="5"/>
  <c r="AF86" i="5"/>
  <c r="CW46" i="5"/>
  <c r="CO45" i="5"/>
  <c r="CV46" i="5"/>
  <c r="BH78" i="5"/>
  <c r="AK84" i="9"/>
  <c r="AD86" i="9"/>
  <c r="AM86" i="9" s="1"/>
  <c r="AZ85" i="9"/>
  <c r="BA85" i="9"/>
  <c r="AV84" i="9"/>
  <c r="BC85" i="9"/>
  <c r="BB85" i="9"/>
  <c r="AW85" i="9"/>
  <c r="AH85" i="9"/>
  <c r="AI85" i="9" s="1"/>
  <c r="AJ85" i="9" s="1"/>
  <c r="AX85" i="9"/>
  <c r="AD85" i="9"/>
  <c r="AM85" i="9" s="1"/>
  <c r="AL85" i="9"/>
  <c r="AZ86" i="9"/>
  <c r="CQ87" i="9"/>
  <c r="CP87" i="9"/>
  <c r="AH86" i="9"/>
  <c r="CL88" i="9"/>
  <c r="CH89" i="9"/>
  <c r="CI89" i="9" s="1"/>
  <c r="AT89" i="9"/>
  <c r="AY89" i="9" s="1"/>
  <c r="AU88" i="9"/>
  <c r="BL89" i="9"/>
  <c r="BM89" i="9" s="1"/>
  <c r="BN89" i="9" s="1"/>
  <c r="BE86" i="8"/>
  <c r="BF85" i="8"/>
  <c r="AI84" i="8"/>
  <c r="AV86" i="8"/>
  <c r="AT86" i="8"/>
  <c r="AW85" i="8" s="1"/>
  <c r="AS87" i="8"/>
  <c r="AX85" i="8"/>
  <c r="AF85" i="8"/>
  <c r="AG85" i="8" s="1"/>
  <c r="AH85" i="8" s="1"/>
  <c r="AB85" i="8"/>
  <c r="AK85" i="8" s="1"/>
  <c r="AJ85" i="8" s="1"/>
  <c r="AY85" i="8"/>
  <c r="AU85" i="8"/>
  <c r="BK84" i="8"/>
  <c r="BO84" i="8" s="1"/>
  <c r="BP84" i="8" s="1"/>
  <c r="AL77" i="5"/>
  <c r="BC78" i="5"/>
  <c r="AG78" i="5"/>
  <c r="AH78" i="5" s="1"/>
  <c r="AI78" i="5" s="1"/>
  <c r="AC78" i="5"/>
  <c r="BD79" i="5"/>
  <c r="BU81" i="5"/>
  <c r="BV81" i="5" s="1"/>
  <c r="BT82" i="5"/>
  <c r="AJ89" i="16" l="1"/>
  <c r="A1225" i="16" s="1"/>
  <c r="B502" i="5"/>
  <c r="V43" i="16"/>
  <c r="AB43" i="16" s="1"/>
  <c r="AK89" i="16"/>
  <c r="A1329" i="16" s="1"/>
  <c r="AD89" i="16"/>
  <c r="AI89" i="16"/>
  <c r="A1111" i="16" s="1"/>
  <c r="AH89" i="16"/>
  <c r="A904" i="16"/>
  <c r="AE88" i="16"/>
  <c r="A1009" i="16" s="1"/>
  <c r="A689" i="16"/>
  <c r="Q90" i="16"/>
  <c r="R90" i="16" s="1"/>
  <c r="AA90" i="16" s="1"/>
  <c r="V89" i="16"/>
  <c r="AB89" i="16" s="1"/>
  <c r="CY46" i="5"/>
  <c r="V23" i="14"/>
  <c r="F23" i="14" s="1"/>
  <c r="B245" i="14" s="1"/>
  <c r="U22" i="14"/>
  <c r="V22" i="14" s="1"/>
  <c r="R21" i="14"/>
  <c r="T22" i="14"/>
  <c r="S22" i="14"/>
  <c r="BO76" i="5"/>
  <c r="BF76" i="5"/>
  <c r="BG76" i="5" s="1"/>
  <c r="BN77" i="5"/>
  <c r="AJ78" i="5"/>
  <c r="AE88" i="5"/>
  <c r="AF87" i="5"/>
  <c r="CW45" i="5"/>
  <c r="CO44" i="5"/>
  <c r="CV45" i="5"/>
  <c r="AK85" i="9"/>
  <c r="AX86" i="9"/>
  <c r="BB86" i="9"/>
  <c r="BC86" i="9"/>
  <c r="AW86" i="9"/>
  <c r="AV86" i="9"/>
  <c r="BA86" i="9"/>
  <c r="AW87" i="9"/>
  <c r="AV85" i="9"/>
  <c r="AL86" i="9"/>
  <c r="AI86" i="9"/>
  <c r="AJ86" i="9" s="1"/>
  <c r="AK86" i="9" s="1"/>
  <c r="CQ88" i="9"/>
  <c r="CP88" i="9"/>
  <c r="CL89" i="9"/>
  <c r="CH90" i="9"/>
  <c r="CI90" i="9" s="1"/>
  <c r="BL90" i="9"/>
  <c r="BM90" i="9" s="1"/>
  <c r="BN90" i="9" s="1"/>
  <c r="AT90" i="9"/>
  <c r="AY90" i="9" s="1"/>
  <c r="AU89" i="9"/>
  <c r="BE78" i="5"/>
  <c r="BE87" i="8"/>
  <c r="BF86" i="8"/>
  <c r="AI85" i="8"/>
  <c r="AV87" i="8"/>
  <c r="AT87" i="8"/>
  <c r="AS88" i="8"/>
  <c r="AW86" i="8"/>
  <c r="BK85" i="8"/>
  <c r="BO85" i="8" s="1"/>
  <c r="BP85" i="8" s="1"/>
  <c r="AX86" i="8"/>
  <c r="AF86" i="8"/>
  <c r="AG86" i="8" s="1"/>
  <c r="AH86" i="8" s="1"/>
  <c r="AB86" i="8"/>
  <c r="AK86" i="8" s="1"/>
  <c r="AJ86" i="8" s="1"/>
  <c r="AU86" i="8"/>
  <c r="AY86" i="8"/>
  <c r="AL78" i="5"/>
  <c r="BH79" i="5"/>
  <c r="BD80" i="5"/>
  <c r="AC79" i="5"/>
  <c r="BC79" i="5"/>
  <c r="AG79" i="5"/>
  <c r="AH79" i="5" s="1"/>
  <c r="AI79" i="5" s="1"/>
  <c r="BU82" i="5"/>
  <c r="BV82" i="5" s="1"/>
  <c r="BT83" i="5"/>
  <c r="AL89" i="16" l="1"/>
  <c r="A1433" i="16" s="1"/>
  <c r="AJ90" i="16"/>
  <c r="B501" i="5"/>
  <c r="V42" i="16"/>
  <c r="AB42" i="16" s="1"/>
  <c r="AB941" i="16" s="1"/>
  <c r="AE43" i="16"/>
  <c r="A964" i="16" s="1"/>
  <c r="A859" i="16"/>
  <c r="A1226" i="16"/>
  <c r="AL90" i="16"/>
  <c r="A1434" i="16" s="1"/>
  <c r="AK90" i="16"/>
  <c r="A1330" i="16" s="1"/>
  <c r="AD90" i="16"/>
  <c r="AH90" i="16"/>
  <c r="AI90" i="16"/>
  <c r="A1112" i="16" s="1"/>
  <c r="A905" i="16"/>
  <c r="AE89" i="16"/>
  <c r="A1010" i="16" s="1"/>
  <c r="A690" i="16"/>
  <c r="Q91" i="16"/>
  <c r="R91" i="16" s="1"/>
  <c r="AA91" i="16" s="1"/>
  <c r="V90" i="16"/>
  <c r="AB90" i="16" s="1"/>
  <c r="CY45" i="5"/>
  <c r="B500" i="5" s="1"/>
  <c r="AJ79" i="5"/>
  <c r="F22" i="14"/>
  <c r="B244" i="14" s="1"/>
  <c r="U21" i="14"/>
  <c r="V21" i="14" s="1"/>
  <c r="R20" i="14"/>
  <c r="T21" i="14"/>
  <c r="S21" i="14"/>
  <c r="BO77" i="5"/>
  <c r="B425" i="5" s="1"/>
  <c r="BN78" i="5"/>
  <c r="BF77" i="5"/>
  <c r="BG77" i="5" s="1"/>
  <c r="AE89" i="5"/>
  <c r="AF88" i="5"/>
  <c r="CW44" i="5"/>
  <c r="CO43" i="5"/>
  <c r="CV44" i="5"/>
  <c r="AX87" i="9"/>
  <c r="AZ87" i="9"/>
  <c r="AD87" i="9"/>
  <c r="AM87" i="9" s="1"/>
  <c r="BB87" i="9"/>
  <c r="BA87" i="9"/>
  <c r="BC87" i="9"/>
  <c r="AL87" i="9"/>
  <c r="AH87" i="9"/>
  <c r="AI87" i="9" s="1"/>
  <c r="AJ87" i="9" s="1"/>
  <c r="AL88" i="9"/>
  <c r="AZ88" i="9"/>
  <c r="CQ89" i="9"/>
  <c r="CP89" i="9"/>
  <c r="B190" i="9"/>
  <c r="CL90" i="9"/>
  <c r="CH91" i="9"/>
  <c r="CI91" i="9" s="1"/>
  <c r="AT91" i="9"/>
  <c r="AY91" i="9" s="1"/>
  <c r="AU90" i="9"/>
  <c r="BL91" i="9"/>
  <c r="BM91" i="9" s="1"/>
  <c r="BN91" i="9" s="1"/>
  <c r="BE88" i="8"/>
  <c r="BF87" i="8"/>
  <c r="AX87" i="8"/>
  <c r="AF87" i="8"/>
  <c r="AG87" i="8" s="1"/>
  <c r="AH87" i="8" s="1"/>
  <c r="AB87" i="8"/>
  <c r="AK87" i="8" s="1"/>
  <c r="AJ87" i="8" s="1"/>
  <c r="AY87" i="8"/>
  <c r="AU87" i="8"/>
  <c r="AI86" i="8"/>
  <c r="BK86" i="8"/>
  <c r="BO86" i="8" s="1"/>
  <c r="BP86" i="8" s="1"/>
  <c r="AV88" i="8"/>
  <c r="AT88" i="8"/>
  <c r="AS89" i="8"/>
  <c r="AW87" i="8"/>
  <c r="AL79" i="5"/>
  <c r="BE79" i="5"/>
  <c r="BH80" i="5"/>
  <c r="BD81" i="5"/>
  <c r="BC80" i="5"/>
  <c r="AG80" i="5"/>
  <c r="AH80" i="5" s="1"/>
  <c r="AI80" i="5" s="1"/>
  <c r="AC80" i="5"/>
  <c r="BU83" i="5"/>
  <c r="BV83" i="5" s="1"/>
  <c r="BT84" i="5"/>
  <c r="AJ91" i="16" l="1"/>
  <c r="A1227" i="16" s="1"/>
  <c r="AE42" i="16"/>
  <c r="A963" i="16" s="1"/>
  <c r="A858" i="16"/>
  <c r="AL91" i="16"/>
  <c r="A1435" i="16" s="1"/>
  <c r="AK91" i="16"/>
  <c r="A1331" i="16" s="1"/>
  <c r="AD91" i="16"/>
  <c r="AH91" i="16"/>
  <c r="AI91" i="16"/>
  <c r="A1113" i="16" s="1"/>
  <c r="A906" i="16"/>
  <c r="AE90" i="16"/>
  <c r="A1011" i="16" s="1"/>
  <c r="A691" i="16"/>
  <c r="Q92" i="16"/>
  <c r="R92" i="16" s="1"/>
  <c r="AA92" i="16" s="1"/>
  <c r="V91" i="16"/>
  <c r="AB91" i="16" s="1"/>
  <c r="CY44" i="5"/>
  <c r="B499" i="5" s="1"/>
  <c r="F21" i="14"/>
  <c r="B243" i="14" s="1"/>
  <c r="U20" i="14"/>
  <c r="V20" i="14" s="1"/>
  <c r="R19" i="14"/>
  <c r="T20" i="14"/>
  <c r="S20" i="14"/>
  <c r="BO78" i="5"/>
  <c r="BF78" i="5"/>
  <c r="BG78" i="5" s="1"/>
  <c r="BN79" i="5"/>
  <c r="AJ80" i="5"/>
  <c r="AE90" i="5"/>
  <c r="AF89" i="5"/>
  <c r="CW43" i="5"/>
  <c r="CO42" i="5"/>
  <c r="CV43" i="5"/>
  <c r="AK87" i="9"/>
  <c r="BC88" i="9"/>
  <c r="AW88" i="9"/>
  <c r="AX88" i="9"/>
  <c r="AH88" i="9"/>
  <c r="BA88" i="9"/>
  <c r="AV87" i="9"/>
  <c r="BB88" i="9"/>
  <c r="AD88" i="9"/>
  <c r="AM88" i="9" s="1"/>
  <c r="AD89" i="9"/>
  <c r="AM89" i="9" s="1"/>
  <c r="AI88" i="9"/>
  <c r="AJ88" i="9" s="1"/>
  <c r="AK88" i="9" s="1"/>
  <c r="CQ90" i="9"/>
  <c r="CP90" i="9"/>
  <c r="CL91" i="9"/>
  <c r="CH92" i="9"/>
  <c r="CI92" i="9" s="1"/>
  <c r="BL92" i="9"/>
  <c r="BM92" i="9" s="1"/>
  <c r="BN92" i="9" s="1"/>
  <c r="AT92" i="9"/>
  <c r="AY92" i="9" s="1"/>
  <c r="AU91" i="9"/>
  <c r="BE89" i="8"/>
  <c r="BF88" i="8"/>
  <c r="AI87" i="8"/>
  <c r="AX88" i="8"/>
  <c r="AF88" i="8"/>
  <c r="AG88" i="8" s="1"/>
  <c r="AH88" i="8" s="1"/>
  <c r="AB88" i="8"/>
  <c r="AK88" i="8" s="1"/>
  <c r="AJ88" i="8" s="1"/>
  <c r="AU88" i="8"/>
  <c r="AY88" i="8"/>
  <c r="BK87" i="8"/>
  <c r="BO87" i="8" s="1"/>
  <c r="BP87" i="8" s="1"/>
  <c r="AV89" i="8"/>
  <c r="AT89" i="8"/>
  <c r="AS90" i="8"/>
  <c r="AW88" i="8"/>
  <c r="AL80" i="5"/>
  <c r="BE80" i="5"/>
  <c r="BH81" i="5"/>
  <c r="BD82" i="5"/>
  <c r="AC81" i="5"/>
  <c r="BC81" i="5"/>
  <c r="AG81" i="5"/>
  <c r="AH81" i="5" s="1"/>
  <c r="AI81" i="5" s="1"/>
  <c r="BU84" i="5"/>
  <c r="BV84" i="5" s="1"/>
  <c r="BT85" i="5"/>
  <c r="AJ92" i="16" l="1"/>
  <c r="AL92" i="16" s="1"/>
  <c r="A1436" i="16" s="1"/>
  <c r="AJ81" i="5"/>
  <c r="A1228" i="16"/>
  <c r="AD92" i="16"/>
  <c r="AI92" i="16"/>
  <c r="A1114" i="16" s="1"/>
  <c r="AH92" i="16"/>
  <c r="A907" i="16"/>
  <c r="AE91" i="16"/>
  <c r="A1012" i="16" s="1"/>
  <c r="A692" i="16"/>
  <c r="Q93" i="16"/>
  <c r="R93" i="16" s="1"/>
  <c r="AA93" i="16" s="1"/>
  <c r="V92" i="16"/>
  <c r="AB92" i="16" s="1"/>
  <c r="CY43" i="5"/>
  <c r="B498" i="5" s="1"/>
  <c r="F20" i="14"/>
  <c r="B242" i="14" s="1"/>
  <c r="T19" i="14"/>
  <c r="S19" i="14"/>
  <c r="U19" i="14"/>
  <c r="V19" i="14" s="1"/>
  <c r="R18" i="14"/>
  <c r="BO79" i="5"/>
  <c r="BN80" i="5"/>
  <c r="BF79" i="5"/>
  <c r="BG79" i="5" s="1"/>
  <c r="AE91" i="5"/>
  <c r="AF90" i="5"/>
  <c r="CW42" i="5"/>
  <c r="CO41" i="5"/>
  <c r="CV42" i="5"/>
  <c r="B279" i="5"/>
  <c r="AZ89" i="9"/>
  <c r="BA89" i="9"/>
  <c r="AV88" i="9"/>
  <c r="BB89" i="9"/>
  <c r="AH89" i="9"/>
  <c r="AI89" i="9" s="1"/>
  <c r="AJ89" i="9" s="1"/>
  <c r="AK89" i="9" s="1"/>
  <c r="AW89" i="9"/>
  <c r="BC89" i="9"/>
  <c r="AX89" i="9"/>
  <c r="AL89" i="9"/>
  <c r="B238" i="9"/>
  <c r="CQ91" i="9"/>
  <c r="CP91" i="9"/>
  <c r="CL92" i="9"/>
  <c r="CH93" i="9"/>
  <c r="CI93" i="9" s="1"/>
  <c r="AT93" i="9"/>
  <c r="AY93" i="9" s="1"/>
  <c r="AU92" i="9"/>
  <c r="BL93" i="9"/>
  <c r="BE90" i="8"/>
  <c r="BF89" i="8"/>
  <c r="AI88" i="8"/>
  <c r="AX89" i="8"/>
  <c r="AF89" i="8"/>
  <c r="AG89" i="8" s="1"/>
  <c r="AH89" i="8" s="1"/>
  <c r="AB89" i="8"/>
  <c r="AK89" i="8" s="1"/>
  <c r="AJ89" i="8" s="1"/>
  <c r="AY89" i="8"/>
  <c r="AU89" i="8"/>
  <c r="BK88" i="8"/>
  <c r="BO88" i="8" s="1"/>
  <c r="BP88" i="8" s="1"/>
  <c r="AV90" i="8"/>
  <c r="AT90" i="8"/>
  <c r="AS91" i="8"/>
  <c r="AW89" i="8"/>
  <c r="AL81" i="5"/>
  <c r="BE81" i="5"/>
  <c r="BH82" i="5"/>
  <c r="BD83" i="5"/>
  <c r="BC82" i="5"/>
  <c r="AG82" i="5"/>
  <c r="AH82" i="5" s="1"/>
  <c r="AI82" i="5" s="1"/>
  <c r="AC82" i="5"/>
  <c r="BU85" i="5"/>
  <c r="BV85" i="5" s="1"/>
  <c r="BT86" i="5"/>
  <c r="AK92" i="16" l="1"/>
  <c r="A1332" i="16" s="1"/>
  <c r="AJ93" i="16"/>
  <c r="A1229" i="16" s="1"/>
  <c r="AK93" i="16"/>
  <c r="A1333" i="16" s="1"/>
  <c r="AD93" i="16"/>
  <c r="AI93" i="16"/>
  <c r="A1115" i="16" s="1"/>
  <c r="AH93" i="16"/>
  <c r="A908" i="16"/>
  <c r="AE92" i="16"/>
  <c r="A1013" i="16" s="1"/>
  <c r="A693" i="16"/>
  <c r="Q94" i="16"/>
  <c r="R94" i="16" s="1"/>
  <c r="AA94" i="16" s="1"/>
  <c r="V93" i="16"/>
  <c r="AB93" i="16" s="1"/>
  <c r="CY42" i="5"/>
  <c r="B497" i="5" s="1"/>
  <c r="F19" i="14"/>
  <c r="B241" i="14" s="1"/>
  <c r="U18" i="14"/>
  <c r="R17" i="14"/>
  <c r="T18" i="14"/>
  <c r="S18" i="14"/>
  <c r="BO80" i="5"/>
  <c r="BF80" i="5"/>
  <c r="BG80" i="5" s="1"/>
  <c r="BN81" i="5"/>
  <c r="AJ82" i="5"/>
  <c r="AE92" i="5"/>
  <c r="AF91" i="5"/>
  <c r="B410" i="5" s="1"/>
  <c r="CW41" i="5"/>
  <c r="CO40" i="5"/>
  <c r="CV41" i="5"/>
  <c r="CQ92" i="9"/>
  <c r="CP92" i="9"/>
  <c r="AV89" i="9"/>
  <c r="AD90" i="9"/>
  <c r="AM90" i="9" s="1"/>
  <c r="AZ90" i="9"/>
  <c r="BA90" i="9"/>
  <c r="AX90" i="9"/>
  <c r="AW90" i="9"/>
  <c r="AH90" i="9"/>
  <c r="AI90" i="9" s="1"/>
  <c r="AJ90" i="9" s="1"/>
  <c r="BC90" i="9"/>
  <c r="BB90" i="9"/>
  <c r="AL90" i="9"/>
  <c r="CL93" i="9"/>
  <c r="CH94" i="9"/>
  <c r="CI94" i="9" s="1"/>
  <c r="BL94" i="9"/>
  <c r="BM94" i="9" s="1"/>
  <c r="BN94" i="9" s="1"/>
  <c r="AT94" i="9"/>
  <c r="AY94" i="9" s="1"/>
  <c r="AU93" i="9"/>
  <c r="BM93" i="9"/>
  <c r="BN93" i="9" s="1"/>
  <c r="AI89" i="8"/>
  <c r="BE91" i="8"/>
  <c r="BF90" i="8"/>
  <c r="AV91" i="8"/>
  <c r="AT91" i="8"/>
  <c r="AW90" i="8" s="1"/>
  <c r="AS92" i="8"/>
  <c r="AX90" i="8"/>
  <c r="AF90" i="8"/>
  <c r="AG90" i="8" s="1"/>
  <c r="AH90" i="8" s="1"/>
  <c r="AB90" i="8"/>
  <c r="AK90" i="8" s="1"/>
  <c r="AJ90" i="8" s="1"/>
  <c r="AU90" i="8"/>
  <c r="AY90" i="8"/>
  <c r="BK89" i="8"/>
  <c r="BO89" i="8" s="1"/>
  <c r="BP89" i="8" s="1"/>
  <c r="AL82" i="5"/>
  <c r="BE82" i="5"/>
  <c r="B125" i="3"/>
  <c r="BH83" i="5"/>
  <c r="BD84" i="5"/>
  <c r="AC83" i="5"/>
  <c r="BC83" i="5"/>
  <c r="AG83" i="5"/>
  <c r="AH83" i="5" s="1"/>
  <c r="AI83" i="5" s="1"/>
  <c r="BU86" i="5"/>
  <c r="BV86" i="5" s="1"/>
  <c r="BT87" i="5"/>
  <c r="AL93" i="16" l="1"/>
  <c r="A1437" i="16" s="1"/>
  <c r="AJ94" i="16"/>
  <c r="A1230" i="16" s="1"/>
  <c r="AD94" i="16"/>
  <c r="AH94" i="16"/>
  <c r="AI94" i="16"/>
  <c r="A1116" i="16" s="1"/>
  <c r="A909" i="16"/>
  <c r="AE93" i="16"/>
  <c r="A1014" i="16" s="1"/>
  <c r="A694" i="16"/>
  <c r="Q95" i="16"/>
  <c r="R95" i="16" s="1"/>
  <c r="AA95" i="16" s="1"/>
  <c r="V94" i="16"/>
  <c r="AB94" i="16" s="1"/>
  <c r="CY41" i="5"/>
  <c r="B496" i="5" s="1"/>
  <c r="V18" i="14"/>
  <c r="F18" i="14" s="1"/>
  <c r="B240" i="14" s="1"/>
  <c r="AJ83" i="5"/>
  <c r="B345" i="5" s="1"/>
  <c r="U17" i="14"/>
  <c r="R16" i="14"/>
  <c r="T17" i="14"/>
  <c r="S17" i="14"/>
  <c r="BO81" i="5"/>
  <c r="BN82" i="5"/>
  <c r="BF81" i="5"/>
  <c r="BG81" i="5" s="1"/>
  <c r="AE93" i="5"/>
  <c r="AF92" i="5"/>
  <c r="CW40" i="5"/>
  <c r="CO39" i="5"/>
  <c r="CV40" i="5"/>
  <c r="B377" i="5"/>
  <c r="AK90" i="9"/>
  <c r="B299" i="9" s="1"/>
  <c r="CQ93" i="9"/>
  <c r="CP93" i="9"/>
  <c r="BC91" i="9"/>
  <c r="BB91" i="9"/>
  <c r="AL91" i="9"/>
  <c r="B315" i="9" s="1"/>
  <c r="AV90" i="9"/>
  <c r="AZ91" i="9"/>
  <c r="BA91" i="9"/>
  <c r="AX91" i="9"/>
  <c r="AW91" i="9"/>
  <c r="AH91" i="9"/>
  <c r="AI91" i="9" s="1"/>
  <c r="AJ91" i="9" s="1"/>
  <c r="AD91" i="9"/>
  <c r="AM91" i="9" s="1"/>
  <c r="CL94" i="9"/>
  <c r="CH95" i="9"/>
  <c r="CI95" i="9" s="1"/>
  <c r="AT95" i="9"/>
  <c r="AY95" i="9" s="1"/>
  <c r="AU94" i="9"/>
  <c r="BL95" i="9"/>
  <c r="BM95" i="9" s="1"/>
  <c r="BN95" i="9" s="1"/>
  <c r="BE92" i="8"/>
  <c r="BF91" i="8"/>
  <c r="B239" i="8" s="1"/>
  <c r="AI90" i="8"/>
  <c r="B186" i="8" s="1"/>
  <c r="BK90" i="8"/>
  <c r="BO90" i="8" s="1"/>
  <c r="BP90" i="8" s="1"/>
  <c r="AX91" i="8"/>
  <c r="AF91" i="8"/>
  <c r="AG91" i="8" s="1"/>
  <c r="AB91" i="8"/>
  <c r="AK91" i="8" s="1"/>
  <c r="AJ91" i="8" s="1"/>
  <c r="B202" i="8" s="1"/>
  <c r="AY91" i="8"/>
  <c r="AU91" i="8"/>
  <c r="AH91" i="8"/>
  <c r="AV92" i="8"/>
  <c r="AT92" i="8"/>
  <c r="AW91" i="8" s="1"/>
  <c r="AS93" i="8"/>
  <c r="AL83" i="5"/>
  <c r="BE83" i="5"/>
  <c r="BH84" i="5"/>
  <c r="BD85" i="5"/>
  <c r="BC84" i="5"/>
  <c r="AG84" i="5"/>
  <c r="AH84" i="5" s="1"/>
  <c r="AI84" i="5" s="1"/>
  <c r="AC84" i="5"/>
  <c r="BU87" i="5"/>
  <c r="BV87" i="5" s="1"/>
  <c r="BT88" i="5"/>
  <c r="AL94" i="16" l="1"/>
  <c r="A1438" i="16" s="1"/>
  <c r="AK94" i="16"/>
  <c r="A1334" i="16" s="1"/>
  <c r="AJ95" i="16"/>
  <c r="AL95" i="16" s="1"/>
  <c r="A1439" i="16" s="1"/>
  <c r="AD95" i="16"/>
  <c r="AH95" i="16"/>
  <c r="AI95" i="16"/>
  <c r="A1117" i="16" s="1"/>
  <c r="A910" i="16"/>
  <c r="AE94" i="16"/>
  <c r="A1015" i="16" s="1"/>
  <c r="A695" i="16"/>
  <c r="Q96" i="16"/>
  <c r="R96" i="16" s="1"/>
  <c r="AA96" i="16" s="1"/>
  <c r="V95" i="16"/>
  <c r="AB95" i="16" s="1"/>
  <c r="CY40" i="5"/>
  <c r="B495" i="5" s="1"/>
  <c r="V17" i="14"/>
  <c r="F17" i="14" s="1"/>
  <c r="B239" i="14" s="1"/>
  <c r="U16" i="14"/>
  <c r="R15" i="14"/>
  <c r="T16" i="14"/>
  <c r="S16" i="14"/>
  <c r="BO82" i="5"/>
  <c r="BF82" i="5"/>
  <c r="BG82" i="5" s="1"/>
  <c r="BN83" i="5"/>
  <c r="AJ84" i="5"/>
  <c r="AE94" i="5"/>
  <c r="AF93" i="5"/>
  <c r="CW39" i="5"/>
  <c r="CO38" i="5"/>
  <c r="CV39" i="5"/>
  <c r="AD93" i="9"/>
  <c r="AM93" i="9" s="1"/>
  <c r="AV91" i="9"/>
  <c r="AZ92" i="9"/>
  <c r="BA92" i="9"/>
  <c r="AX92" i="9"/>
  <c r="AW92" i="9"/>
  <c r="AH92" i="9"/>
  <c r="AI92" i="9" s="1"/>
  <c r="AJ92" i="9" s="1"/>
  <c r="BC92" i="9"/>
  <c r="BB92" i="9"/>
  <c r="AL92" i="9"/>
  <c r="AD92" i="9"/>
  <c r="AM92" i="9" s="1"/>
  <c r="AK91" i="9"/>
  <c r="CQ94" i="9"/>
  <c r="CP94" i="9"/>
  <c r="CL95" i="9"/>
  <c r="CH96" i="9"/>
  <c r="CI96" i="9" s="1"/>
  <c r="BL96" i="9"/>
  <c r="BM96" i="9" s="1"/>
  <c r="BN96" i="9" s="1"/>
  <c r="AT96" i="9"/>
  <c r="AY96" i="9" s="1"/>
  <c r="AU95" i="9"/>
  <c r="BE93" i="8"/>
  <c r="BF92" i="8"/>
  <c r="AI91" i="8"/>
  <c r="AX92" i="8"/>
  <c r="AF92" i="8"/>
  <c r="AG92" i="8" s="1"/>
  <c r="AH92" i="8" s="1"/>
  <c r="AB92" i="8"/>
  <c r="AK92" i="8" s="1"/>
  <c r="AJ92" i="8" s="1"/>
  <c r="AU92" i="8"/>
  <c r="AY92" i="8"/>
  <c r="AV93" i="8"/>
  <c r="AT93" i="8"/>
  <c r="AS94" i="8"/>
  <c r="BK91" i="8"/>
  <c r="BO91" i="8" s="1"/>
  <c r="BP91" i="8" s="1"/>
  <c r="AL84" i="5"/>
  <c r="BE84" i="5"/>
  <c r="BH85" i="5"/>
  <c r="BD86" i="5"/>
  <c r="AC85" i="5"/>
  <c r="BC85" i="5"/>
  <c r="AG85" i="5"/>
  <c r="AH85" i="5" s="1"/>
  <c r="AI85" i="5" s="1"/>
  <c r="BU88" i="5"/>
  <c r="BV88" i="5" s="1"/>
  <c r="BT89" i="5"/>
  <c r="AK95" i="16" l="1"/>
  <c r="A1335" i="16" s="1"/>
  <c r="A1231" i="16"/>
  <c r="AJ96" i="16"/>
  <c r="AL96" i="16" s="1"/>
  <c r="A1440" i="16" s="1"/>
  <c r="V16" i="14"/>
  <c r="F16" i="14" s="1"/>
  <c r="B238" i="14" s="1"/>
  <c r="A1232" i="16"/>
  <c r="AD96" i="16"/>
  <c r="AI96" i="16"/>
  <c r="A1118" i="16" s="1"/>
  <c r="AH96" i="16"/>
  <c r="A911" i="16"/>
  <c r="AE95" i="16"/>
  <c r="A1016" i="16" s="1"/>
  <c r="A696" i="16"/>
  <c r="Q97" i="16"/>
  <c r="R97" i="16" s="1"/>
  <c r="AA97" i="16" s="1"/>
  <c r="V96" i="16"/>
  <c r="AB96" i="16" s="1"/>
  <c r="CY39" i="5"/>
  <c r="B494" i="5" s="1"/>
  <c r="U15" i="14"/>
  <c r="V15" i="14" s="1"/>
  <c r="R14" i="14"/>
  <c r="T15" i="14"/>
  <c r="S15" i="14"/>
  <c r="BO83" i="5"/>
  <c r="BN84" i="5"/>
  <c r="BF83" i="5"/>
  <c r="BG83" i="5" s="1"/>
  <c r="AJ85" i="5"/>
  <c r="AE95" i="5"/>
  <c r="AF94" i="5"/>
  <c r="CW38" i="5"/>
  <c r="CO37" i="5"/>
  <c r="CV38" i="5"/>
  <c r="BA93" i="9"/>
  <c r="AL93" i="9"/>
  <c r="BB93" i="9"/>
  <c r="AZ93" i="9"/>
  <c r="BC93" i="9"/>
  <c r="AW93" i="9"/>
  <c r="AV92" i="9"/>
  <c r="AX93" i="9"/>
  <c r="AH93" i="9"/>
  <c r="AI93" i="9" s="1"/>
  <c r="AJ93" i="9" s="1"/>
  <c r="AK93" i="9" s="1"/>
  <c r="CQ95" i="9"/>
  <c r="CP95" i="9"/>
  <c r="AK92" i="9"/>
  <c r="CL96" i="9"/>
  <c r="CH97" i="9"/>
  <c r="CI97" i="9" s="1"/>
  <c r="BL97" i="9"/>
  <c r="BM97" i="9" s="1"/>
  <c r="BN97" i="9" s="1"/>
  <c r="AT97" i="9"/>
  <c r="AY97" i="9" s="1"/>
  <c r="AU96" i="9"/>
  <c r="AI92" i="8"/>
  <c r="BE94" i="8"/>
  <c r="BF93" i="8"/>
  <c r="AX93" i="8"/>
  <c r="AF93" i="8"/>
  <c r="AG93" i="8" s="1"/>
  <c r="AH93" i="8" s="1"/>
  <c r="AB93" i="8"/>
  <c r="AK93" i="8" s="1"/>
  <c r="AJ93" i="8" s="1"/>
  <c r="AY93" i="8"/>
  <c r="AU93" i="8"/>
  <c r="BK92" i="8"/>
  <c r="BO92" i="8" s="1"/>
  <c r="BP92" i="8" s="1"/>
  <c r="AV94" i="8"/>
  <c r="AT94" i="8"/>
  <c r="AW93" i="8" s="1"/>
  <c r="AS95" i="8"/>
  <c r="AW92" i="8"/>
  <c r="AL85" i="5"/>
  <c r="BE85" i="5"/>
  <c r="BH86" i="5"/>
  <c r="BD87" i="5"/>
  <c r="BC86" i="5"/>
  <c r="AG86" i="5"/>
  <c r="AH86" i="5" s="1"/>
  <c r="AI86" i="5" s="1"/>
  <c r="AC86" i="5"/>
  <c r="BU89" i="5"/>
  <c r="BV89" i="5" s="1"/>
  <c r="BT90" i="5"/>
  <c r="AK96" i="16" l="1"/>
  <c r="A1336" i="16" s="1"/>
  <c r="AJ97" i="16"/>
  <c r="A1233" i="16" s="1"/>
  <c r="AK97" i="16"/>
  <c r="A1337" i="16" s="1"/>
  <c r="AD97" i="16"/>
  <c r="AI97" i="16"/>
  <c r="A1119" i="16" s="1"/>
  <c r="AH97" i="16"/>
  <c r="A912" i="16"/>
  <c r="AE96" i="16"/>
  <c r="A1017" i="16" s="1"/>
  <c r="A697" i="16"/>
  <c r="Q98" i="16"/>
  <c r="R98" i="16" s="1"/>
  <c r="AA98" i="16" s="1"/>
  <c r="V97" i="16"/>
  <c r="AB97" i="16" s="1"/>
  <c r="CY38" i="5"/>
  <c r="F15" i="14"/>
  <c r="B237" i="14" s="1"/>
  <c r="U14" i="14"/>
  <c r="V14" i="14" s="1"/>
  <c r="R13" i="14"/>
  <c r="T14" i="14"/>
  <c r="S14" i="14"/>
  <c r="BO84" i="5"/>
  <c r="B426" i="5" s="1"/>
  <c r="BF84" i="5"/>
  <c r="BG84" i="5" s="1"/>
  <c r="BN85" i="5"/>
  <c r="AJ86" i="5"/>
  <c r="AE96" i="5"/>
  <c r="AF95" i="5"/>
  <c r="CW37" i="5"/>
  <c r="CO36" i="5"/>
  <c r="CV37" i="5"/>
  <c r="AH95" i="9"/>
  <c r="CQ96" i="9"/>
  <c r="CP96" i="9"/>
  <c r="AX94" i="9"/>
  <c r="AW94" i="9"/>
  <c r="AH94" i="9"/>
  <c r="AI94" i="9" s="1"/>
  <c r="AJ94" i="9" s="1"/>
  <c r="AV93" i="9"/>
  <c r="BC94" i="9"/>
  <c r="BB94" i="9"/>
  <c r="AL94" i="9"/>
  <c r="AD94" i="9"/>
  <c r="AM94" i="9" s="1"/>
  <c r="AZ94" i="9"/>
  <c r="BA94" i="9"/>
  <c r="B191" i="9"/>
  <c r="CL97" i="9"/>
  <c r="CH98" i="9"/>
  <c r="CI98" i="9" s="1"/>
  <c r="AT98" i="9"/>
  <c r="AY98" i="9" s="1"/>
  <c r="AU97" i="9"/>
  <c r="BL98" i="9"/>
  <c r="BM98" i="9" s="1"/>
  <c r="BN98" i="9" s="1"/>
  <c r="BE95" i="8"/>
  <c r="BF94" i="8"/>
  <c r="AX94" i="8"/>
  <c r="AF94" i="8"/>
  <c r="AG94" i="8" s="1"/>
  <c r="AH94" i="8" s="1"/>
  <c r="AB94" i="8"/>
  <c r="AK94" i="8" s="1"/>
  <c r="AJ94" i="8" s="1"/>
  <c r="AU94" i="8"/>
  <c r="AY94" i="8"/>
  <c r="BK93" i="8"/>
  <c r="BO93" i="8" s="1"/>
  <c r="BP93" i="8" s="1"/>
  <c r="AV95" i="8"/>
  <c r="AT95" i="8"/>
  <c r="AS96" i="8"/>
  <c r="AI93" i="8"/>
  <c r="AL86" i="5"/>
  <c r="BE86" i="5"/>
  <c r="BH87" i="5"/>
  <c r="BD88" i="5"/>
  <c r="AC87" i="5"/>
  <c r="BC87" i="5"/>
  <c r="AG87" i="5"/>
  <c r="AH87" i="5" s="1"/>
  <c r="BU90" i="5"/>
  <c r="BV90" i="5" s="1"/>
  <c r="BT91" i="5"/>
  <c r="AL97" i="16" l="1"/>
  <c r="A1441" i="16" s="1"/>
  <c r="AJ98" i="16"/>
  <c r="A1234" i="16" s="1"/>
  <c r="B493" i="5"/>
  <c r="V34" i="16"/>
  <c r="AL98" i="16"/>
  <c r="A1442" i="16" s="1"/>
  <c r="AD98" i="16"/>
  <c r="AH98" i="16"/>
  <c r="AI98" i="16"/>
  <c r="A1120" i="16" s="1"/>
  <c r="A913" i="16"/>
  <c r="AE97" i="16"/>
  <c r="A1018" i="16" s="1"/>
  <c r="A698" i="16"/>
  <c r="Q99" i="16"/>
  <c r="R99" i="16" s="1"/>
  <c r="AA99" i="16" s="1"/>
  <c r="V98" i="16"/>
  <c r="AB98" i="16" s="1"/>
  <c r="CY37" i="5"/>
  <c r="F14" i="14"/>
  <c r="B236" i="14" s="1"/>
  <c r="U13" i="14"/>
  <c r="V13" i="14" s="1"/>
  <c r="R12" i="14"/>
  <c r="T13" i="14"/>
  <c r="S13" i="14"/>
  <c r="BO85" i="5"/>
  <c r="BN86" i="5"/>
  <c r="BF85" i="5"/>
  <c r="BG85" i="5" s="1"/>
  <c r="AE97" i="5"/>
  <c r="AF96" i="5"/>
  <c r="CW36" i="5"/>
  <c r="CO35" i="5"/>
  <c r="CV36" i="5"/>
  <c r="BC95" i="9"/>
  <c r="AL95" i="9"/>
  <c r="AZ95" i="9"/>
  <c r="BA95" i="9"/>
  <c r="BB95" i="9"/>
  <c r="AD95" i="9"/>
  <c r="AM95" i="9" s="1"/>
  <c r="AX95" i="9"/>
  <c r="AI95" i="9"/>
  <c r="AJ95" i="9" s="1"/>
  <c r="AV94" i="9"/>
  <c r="AW95" i="9"/>
  <c r="AH96" i="9"/>
  <c r="CQ97" i="9"/>
  <c r="CP97" i="9"/>
  <c r="AK94" i="9"/>
  <c r="CL98" i="9"/>
  <c r="CH99" i="9"/>
  <c r="CI99" i="9" s="1"/>
  <c r="BL99" i="9"/>
  <c r="BM99" i="9" s="1"/>
  <c r="BN99" i="9" s="1"/>
  <c r="AT99" i="9"/>
  <c r="AY99" i="9" s="1"/>
  <c r="AU98" i="9"/>
  <c r="BE96" i="8"/>
  <c r="BF95" i="8"/>
  <c r="AI94" i="8"/>
  <c r="AX95" i="8"/>
  <c r="AF95" i="8"/>
  <c r="AG95" i="8" s="1"/>
  <c r="AH95" i="8" s="1"/>
  <c r="AB95" i="8"/>
  <c r="AK95" i="8" s="1"/>
  <c r="AJ95" i="8" s="1"/>
  <c r="AY95" i="8"/>
  <c r="AU95" i="8"/>
  <c r="BK94" i="8"/>
  <c r="BO94" i="8" s="1"/>
  <c r="BP94" i="8" s="1"/>
  <c r="AV96" i="8"/>
  <c r="AT96" i="8"/>
  <c r="AW95" i="8" s="1"/>
  <c r="AS97" i="8"/>
  <c r="AW94" i="8"/>
  <c r="AL87" i="5"/>
  <c r="BE87" i="5"/>
  <c r="BH88" i="5"/>
  <c r="BD89" i="5"/>
  <c r="AI87" i="5"/>
  <c r="AJ87" i="5" s="1"/>
  <c r="BC88" i="5"/>
  <c r="AG88" i="5"/>
  <c r="AH88" i="5" s="1"/>
  <c r="AI88" i="5" s="1"/>
  <c r="AC88" i="5"/>
  <c r="BU91" i="5"/>
  <c r="BV91" i="5" s="1"/>
  <c r="BT92" i="5"/>
  <c r="AK98" i="16" l="1"/>
  <c r="A1338" i="16" s="1"/>
  <c r="AJ99" i="16"/>
  <c r="A1235" i="16" s="1"/>
  <c r="B492" i="5"/>
  <c r="V33" i="16"/>
  <c r="AB34" i="16"/>
  <c r="AE34" i="16" s="1"/>
  <c r="A955" i="16" s="1"/>
  <c r="A850" i="16"/>
  <c r="AL99" i="16"/>
  <c r="A1443" i="16" s="1"/>
  <c r="AD99" i="16"/>
  <c r="AH99" i="16"/>
  <c r="AI99" i="16"/>
  <c r="A1121" i="16" s="1"/>
  <c r="A914" i="16"/>
  <c r="AE98" i="16"/>
  <c r="A1019" i="16" s="1"/>
  <c r="A699" i="16"/>
  <c r="Q100" i="16"/>
  <c r="R100" i="16" s="1"/>
  <c r="AA100" i="16" s="1"/>
  <c r="V99" i="16"/>
  <c r="AB99" i="16" s="1"/>
  <c r="CY36" i="5"/>
  <c r="F13" i="14"/>
  <c r="B235" i="14" s="1"/>
  <c r="T12" i="14"/>
  <c r="U12" i="14"/>
  <c r="V12" i="14" s="1"/>
  <c r="S12" i="14"/>
  <c r="BO86" i="5"/>
  <c r="BF86" i="5"/>
  <c r="BG86" i="5" s="1"/>
  <c r="BN87" i="5"/>
  <c r="AJ88" i="5"/>
  <c r="AE98" i="5"/>
  <c r="AF97" i="5"/>
  <c r="CW35" i="5"/>
  <c r="CO34" i="5"/>
  <c r="CV35" i="5"/>
  <c r="B126" i="3"/>
  <c r="AK95" i="9"/>
  <c r="AI96" i="9"/>
  <c r="AJ96" i="9" s="1"/>
  <c r="BC96" i="9"/>
  <c r="AW96" i="9"/>
  <c r="AX96" i="9"/>
  <c r="AV95" i="9"/>
  <c r="AZ96" i="9"/>
  <c r="BB96" i="9"/>
  <c r="AD96" i="9"/>
  <c r="BA96" i="9"/>
  <c r="AL96" i="9"/>
  <c r="AW97" i="9"/>
  <c r="B239" i="9"/>
  <c r="CQ98" i="9"/>
  <c r="CP98" i="9"/>
  <c r="BB97" i="9"/>
  <c r="CL99" i="9"/>
  <c r="CH100" i="9"/>
  <c r="CI100" i="9" s="1"/>
  <c r="BL100" i="9"/>
  <c r="BM100" i="9" s="1"/>
  <c r="BN100" i="9" s="1"/>
  <c r="AT100" i="9"/>
  <c r="AY100" i="9" s="1"/>
  <c r="AU99" i="9"/>
  <c r="BE97" i="8"/>
  <c r="BF96" i="8"/>
  <c r="AX96" i="8"/>
  <c r="AF96" i="8"/>
  <c r="AG96" i="8" s="1"/>
  <c r="AH96" i="8" s="1"/>
  <c r="AB96" i="8"/>
  <c r="AK96" i="8" s="1"/>
  <c r="AJ96" i="8" s="1"/>
  <c r="AU96" i="8"/>
  <c r="AY96" i="8"/>
  <c r="BK95" i="8"/>
  <c r="BO95" i="8" s="1"/>
  <c r="BP95" i="8" s="1"/>
  <c r="AV97" i="8"/>
  <c r="AT97" i="8"/>
  <c r="AS98" i="8"/>
  <c r="AI95" i="8"/>
  <c r="AL88" i="5"/>
  <c r="BH89" i="5"/>
  <c r="BE88" i="5"/>
  <c r="AC89" i="5"/>
  <c r="BC89" i="5"/>
  <c r="AG89" i="5"/>
  <c r="AH89" i="5" s="1"/>
  <c r="AI89" i="5" s="1"/>
  <c r="BD90" i="5"/>
  <c r="BU92" i="5"/>
  <c r="BV92" i="5" s="1"/>
  <c r="BT93" i="5"/>
  <c r="AK99" i="16" l="1"/>
  <c r="A1339" i="16" s="1"/>
  <c r="AJ100" i="16"/>
  <c r="B491" i="5"/>
  <c r="V32" i="16"/>
  <c r="AB33" i="16"/>
  <c r="AE33" i="16" s="1"/>
  <c r="A954" i="16" s="1"/>
  <c r="A849" i="16"/>
  <c r="A1236" i="16"/>
  <c r="AL100" i="16"/>
  <c r="A1444" i="16" s="1"/>
  <c r="AK100" i="16"/>
  <c r="A1340" i="16" s="1"/>
  <c r="AD100" i="16"/>
  <c r="AI100" i="16"/>
  <c r="A1122" i="16" s="1"/>
  <c r="AH100" i="16"/>
  <c r="A915" i="16"/>
  <c r="AE99" i="16"/>
  <c r="A1020" i="16" s="1"/>
  <c r="A700" i="16"/>
  <c r="Q101" i="16"/>
  <c r="R101" i="16" s="1"/>
  <c r="AA101" i="16" s="1"/>
  <c r="V100" i="16"/>
  <c r="AB100" i="16" s="1"/>
  <c r="CY35" i="5"/>
  <c r="F12" i="14"/>
  <c r="B234" i="14" s="1"/>
  <c r="AJ89" i="5"/>
  <c r="BO87" i="5"/>
  <c r="BN88" i="5"/>
  <c r="BF87" i="5"/>
  <c r="BG87" i="5" s="1"/>
  <c r="AE99" i="5"/>
  <c r="AF98" i="5"/>
  <c r="B411" i="5" s="1"/>
  <c r="CW34" i="5"/>
  <c r="CO33" i="5"/>
  <c r="CV34" i="5"/>
  <c r="AD97" i="9"/>
  <c r="AM97" i="9" s="1"/>
  <c r="BC97" i="9"/>
  <c r="BA97" i="9"/>
  <c r="AL97" i="9"/>
  <c r="AX97" i="9"/>
  <c r="AH97" i="9"/>
  <c r="AI97" i="9" s="1"/>
  <c r="AJ97" i="9" s="1"/>
  <c r="AZ97" i="9"/>
  <c r="AV96" i="9"/>
  <c r="AM96" i="9"/>
  <c r="AK96" i="9"/>
  <c r="CQ99" i="9"/>
  <c r="CP99" i="9"/>
  <c r="CL100" i="9"/>
  <c r="CH101" i="9"/>
  <c r="CI101" i="9" s="1"/>
  <c r="AT101" i="9"/>
  <c r="AY101" i="9" s="1"/>
  <c r="AU100" i="9"/>
  <c r="BL101" i="9"/>
  <c r="BM101" i="9" s="1"/>
  <c r="BN101" i="9" s="1"/>
  <c r="BE98" i="8"/>
  <c r="BF97" i="8"/>
  <c r="AI96" i="8"/>
  <c r="AX97" i="8"/>
  <c r="AF97" i="8"/>
  <c r="AG97" i="8" s="1"/>
  <c r="AH97" i="8" s="1"/>
  <c r="AB97" i="8"/>
  <c r="AK97" i="8" s="1"/>
  <c r="AJ97" i="8" s="1"/>
  <c r="AY97" i="8"/>
  <c r="AU97" i="8"/>
  <c r="BK96" i="8"/>
  <c r="BO96" i="8" s="1"/>
  <c r="BP96" i="8" s="1"/>
  <c r="AV98" i="8"/>
  <c r="AT98" i="8"/>
  <c r="AW97" i="8" s="1"/>
  <c r="AS99" i="8"/>
  <c r="AW96" i="8"/>
  <c r="AL89" i="5"/>
  <c r="B280" i="5"/>
  <c r="BD91" i="5"/>
  <c r="BC90" i="5"/>
  <c r="AG90" i="5"/>
  <c r="AH90" i="5" s="1"/>
  <c r="AI90" i="5" s="1"/>
  <c r="AC90" i="5"/>
  <c r="BH90" i="5"/>
  <c r="BE89" i="5"/>
  <c r="BU93" i="5"/>
  <c r="BV93" i="5" s="1"/>
  <c r="BT94" i="5"/>
  <c r="AJ101" i="16" l="1"/>
  <c r="A1237" i="16" s="1"/>
  <c r="B490" i="5"/>
  <c r="V31" i="16"/>
  <c r="AB32" i="16"/>
  <c r="AE32" i="16" s="1"/>
  <c r="A953" i="16" s="1"/>
  <c r="A848" i="16"/>
  <c r="AL101" i="16"/>
  <c r="A1445" i="16" s="1"/>
  <c r="AD101" i="16"/>
  <c r="AI101" i="16"/>
  <c r="A1123" i="16" s="1"/>
  <c r="AH101" i="16"/>
  <c r="A916" i="16"/>
  <c r="AE100" i="16"/>
  <c r="A1021" i="16" s="1"/>
  <c r="A701" i="16"/>
  <c r="Q102" i="16"/>
  <c r="R102" i="16" s="1"/>
  <c r="AA102" i="16" s="1"/>
  <c r="V101" i="16"/>
  <c r="AB101" i="16" s="1"/>
  <c r="CY34" i="5"/>
  <c r="BO88" i="5"/>
  <c r="BF88" i="5"/>
  <c r="BG88" i="5" s="1"/>
  <c r="BN89" i="5"/>
  <c r="AJ90" i="5"/>
  <c r="B346" i="5" s="1"/>
  <c r="AE100" i="5"/>
  <c r="AF99" i="5"/>
  <c r="CW33" i="5"/>
  <c r="CO32" i="5"/>
  <c r="CV33" i="5"/>
  <c r="B378" i="5"/>
  <c r="AK97" i="9"/>
  <c r="B300" i="9" s="1"/>
  <c r="BC98" i="9"/>
  <c r="AX98" i="9"/>
  <c r="AW98" i="9"/>
  <c r="AH98" i="9"/>
  <c r="AI98" i="9" s="1"/>
  <c r="AJ98" i="9" s="1"/>
  <c r="AZ98" i="9"/>
  <c r="BA98" i="9"/>
  <c r="BB98" i="9"/>
  <c r="AL98" i="9"/>
  <c r="B316" i="9" s="1"/>
  <c r="AD98" i="9"/>
  <c r="AM98" i="9" s="1"/>
  <c r="AV97" i="9"/>
  <c r="CQ100" i="9"/>
  <c r="CP100" i="9"/>
  <c r="CL101" i="9"/>
  <c r="CH102" i="9"/>
  <c r="CI102" i="9" s="1"/>
  <c r="BL102" i="9"/>
  <c r="BM102" i="9" s="1"/>
  <c r="BN102" i="9" s="1"/>
  <c r="AT102" i="9"/>
  <c r="AY102" i="9" s="1"/>
  <c r="AU101" i="9"/>
  <c r="BE99" i="8"/>
  <c r="BF98" i="8"/>
  <c r="B240" i="8" s="1"/>
  <c r="AX98" i="8"/>
  <c r="AF98" i="8"/>
  <c r="AG98" i="8" s="1"/>
  <c r="AH98" i="8" s="1"/>
  <c r="AB98" i="8"/>
  <c r="AK98" i="8" s="1"/>
  <c r="AJ98" i="8" s="1"/>
  <c r="B203" i="8" s="1"/>
  <c r="AU98" i="8"/>
  <c r="AY98" i="8"/>
  <c r="BK97" i="8"/>
  <c r="BO97" i="8" s="1"/>
  <c r="BP97" i="8" s="1"/>
  <c r="AV99" i="8"/>
  <c r="AT99" i="8"/>
  <c r="AS100" i="8"/>
  <c r="AI97" i="8"/>
  <c r="B187" i="8" s="1"/>
  <c r="AL90" i="5"/>
  <c r="BE90" i="5"/>
  <c r="BH91" i="5"/>
  <c r="AC91" i="5"/>
  <c r="BC91" i="5"/>
  <c r="AG91" i="5"/>
  <c r="AH91" i="5" s="1"/>
  <c r="AI91" i="5" s="1"/>
  <c r="AJ91" i="5" s="1"/>
  <c r="BD92" i="5"/>
  <c r="BU94" i="5"/>
  <c r="BV94" i="5" s="1"/>
  <c r="BT95" i="5"/>
  <c r="AK101" i="16" l="1"/>
  <c r="A1341" i="16" s="1"/>
  <c r="AJ102" i="16"/>
  <c r="AB31" i="16"/>
  <c r="AE31" i="16" s="1"/>
  <c r="A952" i="16" s="1"/>
  <c r="A847" i="16"/>
  <c r="B489" i="5"/>
  <c r="V30" i="16"/>
  <c r="A1238" i="16"/>
  <c r="AL102" i="16"/>
  <c r="A1446" i="16" s="1"/>
  <c r="AK102" i="16"/>
  <c r="A1342" i="16" s="1"/>
  <c r="AD102" i="16"/>
  <c r="AH102" i="16"/>
  <c r="AI102" i="16"/>
  <c r="A1124" i="16" s="1"/>
  <c r="A917" i="16"/>
  <c r="AE101" i="16"/>
  <c r="A1022" i="16" s="1"/>
  <c r="A702" i="16"/>
  <c r="Q103" i="16"/>
  <c r="R103" i="16" s="1"/>
  <c r="AA103" i="16" s="1"/>
  <c r="V102" i="16"/>
  <c r="AB102" i="16" s="1"/>
  <c r="CY33" i="5"/>
  <c r="BO89" i="5"/>
  <c r="BN90" i="5"/>
  <c r="BF89" i="5"/>
  <c r="BG89" i="5" s="1"/>
  <c r="AE101" i="5"/>
  <c r="AF100" i="5"/>
  <c r="CW32" i="5"/>
  <c r="CO31" i="5"/>
  <c r="CV32" i="5"/>
  <c r="CQ101" i="9"/>
  <c r="CP101" i="9"/>
  <c r="AV98" i="9"/>
  <c r="BC99" i="9"/>
  <c r="AZ99" i="9"/>
  <c r="BA99" i="9"/>
  <c r="BB99" i="9"/>
  <c r="AL99" i="9"/>
  <c r="AD99" i="9"/>
  <c r="AM99" i="9" s="1"/>
  <c r="AX99" i="9"/>
  <c r="AW99" i="9"/>
  <c r="AH99" i="9"/>
  <c r="AI99" i="9" s="1"/>
  <c r="AJ99" i="9" s="1"/>
  <c r="AK98" i="9"/>
  <c r="CL102" i="9"/>
  <c r="CH103" i="9"/>
  <c r="CI103" i="9" s="1"/>
  <c r="BL103" i="9"/>
  <c r="BM103" i="9" s="1"/>
  <c r="BN103" i="9" s="1"/>
  <c r="AT103" i="9"/>
  <c r="AY103" i="9" s="1"/>
  <c r="AU102" i="9"/>
  <c r="BE100" i="8"/>
  <c r="BF99" i="8"/>
  <c r="AI98" i="8"/>
  <c r="AX99" i="8"/>
  <c r="AF99" i="8"/>
  <c r="AG99" i="8" s="1"/>
  <c r="AH99" i="8" s="1"/>
  <c r="AB99" i="8"/>
  <c r="AK99" i="8" s="1"/>
  <c r="AJ99" i="8" s="1"/>
  <c r="AY99" i="8"/>
  <c r="AU99" i="8"/>
  <c r="BK98" i="8"/>
  <c r="BO98" i="8" s="1"/>
  <c r="BP98" i="8" s="1"/>
  <c r="AV100" i="8"/>
  <c r="AT100" i="8"/>
  <c r="AW99" i="8" s="1"/>
  <c r="AS101" i="8"/>
  <c r="AW98" i="8"/>
  <c r="AL91" i="5"/>
  <c r="BD93" i="5"/>
  <c r="BC92" i="5"/>
  <c r="AG92" i="5"/>
  <c r="AH92" i="5" s="1"/>
  <c r="AC92" i="5"/>
  <c r="BH92" i="5"/>
  <c r="BE91" i="5"/>
  <c r="BU95" i="5"/>
  <c r="BV95" i="5" s="1"/>
  <c r="BT96" i="5"/>
  <c r="AJ103" i="16" l="1"/>
  <c r="AB30" i="16"/>
  <c r="AE30" i="16" s="1"/>
  <c r="A951" i="16" s="1"/>
  <c r="A846" i="16"/>
  <c r="B488" i="5"/>
  <c r="V29" i="16"/>
  <c r="AB29" i="16" s="1"/>
  <c r="A1239" i="16"/>
  <c r="AL103" i="16"/>
  <c r="A1447" i="16" s="1"/>
  <c r="AK103" i="16"/>
  <c r="A1343" i="16" s="1"/>
  <c r="AD103" i="16"/>
  <c r="AH103" i="16"/>
  <c r="AI103" i="16"/>
  <c r="A1125" i="16" s="1"/>
  <c r="A918" i="16"/>
  <c r="AE102" i="16"/>
  <c r="A1023" i="16" s="1"/>
  <c r="A703" i="16"/>
  <c r="Q104" i="16"/>
  <c r="R104" i="16" s="1"/>
  <c r="AA104" i="16" s="1"/>
  <c r="V103" i="16"/>
  <c r="AB103" i="16" s="1"/>
  <c r="CY32" i="5"/>
  <c r="BO90" i="5"/>
  <c r="BF90" i="5"/>
  <c r="BG90" i="5" s="1"/>
  <c r="BN91" i="5"/>
  <c r="AE102" i="5"/>
  <c r="AF101" i="5"/>
  <c r="CW31" i="5"/>
  <c r="CO30" i="5"/>
  <c r="CV31" i="5"/>
  <c r="AD101" i="9"/>
  <c r="AM101" i="9" s="1"/>
  <c r="AK99" i="9"/>
  <c r="CQ102" i="9"/>
  <c r="CP102" i="9"/>
  <c r="AZ100" i="9"/>
  <c r="BA100" i="9"/>
  <c r="BB100" i="9"/>
  <c r="AL100" i="9"/>
  <c r="AD100" i="9"/>
  <c r="AM100" i="9" s="1"/>
  <c r="BC100" i="9"/>
  <c r="AX100" i="9"/>
  <c r="AW100" i="9"/>
  <c r="AH100" i="9"/>
  <c r="AI100" i="9" s="1"/>
  <c r="AJ100" i="9" s="1"/>
  <c r="AK100" i="9" s="1"/>
  <c r="AV99" i="9"/>
  <c r="CL103" i="9"/>
  <c r="CH104" i="9"/>
  <c r="CI104" i="9" s="1"/>
  <c r="AT104" i="9"/>
  <c r="AY104" i="9" s="1"/>
  <c r="AU103" i="9"/>
  <c r="BL104" i="9"/>
  <c r="AI99" i="8"/>
  <c r="BE101" i="8"/>
  <c r="BF100" i="8"/>
  <c r="AV101" i="8"/>
  <c r="AT101" i="8"/>
  <c r="AW100" i="8" s="1"/>
  <c r="AS102" i="8"/>
  <c r="AX100" i="8"/>
  <c r="AF100" i="8"/>
  <c r="AG100" i="8" s="1"/>
  <c r="AB100" i="8"/>
  <c r="AK100" i="8" s="1"/>
  <c r="AJ100" i="8" s="1"/>
  <c r="AU100" i="8"/>
  <c r="AY100" i="8"/>
  <c r="BK99" i="8"/>
  <c r="BO99" i="8" s="1"/>
  <c r="BP99" i="8" s="1"/>
  <c r="AL92" i="5"/>
  <c r="BE92" i="5"/>
  <c r="BD94" i="5"/>
  <c r="AC93" i="5"/>
  <c r="BC93" i="5"/>
  <c r="AG93" i="5"/>
  <c r="AH93" i="5" s="1"/>
  <c r="AI93" i="5" s="1"/>
  <c r="AI92" i="5"/>
  <c r="AJ92" i="5" s="1"/>
  <c r="BH93" i="5"/>
  <c r="BU96" i="5"/>
  <c r="BV96" i="5" s="1"/>
  <c r="BT97" i="5"/>
  <c r="AJ104" i="16" l="1"/>
  <c r="A1240" i="16" s="1"/>
  <c r="B487" i="5"/>
  <c r="V28" i="16"/>
  <c r="AB28" i="16" s="1"/>
  <c r="AE29" i="16"/>
  <c r="A950" i="16" s="1"/>
  <c r="A845" i="16"/>
  <c r="AL104" i="16"/>
  <c r="A1448" i="16" s="1"/>
  <c r="AD104" i="16"/>
  <c r="AI104" i="16"/>
  <c r="A1126" i="16" s="1"/>
  <c r="AH104" i="16"/>
  <c r="A919" i="16"/>
  <c r="AE103" i="16"/>
  <c r="A1024" i="16" s="1"/>
  <c r="A704" i="16"/>
  <c r="Q105" i="16"/>
  <c r="R105" i="16" s="1"/>
  <c r="AA105" i="16" s="1"/>
  <c r="V104" i="16"/>
  <c r="AB104" i="16" s="1"/>
  <c r="BO91" i="5"/>
  <c r="B427" i="5" s="1"/>
  <c r="BN92" i="5"/>
  <c r="BF91" i="5"/>
  <c r="BG91" i="5" s="1"/>
  <c r="CY31" i="5"/>
  <c r="AJ93" i="5"/>
  <c r="AE103" i="5"/>
  <c r="AF102" i="5"/>
  <c r="CW30" i="5"/>
  <c r="CO29" i="5"/>
  <c r="CV30" i="5"/>
  <c r="BB101" i="9"/>
  <c r="BA101" i="9"/>
  <c r="AX101" i="9"/>
  <c r="AH101" i="9"/>
  <c r="AI101" i="9" s="1"/>
  <c r="AJ101" i="9" s="1"/>
  <c r="AK101" i="9" s="1"/>
  <c r="AZ101" i="9"/>
  <c r="AW101" i="9"/>
  <c r="BC101" i="9"/>
  <c r="AL101" i="9"/>
  <c r="AV100" i="9"/>
  <c r="CQ103" i="9"/>
  <c r="CP103" i="9"/>
  <c r="B192" i="9"/>
  <c r="CL104" i="9"/>
  <c r="CH105" i="9"/>
  <c r="CI105" i="9" s="1"/>
  <c r="BL105" i="9"/>
  <c r="BM105" i="9" s="1"/>
  <c r="BN105" i="9" s="1"/>
  <c r="AT105" i="9"/>
  <c r="AY105" i="9" s="1"/>
  <c r="AU104" i="9"/>
  <c r="BM104" i="9"/>
  <c r="BN104" i="9" s="1"/>
  <c r="BE102" i="8"/>
  <c r="BF101" i="8"/>
  <c r="AX101" i="8"/>
  <c r="AF101" i="8"/>
  <c r="AG101" i="8" s="1"/>
  <c r="AB101" i="8"/>
  <c r="AK101" i="8" s="1"/>
  <c r="AJ101" i="8" s="1"/>
  <c r="AY101" i="8"/>
  <c r="AU101" i="8"/>
  <c r="BK100" i="8"/>
  <c r="BO100" i="8" s="1"/>
  <c r="BP100" i="8" s="1"/>
  <c r="AV102" i="8"/>
  <c r="AT102" i="8"/>
  <c r="AW101" i="8" s="1"/>
  <c r="AS103" i="8"/>
  <c r="AH100" i="8"/>
  <c r="AI100" i="8" s="1"/>
  <c r="BH94" i="5"/>
  <c r="AL93" i="5"/>
  <c r="BE93" i="5"/>
  <c r="BD95" i="5"/>
  <c r="BC94" i="5"/>
  <c r="AG94" i="5"/>
  <c r="AH94" i="5" s="1"/>
  <c r="AI94" i="5" s="1"/>
  <c r="AC94" i="5"/>
  <c r="BU97" i="5"/>
  <c r="BV97" i="5" s="1"/>
  <c r="BT98" i="5"/>
  <c r="AK104" i="16" l="1"/>
  <c r="A1344" i="16" s="1"/>
  <c r="AJ105" i="16"/>
  <c r="B486" i="5"/>
  <c r="V27" i="16"/>
  <c r="AB27" i="16" s="1"/>
  <c r="AE28" i="16"/>
  <c r="A949" i="16" s="1"/>
  <c r="A844" i="16"/>
  <c r="A1241" i="16"/>
  <c r="AL105" i="16"/>
  <c r="A1449" i="16" s="1"/>
  <c r="AK105" i="16"/>
  <c r="A1345" i="16" s="1"/>
  <c r="AD105" i="16"/>
  <c r="AI105" i="16"/>
  <c r="A1127" i="16" s="1"/>
  <c r="AH105" i="16"/>
  <c r="A920" i="16"/>
  <c r="AE104" i="16"/>
  <c r="A1025" i="16" s="1"/>
  <c r="A705" i="16"/>
  <c r="Q106" i="16"/>
  <c r="R106" i="16" s="1"/>
  <c r="AA106" i="16" s="1"/>
  <c r="V105" i="16"/>
  <c r="AB105" i="16" s="1"/>
  <c r="BO92" i="5"/>
  <c r="BN93" i="5"/>
  <c r="BF92" i="5"/>
  <c r="BG92" i="5" s="1"/>
  <c r="CY30" i="5"/>
  <c r="AJ94" i="5"/>
  <c r="AE104" i="5"/>
  <c r="AF103" i="5"/>
  <c r="CW29" i="5"/>
  <c r="CO28" i="5"/>
  <c r="CV29" i="5"/>
  <c r="AZ102" i="9"/>
  <c r="BA102" i="9"/>
  <c r="BB102" i="9"/>
  <c r="AL102" i="9"/>
  <c r="AD102" i="9"/>
  <c r="AM102" i="9" s="1"/>
  <c r="AV101" i="9"/>
  <c r="BC102" i="9"/>
  <c r="AX102" i="9"/>
  <c r="AW102" i="9"/>
  <c r="AH102" i="9"/>
  <c r="AI102" i="9" s="1"/>
  <c r="CQ104" i="9"/>
  <c r="CP104" i="9"/>
  <c r="CL105" i="9"/>
  <c r="CH106" i="9"/>
  <c r="CI106" i="9" s="1"/>
  <c r="BL106" i="9"/>
  <c r="BM106" i="9" s="1"/>
  <c r="BN106" i="9" s="1"/>
  <c r="AT106" i="9"/>
  <c r="AY106" i="9" s="1"/>
  <c r="AU105" i="9"/>
  <c r="BE103" i="8"/>
  <c r="BF102" i="8"/>
  <c r="AV103" i="8"/>
  <c r="AT103" i="8"/>
  <c r="AW102" i="8" s="1"/>
  <c r="AS104" i="8"/>
  <c r="AX102" i="8"/>
  <c r="AF102" i="8"/>
  <c r="AG102" i="8" s="1"/>
  <c r="AH102" i="8" s="1"/>
  <c r="AB102" i="8"/>
  <c r="AK102" i="8" s="1"/>
  <c r="AJ102" i="8" s="1"/>
  <c r="AU102" i="8"/>
  <c r="AY102" i="8"/>
  <c r="BK101" i="8"/>
  <c r="BO101" i="8" s="1"/>
  <c r="BP101" i="8" s="1"/>
  <c r="AH101" i="8"/>
  <c r="AI101" i="8" s="1"/>
  <c r="AL94" i="5"/>
  <c r="BE94" i="5"/>
  <c r="BH95" i="5"/>
  <c r="BD96" i="5"/>
  <c r="AC95" i="5"/>
  <c r="BC95" i="5"/>
  <c r="AG95" i="5"/>
  <c r="AH95" i="5" s="1"/>
  <c r="AI95" i="5" s="1"/>
  <c r="BU98" i="5"/>
  <c r="BV98" i="5" s="1"/>
  <c r="BT99" i="5"/>
  <c r="AJ106" i="16" l="1"/>
  <c r="B485" i="5"/>
  <c r="V26" i="16"/>
  <c r="AB26" i="16" s="1"/>
  <c r="AE27" i="16"/>
  <c r="A948" i="16" s="1"/>
  <c r="A843" i="16"/>
  <c r="A1242" i="16"/>
  <c r="AL106" i="16"/>
  <c r="A1450" i="16" s="1"/>
  <c r="AK106" i="16"/>
  <c r="A1346" i="16" s="1"/>
  <c r="AD106" i="16"/>
  <c r="AH106" i="16"/>
  <c r="AI106" i="16"/>
  <c r="A1128" i="16" s="1"/>
  <c r="A921" i="16"/>
  <c r="AE105" i="16"/>
  <c r="A1026" i="16" s="1"/>
  <c r="A706" i="16"/>
  <c r="Q107" i="16"/>
  <c r="R107" i="16" s="1"/>
  <c r="AA107" i="16" s="1"/>
  <c r="V106" i="16"/>
  <c r="AB106" i="16" s="1"/>
  <c r="BO93" i="5"/>
  <c r="BF93" i="5"/>
  <c r="BG93" i="5" s="1"/>
  <c r="BN94" i="5"/>
  <c r="CY29" i="5"/>
  <c r="AJ95" i="5"/>
  <c r="AE105" i="5"/>
  <c r="AF104" i="5"/>
  <c r="CW28" i="5"/>
  <c r="CO27" i="5"/>
  <c r="CV28" i="5"/>
  <c r="AX104" i="9"/>
  <c r="B240" i="9"/>
  <c r="CQ105" i="9"/>
  <c r="CP105" i="9"/>
  <c r="AZ103" i="9"/>
  <c r="BA103" i="9"/>
  <c r="AX103" i="9"/>
  <c r="AW103" i="9"/>
  <c r="AH103" i="9"/>
  <c r="AI103" i="9" s="1"/>
  <c r="AJ103" i="9" s="1"/>
  <c r="AV102" i="9"/>
  <c r="BC103" i="9"/>
  <c r="BB103" i="9"/>
  <c r="AL103" i="9"/>
  <c r="AD103" i="9"/>
  <c r="AM103" i="9" s="1"/>
  <c r="AL104" i="9"/>
  <c r="AJ102" i="9"/>
  <c r="AK102" i="9" s="1"/>
  <c r="CL106" i="9"/>
  <c r="CH107" i="9"/>
  <c r="CI107" i="9" s="1"/>
  <c r="AT107" i="9"/>
  <c r="AY107" i="9" s="1"/>
  <c r="AU106" i="9"/>
  <c r="BL107" i="9"/>
  <c r="BM107" i="9" s="1"/>
  <c r="BN107" i="9" s="1"/>
  <c r="BE104" i="8"/>
  <c r="BF103" i="8"/>
  <c r="BK102" i="8"/>
  <c r="BO102" i="8" s="1"/>
  <c r="BP102" i="8" s="1"/>
  <c r="AV104" i="8"/>
  <c r="AT104" i="8"/>
  <c r="AW103" i="8" s="1"/>
  <c r="AS105" i="8"/>
  <c r="AX103" i="8"/>
  <c r="AF103" i="8"/>
  <c r="AG103" i="8" s="1"/>
  <c r="AH103" i="8" s="1"/>
  <c r="AB103" i="8"/>
  <c r="AK103" i="8" s="1"/>
  <c r="AJ103" i="8" s="1"/>
  <c r="AY103" i="8"/>
  <c r="AU103" i="8"/>
  <c r="AI102" i="8"/>
  <c r="AL95" i="5"/>
  <c r="BE95" i="5"/>
  <c r="BH96" i="5"/>
  <c r="BD97" i="5"/>
  <c r="BC96" i="5"/>
  <c r="AG96" i="5"/>
  <c r="AH96" i="5" s="1"/>
  <c r="AI96" i="5" s="1"/>
  <c r="AC96" i="5"/>
  <c r="BU99" i="5"/>
  <c r="BV99" i="5" s="1"/>
  <c r="BT100" i="5"/>
  <c r="AJ107" i="16" l="1"/>
  <c r="A1243" i="16" s="1"/>
  <c r="AE26" i="16"/>
  <c r="A947" i="16" s="1"/>
  <c r="A842" i="16"/>
  <c r="B484" i="5"/>
  <c r="V25" i="16"/>
  <c r="AB25" i="16" s="1"/>
  <c r="AL107" i="16"/>
  <c r="A1451" i="16" s="1"/>
  <c r="AD107" i="16"/>
  <c r="AH107" i="16"/>
  <c r="AI107" i="16"/>
  <c r="A1129" i="16" s="1"/>
  <c r="A922" i="16"/>
  <c r="AE106" i="16"/>
  <c r="A1027" i="16" s="1"/>
  <c r="A707" i="16"/>
  <c r="Q108" i="16"/>
  <c r="R108" i="16" s="1"/>
  <c r="AA108" i="16" s="1"/>
  <c r="V107" i="16"/>
  <c r="AB107" i="16" s="1"/>
  <c r="CY28" i="5"/>
  <c r="BO94" i="5"/>
  <c r="BN95" i="5"/>
  <c r="BF94" i="5"/>
  <c r="BG94" i="5" s="1"/>
  <c r="AJ96" i="5"/>
  <c r="AE106" i="5"/>
  <c r="AF105" i="5"/>
  <c r="B412" i="5" s="1"/>
  <c r="CW27" i="5"/>
  <c r="CO26" i="5"/>
  <c r="CV27" i="5"/>
  <c r="AK103" i="9"/>
  <c r="BA104" i="9"/>
  <c r="BB104" i="9"/>
  <c r="AD104" i="9"/>
  <c r="AM104" i="9" s="1"/>
  <c r="AV103" i="9"/>
  <c r="AZ104" i="9"/>
  <c r="AW104" i="9"/>
  <c r="BC104" i="9"/>
  <c r="AH104" i="9"/>
  <c r="AI104" i="9" s="1"/>
  <c r="AJ104" i="9" s="1"/>
  <c r="CQ106" i="9"/>
  <c r="CP106" i="9"/>
  <c r="CL107" i="9"/>
  <c r="CH108" i="9"/>
  <c r="CI108" i="9" s="1"/>
  <c r="BL108" i="9"/>
  <c r="BM108" i="9" s="1"/>
  <c r="BN108" i="9" s="1"/>
  <c r="AT108" i="9"/>
  <c r="AY108" i="9" s="1"/>
  <c r="AU107" i="9"/>
  <c r="BE105" i="8"/>
  <c r="BF104" i="8"/>
  <c r="AV105" i="8"/>
  <c r="AT105" i="8"/>
  <c r="AW104" i="8" s="1"/>
  <c r="AS106" i="8"/>
  <c r="AX104" i="8"/>
  <c r="AF104" i="8"/>
  <c r="AG104" i="8" s="1"/>
  <c r="AH104" i="8" s="1"/>
  <c r="AB104" i="8"/>
  <c r="AK104" i="8" s="1"/>
  <c r="AJ104" i="8" s="1"/>
  <c r="AU104" i="8"/>
  <c r="AY104" i="8"/>
  <c r="BK103" i="8"/>
  <c r="BO103" i="8" s="1"/>
  <c r="BP103" i="8" s="1"/>
  <c r="AI103" i="8"/>
  <c r="AL96" i="5"/>
  <c r="BE96" i="5"/>
  <c r="BH97" i="5"/>
  <c r="B127" i="3"/>
  <c r="B281" i="5"/>
  <c r="BD98" i="5"/>
  <c r="AC97" i="5"/>
  <c r="BC97" i="5"/>
  <c r="AG97" i="5"/>
  <c r="AH97" i="5" s="1"/>
  <c r="AI97" i="5" s="1"/>
  <c r="BU100" i="5"/>
  <c r="BV100" i="5" s="1"/>
  <c r="BT101" i="5"/>
  <c r="AK107" i="16" l="1"/>
  <c r="A1347" i="16" s="1"/>
  <c r="AJ108" i="16"/>
  <c r="A841" i="16"/>
  <c r="AE25" i="16"/>
  <c r="A946" i="16" s="1"/>
  <c r="B483" i="5"/>
  <c r="V24" i="16"/>
  <c r="AB24" i="16" s="1"/>
  <c r="A1244" i="16"/>
  <c r="AL108" i="16"/>
  <c r="A1452" i="16" s="1"/>
  <c r="AK108" i="16"/>
  <c r="A1348" i="16" s="1"/>
  <c r="AD108" i="16"/>
  <c r="AI108" i="16"/>
  <c r="A1130" i="16" s="1"/>
  <c r="AH108" i="16"/>
  <c r="A923" i="16"/>
  <c r="AE107" i="16"/>
  <c r="A1028" i="16" s="1"/>
  <c r="A708" i="16"/>
  <c r="Q109" i="16"/>
  <c r="R109" i="16" s="1"/>
  <c r="AA109" i="16" s="1"/>
  <c r="V108" i="16"/>
  <c r="AB108" i="16" s="1"/>
  <c r="AJ97" i="5"/>
  <c r="B347" i="5" s="1"/>
  <c r="CY27" i="5"/>
  <c r="BO95" i="5"/>
  <c r="BF95" i="5"/>
  <c r="BG95" i="5" s="1"/>
  <c r="BN96" i="5"/>
  <c r="AE107" i="5"/>
  <c r="AF106" i="5"/>
  <c r="CW26" i="5"/>
  <c r="CO25" i="5"/>
  <c r="CV26" i="5"/>
  <c r="B379" i="5"/>
  <c r="AK104" i="9"/>
  <c r="B301" i="9" s="1"/>
  <c r="BC105" i="9"/>
  <c r="AZ105" i="9"/>
  <c r="BA105" i="9"/>
  <c r="BB105" i="9"/>
  <c r="AL105" i="9"/>
  <c r="B317" i="9" s="1"/>
  <c r="AD105" i="9"/>
  <c r="AM105" i="9" s="1"/>
  <c r="AV104" i="9"/>
  <c r="AX105" i="9"/>
  <c r="AW105" i="9"/>
  <c r="AH105" i="9"/>
  <c r="AI105" i="9" s="1"/>
  <c r="AJ105" i="9" s="1"/>
  <c r="AK105" i="9" s="1"/>
  <c r="CQ107" i="9"/>
  <c r="CP107" i="9"/>
  <c r="CL108" i="9"/>
  <c r="CH109" i="9"/>
  <c r="CI109" i="9" s="1"/>
  <c r="BL109" i="9"/>
  <c r="BM109" i="9" s="1"/>
  <c r="BN109" i="9" s="1"/>
  <c r="AT109" i="9"/>
  <c r="AY109" i="9" s="1"/>
  <c r="AU108" i="9"/>
  <c r="BE106" i="8"/>
  <c r="BF105" i="8"/>
  <c r="B241" i="8" s="1"/>
  <c r="BK104" i="8"/>
  <c r="BO104" i="8" s="1"/>
  <c r="BP104" i="8" s="1"/>
  <c r="AV106" i="8"/>
  <c r="AT106" i="8"/>
  <c r="AW105" i="8" s="1"/>
  <c r="AS107" i="8"/>
  <c r="AX105" i="8"/>
  <c r="AF105" i="8"/>
  <c r="AG105" i="8" s="1"/>
  <c r="AH105" i="8" s="1"/>
  <c r="AB105" i="8"/>
  <c r="AK105" i="8" s="1"/>
  <c r="AJ105" i="8" s="1"/>
  <c r="B204" i="8" s="1"/>
  <c r="AY105" i="8"/>
  <c r="AU105" i="8"/>
  <c r="AI104" i="8"/>
  <c r="B188" i="8" s="1"/>
  <c r="AL97" i="5"/>
  <c r="BE97" i="5"/>
  <c r="BH98" i="5"/>
  <c r="BC98" i="5"/>
  <c r="AG98" i="5"/>
  <c r="AH98" i="5" s="1"/>
  <c r="AI98" i="5" s="1"/>
  <c r="AC98" i="5"/>
  <c r="BD99" i="5"/>
  <c r="BU101" i="5"/>
  <c r="BV101" i="5" s="1"/>
  <c r="BT102" i="5"/>
  <c r="AJ109" i="16" l="1"/>
  <c r="A1245" i="16" s="1"/>
  <c r="AE24" i="16"/>
  <c r="A945" i="16" s="1"/>
  <c r="A840" i="16"/>
  <c r="B482" i="5"/>
  <c r="V23" i="16"/>
  <c r="AB23" i="16" s="1"/>
  <c r="AL109" i="16"/>
  <c r="A1453" i="16" s="1"/>
  <c r="AD109" i="16"/>
  <c r="AI109" i="16"/>
  <c r="A1131" i="16" s="1"/>
  <c r="AH109" i="16"/>
  <c r="A924" i="16"/>
  <c r="AE108" i="16"/>
  <c r="A1029" i="16" s="1"/>
  <c r="A709" i="16"/>
  <c r="Q110" i="16"/>
  <c r="R110" i="16" s="1"/>
  <c r="AA110" i="16" s="1"/>
  <c r="V109" i="16"/>
  <c r="AB109" i="16" s="1"/>
  <c r="CY26" i="5"/>
  <c r="BO96" i="5"/>
  <c r="BN97" i="5"/>
  <c r="BF96" i="5"/>
  <c r="BG96" i="5" s="1"/>
  <c r="AJ98" i="5"/>
  <c r="AE108" i="5"/>
  <c r="AF107" i="5"/>
  <c r="CW25" i="5"/>
  <c r="CO24" i="5"/>
  <c r="CV25" i="5"/>
  <c r="AV105" i="9"/>
  <c r="BC106" i="9"/>
  <c r="BB106" i="9"/>
  <c r="AL106" i="9"/>
  <c r="AZ106" i="9"/>
  <c r="BA106" i="9"/>
  <c r="AX106" i="9"/>
  <c r="AW106" i="9"/>
  <c r="AH106" i="9"/>
  <c r="AI106" i="9" s="1"/>
  <c r="AJ106" i="9" s="1"/>
  <c r="AD106" i="9"/>
  <c r="AM106" i="9" s="1"/>
  <c r="CQ108" i="9"/>
  <c r="CP108" i="9"/>
  <c r="CL109" i="9"/>
  <c r="CH110" i="9"/>
  <c r="CI110" i="9" s="1"/>
  <c r="AT110" i="9"/>
  <c r="AY110" i="9" s="1"/>
  <c r="AU109" i="9"/>
  <c r="BL110" i="9"/>
  <c r="BM110" i="9" s="1"/>
  <c r="BN110" i="9" s="1"/>
  <c r="BE98" i="5"/>
  <c r="BE107" i="8"/>
  <c r="BF106" i="8"/>
  <c r="AV107" i="8"/>
  <c r="AT107" i="8"/>
  <c r="AW106" i="8" s="1"/>
  <c r="AS108" i="8"/>
  <c r="AX106" i="8"/>
  <c r="AF106" i="8"/>
  <c r="AG106" i="8" s="1"/>
  <c r="AH106" i="8" s="1"/>
  <c r="AB106" i="8"/>
  <c r="AK106" i="8" s="1"/>
  <c r="AJ106" i="8" s="1"/>
  <c r="AU106" i="8"/>
  <c r="AY106" i="8"/>
  <c r="BK105" i="8"/>
  <c r="BO105" i="8" s="1"/>
  <c r="BP105" i="8" s="1"/>
  <c r="AI105" i="8"/>
  <c r="AL98" i="5"/>
  <c r="BH99" i="5"/>
  <c r="AC99" i="5"/>
  <c r="BC99" i="5"/>
  <c r="AG99" i="5"/>
  <c r="AH99" i="5" s="1"/>
  <c r="AI99" i="5" s="1"/>
  <c r="BD100" i="5"/>
  <c r="BU102" i="5"/>
  <c r="BV102" i="5" s="1"/>
  <c r="BT103" i="5"/>
  <c r="AK109" i="16" l="1"/>
  <c r="A1349" i="16" s="1"/>
  <c r="B481" i="5"/>
  <c r="V22" i="16"/>
  <c r="AB22" i="16" s="1"/>
  <c r="AE23" i="16"/>
  <c r="A944" i="16" s="1"/>
  <c r="A839" i="16"/>
  <c r="AJ110" i="16"/>
  <c r="AL110" i="16" s="1"/>
  <c r="A1454" i="16" s="1"/>
  <c r="AF110" i="16"/>
  <c r="AG110" i="16" s="1"/>
  <c r="AH110" i="16" s="1"/>
  <c r="A1246" i="16"/>
  <c r="AD110" i="16"/>
  <c r="AI110" i="16"/>
  <c r="A1132" i="16" s="1"/>
  <c r="A925" i="16"/>
  <c r="AE109" i="16"/>
  <c r="A1030" i="16" s="1"/>
  <c r="A710" i="16"/>
  <c r="V110" i="16"/>
  <c r="AB110" i="16" s="1"/>
  <c r="CY25" i="5"/>
  <c r="AJ99" i="5"/>
  <c r="BO97" i="5"/>
  <c r="BN98" i="5"/>
  <c r="BF97" i="5"/>
  <c r="BG97" i="5" s="1"/>
  <c r="AE109" i="5"/>
  <c r="AF108" i="5"/>
  <c r="CW24" i="5"/>
  <c r="CO23" i="5"/>
  <c r="CV24" i="5"/>
  <c r="AK106" i="9"/>
  <c r="CQ109" i="9"/>
  <c r="CP109" i="9"/>
  <c r="BC107" i="9"/>
  <c r="AX107" i="9"/>
  <c r="AH107" i="9"/>
  <c r="AI107" i="9" s="1"/>
  <c r="AJ107" i="9" s="1"/>
  <c r="AZ107" i="9"/>
  <c r="BA107" i="9"/>
  <c r="AW107" i="9"/>
  <c r="AL107" i="9"/>
  <c r="AD107" i="9"/>
  <c r="AM107" i="9" s="1"/>
  <c r="AV106" i="9"/>
  <c r="BB107" i="9"/>
  <c r="CL110" i="9"/>
  <c r="CH111" i="9"/>
  <c r="CI111" i="9" s="1"/>
  <c r="AT111" i="9"/>
  <c r="AY111" i="9" s="1"/>
  <c r="AU110" i="9"/>
  <c r="BL111" i="9"/>
  <c r="BM111" i="9" s="1"/>
  <c r="BN111" i="9" s="1"/>
  <c r="BE108" i="8"/>
  <c r="BF107" i="8"/>
  <c r="BK106" i="8"/>
  <c r="BO106" i="8" s="1"/>
  <c r="BP106" i="8" s="1"/>
  <c r="AV108" i="8"/>
  <c r="AT108" i="8"/>
  <c r="AW107" i="8" s="1"/>
  <c r="AS109" i="8"/>
  <c r="AX107" i="8"/>
  <c r="AF107" i="8"/>
  <c r="AG107" i="8" s="1"/>
  <c r="AH107" i="8" s="1"/>
  <c r="AB107" i="8"/>
  <c r="AK107" i="8" s="1"/>
  <c r="AJ107" i="8" s="1"/>
  <c r="AY107" i="8"/>
  <c r="AU107" i="8"/>
  <c r="AI106" i="8"/>
  <c r="AL99" i="5"/>
  <c r="BE99" i="5"/>
  <c r="BD101" i="5"/>
  <c r="BH100" i="5"/>
  <c r="BC100" i="5"/>
  <c r="AG100" i="5"/>
  <c r="AH100" i="5" s="1"/>
  <c r="AI100" i="5" s="1"/>
  <c r="AC100" i="5"/>
  <c r="BU103" i="5"/>
  <c r="BV103" i="5" s="1"/>
  <c r="BT104" i="5"/>
  <c r="B480" i="5" l="1"/>
  <c r="V21" i="16"/>
  <c r="AB21" i="16" s="1"/>
  <c r="AE22" i="16"/>
  <c r="A943" i="16" s="1"/>
  <c r="A838" i="16"/>
  <c r="AK110" i="16"/>
  <c r="A1350" i="16" s="1"/>
  <c r="A926" i="16"/>
  <c r="AE110" i="16"/>
  <c r="A1031" i="16" s="1"/>
  <c r="CY24" i="5"/>
  <c r="BO98" i="5"/>
  <c r="B428" i="5" s="1"/>
  <c r="BF98" i="5"/>
  <c r="BG98" i="5" s="1"/>
  <c r="BN99" i="5"/>
  <c r="AJ100" i="5"/>
  <c r="AE110" i="5"/>
  <c r="AF109" i="5"/>
  <c r="CW23" i="5"/>
  <c r="CO22" i="5"/>
  <c r="CV23" i="5"/>
  <c r="CQ110" i="9"/>
  <c r="CP110" i="9"/>
  <c r="AZ108" i="9"/>
  <c r="BA108" i="9"/>
  <c r="AX108" i="9"/>
  <c r="AD108" i="9"/>
  <c r="AM108" i="9" s="1"/>
  <c r="AL108" i="9"/>
  <c r="AV108" i="9"/>
  <c r="BC108" i="9"/>
  <c r="BB108" i="9"/>
  <c r="AW108" i="9"/>
  <c r="AH108" i="9"/>
  <c r="AI108" i="9" s="1"/>
  <c r="AJ108" i="9" s="1"/>
  <c r="AK108" i="9" s="1"/>
  <c r="AV107" i="9"/>
  <c r="AK107" i="9"/>
  <c r="B193" i="9"/>
  <c r="CL111" i="9"/>
  <c r="CH112" i="9"/>
  <c r="CI112" i="9" s="1"/>
  <c r="BL112" i="9"/>
  <c r="BM112" i="9" s="1"/>
  <c r="BN112" i="9" s="1"/>
  <c r="AT112" i="9"/>
  <c r="AY112" i="9" s="1"/>
  <c r="AU111" i="9"/>
  <c r="BE109" i="8"/>
  <c r="BF108" i="8"/>
  <c r="AV109" i="8"/>
  <c r="AT109" i="8"/>
  <c r="AW108" i="8" s="1"/>
  <c r="AS110" i="8"/>
  <c r="AX108" i="8"/>
  <c r="AF108" i="8"/>
  <c r="AG108" i="8" s="1"/>
  <c r="AH108" i="8" s="1"/>
  <c r="AB108" i="8"/>
  <c r="AK108" i="8" s="1"/>
  <c r="AJ108" i="8" s="1"/>
  <c r="AU108" i="8"/>
  <c r="AY108" i="8"/>
  <c r="BK107" i="8"/>
  <c r="BO107" i="8" s="1"/>
  <c r="BP107" i="8" s="1"/>
  <c r="AI107" i="8"/>
  <c r="AL100" i="5"/>
  <c r="BE100" i="5"/>
  <c r="BH101" i="5"/>
  <c r="AC101" i="5"/>
  <c r="BC101" i="5"/>
  <c r="AG101" i="5"/>
  <c r="AH101" i="5" s="1"/>
  <c r="AI101" i="5" s="1"/>
  <c r="BD102" i="5"/>
  <c r="BE101" i="5"/>
  <c r="BU104" i="5"/>
  <c r="BV104" i="5" s="1"/>
  <c r="BT105" i="5"/>
  <c r="AJ101" i="5" l="1"/>
  <c r="B479" i="5"/>
  <c r="V20" i="16"/>
  <c r="AB20" i="16" s="1"/>
  <c r="AE21" i="16"/>
  <c r="A942" i="16" s="1"/>
  <c r="A837" i="16"/>
  <c r="BO99" i="5"/>
  <c r="BF99" i="5"/>
  <c r="BG99" i="5" s="1"/>
  <c r="BN100" i="5"/>
  <c r="AE111" i="5"/>
  <c r="AF110" i="5"/>
  <c r="CY23" i="5"/>
  <c r="CW22" i="5"/>
  <c r="CO21" i="5"/>
  <c r="CV22" i="5"/>
  <c r="BC109" i="9"/>
  <c r="AX109" i="9"/>
  <c r="AW109" i="9"/>
  <c r="AZ109" i="9"/>
  <c r="BA109" i="9"/>
  <c r="BB109" i="9"/>
  <c r="AL109" i="9"/>
  <c r="AD109" i="9"/>
  <c r="AM109" i="9" s="1"/>
  <c r="AH109" i="9"/>
  <c r="AI109" i="9" s="1"/>
  <c r="AJ109" i="9" s="1"/>
  <c r="CQ111" i="9"/>
  <c r="CP111" i="9"/>
  <c r="CL112" i="9"/>
  <c r="CH113" i="9"/>
  <c r="CI113" i="9" s="1"/>
  <c r="AT113" i="9"/>
  <c r="AY113" i="9" s="1"/>
  <c r="AU112" i="9"/>
  <c r="BL113" i="9"/>
  <c r="BM113" i="9" s="1"/>
  <c r="BN113" i="9" s="1"/>
  <c r="AI108" i="8"/>
  <c r="BE110" i="8"/>
  <c r="BF109" i="8"/>
  <c r="AX109" i="8"/>
  <c r="AF109" i="8"/>
  <c r="AG109" i="8" s="1"/>
  <c r="AH109" i="8" s="1"/>
  <c r="AB109" i="8"/>
  <c r="AK109" i="8" s="1"/>
  <c r="AJ109" i="8" s="1"/>
  <c r="AY109" i="8"/>
  <c r="AU109" i="8"/>
  <c r="BK108" i="8"/>
  <c r="BO108" i="8" s="1"/>
  <c r="BP108" i="8" s="1"/>
  <c r="AV110" i="8"/>
  <c r="AT110" i="8"/>
  <c r="AW109" i="8" s="1"/>
  <c r="AS111" i="8"/>
  <c r="AL101" i="5"/>
  <c r="BH102" i="5"/>
  <c r="BC102" i="5"/>
  <c r="AG102" i="5"/>
  <c r="AH102" i="5" s="1"/>
  <c r="AI102" i="5" s="1"/>
  <c r="AC102" i="5"/>
  <c r="BD103" i="5"/>
  <c r="BU105" i="5"/>
  <c r="BV105" i="5" s="1"/>
  <c r="BT106" i="5"/>
  <c r="B478" i="5" l="1"/>
  <c r="V19" i="16"/>
  <c r="AB19" i="16" s="1"/>
  <c r="A836" i="16"/>
  <c r="AE20" i="16"/>
  <c r="A941" i="16" s="1"/>
  <c r="BO100" i="5"/>
  <c r="BF100" i="5"/>
  <c r="BG100" i="5" s="1"/>
  <c r="BN101" i="5"/>
  <c r="AJ102" i="5"/>
  <c r="AE112" i="5"/>
  <c r="AF111" i="5"/>
  <c r="CY22" i="5"/>
  <c r="CW21" i="5"/>
  <c r="CO20" i="5"/>
  <c r="CV21" i="5"/>
  <c r="B282" i="5"/>
  <c r="AZ111" i="9"/>
  <c r="AZ110" i="9"/>
  <c r="BA110" i="9"/>
  <c r="AX110" i="9"/>
  <c r="AW110" i="9"/>
  <c r="AH110" i="9"/>
  <c r="AI110" i="9" s="1"/>
  <c r="AJ110" i="9" s="1"/>
  <c r="AL110" i="9"/>
  <c r="AV109" i="9"/>
  <c r="BC110" i="9"/>
  <c r="BB110" i="9"/>
  <c r="AD110" i="9"/>
  <c r="AM110" i="9" s="1"/>
  <c r="AW111" i="9"/>
  <c r="AK109" i="9"/>
  <c r="B241" i="9"/>
  <c r="CQ112" i="9"/>
  <c r="CP112" i="9"/>
  <c r="AD111" i="9"/>
  <c r="AM111" i="9" s="1"/>
  <c r="BB111" i="9"/>
  <c r="CL113" i="9"/>
  <c r="CH114" i="9"/>
  <c r="CI114" i="9" s="1"/>
  <c r="BL114" i="9"/>
  <c r="BM114" i="9" s="1"/>
  <c r="BN114" i="9" s="1"/>
  <c r="AT114" i="9"/>
  <c r="AY114" i="9" s="1"/>
  <c r="AW114" i="9" s="1"/>
  <c r="AU113" i="9"/>
  <c r="BE111" i="8"/>
  <c r="BF110" i="8"/>
  <c r="AI109" i="8"/>
  <c r="AX110" i="8"/>
  <c r="AF110" i="8"/>
  <c r="AG110" i="8" s="1"/>
  <c r="AH110" i="8" s="1"/>
  <c r="AB110" i="8"/>
  <c r="AK110" i="8" s="1"/>
  <c r="AJ110" i="8" s="1"/>
  <c r="AU110" i="8"/>
  <c r="AY110" i="8"/>
  <c r="BK109" i="8"/>
  <c r="BO109" i="8" s="1"/>
  <c r="BP109" i="8" s="1"/>
  <c r="AV111" i="8"/>
  <c r="AT111" i="8"/>
  <c r="AS112" i="8"/>
  <c r="AW110" i="8"/>
  <c r="AL102" i="5"/>
  <c r="BE102" i="5"/>
  <c r="BH103" i="5"/>
  <c r="BD104" i="5"/>
  <c r="BE103" i="5"/>
  <c r="AC103" i="5"/>
  <c r="BC103" i="5"/>
  <c r="AG103" i="5"/>
  <c r="AH103" i="5" s="1"/>
  <c r="AI103" i="5" s="1"/>
  <c r="BU106" i="5"/>
  <c r="BV106" i="5" s="1"/>
  <c r="BT107" i="5"/>
  <c r="B477" i="5" l="1"/>
  <c r="V18" i="16"/>
  <c r="AB18" i="16" s="1"/>
  <c r="A835" i="16"/>
  <c r="AE19" i="16"/>
  <c r="A940" i="16" s="1"/>
  <c r="BO101" i="5"/>
  <c r="BF101" i="5"/>
  <c r="BG101" i="5" s="1"/>
  <c r="BN102" i="5"/>
  <c r="CY21" i="5"/>
  <c r="AJ103" i="5"/>
  <c r="AE113" i="5"/>
  <c r="AF112" i="5"/>
  <c r="B413" i="5" s="1"/>
  <c r="CW20" i="5"/>
  <c r="CO19" i="5"/>
  <c r="CV20" i="5"/>
  <c r="AX111" i="9"/>
  <c r="BA111" i="9"/>
  <c r="AL111" i="9"/>
  <c r="BC111" i="9"/>
  <c r="AH111" i="9"/>
  <c r="AI111" i="9" s="1"/>
  <c r="AJ111" i="9" s="1"/>
  <c r="AK111" i="9" s="1"/>
  <c r="AV110" i="9"/>
  <c r="AK110" i="9"/>
  <c r="CQ113" i="9"/>
  <c r="CP113" i="9"/>
  <c r="B194" i="9"/>
  <c r="CL114" i="9"/>
  <c r="AU114" i="9"/>
  <c r="BE112" i="8"/>
  <c r="BF111" i="8"/>
  <c r="AI110" i="8"/>
  <c r="AV112" i="8"/>
  <c r="AT112" i="8"/>
  <c r="AW111" i="8" s="1"/>
  <c r="AS113" i="8"/>
  <c r="AX111" i="8"/>
  <c r="AF111" i="8"/>
  <c r="AG111" i="8" s="1"/>
  <c r="AH111" i="8" s="1"/>
  <c r="AB111" i="8"/>
  <c r="AK111" i="8" s="1"/>
  <c r="AJ111" i="8" s="1"/>
  <c r="AY111" i="8"/>
  <c r="AU111" i="8"/>
  <c r="BK110" i="8"/>
  <c r="BO110" i="8" s="1"/>
  <c r="BP110" i="8" s="1"/>
  <c r="AL103" i="5"/>
  <c r="BH104" i="5"/>
  <c r="B128" i="3"/>
  <c r="BC104" i="5"/>
  <c r="AG104" i="5"/>
  <c r="AH104" i="5" s="1"/>
  <c r="AI104" i="5" s="1"/>
  <c r="AC104" i="5"/>
  <c r="BE104" i="5"/>
  <c r="BD105" i="5"/>
  <c r="BU107" i="5"/>
  <c r="BV107" i="5" s="1"/>
  <c r="BT108" i="5"/>
  <c r="B476" i="5" l="1"/>
  <c r="V17" i="16"/>
  <c r="AB17" i="16" s="1"/>
  <c r="A834" i="16"/>
  <c r="AE18" i="16"/>
  <c r="A939" i="16" s="1"/>
  <c r="BO102" i="5"/>
  <c r="BN103" i="5"/>
  <c r="BF102" i="5"/>
  <c r="BG102" i="5" s="1"/>
  <c r="AJ104" i="5"/>
  <c r="B348" i="5" s="1"/>
  <c r="AE114" i="5"/>
  <c r="AF114" i="5" s="1"/>
  <c r="AF113" i="5"/>
  <c r="CY20" i="5"/>
  <c r="CW19" i="5"/>
  <c r="CO18" i="5"/>
  <c r="CV19" i="5"/>
  <c r="B380" i="5"/>
  <c r="B302" i="9"/>
  <c r="B242" i="9"/>
  <c r="CQ114" i="9"/>
  <c r="CP114" i="9"/>
  <c r="BC112" i="9"/>
  <c r="AX112" i="9"/>
  <c r="AH112" i="9"/>
  <c r="AI112" i="9" s="1"/>
  <c r="AJ112" i="9" s="1"/>
  <c r="AZ112" i="9"/>
  <c r="BA112" i="9"/>
  <c r="BB112" i="9"/>
  <c r="AL112" i="9"/>
  <c r="B318" i="9" s="1"/>
  <c r="AD112" i="9"/>
  <c r="AM112" i="9" s="1"/>
  <c r="AV111" i="9"/>
  <c r="AW112" i="9"/>
  <c r="BE113" i="8"/>
  <c r="BF112" i="8"/>
  <c r="B242" i="8" s="1"/>
  <c r="AI111" i="8"/>
  <c r="B189" i="8" s="1"/>
  <c r="BK111" i="8"/>
  <c r="BO111" i="8" s="1"/>
  <c r="BP111" i="8" s="1"/>
  <c r="AV113" i="8"/>
  <c r="AT113" i="8"/>
  <c r="AW112" i="8" s="1"/>
  <c r="AS114" i="8"/>
  <c r="AX112" i="8"/>
  <c r="AF112" i="8"/>
  <c r="AG112" i="8" s="1"/>
  <c r="AB112" i="8"/>
  <c r="AK112" i="8" s="1"/>
  <c r="AJ112" i="8" s="1"/>
  <c r="B205" i="8" s="1"/>
  <c r="AU112" i="8"/>
  <c r="AY112" i="8"/>
  <c r="AL104" i="5"/>
  <c r="BH105" i="5"/>
  <c r="BD106" i="5"/>
  <c r="AC105" i="5"/>
  <c r="BC105" i="5"/>
  <c r="AG105" i="5"/>
  <c r="AH105" i="5" s="1"/>
  <c r="AI105" i="5" s="1"/>
  <c r="AJ105" i="5" s="1"/>
  <c r="BE105" i="5"/>
  <c r="BU108" i="5"/>
  <c r="BV108" i="5" s="1"/>
  <c r="BT109" i="5"/>
  <c r="A833" i="16" l="1"/>
  <c r="AE17" i="16"/>
  <c r="A938" i="16" s="1"/>
  <c r="B475" i="5"/>
  <c r="V16" i="16"/>
  <c r="AB16" i="16" s="1"/>
  <c r="BO103" i="5"/>
  <c r="BN104" i="5"/>
  <c r="BF103" i="5"/>
  <c r="BG103" i="5" s="1"/>
  <c r="B414" i="5"/>
  <c r="CY19" i="5"/>
  <c r="B474" i="5" s="1"/>
  <c r="CW18" i="5"/>
  <c r="CY18" i="5"/>
  <c r="CV18" i="5"/>
  <c r="CO17" i="5"/>
  <c r="AV113" i="9"/>
  <c r="AV112" i="9"/>
  <c r="BC113" i="9"/>
  <c r="AZ113" i="9"/>
  <c r="BA113" i="9"/>
  <c r="AX113" i="9"/>
  <c r="AW113" i="9"/>
  <c r="AH113" i="9"/>
  <c r="AI113" i="9" s="1"/>
  <c r="AJ113" i="9" s="1"/>
  <c r="BB113" i="9"/>
  <c r="AL113" i="9"/>
  <c r="AD113" i="9"/>
  <c r="AM113" i="9" s="1"/>
  <c r="AK112" i="9"/>
  <c r="BE114" i="8"/>
  <c r="BF114" i="8" s="1"/>
  <c r="BF113" i="8"/>
  <c r="AX113" i="8"/>
  <c r="AF113" i="8"/>
  <c r="AG113" i="8" s="1"/>
  <c r="AH113" i="8" s="1"/>
  <c r="AB113" i="8"/>
  <c r="AK113" i="8" s="1"/>
  <c r="AJ113" i="8" s="1"/>
  <c r="AY113" i="8"/>
  <c r="AU113" i="8"/>
  <c r="BK112" i="8"/>
  <c r="BO112" i="8" s="1"/>
  <c r="BP112" i="8" s="1"/>
  <c r="AV114" i="8"/>
  <c r="AT114" i="8"/>
  <c r="AW113" i="8" s="1"/>
  <c r="AH112" i="8"/>
  <c r="AI112" i="8" s="1"/>
  <c r="AL105" i="5"/>
  <c r="BH106" i="5"/>
  <c r="BC106" i="5"/>
  <c r="AG106" i="5"/>
  <c r="AH106" i="5" s="1"/>
  <c r="AI106" i="5" s="1"/>
  <c r="AC106" i="5"/>
  <c r="BD107" i="5"/>
  <c r="BE106" i="5"/>
  <c r="BU109" i="5"/>
  <c r="BV109" i="5" s="1"/>
  <c r="BT110" i="5"/>
  <c r="AE16" i="16" l="1"/>
  <c r="A937" i="16" s="1"/>
  <c r="A832" i="16"/>
  <c r="BO104" i="5"/>
  <c r="BN105" i="5"/>
  <c r="BF104" i="5"/>
  <c r="BG104" i="5" s="1"/>
  <c r="AJ106" i="5"/>
  <c r="B473" i="5"/>
  <c r="CW17" i="5"/>
  <c r="CY17" i="5"/>
  <c r="CV17" i="5"/>
  <c r="CO16" i="5"/>
  <c r="CY16" i="5" s="1"/>
  <c r="AK113" i="9"/>
  <c r="AZ114" i="9"/>
  <c r="BA114" i="9"/>
  <c r="AV114" i="9"/>
  <c r="BC114" i="9"/>
  <c r="AX114" i="9"/>
  <c r="AH114" i="9"/>
  <c r="AI114" i="9" s="1"/>
  <c r="AJ114" i="9" s="1"/>
  <c r="BB114" i="9"/>
  <c r="AL114" i="9"/>
  <c r="B319" i="9" s="1"/>
  <c r="AD114" i="9"/>
  <c r="AM114" i="9" s="1"/>
  <c r="B243" i="8"/>
  <c r="AW114" i="8"/>
  <c r="AI113" i="8"/>
  <c r="AX114" i="8"/>
  <c r="AF114" i="8"/>
  <c r="AG114" i="8" s="1"/>
  <c r="AH114" i="8" s="1"/>
  <c r="AB114" i="8"/>
  <c r="AK114" i="8" s="1"/>
  <c r="AJ114" i="8" s="1"/>
  <c r="B206" i="8" s="1"/>
  <c r="AU114" i="8"/>
  <c r="AY114" i="8"/>
  <c r="BK113" i="8"/>
  <c r="BO113" i="8" s="1"/>
  <c r="BP113" i="8" s="1"/>
  <c r="AL106" i="5"/>
  <c r="BH107" i="5"/>
  <c r="BD108" i="5"/>
  <c r="AC107" i="5"/>
  <c r="BC107" i="5"/>
  <c r="AG107" i="5"/>
  <c r="AH107" i="5" s="1"/>
  <c r="AI107" i="5" s="1"/>
  <c r="AJ107" i="5" s="1"/>
  <c r="BU110" i="5"/>
  <c r="BV110" i="5" s="1"/>
  <c r="BT111" i="5"/>
  <c r="BO105" i="5" l="1"/>
  <c r="B429" i="5" s="1"/>
  <c r="BN106" i="5"/>
  <c r="BF105" i="5"/>
  <c r="BG105" i="5" s="1"/>
  <c r="B472" i="5"/>
  <c r="CW16" i="5"/>
  <c r="CO15" i="5"/>
  <c r="CY15" i="5" s="1"/>
  <c r="CV16" i="5"/>
  <c r="AK114" i="9"/>
  <c r="B303" i="9" s="1"/>
  <c r="AI114" i="8"/>
  <c r="B190" i="8" s="1"/>
  <c r="BK114" i="8"/>
  <c r="BO114" i="8" s="1"/>
  <c r="BP114" i="8" s="1"/>
  <c r="AL107" i="5"/>
  <c r="BE107" i="5"/>
  <c r="BH108" i="5"/>
  <c r="BD109" i="5"/>
  <c r="BC108" i="5"/>
  <c r="AG108" i="5"/>
  <c r="AH108" i="5" s="1"/>
  <c r="AI108" i="5" s="1"/>
  <c r="AC108" i="5"/>
  <c r="BU111" i="5"/>
  <c r="BV111" i="5" s="1"/>
  <c r="BT112" i="5"/>
  <c r="BO106" i="5" l="1"/>
  <c r="BN107" i="5"/>
  <c r="BF106" i="5"/>
  <c r="BG106" i="5" s="1"/>
  <c r="AJ108" i="5"/>
  <c r="B469" i="5"/>
  <c r="B570" i="5"/>
  <c r="B471" i="5"/>
  <c r="CW15" i="5"/>
  <c r="CV15" i="5"/>
  <c r="AL108" i="5"/>
  <c r="BE108" i="5"/>
  <c r="BH109" i="5"/>
  <c r="BD110" i="5"/>
  <c r="AC109" i="5"/>
  <c r="BC109" i="5"/>
  <c r="AG109" i="5"/>
  <c r="AH109" i="5" s="1"/>
  <c r="AI109" i="5" s="1"/>
  <c r="AJ109" i="5" s="1"/>
  <c r="BU112" i="5"/>
  <c r="BV112" i="5" s="1"/>
  <c r="BT113" i="5"/>
  <c r="BO107" i="5" l="1"/>
  <c r="BF107" i="5"/>
  <c r="BG107" i="5" s="1"/>
  <c r="BN108" i="5"/>
  <c r="B470" i="5"/>
  <c r="AL109" i="5"/>
  <c r="BE109" i="5"/>
  <c r="BH110" i="5"/>
  <c r="BD111" i="5"/>
  <c r="BC110" i="5"/>
  <c r="AG110" i="5"/>
  <c r="AH110" i="5" s="1"/>
  <c r="AI110" i="5" s="1"/>
  <c r="AC110" i="5"/>
  <c r="BU113" i="5"/>
  <c r="BV113" i="5" s="1"/>
  <c r="BT114" i="5"/>
  <c r="BU114" i="5" s="1"/>
  <c r="BO108" i="5" l="1"/>
  <c r="BF108" i="5"/>
  <c r="BG108" i="5" s="1"/>
  <c r="BN109" i="5"/>
  <c r="AJ110" i="5"/>
  <c r="AL110" i="5"/>
  <c r="BE110" i="5"/>
  <c r="BH111" i="5"/>
  <c r="B129" i="3"/>
  <c r="B283" i="5"/>
  <c r="BD112" i="5"/>
  <c r="AC111" i="5"/>
  <c r="BC111" i="5"/>
  <c r="AG111" i="5"/>
  <c r="AH111" i="5" s="1"/>
  <c r="AI111" i="5" s="1"/>
  <c r="BY114" i="5"/>
  <c r="B800" i="5" s="1"/>
  <c r="BV114" i="5"/>
  <c r="BO109" i="5" l="1"/>
  <c r="BF109" i="5"/>
  <c r="BG109" i="5" s="1"/>
  <c r="BN110" i="5"/>
  <c r="AJ111" i="5"/>
  <c r="B349" i="5" s="1"/>
  <c r="B381" i="5"/>
  <c r="AL111" i="5"/>
  <c r="BH112" i="5"/>
  <c r="BE111" i="5"/>
  <c r="BE112" i="5"/>
  <c r="BD113" i="5"/>
  <c r="BC112" i="5"/>
  <c r="AG112" i="5"/>
  <c r="AH112" i="5" s="1"/>
  <c r="AI112" i="5" s="1"/>
  <c r="AC112" i="5"/>
  <c r="BO110" i="5" l="1"/>
  <c r="BF110" i="5"/>
  <c r="BG110" i="5" s="1"/>
  <c r="BN111" i="5"/>
  <c r="AJ112" i="5"/>
  <c r="AL112" i="5"/>
  <c r="BH113" i="5"/>
  <c r="BD114" i="5"/>
  <c r="AC113" i="5"/>
  <c r="BC113" i="5"/>
  <c r="AG113" i="5"/>
  <c r="AH113" i="5" s="1"/>
  <c r="AI113" i="5" s="1"/>
  <c r="BH114" i="5"/>
  <c r="BO111" i="5" l="1"/>
  <c r="BF111" i="5"/>
  <c r="BG111" i="5" s="1"/>
  <c r="BN112" i="5"/>
  <c r="AJ113" i="5"/>
  <c r="B382" i="5"/>
  <c r="B130" i="3"/>
  <c r="AL113" i="5"/>
  <c r="BE113" i="5"/>
  <c r="BE114" i="5"/>
  <c r="BC114" i="5"/>
  <c r="AG114" i="5"/>
  <c r="AH114" i="5" s="1"/>
  <c r="AI114" i="5" s="1"/>
  <c r="AJ114" i="5" s="1"/>
  <c r="BO112" i="5" l="1"/>
  <c r="B430" i="5" s="1"/>
  <c r="BF112" i="5"/>
  <c r="BG112" i="5" s="1"/>
  <c r="BN113" i="5"/>
  <c r="B140" i="9"/>
  <c r="B140" i="8"/>
  <c r="AL114" i="5"/>
  <c r="B350" i="5"/>
  <c r="B284" i="5"/>
  <c r="B270" i="5"/>
  <c r="BO113" i="5" l="1"/>
  <c r="BF113" i="5"/>
  <c r="BG113" i="5" s="1"/>
  <c r="BN114" i="5"/>
  <c r="B116" i="3"/>
  <c r="BO114" i="5" l="1"/>
  <c r="B431" i="5" s="1"/>
  <c r="BF114" i="5"/>
  <c r="BG114" i="5" s="1"/>
</calcChain>
</file>

<file path=xl/comments1.xml><?xml version="1.0" encoding="utf-8"?>
<comments xmlns="http://schemas.openxmlformats.org/spreadsheetml/2006/main">
  <authors>
    <author>ALEJO</author>
  </authors>
  <commentList>
    <comment ref="CG18" authorId="0" shapeId="0">
      <text>
        <r>
          <rPr>
            <sz val="9"/>
            <color indexed="81"/>
            <rFont val="Tahoma"/>
            <family val="2"/>
          </rPr>
          <t>Timestamp has no code here</t>
        </r>
      </text>
    </comment>
  </commentList>
</comments>
</file>

<file path=xl/comments2.xml><?xml version="1.0" encoding="utf-8"?>
<comments xmlns="http://schemas.openxmlformats.org/spreadsheetml/2006/main">
  <authors>
    <author>ALEJO</author>
  </authors>
  <commentList>
    <comment ref="DG14" authorId="0" shapeId="0">
      <text>
        <r>
          <rPr>
            <sz val="9"/>
            <color indexed="81"/>
            <rFont val="Tahoma"/>
            <family val="2"/>
          </rPr>
          <t>This code is for fieldcreator2 sheet</t>
        </r>
      </text>
    </comment>
  </commentList>
</comments>
</file>

<file path=xl/sharedStrings.xml><?xml version="1.0" encoding="utf-8"?>
<sst xmlns="http://schemas.openxmlformats.org/spreadsheetml/2006/main" count="4020" uniqueCount="1359">
  <si>
    <t>Funcion nombre</t>
  </si>
  <si>
    <t>NOMBRE CAMPO</t>
  </si>
  <si>
    <t>ID</t>
  </si>
  <si>
    <t>Obligado?</t>
  </si>
  <si>
    <t xml:space="preserve"> where </t>
  </si>
  <si>
    <t>." ".$</t>
  </si>
  <si>
    <t>&lt;/div&gt;</t>
  </si>
  <si>
    <t>echo '&lt;div id="close" style="display:none"&gt;close&lt;/div&gt;';</t>
  </si>
  <si>
    <t>Id de div aviso1</t>
  </si>
  <si>
    <t>check</t>
  </si>
  <si>
    <t>Esconder al</t>
  </si>
  <si>
    <t>MySQLFields</t>
  </si>
  <si>
    <t>Field7</t>
  </si>
  <si>
    <t xml:space="preserve">function </t>
  </si>
  <si>
    <t>(</t>
  </si>
  <si>
    <t>{document.getElementById("</t>
  </si>
  <si>
    <t>"&gt;&lt;/div&gt;</t>
  </si>
  <si>
    <t>?</t>
  </si>
  <si>
    <t>&lt;?php //</t>
  </si>
  <si>
    <t>if (isset($_GET['</t>
  </si>
  <si>
    <t>$con=mysql_connect('localhost','</t>
  </si>
  <si>
    <t xml:space="preserve"> WHERE </t>
  </si>
  <si>
    <t>)";</t>
  </si>
  <si>
    <t xml:space="preserve">echo '  </t>
  </si>
  <si>
    <t>si</t>
  </si>
  <si>
    <t>php file</t>
  </si>
  <si>
    <t>grabar?</t>
  </si>
  <si>
    <t>Field1</t>
  </si>
  <si>
    <t>Field8</t>
  </si>
  <si>
    <t>if (</t>
  </si>
  <si>
    <t>)</t>
  </si>
  <si>
    <t>xmlhttp.open("GET","</t>
  </si>
  <si>
    <t>document.getElementById('</t>
  </si>
  <si>
    <t>'])) {$</t>
  </si>
  <si>
    <t>'"); $row_ae = mysql_fetch_array($already_exist_result);</t>
  </si>
  <si>
    <t>='$</t>
  </si>
  <si>
    <t xml:space="preserve">  '.$</t>
  </si>
  <si>
    <t>Servidor</t>
  </si>
  <si>
    <t>XAMPP</t>
  </si>
  <si>
    <t>Field2</t>
  </si>
  <si>
    <t>Field9</t>
  </si>
  <si>
    <t xml:space="preserve"> else </t>
  </si>
  <si>
    <t>+</t>
  </si>
  <si>
    <t>&lt;input type="text" id="</t>
  </si>
  <si>
    <t>=($_GET['</t>
  </si>
  <si>
    <t xml:space="preserve"> if (!$con)  {die('Could not connect: ' . mysql_error());}  mysql_select_db('</t>
  </si>
  <si>
    <t>$row_ae['</t>
  </si>
  <si>
    <t>"); $row_aeii = mysql_fetch_array($aeii_result);</t>
  </si>
  <si>
    <t>no</t>
  </si>
  <si>
    <t>Database</t>
  </si>
  <si>
    <t>Field3</t>
  </si>
  <si>
    <t>Field10</t>
  </si>
  <si>
    <t>==</t>
  </si>
  <si>
    <t>="+</t>
  </si>
  <si>
    <t>" name="</t>
  </si>
  <si>
    <t>']);}else $</t>
  </si>
  <si>
    <t>', $con);</t>
  </si>
  <si>
    <t>if (!empty($row_ae[0])) {echo "Ya existe un registro con los datos ".$</t>
  </si>
  <si>
    <t>else if (!empty($row_aeii[0])) {echo "Ya existe un registro con el valor ".$</t>
  </si>
  <si>
    <t>if (document.getElementById("close").innerHTML=="close") {document.getElementById("hiden1").style.display="none";}</t>
  </si>
  <si>
    <t>Table</t>
  </si>
  <si>
    <t>Field4</t>
  </si>
  <si>
    <t>Field11</t>
  </si>
  <si>
    <t>||</t>
  </si>
  <si>
    <t>{</t>
  </si>
  <si>
    <t>"</t>
  </si>
  <si>
    <t>" size="15" /&gt;&lt;br/&gt;</t>
  </si>
  <si>
    <t>='';</t>
  </si>
  <si>
    <t xml:space="preserve">$already_exist_result = mysql_query("SELECT * FROM </t>
  </si>
  <si>
    <t>."pero no coincide con ".</t>
  </si>
  <si>
    <t>//si hay multiples funciones cambiar hidden 2, hidden 3 etcetera, en script y e n body</t>
  </si>
  <si>
    <t>fieldAlreadyExist1</t>
  </si>
  <si>
    <t>id</t>
  </si>
  <si>
    <t>Field5</t>
  </si>
  <si>
    <t>Field12</t>
  </si>
  <si>
    <t>""</t>
  </si>
  <si>
    <t>healmy_5</t>
  </si>
  <si>
    <t>").innerHTML=xmlhttp.responseText;</t>
  </si>
  <si>
    <t>&amp;</t>
  </si>
  <si>
    <t>').value</t>
  </si>
  <si>
    <t>."&lt;br/&gt;";}</t>
  </si>
  <si>
    <t xml:space="preserve">$sql="INSERT INTO </t>
  </si>
  <si>
    <t>//lo mismo con close</t>
  </si>
  <si>
    <t>fieldAlreadyExistt2</t>
  </si>
  <si>
    <t>Field6</t>
  </si>
  <si>
    <t>Field13</t>
  </si>
  <si>
    <t>&lt;div id="</t>
  </si>
  <si>
    <t>&lt;input type="button" value="actualizar nombres" onclick="</t>
  </si>
  <si>
    <t xml:space="preserve">$aeii_result=mysql_query("SELECT * FROM </t>
  </si>
  <si>
    <t>VALUES (</t>
  </si>
  <si>
    <t>&lt;div id="hiden1"&gt;</t>
  </si>
  <si>
    <t>Dentro de head tag</t>
  </si>
  <si>
    <t>&lt;script&gt; //ajax protocol  for inserting MySQL table data</t>
  </si>
  <si>
    <t>{if (window.XMLHttpRequest){  xmlhttp=new XMLHttpRequest();  } else{  xmlhttp=new ActiveXObject("Microsoft.XMLHTTP");  }</t>
  </si>
  <si>
    <t xml:space="preserve">xmlhttp.onreadystatechange=function()  { if (xmlhttp.readyState==4 &amp;&amp; xmlhttp.status==200) </t>
  </si>
  <si>
    <t>,true);xmlhttp.send(); } }</t>
  </si>
  <si>
    <t>&lt;/script&gt;</t>
  </si>
  <si>
    <t>Dentro de body tag</t>
  </si>
  <si>
    <t xml:space="preserve"> WHERE doctype='$a' AND docnum='$b'"); $row_ae = mysql_fetch_array($already_exist_result);</t>
  </si>
  <si>
    <t>if (!empty($row_aeii[0])) {echo "Ya existe un registro con los datos ".$a." ".$b."&lt;br/&gt;";}</t>
  </si>
  <si>
    <t>)"/&gt;</t>
  </si>
  <si>
    <t>header("Cache-Control: no-store, no-cache, must-revalidate");</t>
  </si>
  <si>
    <t>// temporarily delete next slashes</t>
  </si>
  <si>
    <t>//echo "succesful AJAX conection";</t>
  </si>
  <si>
    <t>else {</t>
  </si>
  <si>
    <t>if (!mysql_query($sql,$con)) {die('Error: ' . mysql_error());} echo 'registro exitosamente grabado&lt;br/&gt;';</t>
  </si>
  <si>
    <t>}</t>
  </si>
  <si>
    <t>?&gt;</t>
  </si>
  <si>
    <t>mysql_select_db("</t>
  </si>
  <si>
    <t>INT</t>
  </si>
  <si>
    <t>", $con);</t>
  </si>
  <si>
    <t>VARCHAR</t>
  </si>
  <si>
    <t xml:space="preserve">$sql = "CREATE TABLE </t>
  </si>
  <si>
    <t>TEXT</t>
  </si>
  <si>
    <t>DATE</t>
  </si>
  <si>
    <t>BIGINT</t>
  </si>
  <si>
    <t>&lt;?php</t>
  </si>
  <si>
    <t>$con = mysql_connect('localhost','root','');if (!$con){die('Could not connect: ' . mysql_error());}</t>
  </si>
  <si>
    <t>database name</t>
  </si>
  <si>
    <t>must exist</t>
  </si>
  <si>
    <t>table name</t>
  </si>
  <si>
    <t>must be new</t>
  </si>
  <si>
    <t>name</t>
  </si>
  <si>
    <t>type</t>
  </si>
  <si>
    <t>Length</t>
  </si>
  <si>
    <t>mysql_query($sql,$con);</t>
  </si>
  <si>
    <t>mysql_close($con);</t>
  </si>
  <si>
    <t>Texto del campo</t>
  </si>
  <si>
    <t>Longitud</t>
  </si>
  <si>
    <t>&lt;?php //createtable.php</t>
  </si>
  <si>
    <t>Código de archivo createtable.php</t>
  </si>
  <si>
    <t>date</t>
  </si>
  <si>
    <t>TipoSQL</t>
  </si>
  <si>
    <t>TipoHTML</t>
  </si>
  <si>
    <t>Requerido?</t>
  </si>
  <si>
    <t>texto</t>
  </si>
  <si>
    <t>radio</t>
  </si>
  <si>
    <t>selectlist</t>
  </si>
  <si>
    <t>bigtext</t>
  </si>
  <si>
    <t>requerido</t>
  </si>
  <si>
    <t>//fin</t>
  </si>
  <si>
    <t>,</t>
  </si>
  <si>
    <t>").innerHTML = 'Debe llenar los campos obligados';  return; }</t>
  </si>
  <si>
    <t>patient_id</t>
  </si>
  <si>
    <t>blastpercentage</t>
  </si>
  <si>
    <t>Nombre de la tabla a crear</t>
  </si>
  <si>
    <t>Dentro de la base de datos</t>
  </si>
  <si>
    <t>Subformulario nro</t>
  </si>
  <si>
    <t>variable session</t>
  </si>
  <si>
    <t>//setting session variables</t>
  </si>
  <si>
    <t>Pater noster</t>
  </si>
  <si>
    <t>Ave Maria</t>
  </si>
  <si>
    <t>Gloria</t>
  </si>
  <si>
    <t>Pater</t>
  </si>
  <si>
    <t>Maria</t>
  </si>
  <si>
    <t>practice</t>
  </si>
  <si>
    <t>Prayer2</t>
  </si>
  <si>
    <t>&lt;script type="text/javascript" src="//ajax.googleapis.com/ajax/libs/jquery/1.7.1/jquery.min.js"&gt;&lt;/script&gt;</t>
  </si>
  <si>
    <t>BE SURE THIS SCRIPT IS BEFORE JQUERY TAGS!</t>
  </si>
  <si>
    <t>&lt;script type="text/javascript"&gt;  /*ajax get request*/</t>
  </si>
  <si>
    <t>$(document).ready(function(){</t>
  </si>
  <si>
    <t>&lt;div class="glass" id="searchbutton</t>
  </si>
  <si>
    <t>" &gt;SAVE&lt;/div&gt;</t>
  </si>
  <si>
    <t xml:space="preserve">  $.get("Prayer2.php",{Pater:Pater,Maria:Maria,Gloria:Gloria},function(result){$("#check2").html(result);   });  }); });</t>
  </si>
  <si>
    <t>$("#searchbutton</t>
  </si>
  <si>
    <t>").click(function() {</t>
  </si>
  <si>
    <t>=$("#</t>
  </si>
  <si>
    <t>").val();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</si>
  <si>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</si>
  <si>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</si>
  <si>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</si>
  <si>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</si>
  <si>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</si>
  <si>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</si>
  <si>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</si>
  <si>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</si>
  <si>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</si>
  <si>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</si>
  <si>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</si>
  <si>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</si>
  <si>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</si>
  <si>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</si>
  <si>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</si>
  <si>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</si>
  <si>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</si>
  <si>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 xml:space="preserve">. </t>
  </si>
  <si>
    <t xml:space="preserve"> php ajax</t>
  </si>
  <si>
    <t>$.get("</t>
  </si>
  <si>
    <t>",{</t>
  </si>
  <si>
    <t>},function(result){$("#</t>
  </si>
  <si>
    <t>ajax id tag</t>
  </si>
  <si>
    <t>&lt;?//if table does not exist show createtable link</t>
  </si>
  <si>
    <t xml:space="preserve">$result = mysql_query("SELECT * FROM </t>
  </si>
  <si>
    <t xml:space="preserve"> ");error_reporting(0);</t>
  </si>
  <si>
    <t>aa10</t>
  </si>
  <si>
    <t>aa11</t>
  </si>
  <si>
    <t>aa12</t>
  </si>
  <si>
    <t>aa13</t>
  </si>
  <si>
    <t>aa14</t>
  </si>
  <si>
    <t>aa15</t>
  </si>
  <si>
    <t>aa16</t>
  </si>
  <si>
    <t>aa17</t>
  </si>
  <si>
    <t>aa18</t>
  </si>
  <si>
    <t>aa19</t>
  </si>
  <si>
    <t>aa20</t>
  </si>
  <si>
    <t>aa21</t>
  </si>
  <si>
    <t>aa22</t>
  </si>
  <si>
    <t>aa23</t>
  </si>
  <si>
    <t>aa24</t>
  </si>
  <si>
    <t>aa25</t>
  </si>
  <si>
    <t>aa26</t>
  </si>
  <si>
    <t>aa27</t>
  </si>
  <si>
    <t>aa28</t>
  </si>
  <si>
    <t>aa29</t>
  </si>
  <si>
    <t>aa30</t>
  </si>
  <si>
    <t>aa31</t>
  </si>
  <si>
    <t>aa32</t>
  </si>
  <si>
    <t>aa33</t>
  </si>
  <si>
    <t>aa34</t>
  </si>
  <si>
    <t>aa35</t>
  </si>
  <si>
    <t>aa36</t>
  </si>
  <si>
    <t>aa37</t>
  </si>
  <si>
    <t>aa38</t>
  </si>
  <si>
    <t>aa39</t>
  </si>
  <si>
    <t>aa40</t>
  </si>
  <si>
    <t>aa41</t>
  </si>
  <si>
    <t>aa42</t>
  </si>
  <si>
    <t>aa43</t>
  </si>
  <si>
    <t>aa44</t>
  </si>
  <si>
    <t>aa45</t>
  </si>
  <si>
    <t>aa46</t>
  </si>
  <si>
    <t>aa47</t>
  </si>
  <si>
    <t>aa48</t>
  </si>
  <si>
    <t>aa49</t>
  </si>
  <si>
    <t>aa50</t>
  </si>
  <si>
    <t>aa51</t>
  </si>
  <si>
    <t>aa52</t>
  </si>
  <si>
    <t>aa53</t>
  </si>
  <si>
    <t>aa54</t>
  </si>
  <si>
    <t>aa55</t>
  </si>
  <si>
    <t>aa56</t>
  </si>
  <si>
    <t>aa57</t>
  </si>
  <si>
    <t>aa58</t>
  </si>
  <si>
    <t>aa59</t>
  </si>
  <si>
    <t>aa60</t>
  </si>
  <si>
    <t>aa61</t>
  </si>
  <si>
    <t>aa62</t>
  </si>
  <si>
    <t>aa63</t>
  </si>
  <si>
    <t>aa64</t>
  </si>
  <si>
    <t>aa65</t>
  </si>
  <si>
    <t>aa66</t>
  </si>
  <si>
    <t>aa67</t>
  </si>
  <si>
    <t>aa68</t>
  </si>
  <si>
    <t>aa69</t>
  </si>
  <si>
    <t>aa70</t>
  </si>
  <si>
    <t>aa71</t>
  </si>
  <si>
    <t>aa72</t>
  </si>
  <si>
    <t>aa73</t>
  </si>
  <si>
    <t>aa74</t>
  </si>
  <si>
    <t>aa75</t>
  </si>
  <si>
    <t>aa76</t>
  </si>
  <si>
    <t>aa77</t>
  </si>
  <si>
    <t>aa78</t>
  </si>
  <si>
    <t>aa79</t>
  </si>
  <si>
    <t>aa80</t>
  </si>
  <si>
    <t>aa81</t>
  </si>
  <si>
    <t>aa82</t>
  </si>
  <si>
    <t>aa83</t>
  </si>
  <si>
    <t>aa84</t>
  </si>
  <si>
    <t>aa85</t>
  </si>
  <si>
    <t>aa86</t>
  </si>
  <si>
    <t>aa87</t>
  </si>
  <si>
    <t>aa88</t>
  </si>
  <si>
    <t>aa89</t>
  </si>
  <si>
    <t>aa90</t>
  </si>
  <si>
    <t>aa91</t>
  </si>
  <si>
    <t>aa92</t>
  </si>
  <si>
    <t>aa93</t>
  </si>
  <si>
    <t>aa94</t>
  </si>
  <si>
    <t>aa95</t>
  </si>
  <si>
    <t>aa96</t>
  </si>
  <si>
    <t>aa97</t>
  </si>
  <si>
    <t>aa98</t>
  </si>
  <si>
    <t>aa99</t>
  </si>
  <si>
    <t>aa100</t>
  </si>
  <si>
    <t>aa101</t>
  </si>
  <si>
    <t>aa102</t>
  </si>
  <si>
    <t>aa103</t>
  </si>
  <si>
    <t>aa104</t>
  </si>
  <si>
    <t>aa105</t>
  </si>
  <si>
    <t>aa106</t>
  </si>
  <si>
    <t>aa107</t>
  </si>
  <si>
    <t>aa108</t>
  </si>
  <si>
    <t>aa109</t>
  </si>
  <si>
    <t>guide</t>
  </si>
  <si>
    <t>if statement</t>
  </si>
  <si>
    <t>change</t>
  </si>
  <si>
    <t>").html("</t>
  </si>
  <si>
    <t>")</t>
  </si>
  <si>
    <t>required advise</t>
  </si>
  <si>
    <t>}); });</t>
  </si>
  <si>
    <t>$("#</t>
  </si>
  <si>
    <t>Required spantag</t>
  </si>
  <si>
    <t>&lt;span id="adv_</t>
  </si>
  <si>
    <t>"&gt;&lt;/span&gt;</t>
  </si>
  <si>
    <t>" size="15" /&gt;</t>
  </si>
  <si>
    <t>&lt;input type="checkbox" id="</t>
  </si>
  <si>
    <t>" value="1" /&gt;</t>
  </si>
  <si>
    <t>&lt;input type="radio" name="</t>
  </si>
  <si>
    <t>radioname</t>
  </si>
  <si>
    <t>" id="</t>
  </si>
  <si>
    <t>" value="</t>
  </si>
  <si>
    <t>" /&gt;</t>
  </si>
  <si>
    <t>document.getElementById("</t>
  </si>
  <si>
    <t>if (document.getElementById("</t>
  </si>
  <si>
    <t>").checked==true) {</t>
  </si>
  <si>
    <t>";}</t>
  </si>
  <si>
    <t>ScoldRadioname</t>
  </si>
  <si>
    <t>").checked;</t>
  </si>
  <si>
    <t>radio tag HTML</t>
  </si>
  <si>
    <t>Definitive HTML tag</t>
  </si>
  <si>
    <t>Definitive js var syntax</t>
  </si>
  <si>
    <t>REQUIRED CRITERIA</t>
  </si>
  <si>
    <t>INPUT CRITERIA</t>
  </si>
  <si>
    <t>PHP ajax for text and check fields</t>
  </si>
  <si>
    <t>text input HTML tag</t>
  </si>
  <si>
    <t>check input HTML</t>
  </si>
  <si>
    <t>JS checkinput var syntax</t>
  </si>
  <si>
    <t>js text var syntax</t>
  </si>
  <si>
    <t>JS radio var syntax</t>
  </si>
  <si>
    <t>Radio php ajax</t>
  </si>
  <si>
    <t>Definitive JSON var</t>
  </si>
  <si>
    <t>Definitive PHP Variables</t>
  </si>
  <si>
    <t>Block if already exist</t>
  </si>
  <si>
    <t>Binary BIAE</t>
  </si>
  <si>
    <t>Block if already Exist BIAE</t>
  </si>
  <si>
    <t>BIAE pair</t>
  </si>
  <si>
    <t>BIAE var</t>
  </si>
  <si>
    <t xml:space="preserve"> "); $row_ae = mysql_fetch_array($already_exist_result);</t>
  </si>
  <si>
    <t>already exist</t>
  </si>
  <si>
    <t>space</t>
  </si>
  <si>
    <t>." "</t>
  </si>
  <si>
    <t>if (!empty($row_ae[0])) {echo "Ya existe un registro con los datos "</t>
  </si>
  <si>
    <t>comma</t>
  </si>
  <si>
    <t>title</t>
  </si>
  <si>
    <t>insertInto</t>
  </si>
  <si>
    <t>Values</t>
  </si>
  <si>
    <t>) VALUES (</t>
  </si>
  <si>
    <t>echo '</t>
  </si>
  <si>
    <t>PHPvar</t>
  </si>
  <si>
    <t>Echo script</t>
  </si>
  <si>
    <t>Date HTML</t>
  </si>
  <si>
    <t>&lt;input type="text"  size="7"  id="</t>
  </si>
  <si>
    <t>" class="datepicker"/&gt;</t>
  </si>
  <si>
    <t>TextArea HTML</t>
  </si>
  <si>
    <t>&lt;br/&gt;&lt;textarea rows="2" cols="80" id="</t>
  </si>
  <si>
    <t>"&gt;&lt;/textarea&gt;&lt;br/&gt;</t>
  </si>
  <si>
    <t>" style="color:white;padding:10px;text-align:center" onmouseover="this.className='glassonmouse'" onmouseout="this.className='glass'" &gt;SAVE&lt;/div&gt;</t>
  </si>
  <si>
    <t>add ||</t>
  </si>
  <si>
    <t>) {$("#adv_</t>
  </si>
  <si>
    <t>JS radio scaffold</t>
  </si>
  <si>
    <t>session</t>
  </si>
  <si>
    <t>sessionvar</t>
  </si>
  <si>
    <t>relative comma</t>
  </si>
  <si>
    <t>JSON ajax var RADIO</t>
  </si>
  <si>
    <t>Archivo principal</t>
  </si>
  <si>
    <t>Esconder al cargar datos?</t>
  </si>
  <si>
    <t xml:space="preserve">").html(result); </t>
  </si>
  <si>
    <t xml:space="preserve">}); </t>
  </si>
  <si>
    <t>").hide();</t>
  </si>
  <si>
    <t>highligh textfield</t>
  </si>
  <si>
    <t>").css({"background":"yellow"});</t>
  </si>
  <si>
    <t>Required for non-selec non-radio</t>
  </si>
  <si>
    <t>Required for radio and select</t>
  </si>
  <si>
    <t>definitive required script</t>
  </si>
  <si>
    <t>").html("Requierd");</t>
  </si>
  <si>
    <t>} else {$("#adv_</t>
  </si>
  <si>
    <t>").html("");$("#</t>
  </si>
  <si>
    <t>").css({"background":"white"});}</t>
  </si>
  <si>
    <t>;}</t>
  </si>
  <si>
    <t>cleaning radio and check</t>
  </si>
  <si>
    <t>$("#adv_</t>
  </si>
  <si>
    <t>").html("");</t>
  </si>
  <si>
    <t>definitive cleaning code</t>
  </si>
  <si>
    <t>cleaning advise text</t>
  </si>
  <si>
    <t>").css({"background":"#fff"});</t>
  </si>
  <si>
    <t>Emptying text values</t>
  </si>
  <si>
    <t>").val("");</t>
  </si>
  <si>
    <t>Uncheck</t>
  </si>
  <si>
    <t>document.getElementById("lovely").checked=false;</t>
  </si>
  <si>
    <t>").checked=false;</t>
  </si>
  <si>
    <t>whole txt empty value</t>
  </si>
  <si>
    <t>Verify text, bigtext and date</t>
  </si>
  <si>
    <t>ordenal</t>
  </si>
  <si>
    <t>Definitive code</t>
  </si>
  <si>
    <t>=="") {document.getElementById("</t>
  </si>
  <si>
    <t>").focus();}</t>
  </si>
  <si>
    <t>/*autofocus*/</t>
  </si>
  <si>
    <t>healmy5</t>
  </si>
  <si>
    <t>healmy5_healmy5','jatter'</t>
  </si>
  <si>
    <t>Identificador único 2 (ejemplo num doc)</t>
  </si>
  <si>
    <t>"); $row = mysql_fetch_array($result);</t>
  </si>
  <si>
    <t>Retrieve from MySQL</t>
  </si>
  <si>
    <t>$call_id=$row[0];</t>
  </si>
  <si>
    <t>$call_</t>
  </si>
  <si>
    <t>=$row['</t>
  </si>
  <si>
    <t>echo</t>
  </si>
  <si>
    <t xml:space="preserve">echo </t>
  </si>
  <si>
    <t>Hidden scripts</t>
  </si>
  <si>
    <t>");} ?&gt;</t>
  </si>
  <si>
    <t>);  if (!$con)  {die('Could not connect: ' . mysql_error());}</t>
  </si>
  <si>
    <t>_user"]=$userid; $_SESSION["</t>
  </si>
  <si>
    <t>if (isset($_SESSION['</t>
  </si>
  <si>
    <t xml:space="preserve"> (id INT(10) AUTO_INCREMENT PRIMARY KEY</t>
  </si>
  <si>
    <t>");}?&gt;</t>
  </si>
  <si>
    <t>&lt;a href="</t>
  </si>
  <si>
    <t xml:space="preserve">_autent"]= "yes"; header ("Location: </t>
  </si>
  <si>
    <t>_user']))  {unset($_SESSION['</t>
  </si>
  <si>
    <t>" method="post"&gt; &lt;div style="width:500px;text-align:right; align:center; "&gt;</t>
  </si>
  <si>
    <t>&lt;?php include ("</t>
  </si>
  <si>
    <t>"&gt;Log in&lt;/a&gt;</t>
  </si>
  <si>
    <t xml:space="preserve">", $con);$result = mysql_query("SELECT * FROM </t>
  </si>
  <si>
    <t>session_start(); if (!isset($_SESSION["</t>
  </si>
  <si>
    <t>_user']);}</t>
  </si>
  <si>
    <t>if (empty($user)||empty($pwd))  {header("Location:</t>
  </si>
  <si>
    <t>"); ?&gt;</t>
  </si>
  <si>
    <t>_user"])||$_SESSION["</t>
  </si>
  <si>
    <t>_autent']))  {unset($_SESSION['</t>
  </si>
  <si>
    <t xml:space="preserve"> VARCHAR(50)</t>
  </si>
  <si>
    <t>?erroruser='0'");}</t>
  </si>
  <si>
    <t>='$user'");</t>
  </si>
  <si>
    <t>_autent"]!="yes") {header("Location:</t>
  </si>
  <si>
    <t>_autent']);}</t>
  </si>
  <si>
    <t>if ($pwd!=$truepdw) {header("Location:</t>
  </si>
  <si>
    <t>"&gt;Exit&lt;/a&gt;</t>
  </si>
  <si>
    <t>$con = mysql_connect('localhost', '</t>
  </si>
  <si>
    <t>$knocker=mysql_fetch_array($result);$truepdw=$knocker['</t>
  </si>
  <si>
    <t>_user"]</t>
  </si>
  <si>
    <t>?erroruser=1");}</t>
  </si>
  <si>
    <t>$_SESSION["</t>
  </si>
  <si>
    <t>'];mysql_close($con);</t>
  </si>
  <si>
    <t>Five php files, two of them redirect according to matching criteria</t>
  </si>
  <si>
    <t>1. FILE LOG IN</t>
  </si>
  <si>
    <t>Enter desired login file name</t>
  </si>
  <si>
    <t>&lt;? if (isset($_GET["erroruser"])) { if ($_GET["erroruser"]==0) {echo "Empty fields not allowed&lt;br/&gt;";}</t>
  </si>
  <si>
    <t>if ($_GET["erroruser"]=="1"){echo "&lt;span style='color:red'&gt;&lt;b&gt;Wrong user or password&lt;br/&gt;&lt;/b&gt;&lt;/span&gt;";} }?&gt;</t>
  </si>
  <si>
    <t>&lt;b&gt;USER&lt;input type="text" name="user" id="user"/&gt;&lt;br/&gt;</t>
  </si>
  <si>
    <t>&lt;input type="submit" value="submit"/&gt;&lt;/b&gt;&lt;/div&gt;&lt;/form&gt;</t>
  </si>
  <si>
    <t>Basic password and user database structure and automated builder script</t>
  </si>
  <si>
    <t>db</t>
  </si>
  <si>
    <t>table</t>
  </si>
  <si>
    <t>&lt;?php //autotablecreator.php</t>
  </si>
  <si>
    <t>fied 'user'</t>
  </si>
  <si>
    <t>email</t>
  </si>
  <si>
    <t>pwd field</t>
  </si>
  <si>
    <t>password</t>
  </si>
  <si>
    <t>mysql_query($sql,$con);mysql_close($con);?&gt;</t>
  </si>
  <si>
    <t>Colocar autolink en página de prueba de creación tabla, luego borrar</t>
  </si>
  <si>
    <t>&lt;a href="autotablecreator.php"&gt;Autocrear tabla user and password&lt;/a&gt;</t>
  </si>
  <si>
    <t>2. FILE VERIFY</t>
  </si>
  <si>
    <t>Enter desired verify file name</t>
  </si>
  <si>
    <t>table fied user</t>
  </si>
  <si>
    <t>if (isset($_POST['user'])) {$user=$_POST['user'];}   if (isset($_POST['pwd'])) {$pwd=$_POST['pwd'];}</t>
  </si>
  <si>
    <t>session user prefix</t>
  </si>
  <si>
    <t>USE A COMPLEX NAME</t>
  </si>
  <si>
    <t>if ($pwd===$truepdw) { session_start(); $userid=$knocker[1];//user email</t>
  </si>
  <si>
    <t>3. PROTECTED FILE (OR FILES)</t>
  </si>
  <si>
    <t>Name of main redirect page</t>
  </si>
  <si>
    <t>THEY CAN HAVE ANY CONTENT, BUT THE CONDITION IS THAT IT MUST HAVE THE SECURELAYER FILE AT THE VERY BEGINNING OF IT</t>
  </si>
  <si>
    <r>
      <t xml:space="preserve">Name of database table </t>
    </r>
    <r>
      <rPr>
        <b/>
        <sz val="11"/>
        <color theme="1"/>
        <rFont val="Calibri"/>
        <family val="2"/>
        <scheme val="minor"/>
      </rPr>
      <t>field(s)</t>
    </r>
    <r>
      <rPr>
        <sz val="11"/>
        <color theme="1"/>
        <rFont val="Calibri"/>
        <family val="2"/>
        <scheme val="minor"/>
      </rPr>
      <t xml:space="preserve"> with desired display wellcome name</t>
    </r>
  </si>
  <si>
    <t xml:space="preserve">&lt;HTML&gt;&lt;HEAD&gt; … &lt;/HEAD&gt;&lt;BODY&gt;…. </t>
  </si>
  <si>
    <t>Field 1</t>
  </si>
  <si>
    <t>Field 4</t>
  </si>
  <si>
    <t>Field 2</t>
  </si>
  <si>
    <t>Field 5</t>
  </si>
  <si>
    <t>Wellcome, dear</t>
  </si>
  <si>
    <t>Field 3</t>
  </si>
  <si>
    <t>Field 6</t>
  </si>
  <si>
    <t>$row = mysql_fetch_array($result);</t>
  </si>
  <si>
    <t>this must be inside every page, it is the log out file</t>
  </si>
  <si>
    <t>….&lt;/BODY&gt; &lt;/HTML&gt;</t>
  </si>
  <si>
    <t>4. SECURE LAYER FILE</t>
  </si>
  <si>
    <t>Enter desired secure layer file name</t>
  </si>
  <si>
    <r>
      <t xml:space="preserve">Advise: it is good to change session autent </t>
    </r>
    <r>
      <rPr>
        <b/>
        <sz val="11"/>
        <color theme="1"/>
        <rFont val="Calibri"/>
        <family val="2"/>
        <scheme val="minor"/>
      </rPr>
      <t>yes</t>
    </r>
    <r>
      <rPr>
        <sz val="11"/>
        <color theme="1"/>
        <rFont val="Calibri"/>
        <family val="2"/>
        <scheme val="minor"/>
      </rPr>
      <t xml:space="preserve"> with another word, kind of keyword.  Same with session user.</t>
    </r>
  </si>
  <si>
    <t>5. EXIT FILE</t>
  </si>
  <si>
    <t>Enter desired exit file name</t>
  </si>
  <si>
    <t>session_start();</t>
  </si>
  <si>
    <t>You are out &lt;br/&gt;</t>
  </si>
  <si>
    <t xml:space="preserve">Enter again: </t>
  </si>
  <si>
    <t>Invitation to log in again.</t>
  </si>
  <si>
    <t>END OF BASIC LOG IN PROTOCOL</t>
  </si>
  <si>
    <t>Standardize session for login protocol</t>
  </si>
  <si>
    <t>redirect page name</t>
  </si>
  <si>
    <t>(left empty if is the same created in wpp)</t>
  </si>
  <si>
    <t>pwd</t>
  </si>
  <si>
    <t>Standardize field user and password for login protocol</t>
  </si>
  <si>
    <t>nom</t>
  </si>
  <si>
    <t>apll</t>
  </si>
  <si>
    <t>sql field name</t>
  </si>
  <si>
    <t>//session variables adjustment</t>
  </si>
  <si>
    <t>//isset variables adjusment</t>
  </si>
  <si>
    <t>Scafold</t>
  </si>
  <si>
    <t>"AND" addition</t>
  </si>
  <si>
    <t>if ($row['</t>
  </si>
  <si>
    <t xml:space="preserve">]=="true") {echo </t>
  </si>
  <si>
    <t>echo check as value</t>
  </si>
  <si>
    <t>$row['</t>
  </si>
  <si>
    <t>=="true") {echo '</t>
  </si>
  <si>
    <t>Unique id?</t>
  </si>
  <si>
    <t xml:space="preserve"> </t>
  </si>
  <si>
    <t>id INT(10) AUTO_INCREMENT PRIMARY KEY</t>
  </si>
  <si>
    <t>SQL CREATE</t>
  </si>
  <si>
    <t>$("#searchbutton2").click(function() {</t>
  </si>
  <si>
    <t>js retrieve1</t>
  </si>
  <si>
    <t>$('#</t>
  </si>
  <si>
    <t>js retrieve2</t>
  </si>
  <si>
    <t>js retrieve3</t>
  </si>
  <si>
    <t>js retrieve4</t>
  </si>
  <si>
    <t xml:space="preserve"> php SEARCH</t>
  </si>
  <si>
    <t>js retrieve5</t>
  </si>
  <si>
    <t>js retrieve6</t>
  </si>
  <si>
    <t>&lt;script type="text/javascript"&gt;  /*ajax save data*/</t>
  </si>
  <si>
    <t>ADVISE: unque id MUST GO one after each other</t>
  </si>
  <si>
    <t>Hidden2 scoffold 1</t>
  </si>
  <si>
    <t>Hidden2 scoffold 2</t>
  </si>
  <si>
    <t>Hidden2 scoffold 3</t>
  </si>
  <si>
    <t>&lt;span id="pre_</t>
  </si>
  <si>
    <t>"&gt;</t>
  </si>
  <si>
    <t>Hidden2 scoffold 4</t>
  </si>
  <si>
    <t>&lt;div class="glass" id="searchbutton2" style="color:white;padding:10px;text-align:center" onmouseover="this.className='glassonmouse'" onmouseout="this.className='glass'" &gt;search&lt;/div&gt;</t>
  </si>
  <si>
    <t>PHP file 3</t>
  </si>
  <si>
    <r>
      <t xml:space="preserve">PHP file 2 </t>
    </r>
    <r>
      <rPr>
        <sz val="11"/>
        <color theme="1"/>
        <rFont val="Calibri"/>
        <family val="2"/>
        <scheme val="minor"/>
      </rPr>
      <t>unset session var and start searching again</t>
    </r>
  </si>
  <si>
    <t>&lt;div style="width:100px"&gt;&lt;a href='searchanother</t>
  </si>
  <si>
    <t>&lt;?php //u_id_createtable.php</t>
  </si>
  <si>
    <t>if (!empty($row_ae[0])) {</t>
  </si>
  <si>
    <r>
      <t xml:space="preserve">PHP file 1 </t>
    </r>
    <r>
      <rPr>
        <sz val="11"/>
        <color theme="1"/>
        <rFont val="Calibri"/>
        <family val="2"/>
        <scheme val="minor"/>
      </rPr>
      <t>search if patient exist</t>
    </r>
  </si>
  <si>
    <t>search SLQ</t>
  </si>
  <si>
    <t>echo SLQ "exists"</t>
  </si>
  <si>
    <t>scafold unique id</t>
  </si>
  <si>
    <t>session prefix</t>
  </si>
  <si>
    <t>session settings</t>
  </si>
  <si>
    <t>Show when called?</t>
  </si>
  <si>
    <t>echo '&lt;br/&gt;';</t>
  </si>
  <si>
    <t>echo retrieve</t>
  </si>
  <si>
    <t>:'.$row_ae['</t>
  </si>
  <si>
    <t>//echo retrieved data</t>
  </si>
  <si>
    <t>&gt; main page&lt;/a&gt;&lt;br/&gt;";</t>
  </si>
  <si>
    <t>echo "&lt;a href='</t>
  </si>
  <si>
    <t>a01</t>
  </si>
  <si>
    <t>searchanother</t>
  </si>
  <si>
    <t>&gt; new search&lt;/a&gt;&lt;br/&gt;";</t>
  </si>
  <si>
    <t>$('#searchbutton2').hide();</t>
  </si>
  <si>
    <t>hide unneeded fields1</t>
  </si>
  <si>
    <t>hide unneeded fields2</t>
  </si>
  <si>
    <t>hide unneeded fields3</t>
  </si>
  <si>
    <t>echo '&lt;script&gt;</t>
  </si>
  <si>
    <t>$("#searchbutton2").hide();</t>
  </si>
  <si>
    <t>&lt;/script&gt;';}</t>
  </si>
  <si>
    <t>&lt;/script&gt;';} else {echo "data "</t>
  </si>
  <si>
    <t>."does not exist.  Create new one or verify and enter again";</t>
  </si>
  <si>
    <t>_1'</t>
  </si>
  <si>
    <t>echo " &lt;script&gt;</t>
  </si>
  <si>
    <t>.show();</t>
  </si>
  <si>
    <t>unset session</t>
  </si>
  <si>
    <t>unset($_SESSION['</t>
  </si>
  <si>
    <t>_1" style="display:none"&gt;</t>
  </si>
  <si>
    <t>scofold js search</t>
  </si>
  <si>
    <t>first js data set</t>
  </si>
  <si>
    <t>radiohide</t>
  </si>
  <si>
    <t>close radio hide</t>
  </si>
  <si>
    <t>Hide radio data</t>
  </si>
  <si>
    <t>echo "&lt;br/&gt;";</t>
  </si>
  <si>
    <t>tipo_doc_id</t>
  </si>
  <si>
    <t>cc</t>
  </si>
  <si>
    <t>ti</t>
  </si>
  <si>
    <t>rc</t>
  </si>
  <si>
    <t>ce</t>
  </si>
  <si>
    <t>ni</t>
  </si>
  <si>
    <t>num doc</t>
  </si>
  <si>
    <t>numd</t>
  </si>
  <si>
    <t>Nombres</t>
  </si>
  <si>
    <t>Apellidos</t>
  </si>
  <si>
    <t>Sexo</t>
  </si>
  <si>
    <t>Fecha nacimiento</t>
  </si>
  <si>
    <t>bthdt</t>
  </si>
  <si>
    <t>hombre</t>
  </si>
  <si>
    <t>mujer</t>
  </si>
  <si>
    <t>redirect to</t>
  </si>
  <si>
    <t>Redirect if session is not set</t>
  </si>
  <si>
    <t>if (!isset(</t>
  </si>
  <si>
    <t>profile</t>
  </si>
  <si>
    <t>prof</t>
  </si>
  <si>
    <t>&lt;input type="password" id="</t>
  </si>
  <si>
    <t>&lt;!DOCTYPE html PUBLIC "-//W3C//DTD XHTML 1.0 Transitional//EN"</t>
  </si>
  <si>
    <t xml:space="preserve"> "http://www.w3.org/TR/xhtml1/DTD/xhtml1-transitional.dtd"&gt;</t>
  </si>
  <si>
    <t>&lt;html xmlns="http://www.w3.org/1999/xhtml"&gt;</t>
  </si>
  <si>
    <t>&lt;meta charset="UTF-8"&gt;</t>
  </si>
  <si>
    <t>&lt;link href="http://ajax.googleapis.com/ajax/libs/jqueryui/1.8/themes/base/jquery-ui.css" rel="stylesheet" type="text/css"/&gt;</t>
  </si>
  <si>
    <t>&lt;style type="text/css"&gt;  /*RESET CSS*/</t>
  </si>
  <si>
    <t>html, body, div, span, applet, object, iframe,h1, h2, h3, h4, h5, h6, p, blockquote, pre,a, abbr, acronym, address, big, cite, code,del, dfn, em, img, ins, kbd, q, s, samp,small, strike, strong, sub, sup, tt, var,b, u, i, center,dl, dt, dd, ol, ul, li,fieldset, form, label, legend,table, caption, tbody, tfoot, thead, tr, th, td,article, aside, canvas, details, embed, figure, figcaption, footer, header, hgroup, menu, nav, output, ruby, section, summary,time, mark, audio, video {margin: 0; padding: 0; border: 0; font-size: 100%; font: inherit; vertical-align: baseline;}</t>
  </si>
  <si>
    <t>&lt;style type="text/css"&gt; /*HEADER BODY FOOTER STYLE*/</t>
  </si>
  <si>
    <t>&lt;style type="text/css"&gt;h1,h2,h3,h4,h5,h6,p,pre,ul,ol,li,div,table,tr,td,body{color:#474747; font-family:"arial";text-decoration:none;}.boxbody{width:800px;background-color:#E7E7E7;margin:auto;border-radius:10px;padding:30px}&lt;/style&gt;</t>
  </si>
  <si>
    <t>&lt;style type="text/css"&gt; /*SHINING BUTTON EFFECT*/</t>
  </si>
  <si>
    <t>&lt;!--SI QUIERO EJECUTAR SUBMIT DEBO AÑADIR:</t>
  </si>
  <si>
    <t>EN HEADER &lt;script type="text/javascript"&gt; function submitform() {document.forms["myform"].submit();} &lt;/script&gt;</t>
  </si>
  <si>
    <t>EN BODY &lt;div class="glass" style="color:white;padding:10px;text-align:center;color:#fff;" onmouseover="this.className='glassonmouse'" onmouseout="this.className='glass'" onclick="submitform()"&gt;INGRESAR&lt;/div&gt;</t>
  </si>
  <si>
    <t>--&gt;</t>
  </si>
  <si>
    <t>&lt;script src="http://ajax.googleapis.com/ajax/libs/jqueryui/1.8/jquery-ui.min.js"&gt;&lt;/script&gt;</t>
  </si>
  <si>
    <t>&lt;/head&gt;</t>
  </si>
  <si>
    <t>&lt;body&gt;</t>
  </si>
  <si>
    <t>&lt;div id="container"&gt; &lt;!-- it contains all webpage content--&gt;</t>
  </si>
  <si>
    <t xml:space="preserve">    &lt;div id="header"&gt;</t>
  </si>
  <si>
    <t xml:space="preserve">        &lt;!-- Header start </t>
  </si>
  <si>
    <t xml:space="preserve">        --&gt;</t>
  </si>
  <si>
    <t xml:space="preserve">        &lt;!-- Header end --&gt;</t>
  </si>
  <si>
    <t xml:space="preserve">    &lt;/div&gt;</t>
  </si>
  <si>
    <t xml:space="preserve">    &lt;div id="body"&gt;</t>
  </si>
  <si>
    <t xml:space="preserve">        &lt;!-- Body start </t>
  </si>
  <si>
    <t xml:space="preserve">        BBBBBB     OOOOOO   DDDDDD    YY    YY</t>
  </si>
  <si>
    <t xml:space="preserve">         BB   BB  OO    OO  DD   DD   YY    YY</t>
  </si>
  <si>
    <t xml:space="preserve">         BBBBBB   OO    OO  DD   DD    YYYYYY</t>
  </si>
  <si>
    <t xml:space="preserve">         BB   BB  OO    OO  DD   DD      YY</t>
  </si>
  <si>
    <t xml:space="preserve">         BB   BB  OO    OO  DD   DD      YY    </t>
  </si>
  <si>
    <t xml:space="preserve">        BBBBBB     OOOOOO   DDDDDD       YY</t>
  </si>
  <si>
    <t xml:space="preserve">        --&gt;&lt;br/&gt;&lt;br/&gt;&lt;br/&gt;</t>
  </si>
  <si>
    <t xml:space="preserve">        &lt;div class='boxbody'&gt;</t>
  </si>
  <si>
    <t xml:space="preserve">        &lt;/div&gt;</t>
  </si>
  <si>
    <t xml:space="preserve">        &lt;br/&gt;&lt;br/&gt;&lt;br/&gt;&lt;!-- Body end --&gt;</t>
  </si>
  <si>
    <t xml:space="preserve">    &lt;div id="footer"&gt;</t>
  </si>
  <si>
    <t xml:space="preserve">        &lt;!-- Footer start </t>
  </si>
  <si>
    <t xml:space="preserve">        </t>
  </si>
  <si>
    <t xml:space="preserve">        --&gt;HELLO FOOTER</t>
  </si>
  <si>
    <t xml:space="preserve">        &lt;!-- Footer end --&gt;</t>
  </si>
  <si>
    <t>&lt;/body&gt;</t>
  </si>
  <si>
    <t>&lt;/html&gt;</t>
  </si>
  <si>
    <t>&lt;head&gt;&lt;title&gt;susbscribe&lt;/title&gt;</t>
  </si>
  <si>
    <t>&lt;head&gt;&lt;title&gt;General data&lt;/title&gt;</t>
  </si>
  <si>
    <t>&lt;!--JS that sends info to savedata file (if uniqueid is NOT  associated with existing data)--&gt;</t>
  </si>
  <si>
    <t>&lt;!--JS for searching if uniqueid is associated with existing data--&gt;</t>
  </si>
  <si>
    <t>select input field</t>
  </si>
  <si>
    <t>scaffold select 1</t>
  </si>
  <si>
    <t xml:space="preserve"> &lt;/select&gt;</t>
  </si>
  <si>
    <t>&lt;select size="1" name="</t>
  </si>
  <si>
    <t>&lt;option value="</t>
  </si>
  <si>
    <t>&lt;/option&gt;</t>
  </si>
  <si>
    <t>scaffold select 2</t>
  </si>
  <si>
    <t>scaffold select 3</t>
  </si>
  <si>
    <t>dtoc</t>
  </si>
  <si>
    <t>&lt;script&gt;  $(function() {  $( ".datepicker" ).datepicker({dateFormat: 'yy/mm/dd',changeMonth : true,changeYear : true,yearRange: '-110y:c+nn',}); }); &lt;/script&gt;</t>
  </si>
  <si>
    <t>Enter with login?</t>
  </si>
  <si>
    <t>&lt;? include ("</t>
  </si>
  <si>
    <t>_SecureLayer.php");  ?&gt;</t>
  </si>
  <si>
    <t>Standardize</t>
  </si>
  <si>
    <t>this</t>
  </si>
  <si>
    <t>surname</t>
  </si>
  <si>
    <t xml:space="preserve"> &lt;form action="</t>
  </si>
  <si>
    <t>available</t>
  </si>
  <si>
    <t>Session variable</t>
  </si>
  <si>
    <t>depend
ent to 
previous</t>
  </si>
  <si>
    <t>Dependant code 1</t>
  </si>
  <si>
    <t>Dependant code 2</t>
  </si>
  <si>
    <t>Dependant code 3</t>
  </si>
  <si>
    <t>_dependant</t>
  </si>
  <si>
    <t>Scaffold 1 depend to radio</t>
  </si>
  <si>
    <t>").checked==true&amp;&amp;</t>
  </si>
  <si>
    <t>=="") {</t>
  </si>
  <si>
    <t xml:space="preserve">="1";} else </t>
  </si>
  <si>
    <t>//radiobutton precedent to textdependant</t>
  </si>
  <si>
    <t>=="1"</t>
  </si>
  <si>
    <t>/*text dependant to radio button*/</t>
  </si>
  <si>
    <t>} else {$("#</t>
  </si>
  <si>
    <t>//css text dependant to radio</t>
  </si>
  <si>
    <t>" style="display:none"&gt;</t>
  </si>
  <si>
    <t>Dependant div opening tag</t>
  </si>
  <si>
    <t>Dependant div closing tag</t>
  </si>
  <si>
    <t>").hide("fast");</t>
  </si>
  <si>
    <t>").css({"background":"white"});</t>
  </si>
  <si>
    <t>//reset dependant fields</t>
  </si>
  <si>
    <t>Dependant code 6</t>
  </si>
  <si>
    <t>").change(function(){if (document.getElementById("</t>
  </si>
  <si>
    <t>").show("fast");} else {$("#</t>
  </si>
  <si>
    <t>dependant scaffold 1</t>
  </si>
  <si>
    <t>dependant scaffold 2</t>
  </si>
  <si>
    <t>dependant scaffold 3</t>
  </si>
  <si>
    <t>user</t>
  </si>
  <si>
    <t>_SESSION["</t>
  </si>
  <si>
    <t>_Virgin_Mary_user"]=$</t>
  </si>
  <si>
    <t>_Virgin_Mary_user"]</t>
  </si>
  <si>
    <t>CODES</t>
  </si>
  <si>
    <t>_Virgin_Mary_autent"]= "yes";</t>
  </si>
  <si>
    <t>echo '&lt;a href="a01</t>
  </si>
  <si>
    <t>.php"&gt;Haga click aqui para ingresar&lt;/a&gt;';</t>
  </si>
  <si>
    <t>."&lt;br/&gt; &lt;a href='a01session.php'&gt; Intente de nuevo, haz click aca&lt;/a&gt;&lt;br/&gt;";}</t>
  </si>
  <si>
    <t>.php"&gt;Aun no eres miembro? Haz click aca e inscribite&lt;/a&gt;</t>
  </si>
  <si>
    <t>SECURELAYER2</t>
  </si>
  <si>
    <t>/*NEXT LINES FEED fieldcreator2 SHEET*/</t>
  </si>
  <si>
    <t>_login.php"&gt;Si ya eres miembro ingresa aca&lt;/a&gt;</t>
  </si>
  <si>
    <t>Starting comma</t>
  </si>
  <si>
    <t>/*next lines correspond to if already choosen patient*/</t>
  </si>
  <si>
    <t>if (isset(</t>
  </si>
  <si>
    <t>(isset(</t>
  </si>
  <si>
    <t>echo "&lt;br/&gt;You are currently entering information for patient with the following data:&lt;br/&gt;";</t>
  </si>
  <si>
    <t>echo "Document: ".</t>
  </si>
  <si>
    <t>");</t>
  </si>
  <si>
    <t>echo $row['</t>
  </si>
  <si>
    <t>&lt;style type="text/css"&gt;</t>
  </si>
  <si>
    <t>Echo field name and value</t>
  </si>
  <si>
    <t>;}?&gt;</t>
  </si>
  <si>
    <t>From "uniqueid"</t>
  </si>
  <si>
    <t>Hide after loading data?</t>
  </si>
  <si>
    <t>Subform number:</t>
  </si>
  <si>
    <t>Database name</t>
  </si>
  <si>
    <t>Table name</t>
  </si>
  <si>
    <t>Server</t>
  </si>
  <si>
    <t>$result = mysql_query("SELECT * FROM standard1 WHERE tipo_doc_id='$tipo_doc_id' AND numd='$numd'");</t>
  </si>
  <si>
    <t>Hide form if uniq exist</t>
  </si>
  <si>
    <t>echo '&lt;script type="text/javascript"&gt; $(document).ready(function(){</t>
  </si>
  <si>
    <t>})&lt;/script&gt;';</t>
  </si>
  <si>
    <t>FILTERING</t>
  </si>
  <si>
    <t>newfile</t>
  </si>
  <si>
    <t xml:space="preserve">mysql_query("CREATE DATABASE IF NOT EXISTS </t>
  </si>
  <si>
    <t>FILTERING NO EMPTY CELLS</t>
  </si>
  <si>
    <t xml:space="preserve">$sql = "CREATE TABLE IF NOT EXISTS </t>
  </si>
  <si>
    <t>NEW FILE</t>
  </si>
  <si>
    <t xml:space="preserve">$sql="CREATE TABLE IF NOT EXISTS </t>
  </si>
  <si>
    <t>Asociate with unique id?</t>
  </si>
  <si>
    <t>Unique Id required</t>
  </si>
  <si>
    <t>&gt;&lt;div class="glass" id="searchbutton_unique" style="color:white;padding:10px;text-align:center;display:none" onmouseover="this.className='glassonmouse'" onmouseout="this.className='glass'" &gt;change patient&lt;/div&gt;&lt;/a&gt;&lt;/div&gt;</t>
  </si>
  <si>
    <t>echo '&lt;script type="text/javascript"&gt; $(document).ready(function(){ $("#hiden1").hide();$("#searchbutton_unique").show();})&lt;/script&gt;';</t>
  </si>
  <si>
    <t>$('#searchbutton_unique').show();";</t>
  </si>
  <si>
    <t>can access certain pages.  Also in menu.</t>
  </si>
  <si>
    <t>For allowed pages, knights convert to king when deciding that a knight</t>
  </si>
  <si>
    <t>e</t>
  </si>
  <si>
    <t>b</t>
  </si>
  <si>
    <t>knight 2</t>
  </si>
  <si>
    <t>c, e, f, g</t>
  </si>
  <si>
    <t>a, b, h, i, j, k</t>
  </si>
  <si>
    <t>knight 1</t>
  </si>
  <si>
    <t>&lt;?/* admin.php    */ ?&gt;</t>
  </si>
  <si>
    <t>not allowed</t>
  </si>
  <si>
    <t>allowed</t>
  </si>
  <si>
    <t>Adminpage</t>
  </si>
  <si>
    <t>that is all, pending to test, debug and run</t>
  </si>
  <si>
    <t>(this code is optional, should be placed wherever it is desired to show the user's profile)</t>
  </si>
  <si>
    <t>echo "profile: ".$row['prof']."&lt;br/&gt;";</t>
  </si>
  <si>
    <t>(this code must be inserted BELOW the securelayer file)</t>
  </si>
  <si>
    <t>$profile=$row['prof'];</t>
  </si>
  <si>
    <t>session variable</t>
  </si>
  <si>
    <t>standard</t>
  </si>
  <si>
    <t>king</t>
  </si>
  <si>
    <t>Choosen profile</t>
  </si>
  <si>
    <t>Profile Restriction Protocol</t>
  </si>
  <si>
    <t>=="</t>
  </si>
  <si>
    <t>$profile</t>
  </si>
  <si>
    <t>spawn</t>
  </si>
  <si>
    <t>header ("Location: admin.php");}</t>
  </si>
  <si>
    <t xml:space="preserve"> WHERE email='$user'");</t>
  </si>
  <si>
    <t>knight</t>
  </si>
  <si>
    <t>!=</t>
  </si>
  <si>
    <t>bishop</t>
  </si>
  <si>
    <t>rook</t>
  </si>
  <si>
    <t>queen</t>
  </si>
  <si>
    <t>SERVER</t>
  </si>
  <si>
    <t>USER'S CATEGORIES</t>
  </si>
  <si>
    <t>admin page&lt;br/&gt;</t>
  </si>
  <si>
    <t>smart menu&lt;br/&gt;</t>
  </si>
  <si>
    <t>&lt;? include ("smartmenu.php"); ?&gt;</t>
  </si>
  <si>
    <t>Smartmenu page</t>
  </si>
  <si>
    <t>&lt;a href="searchanotheruniqueThreeHailMary.php"&gt;change patient&lt;/a&gt;&lt;br/&gt;</t>
  </si>
  <si>
    <t xml:space="preserve"> &lt;?</t>
  </si>
  <si>
    <t>$con = mysql_connect('localhost', 'root', '');  if (!$con)  {die('Could not connect: ' . mysql_error());}</t>
  </si>
  <si>
    <t>mysql_select_db("HailMary", $con);</t>
  </si>
  <si>
    <t>$user=$_SESSION["standard141079_Virgin_Mary_user"];</t>
  </si>
  <si>
    <t>$result = mysql_query("SELECT * FROM session WHERE email='$user'");</t>
  </si>
  <si>
    <t>if ($row['prof']=="king") {?&gt;</t>
  </si>
  <si>
    <t>&lt;a href="king.php"&gt;Only king profile has access and visualization of this link&lt;/a&gt;&lt;br/&gt;</t>
  </si>
  <si>
    <t>&lt;?;}</t>
  </si>
  <si>
    <t>if ($row['prof']=="king"||$row['prof']=="queen"</t>
  </si>
  <si>
    <t>&lt;a href="queen.php"&gt;Only Queen or higher rank profile have access and visualization of this link&lt;/a&gt;&lt;br/&gt;</t>
  </si>
  <si>
    <t>if ($row['prof']=="king"||$row['prof']=="queen"||$row['prof']=="rook") {?&gt;</t>
  </si>
  <si>
    <t>&lt;a href="bishop.php"&gt;Only Bishop or higher rank profile have access and visualization of this link&lt;/a&gt;&lt;br/&gt;</t>
  </si>
  <si>
    <t>&lt;a href="rook1.php"&gt;Only Rook or higher rank profile have access and visualization of this link&lt;/a&gt;&lt;br/&gt;</t>
  </si>
  <si>
    <t>&lt;a href="pawn.php"&gt;pawn: any-profile access link&lt;/a&gt;&lt;br/&gt;</t>
  </si>
  <si>
    <t>&lt;a href="ThreeHailMary_logout.php"&gt;Log off&lt;/a&gt;&lt;br/&gt;</t>
  </si>
  <si>
    <t>&lt;a href="a01ThreeHailMary1.php"&gt;Enter patient data&lt;/a&gt;&lt;br/&gt;</t>
  </si>
  <si>
    <t>&lt;?/* smartmenu.php    */ &gt;</t>
  </si>
  <si>
    <t>PENDIIG TO CHANGE THIS</t>
  </si>
  <si>
    <t>WITH DATA FROM fieldcreator SHEET</t>
  </si>
  <si>
    <t>MAIN STRUCTURE FOR LINKS ASSOCIATED WITH</t>
  </si>
  <si>
    <t>KING PROFILE</t>
  </si>
  <si>
    <t>QUEEN PROFILE</t>
  </si>
  <si>
    <t>ROOK PROFILE</t>
  </si>
  <si>
    <t>if ($row['prof']=="king"||$row['prof']=="queen"||$row['prof']=="bishop"||$row['prof']=="rook") {?&gt;</t>
  </si>
  <si>
    <t>BISHOP PROFILE</t>
  </si>
  <si>
    <t>Pawn does not need special hiding codes</t>
  </si>
  <si>
    <t>Log of does not need special hiding codes</t>
  </si>
  <si>
    <t>tms_1</t>
  </si>
  <si>
    <t>Id of field</t>
  </si>
  <si>
    <t>yes</t>
  </si>
  <si>
    <t>&lt;script type="text/javascript"&gt;$(document).ready(function(){</t>
  </si>
  <si>
    <t>").change(function(){summary()})</t>
  </si>
  <si>
    <t>function summary() {</t>
  </si>
  <si>
    <t>);</t>
  </si>
  <si>
    <t>Associating to summary function</t>
  </si>
  <si>
    <t>Summary function</t>
  </si>
  <si>
    <t>n</t>
  </si>
  <si>
    <t>function summary() {$("#summary_1").html(</t>
  </si>
  <si>
    <t>Detecting first formfield (for commas and other signs)</t>
  </si>
  <si>
    <t>plus sign at the beginning</t>
  </si>
  <si>
    <t>+ $("#</t>
  </si>
  <si>
    <t>").val()</t>
  </si>
  <si>
    <t>max</t>
  </si>
  <si>
    <t>min</t>
  </si>
  <si>
    <t>return false;} }</t>
  </si>
  <si>
    <t xml:space="preserve">function check_if_number(nr,min_field,max_field,check_field,max_min_field,field) </t>
  </si>
  <si>
    <t>{ var numericExpression = /(^-?\d\d*\.\d*$)|(^-?\d\d*$)|(^-?\.\d\d*$)/;</t>
  </si>
  <si>
    <t>field.val(""); }</t>
  </si>
  <si>
    <t>else{check_field.html("That is not a number, try again"); field.val("");max_min_field.html("");</t>
  </si>
  <si>
    <t>&lt;script&gt; $("#</t>
  </si>
  <si>
    <t>").blur(function(){ check_if_number($("#</t>
  </si>
  <si>
    <t>").val(),</t>
  </si>
  <si>
    <t>,$("#check_</t>
  </si>
  <si>
    <t>"),$("#max_min_</t>
  </si>
  <si>
    <t>"),$("#</t>
  </si>
  <si>
    <t>"));});&lt;/script&gt;</t>
  </si>
  <si>
    <t xml:space="preserve">if (nr=="") {check_field.html("");max_min_field.html("");} </t>
  </si>
  <si>
    <t>else if(nr.match(numericExpression)){</t>
  </si>
  <si>
    <t xml:space="preserve">&lt;script&gt; </t>
  </si>
  <si>
    <t>&lt;span id="max_min_</t>
  </si>
  <si>
    <t>"&gt;&lt;/span&gt;&lt;span id="check_</t>
  </si>
  <si>
    <t>input tag</t>
  </si>
  <si>
    <t>else if (nr&lt;min_field) { max_min_field.html("Allowed values must be greater than "+min_field);check_field.html("");</t>
  </si>
  <si>
    <t>else if (nr&gt;max_field) {max_min_field.html("Allowed values must be lesser than "+max_field); field.val("");check_field.html(""); }}</t>
  </si>
  <si>
    <t>if (nr&gt;=min_field&amp;&amp;nr&lt;=max_field) {max_min_field.html("");check_field.html("");}</t>
  </si>
  <si>
    <t>PENDING TO SET WITH 100 FIELDS</t>
  </si>
  <si>
    <t>,dtoc DATE</t>
  </si>
  <si>
    <t>$dtoc=date("Y/m/d");</t>
  </si>
  <si>
    <t>&lt;script&gt; function validateEmail(email) {     var re = /^(([^&lt;&gt;()[\]\\.,;:\s@\"]+(\.[^&lt;&gt;()[\]\\.,;:\s@\"]+)*)|(\".+\"))@((\[[0-9]{1,3}\.[0-9]{1,3}\.[0-9]{1,3}\.[0-9]{1,3}\])|(([a-zA-Z\-0-9]+\.)+[a-zA-Z]{2,}))$/;</t>
  </si>
  <si>
    <t xml:space="preserve">    return re.test(email); } &lt;/script&gt;</t>
  </si>
  <si>
    <t>").blur(function(){ if (validateEmail($("#</t>
  </si>
  <si>
    <t>").val())) {$("#check_</t>
  </si>
  <si>
    <t xml:space="preserve"> &lt;script&gt; $(document).ready(function(){  $("#</t>
  </si>
  <si>
    <t>").html("");} else { $("#check_</t>
  </si>
  <si>
    <t>").html("wrong email");</t>
  </si>
  <si>
    <t>} });});&lt;/script&gt;</t>
  </si>
  <si>
    <t>Email validation</t>
  </si>
  <si>
    <t>date of creation</t>
  </si>
  <si>
    <t>Automatic Timestamp</t>
  </si>
  <si>
    <t>tmst</t>
  </si>
  <si>
    <t>$tmst=date("Y,m,d");</t>
  </si>
  <si>
    <t>EPS</t>
  </si>
  <si>
    <t>eps</t>
  </si>
  <si>
    <t>js select syntax</t>
  </si>
  <si>
    <t>Timestamp (not shown)</t>
  </si>
  <si>
    <t>Required select</t>
  </si>
  <si>
    <t>required select</t>
  </si>
  <si>
    <t>=date("Y/m/d");</t>
  </si>
  <si>
    <t>$con = mysql_connect('localhost','root','jatter');if (!$con){die('Could not connect: ' . mysql_error());}mysql_select_db("</t>
  </si>
  <si>
    <t>root','jatter'</t>
  </si>
  <si>
    <t>&lt;link rel="stylesheet" type="text/css" href="</t>
  </si>
  <si>
    <t>&lt;script language="Javascript"&gt;function capLock(e){</t>
  </si>
  <si>
    <t xml:space="preserve"> kc = e.keyCode?e.keyCode:e.which; sk = e.shiftKey?e.shiftKey:((kc == 16)?true:false);</t>
  </si>
  <si>
    <t xml:space="preserve"> if(((kc &gt;= 65 &amp;&amp; kc &lt;= 90) &amp;&amp; !sk)||((kc &gt;= 97 &amp;&amp; kc &lt;= 122) &amp;&amp; sk))  document.getElementById('divMayus').style.visibility = 'visible';</t>
  </si>
  <si>
    <t>PASSWORD&lt;input type="password" name="pwd" id="pwd"  onkeypress="capLock(event)"/&gt;&lt;br/&gt;</t>
  </si>
  <si>
    <t>uppercase</t>
  </si>
  <si>
    <t>number</t>
  </si>
  <si>
    <t>Textfield options</t>
  </si>
  <si>
    <t>&lt;script&gt;function upperCase(x){x.value=x.value.toUpperCase();}&lt;/script&gt;</t>
  </si>
  <si>
    <t>&lt;script language="Javascript"&gt;  $(document).ready(function(){ $("#</t>
  </si>
  <si>
    <t>Text fields</t>
  </si>
  <si>
    <t>empty1</t>
  </si>
  <si>
    <t>empty2</t>
  </si>
  <si>
    <t>empty3</t>
  </si>
  <si>
    <t>").keyup(function(){upperCase(document.getElementById('</t>
  </si>
  <si>
    <t>definitive script</t>
  </si>
  <si>
    <t>Number</t>
  </si>
  <si>
    <t>for numbers</t>
  </si>
  <si>
    <t xml:space="preserve">&lt;script type="text/javascript"&gt;  /*ajax get request for table </t>
  </si>
  <si>
    <t xml:space="preserve">&lt;script type="text/javascript"&gt;  /*ajax retrieveifexist request for table </t>
  </si>
  <si>
    <t>Select depend</t>
  </si>
  <si>
    <t>").value=="</t>
  </si>
  <si>
    <t>") {$("#</t>
  </si>
  <si>
    <t xml:space="preserve">   $("#name").keyup(function(){upperCase(document.getElementById('name')); }) </t>
  </si>
  <si>
    <t xml:space="preserve">   $("#surname").keyup(function(){upperCase(document.getElementById('surname')); })</t>
  </si>
  <si>
    <t>});</t>
  </si>
  <si>
    <t>&lt;script language="Javascript"&gt;  $(document).ready(function(){</t>
  </si>
  <si>
    <t>" size="15"    onkeypress="capLock(event)" /&gt;</t>
  </si>
  <si>
    <t>"&amp;&amp;</t>
  </si>
  <si>
    <t>Include in summary?</t>
  </si>
  <si>
    <t>Ordinal position</t>
  </si>
  <si>
    <t xml:space="preserve">" </t>
  </si>
  <si>
    <t>checkbox</t>
  </si>
  <si>
    <t>Type of field</t>
  </si>
  <si>
    <t>&lt;script&gt;</t>
  </si>
  <si>
    <t>//scafold for fieldtypes.  For each checklist button there must be one converter line</t>
  </si>
  <si>
    <t>text</t>
  </si>
  <si>
    <t>Dependant locator</t>
  </si>
  <si>
    <t xml:space="preserve">var </t>
  </si>
  <si>
    <t>= "</t>
  </si>
  <si>
    <t>:  "+ $("#</t>
  </si>
  <si>
    <t>if ($("#</t>
  </si>
  <si>
    <t xml:space="preserve">").val()!="") {var </t>
  </si>
  <si>
    <t>= ": "+$("#</t>
  </si>
  <si>
    <t xml:space="preserve">").val()+" ";} else var </t>
  </si>
  <si>
    <t>="";</t>
  </si>
  <si>
    <t xml:space="preserve">").is(':checked')==true) {var </t>
  </si>
  <si>
    <t>="</t>
  </si>
  <si>
    <t xml:space="preserve"> "} else var </t>
  </si>
  <si>
    <t>var for summary</t>
  </si>
  <si>
    <t>$("#summary_1").val(</t>
  </si>
  <si>
    <t>// This must match with textarea field id "summary_1"</t>
  </si>
  <si>
    <t>})</t>
  </si>
  <si>
    <t>;})</t>
  </si>
  <si>
    <t>hide empty rows</t>
  </si>
  <si>
    <t>Triggering summary function</t>
  </si>
  <si>
    <t xml:space="preserve">DO NOT FORGET TO ADD:  </t>
  </si>
  <si>
    <t>WHERE YOU CONSIDER IT SHOULD GO</t>
  </si>
  <si>
    <t>$("#copy_summary").click(function(){</t>
  </si>
  <si>
    <t>var textBox = document.getElementById('summary_1');</t>
  </si>
  <si>
    <t>textBox.select();</t>
  </si>
  <si>
    <t>//("#summary_1").select();</t>
  </si>
  <si>
    <t>&lt;BUTTON ID="copy_summary"&gt;SELECT ALL&lt;/BUTTON&gt;After clicking on this button press Ctrl+C keys to copy selected data.  Paste it wherever you want</t>
  </si>
  <si>
    <t>&lt;div id="summary_all" style="display:none"&gt;</t>
  </si>
  <si>
    <t>$("#show_summary").click(function(){</t>
  </si>
  <si>
    <t>$("#summary_all").toggle("fast");</t>
  </si>
  <si>
    <t xml:space="preserve"> &lt;textarea  id="summary_1"  cols="70" rows="4"&gt;&lt;/textarea&gt;</t>
  </si>
  <si>
    <t>&lt;BUTTON ID="show_summary"&gt;SUMMARY&lt;/BUTTON&gt;Click over here if you want to see summary to be copied to your electronic medical register</t>
  </si>
  <si>
    <t>field id</t>
  </si>
  <si>
    <t>basic call</t>
  </si>
  <si>
    <t>Will it be included</t>
  </si>
  <si>
    <t>Included?</t>
  </si>
  <si>
    <t>y</t>
  </si>
  <si>
    <t>if yes show</t>
  </si>
  <si>
    <t>&lt;table&gt;</t>
  </si>
  <si>
    <t>while($row = mysql_fetch_array($result))</t>
  </si>
  <si>
    <t>echo "&lt;/tr&gt;";</t>
  </si>
  <si>
    <t>"&lt;/td&gt;";</t>
  </si>
  <si>
    <t/>
  </si>
  <si>
    <t>'].</t>
  </si>
  <si>
    <t>noemptfields</t>
  </si>
  <si>
    <t>}   ?&gt;</t>
  </si>
  <si>
    <t>{ echo"&lt;tr&gt;";</t>
  </si>
  <si>
    <t xml:space="preserve">&lt;/table&gt; </t>
  </si>
  <si>
    <t>if ($rowclass=="'standard_cell'") {$rowclass="'standard_cell2'";} else $rowclass="'standard_cell'";</t>
  </si>
  <si>
    <t>$rowclass="'standard_cell'";</t>
  </si>
  <si>
    <t>echo "&lt;td class=".$rowclass."&gt;".$row['</t>
  </si>
  <si>
    <t>header name</t>
  </si>
  <si>
    <t>&lt;tr&gt;</t>
  </si>
  <si>
    <t>&lt;/tr&gt;</t>
  </si>
  <si>
    <t>&lt;th class="headerclass"&gt;</t>
  </si>
  <si>
    <t>&lt;/th&gt;</t>
  </si>
  <si>
    <t xml:space="preserve">header </t>
  </si>
  <si>
    <t>set empty values when field is empty.  Very easy, with if (x=="") {y=""} else y=x;</t>
  </si>
  <si>
    <t>='</t>
  </si>
  <si>
    <t xml:space="preserve">' AND </t>
  </si>
  <si>
    <t>table_</t>
  </si>
  <si>
    <t>();</t>
  </si>
  <si>
    <t xml:space="preserve">&lt;script&gt;function </t>
  </si>
  <si>
    <t>() {$("#table_</t>
  </si>
  <si>
    <t>").load('table_</t>
  </si>
  <si>
    <t>.php');} $(document).ready(function(){</t>
  </si>
  <si>
    <t>();})&lt;/script&gt;</t>
  </si>
  <si>
    <t>if ($("#ttosuspdate").val()=="") {var ttosuspdate="";} else var ttosuspdate= "suspendio:  "+ $("#ttosuspdate").val();</t>
  </si>
  <si>
    <t>Desired label</t>
  </si>
  <si>
    <t>Definitive label</t>
  </si>
  <si>
    <t xml:space="preserve">=="") {var </t>
  </si>
  <si>
    <t xml:space="preserve">} else </t>
  </si>
  <si>
    <t>&lt;script&gt;function upperCase(x){x.value=x.value.toUpperCase();</t>
  </si>
  <si>
    <t>}&lt;/script&gt;</t>
  </si>
  <si>
    <t xml:space="preserve"> x.value=x.value.replace("Á","A");</t>
  </si>
  <si>
    <t xml:space="preserve"> x.value=x.value.replace("É","E");</t>
  </si>
  <si>
    <t xml:space="preserve"> x.value=x.value.replace("Í","I");</t>
  </si>
  <si>
    <t xml:space="preserve"> x.value=x.value.replace("Ú","U");</t>
  </si>
  <si>
    <t xml:space="preserve"> x.value=x.value.replace("Ó","O");</t>
  </si>
  <si>
    <t xml:space="preserve"> x.value=x.value.replace("Ñ","N");</t>
  </si>
  <si>
    <t>Intrusion protection</t>
  </si>
  <si>
    <t>=mysql_real_escape_string(</t>
  </si>
  <si>
    <t>//checking fields that already exist to block insert</t>
  </si>
  <si>
    <t>//Protection against SQL injection</t>
  </si>
  <si>
    <t xml:space="preserve"> x.value=x.value.replace("Ü","U");</t>
  </si>
  <si>
    <t>x.value=x.value.replace("á","a");</t>
  </si>
  <si>
    <t>x.value=x.value.replace("é","e");</t>
  </si>
  <si>
    <t>x.value=x.value.replace("í","i");</t>
  </si>
  <si>
    <t>x.value=x.value.replace("ó","o");</t>
  </si>
  <si>
    <t>x.value=x.value.replace("ú","u");</t>
  </si>
  <si>
    <t>x.value=x.value.replace("Ü","u");</t>
  </si>
  <si>
    <t>x.value=x.value.replace("ñ","n");</t>
  </si>
  <si>
    <t>x.value=x.value.replace("Á","A");</t>
  </si>
  <si>
    <t>x.value=x.value.replace("É","E");</t>
  </si>
  <si>
    <t>x.value=x.value.replace("Í","I");</t>
  </si>
  <si>
    <t>x.value=x.value.replace("Ó","O");</t>
  </si>
  <si>
    <t>x.value=x.value.replace("Ú","U");</t>
  </si>
  <si>
    <t>x.value=x.value.replace("Ü","U");</t>
  </si>
  <si>
    <t>x.value=x.value.replace("Ñ","N");</t>
  </si>
  <si>
    <t>&lt;script&gt;function NoStressedVowles(x) {</t>
  </si>
  <si>
    <t>PENDING TO ASSOCIATE TEXTFIELD WITH THIS FUNCTION</t>
  </si>
  <si>
    <t>Show group in same cell: group with same number</t>
  </si>
  <si>
    <t xml:space="preserve">']=="true") {echo " - </t>
  </si>
  <si>
    <t xml:space="preserve"> ";}</t>
  </si>
  <si>
    <t>scaffold same cell 1</t>
  </si>
  <si>
    <t>scaffold same cell 3</t>
  </si>
  <si>
    <t>texto display header</t>
  </si>
  <si>
    <t>check box display</t>
  </si>
  <si>
    <t>type of field</t>
  </si>
  <si>
    <t>Definitive same cell php code</t>
  </si>
  <si>
    <t>scaffold same cell 4</t>
  </si>
  <si>
    <t>echo"&lt;td class=".$rowclass."&gt;";</t>
  </si>
  <si>
    <t>echo "&lt;/td&gt;";</t>
  </si>
  <si>
    <t xml:space="preserve">Non- grouped Check box </t>
  </si>
  <si>
    <t>function isDate(txtDate)</t>
  </si>
  <si>
    <t> var rxDatePattern = /^(\d{4})(\/|-)(\d{1,2})(\/|-)(\d{1,2})$/; //Declare Regex</t>
  </si>
  <si>
    <t> var dtArray = currVal.match(rxDatePattern); // is format OK?</t>
  </si>
  <si>
    <t>  if (dtArray == null) return false;</t>
  </si>
  <si>
    <t>  //Checks for mm/dd/yyyy format.</t>
  </si>
  <si>
    <t>    dtYear = dtArray[1]; dtDay= dtArray[5]; dtMonth = dtArray[7]; </t>
  </si>
  <si>
    <t>  if (dtMonth &lt; 1 || dtMonth &gt; 12)  return false;</t>
  </si>
  <si>
    <t>    else if (dtDay &lt; 1 || dtDay&gt; 31) return false;</t>
  </si>
  <si>
    <t>    else if ((dtMonth==4 || dtMonth==6 || dtMonth==9 || dtMonth==11) &amp;&amp; dtDay ==31) return false;</t>
  </si>
  <si>
    <t>    else if (dtMonth == 2)  { var isleap = (dtYear % 4 == 0 &amp;&amp; (dtYear % 100 != 0 || dtYear % 400 == 0));if (dtDay&gt; 29 || (dtDay ==29 &amp;&amp; !isleap))  return false; } return true; }</t>
  </si>
  <si>
    <t>{var currVal = txtDate;</t>
  </si>
  <si>
    <t>").blur(function(){ var txtVal=$("#</t>
  </si>
  <si>
    <t>").val();   if(isDate(txtVal)) {$("#adv_</t>
  </si>
  <si>
    <t>").html("");} else {$("#adv_</t>
  </si>
  <si>
    <t>").html("DEBE INGRESAR FORMATO FECHA AAAA-MM-DD"); } })&lt;/script&gt;</t>
  </si>
  <si>
    <t>Title</t>
  </si>
  <si>
    <t>&lt;/h2&gt;</t>
  </si>
  <si>
    <t>&lt;h2 id="</t>
  </si>
  <si>
    <t>" size="15" onkeypress="capLock(event)"/&gt;</t>
  </si>
  <si>
    <t>&lt;div id="divMayus" style="display:none"&gt;OJO: EL BLOQUEO DE MAYUSCULAS (CAPS LOCKS) ESTA ACTIVADO.&lt;/div&gt;&lt;br/&gt;</t>
  </si>
  <si>
    <t xml:space="preserve">&lt;script&gt; $(document).ready(function(){  $("#user").blur(function(){ </t>
  </si>
  <si>
    <t>{ $("#check_email").html("wrong email");$("#user").val("");} });});&lt;/script&gt;</t>
  </si>
  <si>
    <t xml:space="preserve"> if(((kc &gt;= 65 &amp;&amp; kc &lt;= 90) &amp;&amp; !sk)||((kc &gt;= 97 &amp;&amp; kc &lt;= 122) &amp;&amp; sk)) document.getElementById('divMayus').style.display = 'block';</t>
  </si>
  <si>
    <t xml:space="preserve"> else  document.getElementById('divMayus').style.display = 'none';</t>
  </si>
  <si>
    <t xml:space="preserve"> else {$("#adv_user").html("Debe ingresar email valido");</t>
  </si>
  <si>
    <t xml:space="preserve">  $("#user").val("");</t>
  </si>
  <si>
    <t xml:space="preserve">  $("#user").focus();</t>
  </si>
  <si>
    <t xml:space="preserve">  } });});&lt;/script&gt;</t>
  </si>
  <si>
    <t xml:space="preserve"> var re = /^(([^&lt;&gt;()[\]\\.,;:\s@\"]+(\.[^&lt;&gt;()[\]\\.,;:\s@\"]+)*)|(\".+\"))@((\[[0-9]{1,3}\.[0-9]{1,3}\.[0-9]{1,3}\.[0-9]{1,3}\])|(([a-zA-Z\-0-9]+\.)+[a-zA-Z]{2,}))$/;</t>
  </si>
  <si>
    <t xml:space="preserve">  return re.test(email); } &lt;/script&gt;</t>
  </si>
  <si>
    <t xml:space="preserve">&lt;script&gt; function validateEmail(email) {  </t>
  </si>
  <si>
    <t>&lt;div id="adv_user"&gt;&lt;/div&gt;</t>
  </si>
  <si>
    <t>password&lt;input type="password" id="pwd_confirm" name="pwd_confirm" size="15" onkeypress="capLock(event)"/&gt;</t>
  </si>
  <si>
    <t>pwd_confirm=$("#pwd_confirm").val();</t>
  </si>
  <si>
    <t>else if (</t>
  </si>
  <si>
    <t>Mobile phone</t>
  </si>
  <si>
    <t>mobile</t>
  </si>
  <si>
    <t>if (pwd!=pwd_confirm) {$("#adv_pwd").html("&lt;br/&gt;&lt;b&gt;…..La confirmación de contrase&amp;241a no coincide, intente de nuevo…..&lt;/b&gt;");</t>
  </si>
  <si>
    <t xml:space="preserve">   $("#pwd").val(""); $("#pwd_confirm").val("");  $("#pwd").focus();}</t>
  </si>
  <si>
    <t>Detecting invisible spaces</t>
  </si>
  <si>
    <t>Detecting repeated ids</t>
  </si>
  <si>
    <t>Detecting repeated ids 1</t>
  </si>
  <si>
    <t>INSTEAD OF THE "email" TEXT FIELD, REPLACE IT WITH THE WHOLE PROGRAMMING CODE:</t>
  </si>
  <si>
    <t>First: name all the email users that will be inserted into the user array</t>
  </si>
  <si>
    <t>CONTROLED USER SIGN IN METHOD</t>
  </si>
  <si>
    <t>&lt;select name="</t>
  </si>
  <si>
    <t>&lt;option value=""&gt;&lt;/option&gt;</t>
  </si>
  <si>
    <t>&lt;?</t>
  </si>
  <si>
    <t>$pre_</t>
  </si>
  <si>
    <t>=array('</t>
  </si>
  <si>
    <t xml:space="preserve">  $result = mysql_query("SELECT * FROM session WHERE </t>
  </si>
  <si>
    <t>'$value'"); $row = mysql_fetch_array($result);</t>
  </si>
  <si>
    <t>if (empty($row[0])) {echo '&lt;option value ="'.$value.'"&gt;'.$value.'&lt;/option&gt;'; }    }     ?&gt;</t>
  </si>
  <si>
    <t>&lt;/select&gt;</t>
  </si>
  <si>
    <t>&lt;?  //server connection PHP</t>
  </si>
  <si>
    <t>//database connection</t>
  </si>
  <si>
    <t>Email Password recovery</t>
  </si>
  <si>
    <t>Si olvidó su contraseña ingrese el email que ingresó como usuario:</t>
  </si>
  <si>
    <t>&lt;form action="a01Recovery.php" method="POST"&gt;&lt;input type="text" name="recover"/&gt;&lt;input type="submit" value="Enviar clave al correo"/&gt;&lt;/form&gt;</t>
  </si>
  <si>
    <t>&lt;?if(isset($_POST['recover'])){</t>
  </si>
  <si>
    <t xml:space="preserve">   ?&gt;No existe la cuenta con el usuario &lt;? </t>
  </si>
  <si>
    <t xml:space="preserve">   echo $recover; ?&gt;</t>
  </si>
  <si>
    <t xml:space="preserve">   Puede crearla accediendo al siguiente hipervinculo: &lt;a href="a01session.php"&gt;Crear usuario&lt;/a&gt;</t>
  </si>
  <si>
    <t xml:space="preserve">   &lt;? }</t>
  </si>
  <si>
    <t xml:space="preserve">  $result = mysql_query("SELECT * FROM session WHERE user='$recover'");</t>
  </si>
  <si>
    <t xml:space="preserve">  $row = mysql_fetch_array($result);$pwd=$row['pwd'];</t>
  </si>
  <si>
    <t xml:space="preserve">  if (empty($pwd)) {</t>
  </si>
  <si>
    <t xml:space="preserve"> if (!empty($recover)) {</t>
  </si>
  <si>
    <t xml:space="preserve"> $recover=$_POST['recover'];</t>
  </si>
  <si>
    <t xml:space="preserve">   else {</t>
  </si>
  <si>
    <t xml:space="preserve">   $to=$recover;</t>
  </si>
  <si>
    <t xml:space="preserve">   $subject="Recuperar clave";</t>
  </si>
  <si>
    <t xml:space="preserve">   $message="El usuario es ".$recover;</t>
  </si>
  <si>
    <t xml:space="preserve">   $message2="La contraseña olvidada es ".$pwd;</t>
  </si>
  <si>
    <t xml:space="preserve">   $header="from: HMD support&lt;support@healmydisease.com&gt;";</t>
  </si>
  <si>
    <t xml:space="preserve">  else {?&gt;No puede ingresar datos en blanco&lt;?}</t>
  </si>
  <si>
    <t xml:space="preserve">  }</t>
  </si>
  <si>
    <t xml:space="preserve">   mail($to,$subject,$message."\n".$message2."\n".$message3,$header);</t>
  </si>
  <si>
    <t>&lt;head&gt;&lt;title&gt;Password recovery&lt;/title&gt;</t>
  </si>
  <si>
    <t>radio or select dependant text</t>
  </si>
  <si>
    <t xml:space="preserve">scafold </t>
  </si>
  <si>
    <t>Scafold 2</t>
  </si>
  <si>
    <t>Scafold 3</t>
  </si>
  <si>
    <t>']=="</t>
  </si>
  <si>
    <t>") {echo $row['</t>
  </si>
  <si>
    <t>'];} else echo $row['</t>
  </si>
  <si>
    <t>']=='true') {echo '&lt;td class='.$rowclass."&gt; si &lt;/td&gt;";} else echo "&lt;td class=".$rowclass."&gt; no &lt;/td&gt;";</t>
  </si>
  <si>
    <t>echo '&lt;td class='.$rowclass.'&gt;';</t>
  </si>
  <si>
    <t>'];echo '&lt;/td&gt;';</t>
  </si>
  <si>
    <t>Scafold 4</t>
  </si>
  <si>
    <t>Definitive previous dependant code</t>
  </si>
  <si>
    <t>If date zero then empty</t>
  </si>
  <si>
    <t>']=='0000-00-00'||$row['</t>
  </si>
  <si>
    <t>']=='0000/00/00') {echo "";} else echo $row['</t>
  </si>
  <si>
    <t>&lt;button id="prev_</t>
  </si>
  <si>
    <t>"&gt;newer&lt;/button&gt;&lt;button id="next_</t>
  </si>
  <si>
    <t>"&gt;older&lt;/button&gt;</t>
  </si>
  <si>
    <t>&lt;script&gt; $("#prev_</t>
  </si>
  <si>
    <t>").click(function() { page=page-4; if (page&lt;0) {page=0;} $.get('table_</t>
  </si>
  <si>
    <t>',{page:page},function(result){$("#table_</t>
  </si>
  <si>
    <t>").html(result);}); });  &lt;/script&gt;</t>
  </si>
  <si>
    <t>&lt;script&gt; var page=0; $("#next_</t>
  </si>
  <si>
    <t>").click(function() { var max_limit=$("#limit_</t>
  </si>
  <si>
    <t>',{page:page}, function(result){$("#table_</t>
  </si>
  <si>
    <t>").html(result);}); }); &lt;/script&gt;</t>
  </si>
  <si>
    <t>").html(); if ((page+4)&lt;(max_limit)) {page=(page+4);} $.get('table_</t>
  </si>
  <si>
    <t>$page=(int)0; if (isset($_GET['page'])) {$page=$page+(int)$_GET['page'];if ($page&lt;0){$page=(int)0;}} else $page=(int)0;  $limit=(int)4;</t>
  </si>
  <si>
    <t xml:space="preserve"> ORDER BY id DESC LIMIT $page,$limit ");</t>
  </si>
  <si>
    <t>&lt;div id="limit_</t>
  </si>
  <si>
    <t xml:space="preserve">" style="display:none"&gt;&lt;?$count=mysql_query("SELECT COUNT(id) FROM </t>
  </si>
  <si>
    <t>"); $count2=mysql_fetch_array($count); echo $count2[0]; ?&gt;&lt;/div&gt;</t>
  </si>
  <si>
    <t>included?</t>
  </si>
  <si>
    <t xml:space="preserve">  else {$("#adv_pwd").html("");} }); &lt;/script&gt;</t>
  </si>
  <si>
    <t>&lt;script&gt; $("#pwd").blur(function(){var pwd_length=$("#pwd").val().length;</t>
  </si>
  <si>
    <t>if (pwd!=pwd_confirm){</t>
  </si>
  <si>
    <t>if (validateEmail($("#user").val())) {$("#check_email").html("");</t>
  </si>
  <si>
    <t>var user=$("#user").val(); $.get("checkuser.php",{user:user},function(result) {$("#check_email").html(result)});</t>
  </si>
  <si>
    <t>New file</t>
  </si>
  <si>
    <t>&lt;?/*   FILENAME=  checkuser.php   */</t>
  </si>
  <si>
    <t>if (isset($_GET['user'])) {$user=$_GET['user'];} else $user="";</t>
  </si>
  <si>
    <t>Si recuerda su usuario pero olvido la clave ingrese al siguiente link:</t>
  </si>
  <si>
    <t>&lt;a href="a01Recovery.php"&gt;No recuerdo mi clave&lt;/a&gt;&lt;br/&gt;</t>
  </si>
  <si>
    <t>&lt;?  ;}   ?&gt;</t>
  </si>
  <si>
    <t>$row_ae = mysql_fetch_array($result);</t>
  </si>
  <si>
    <t>_login.php"&gt;Ingresar&lt;/a&gt;&lt;br/&gt;&lt;br/&gt;</t>
  </si>
  <si>
    <t>&lt;br/&gt;Ya existe usuario registrado con el correo &lt;?echo $user;?&gt;.&lt;br/&gt;</t>
  </si>
  <si>
    <t>&lt;script&gt;  $("#user").val("");  $("#user").focus();  $("#confirmed_new_user").hide("fast");   &lt;/script&gt;</t>
  </si>
  <si>
    <t>&lt;?  ;}   else {?&gt;</t>
  </si>
  <si>
    <t>&lt;script&gt;  $("#confirmed_new_user").show("fast");   &lt;/script&gt;</t>
  </si>
  <si>
    <t>&lt;script&gt; $("#pwd_confirm").blur(function(){   var pwd=$("#pwd").val();   var pwd_confirm=$("#pwd_confirm").val();</t>
  </si>
  <si>
    <t xml:space="preserve">  if (pwd_length&lt;6&amp;&amp;pwd_length&gt;0){$("#adv_pwd").html("Minimo seis digitos, intente de nuevo");$("#pwd").val("");$("#pwd").focus();}</t>
  </si>
  <si>
    <t>$("#pwd").css({"background":"yellow"});</t>
  </si>
  <si>
    <t>$("#pwd_confirm").css({"background":"yellow"});</t>
  </si>
  <si>
    <t>else {$("#adv_pwd").html(""); $("#pwd_confirm").css({"background":"#fff"}); $("#pwd").css({"background":"#fff"}); } }); &lt;/script&gt;</t>
  </si>
  <si>
    <t>Intente nuevamente ingresando otra cuenta de correo en el campo respectivo&lt;br/&gt;</t>
  </si>
  <si>
    <t xml:space="preserve">Si desea ingresar con este usuario y recuerda la clave haga click en el siguiente link: </t>
  </si>
  <si>
    <t xml:space="preserve">&lt;script&gt; $(document).ready(function(){  $("#user").blur(function(){ if (validateEmail($("#user").val())) {var user=$("#user").val(); $.get("ensureitexist.php",{user:user},function(result){ $("#adv_user").html(result)}); } </t>
  </si>
  <si>
    <t xml:space="preserve"> else  document.getElementById('divMayus').style.visibility = 'hidden';} &lt;/script&gt;</t>
  </si>
  <si>
    <t>ADVISE IF EMAIL USER DOES NOT EXIST</t>
  </si>
  <si>
    <t>&lt;?/*ensureitexist.php*/</t>
  </si>
  <si>
    <t>&lt;table style='border: 1px solid black;border-collapse: collapse;font-size:12px;table-layout:fixed;'&gt;</t>
  </si>
  <si>
    <t xml:space="preserve">    &lt;tr style="border: 1px solid black;background-color: #000066; color: #FFFFFF;"&gt;</t>
  </si>
  <si>
    <t>Id name</t>
  </si>
  <si>
    <t>&lt;th class="august"&gt;</t>
  </si>
  <si>
    <t>emptyfield cleaner</t>
  </si>
  <si>
    <t xml:space="preserve">     &lt;tr/&gt;</t>
  </si>
  <si>
    <t xml:space="preserve"> ORDER BY id DESC");</t>
  </si>
  <si>
    <t>while($row = mysql_fetch_array($result)) {</t>
  </si>
  <si>
    <t>Header code</t>
  </si>
  <si>
    <t>checklist conversor</t>
  </si>
  <si>
    <t>']=="true") {$row['</t>
  </si>
  <si>
    <t>']="</t>
  </si>
  <si>
    <t>";} else $row['</t>
  </si>
  <si>
    <t>']="";</t>
  </si>
  <si>
    <t>// convert false / true of check box in meaninful text</t>
  </si>
  <si>
    <t>data retrieve</t>
  </si>
  <si>
    <t>'].'&lt;/td&gt;</t>
  </si>
  <si>
    <t>&lt;td class="cel"&gt;'.$row['</t>
  </si>
  <si>
    <t xml:space="preserve">         echo '&lt;tr class="row"&gt;</t>
  </si>
  <si>
    <t xml:space="preserve">            &lt;/td&gt;&lt;/tr&gt;&lt;?  } /*Loop ends here*/ ?&gt;&lt;/table&gt;</t>
  </si>
  <si>
    <t xml:space="preserve">     &lt;th class="august"&gt;edit&lt;/th&gt;</t>
  </si>
  <si>
    <t>new file</t>
  </si>
  <si>
    <t>&lt;td class="cel"&gt;&lt;a href="edit_record</t>
  </si>
  <si>
    <t>?record_id='.$row['id'].'"&gt;';?&gt;</t>
  </si>
  <si>
    <t xml:space="preserve"> WHERE id='$record_id'");</t>
  </si>
  <si>
    <t>&lt;head&gt;</t>
  </si>
  <si>
    <t>&lt;title&gt;Edit data&lt;/title&gt;</t>
  </si>
  <si>
    <t>If bigtext</t>
  </si>
  <si>
    <t>" rows="3" cols="60"&gt;&lt;?echo $row['</t>
  </si>
  <si>
    <t>'];?&gt;&lt;/textarea&gt;</t>
  </si>
  <si>
    <t>If text</t>
  </si>
  <si>
    <t>" &lt;?echo 'value="'.$row['</t>
  </si>
  <si>
    <t>'].'"';?&gt;/&gt;</t>
  </si>
  <si>
    <t>If date</t>
  </si>
  <si>
    <t>&lt;input type="text" size="7" id="</t>
  </si>
  <si>
    <t>'].'"';?&gt; class="datepicker"/&gt;</t>
  </si>
  <si>
    <t>&lt;br/&gt;</t>
  </si>
  <si>
    <t>Detecting wrong field size</t>
  </si>
  <si>
    <t>If radio button</t>
  </si>
  <si>
    <t>if selectlist</t>
  </si>
  <si>
    <t>if check box</t>
  </si>
  <si>
    <t>DEFINITIVE HTML CODE</t>
  </si>
  <si>
    <t>"&gt;&lt;option value=""&gt;&lt;/option&gt;</t>
  </si>
  <si>
    <t>"  &lt;?if ($row['</t>
  </si>
  <si>
    <t>") echo 'selected="selected"';?&gt; &gt;</t>
  </si>
  <si>
    <t>scafold1</t>
  </si>
  <si>
    <t>selectlist scafold 2</t>
  </si>
  <si>
    <t>") echo 'checked';?&gt; /&gt;</t>
  </si>
  <si>
    <t>display only</t>
  </si>
  <si>
    <t>joaleto@yahoo.com</t>
  </si>
  <si>
    <t>ricardosaldarriaga@yahoo.com</t>
  </si>
  <si>
    <t>ma_escobar81@hotmail.com</t>
  </si>
  <si>
    <t>").html("Required");</t>
  </si>
  <si>
    <t>Edit data?</t>
  </si>
  <si>
    <t>showed in table?</t>
  </si>
  <si>
    <t>EDITING PAGE</t>
  </si>
  <si>
    <t>TABLE LIST OF EDITABLE DATA</t>
  </si>
  <si>
    <t>&lt;?echo $row['</t>
  </si>
  <si>
    <t>'];?&gt;</t>
  </si>
  <si>
    <t>Text (display only)</t>
  </si>
  <si>
    <t>") {$row['</t>
  </si>
  <si>
    <t>']=$row['</t>
  </si>
  <si>
    <t>'];}</t>
  </si>
  <si>
    <t>//convert "other - describe" into descriptive value</t>
  </si>
  <si>
    <t>Other - describe</t>
  </si>
  <si>
    <t>" &lt;? If($row['</t>
  </si>
  <si>
    <t>" value="1" &lt;? If ($row['</t>
  </si>
  <si>
    <t>']=="true")  echo "checked"; ?&gt; /&gt;</t>
  </si>
  <si>
    <t>&lt;br/&gt;&lt;textarea id="</t>
  </si>
  <si>
    <t>&lt;br/&gt;&lt;input type="checkbox" name="</t>
  </si>
  <si>
    <t>Radiodepend</t>
  </si>
  <si>
    <t>&lt;script&gt;$(document).ready(function(){</t>
  </si>
  <si>
    <t>})&lt;/script&gt;</t>
  </si>
  <si>
    <t>js dependant</t>
  </si>
  <si>
    <t>radiodependat</t>
  </si>
  <si>
    <t>=document.getElementById("</t>
  </si>
  <si>
    <t>) {$("#</t>
  </si>
  <si>
    <t>select dependant</t>
  </si>
  <si>
    <t xml:space="preserve">_dependant").hide(); </t>
  </si>
  <si>
    <t>_dependant").show(); }</t>
  </si>
  <si>
    <t>//radiodependant field</t>
  </si>
  <si>
    <t>//hide / show according to radio button option</t>
  </si>
  <si>
    <t>radiodependant scafold</t>
  </si>
  <si>
    <t>Scaffold2</t>
  </si>
  <si>
    <t>']; ?&gt;</t>
  </si>
  <si>
    <t>Scaffold3</t>
  </si>
  <si>
    <t>Definitive code 2</t>
  </si>
  <si>
    <t>&lt;div&gt;&lt;img id="update" src="update.png" height="45" width="60" onmouseover="this.src='updatehover.png'" onmouseout="this.src='update.png'"/&gt;&lt;/div&gt;</t>
  </si>
  <si>
    <t>&lt;div id="hide_after_update"&gt;</t>
  </si>
  <si>
    <t>&lt;div id="result"&gt;&lt;/div&gt;</t>
  </si>
  <si>
    <t>$("#update").click(function(){</t>
  </si>
  <si>
    <t>setting js radio variable</t>
  </si>
  <si>
    <t xml:space="preserve">").checked==true) {var </t>
  </si>
  <si>
    <t>setting check var</t>
  </si>
  <si>
    <t>Setting value variables</t>
  </si>
  <si>
    <t>Definitive variable js</t>
  </si>
  <si>
    <t>// adjusting variables values</t>
  </si>
  <si>
    <t>$.post("update_record</t>
  </si>
  <si>
    <t>", {</t>
  </si>
  <si>
    <t>JSON</t>
  </si>
  <si>
    <t>UPDATING PAGE</t>
  </si>
  <si>
    <t>,last_update_by VARCHAR (50),updated_on DATE)";</t>
  </si>
  <si>
    <t>isset</t>
  </si>
  <si>
    <t>if (isset($_POST['</t>
  </si>
  <si>
    <t>=$_POST['</t>
  </si>
  <si>
    <t>'];} else $</t>
  </si>
  <si>
    <t xml:space="preserve">      $updated_on=date("Y/m/d");</t>
  </si>
  <si>
    <t xml:space="preserve">      header("Cache-Control: no-store, no-cache, must-revalidate");</t>
  </si>
  <si>
    <t xml:space="preserve">      var record_id=$("#record_id").html();</t>
  </si>
  <si>
    <t>&lt;div id="record_id" style="display:none"&gt;&lt;?echo $record_id;  ?&gt;&lt;/div&gt;</t>
  </si>
  <si>
    <t>,record_id:record_id},function(result) {$( "#result" ).html(result);$( "#hide_after_update" ).hide("fast");});</t>
  </si>
  <si>
    <t>if (isset($_GET['record_id'])) $record_id=$_GET['record_id']; else header("Location:edit</t>
  </si>
  <si>
    <t>"); // Redirect if no record is choosen</t>
  </si>
  <si>
    <t>if (isset($_POST['record_id'])) $record_id=$_POST['record_id']; else header("Location:edit</t>
  </si>
  <si>
    <t xml:space="preserve">mysql_query("UPDATE </t>
  </si>
  <si>
    <t>update</t>
  </si>
  <si>
    <t>Echoing updated data</t>
  </si>
  <si>
    <t>echo '&lt;br/&gt;succesfully updated!&lt;br/&gt;Updated as follows: '</t>
  </si>
  <si>
    <t xml:space="preserve">       ,last_update_by='$last_update_by'</t>
  </si>
  <si>
    <t xml:space="preserve">       ,updated_on='$updated_on'</t>
  </si>
  <si>
    <t xml:space="preserve">      .'  - updated by: '.$last_update_by.' - updated_on: '.$updated_on;</t>
  </si>
  <si>
    <t xml:space="preserve">  &lt;/head&gt;</t>
  </si>
  <si>
    <t>&lt;head&gt;&lt;title&gt;Data table&lt;/title&gt;</t>
  </si>
  <si>
    <t xml:space="preserve">  &lt;/body&gt;</t>
  </si>
  <si>
    <t xml:space="preserve">  &lt;/div&gt;</t>
  </si>
  <si>
    <t xml:space="preserve">     &lt;/div&gt;</t>
  </si>
  <si>
    <t xml:space="preserve">        &lt;br/&gt;&lt;br/&gt;&lt;br/&gt;</t>
  </si>
  <si>
    <t>$result = mysql_query("SELECT * FROM session WHERE user='$to'");</t>
  </si>
  <si>
    <t>$row = mysql_fetch_array($result);$pwd=$row['pwd'];</t>
  </si>
  <si>
    <t xml:space="preserve">   $message="El usuario es ".$to;</t>
  </si>
  <si>
    <t xml:space="preserve">   $message3="Ya puedes ingresar con tu usuario y clave"; /*pendiente colocar dirección web de acceso*/</t>
  </si>
  <si>
    <t xml:space="preserve">   ?&gt;La clave ha sido enviada al correo &lt;?echo $to;</t>
  </si>
  <si>
    <t xml:space="preserve"> } else {</t>
  </si>
  <si>
    <t xml:space="preserve"> }</t>
  </si>
  <si>
    <t>&lt;?  //a01Recovery.php ?&gt;</t>
  </si>
  <si>
    <t>&lt;? if(isset($_GET['user'])) {$to=$_GET['user'];</t>
  </si>
  <si>
    <t xml:space="preserve">  &lt;div id="container"&gt; &lt;!-- it contains all webpage content--&gt;</t>
  </si>
  <si>
    <t xml:space="preserve">     &lt;div id="header"&gt;</t>
  </si>
  <si>
    <t xml:space="preserve">  &lt;div id="body"&gt;&lt;br/&gt;&lt;br/&gt;&lt;br/&gt;</t>
  </si>
  <si>
    <t xml:space="preserve">    &lt;div class="boxbody2"&gt;</t>
  </si>
  <si>
    <t xml:space="preserve">      &lt;div class="login_adv"&gt;</t>
  </si>
  <si>
    <t xml:space="preserve">          &lt;div id="adv_user"&gt;&lt;/div&gt;</t>
  </si>
  <si>
    <t xml:space="preserve">      &lt;/div&gt;</t>
  </si>
  <si>
    <t xml:space="preserve">       &lt;div style="float:right;padding:10px"&gt;&lt;img src="capslock.png" alt="capslock" /&gt;&lt;/div&gt;</t>
  </si>
  <si>
    <t xml:space="preserve">       &lt;div style="clear:both"&gt;&lt;/div&gt;</t>
  </si>
  <si>
    <t>&lt;div id="divMayus" style="visibility:hidden"&gt;</t>
  </si>
  <si>
    <t>&lt;a href="a01Recovery.php"  style="display:none"&gt;Si olvidaste tu clave ingresa a este link&lt;/a&gt;&lt;br/&gt;</t>
  </si>
  <si>
    <t xml:space="preserve">     $(document).ready(function(){</t>
  </si>
  <si>
    <t xml:space="preserve">      function catchuser(a) {</t>
  </si>
  <si>
    <t xml:space="preserve">      var subscribe="a01session.php?user="+a;</t>
  </si>
  <si>
    <t xml:space="preserve">      $("#subscribe").attr({href:subscribe});</t>
  </si>
  <si>
    <t xml:space="preserve">      var recover="a01Recovery.php?user="+a;</t>
  </si>
  <si>
    <t xml:space="preserve">     })</t>
  </si>
  <si>
    <t xml:space="preserve">      $("#recover").attr({href:recover});}</t>
  </si>
  <si>
    <t xml:space="preserve">       $("#user").change(function(){catchuser($("#user").val())})</t>
  </si>
  <si>
    <t xml:space="preserve">       $("#user").keyup(function(){catchuser($("#user").val())})</t>
  </si>
  <si>
    <t xml:space="preserve">     &lt;/script&gt;</t>
  </si>
  <si>
    <t xml:space="preserve">$row_ae = mysql_fetch_array($result); if (empty($row_ae[0])) {?&gt; </t>
  </si>
  <si>
    <t>&lt;div&gt;</t>
  </si>
  <si>
    <t>&lt;img src="userdoesnotexist.png" alt="nonexistent user" height="60px" width="60px"/&gt;</t>
  </si>
  <si>
    <t>&lt;b&gt;&lt;? echo $user;?&gt; &lt;/b&gt;</t>
  </si>
  <si>
    <t>&lt;script&gt;$("#recover").hide();$("#subscribe").show();&lt;/script&gt;</t>
  </si>
  <si>
    <t>NO EXISTE COMO USUARIO, debe inscribirse o intentar otro email&lt;br/&gt;</t>
  </si>
  <si>
    <t>&lt;script&gt; $("#user").focus(); &lt;/script&gt; &lt;? } else {?&gt;</t>
  </si>
  <si>
    <t>&lt;script&gt;$("#recover").show();$("#subscribe").hide();&lt;/script&gt;  &lt;? } ?&gt;</t>
  </si>
  <si>
    <t xml:space="preserve">   ?&gt;&lt;br/&gt;&lt;a href="market_following_login.php"&gt;</t>
  </si>
  <si>
    <t xml:space="preserve">   Intenta ingresar nuevamente&lt;/a&gt;&lt;?</t>
  </si>
  <si>
    <t xml:space="preserve">   }  }</t>
  </si>
  <si>
    <t xml:space="preserve">   ?&gt;La clave ha sido enviada al correo &lt;?echo $recover;</t>
  </si>
  <si>
    <t>if(isset($_GET['user'])) $user=$_GET['user']; else $user="";</t>
  </si>
  <si>
    <t xml:space="preserve">&lt;?if ($user=="") {?&gt;  </t>
  </si>
  <si>
    <t xml:space="preserve">email&lt;input type="text" id="user" name="user" size="15" /&gt;&lt;span id="adv_user"&gt;&lt;/span&gt; </t>
  </si>
  <si>
    <t>&lt;span id="adv_email"&gt;&lt;/span&gt;&lt;/span&gt;&lt;span id="check_email"&gt;&lt;/span&gt;</t>
  </si>
  <si>
    <t>&lt;?} else {?&gt;</t>
  </si>
  <si>
    <t>&lt;input &lt;?echo 'value="'.$user.'"';?&gt; id="user" style="display:none"/&gt;</t>
  </si>
  <si>
    <t>&lt;?echo $user;?&gt;</t>
  </si>
  <si>
    <t>&lt;?}?&gt;</t>
  </si>
  <si>
    <t>&lt;br/&gt;&lt;div id="confirmed_new_user"&gt;</t>
  </si>
  <si>
    <t xml:space="preserve">     &lt;br/&gt;&lt;br/&gt;&lt;br/&gt;</t>
  </si>
  <si>
    <t>&lt;script type="text/javascript"&gt;</t>
  </si>
  <si>
    <t xml:space="preserve">  $(document).ready(function(){</t>
  </si>
  <si>
    <t xml:space="preserve">  $("#header").load('header.php'); });</t>
  </si>
  <si>
    <t xml:space="preserve">  $("#footer").load('footer.php'); });</t>
  </si>
  <si>
    <t>&lt;head&gt;&lt;title&gt;Identificacion&lt;/title&gt;</t>
  </si>
  <si>
    <t>&lt;a class="menu" href="</t>
  </si>
  <si>
    <t xml:space="preserve">           &lt;br/&gt;&lt;br/&gt;&lt;br/&gt;</t>
  </si>
  <si>
    <t xml:space="preserve">Le damos una cordial bienvenida a  </t>
  </si>
  <si>
    <t>&lt;br/&gt;&lt;br/&gt;</t>
  </si>
  <si>
    <t>OPCIONES&lt;br/&gt;</t>
  </si>
  <si>
    <t>&lt;br/&gt;&lt;br/&gt;&lt;br/&gt;</t>
  </si>
  <si>
    <t>&lt;head&gt;&lt;title&gt;Salida segura&lt;/title&gt;</t>
  </si>
  <si>
    <t>function search_pt() {</t>
  </si>
  <si>
    <t xml:space="preserve">}); } </t>
  </si>
  <si>
    <t>}); }); &lt;/script&gt;</t>
  </si>
  <si>
    <t xml:space="preserve">   search_pt();</t>
  </si>
  <si>
    <t>&lt;script type="text/javascript"&gt;  /*search function*/</t>
  </si>
  <si>
    <t xml:space="preserve">  $("#numd").keypress(function(event) {</t>
  </si>
  <si>
    <t xml:space="preserve">  if (event.which==13) {  search_pt();}</t>
  </si>
  <si>
    <t xml:space="preserve"> }); </t>
  </si>
  <si>
    <t>&lt;script type="text/javascript"&gt;  /*search with enter key*/</t>
  </si>
  <si>
    <t>radio desc</t>
  </si>
  <si>
    <t>displaying radio value page</t>
  </si>
  <si>
    <t>displaying radio value save</t>
  </si>
  <si>
    <t xml:space="preserve"> $("#adv_pwd").html("Deben coincidir, intente de nuevo");$("#pwd_confirm").val("");$("#pwd").focus();}</t>
  </si>
  <si>
    <t>Required for radio</t>
  </si>
  <si>
    <t>Required for select</t>
  </si>
  <si>
    <t xml:space="preserve">            &lt;img src="../07imagebank/edit.png" alt="edit" height="30px" width="25px"  /&gt;&lt;/a&gt;</t>
  </si>
  <si>
    <t>Jesus</t>
  </si>
  <si>
    <t>healmy5_pray</t>
  </si>
  <si>
    <t>doc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</si>
</sst>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9"/>
      <color indexed="81"/>
      <name val="Tahoma"/>
      <family val="2"/>
    </font>
    <font>
      <sz val="5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3"/>
      <color theme="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3" tint="-0.249977111117893"/>
      <name val="Lucida Sans Typewriter"/>
      <family val="3"/>
    </font>
    <font>
      <sz val="9"/>
      <color theme="1"/>
      <name val="Calibri"/>
      <family val="2"/>
      <scheme val="minor"/>
    </font>
    <font>
      <sz val="11"/>
      <color theme="0" tint="-0.1499679555650502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BFDA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7" tint="-0.24994659260841701"/>
      </left>
      <right style="thin">
        <color theme="7" tint="-0.24994659260841701"/>
      </right>
      <top/>
      <bottom style="thin">
        <color theme="7" tint="-0.24994659260841701"/>
      </bottom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273">
    <xf numFmtId="0" fontId="0" fillId="0" borderId="0" xfId="0"/>
    <xf numFmtId="0" fontId="0" fillId="2" borderId="0" xfId="0" applyFill="1"/>
    <xf numFmtId="0" fontId="0" fillId="3" borderId="0" xfId="0" applyFill="1" applyProtection="1">
      <protection locked="0"/>
    </xf>
    <xf numFmtId="0" fontId="0" fillId="3" borderId="1" xfId="0" applyFill="1" applyBorder="1" applyAlignment="1" applyProtection="1">
      <alignment horizontal="right"/>
      <protection locked="0"/>
    </xf>
    <xf numFmtId="0" fontId="0" fillId="3" borderId="1" xfId="0" applyFill="1" applyBorder="1" applyProtection="1">
      <protection locked="0"/>
    </xf>
    <xf numFmtId="0" fontId="0" fillId="2" borderId="0" xfId="0" applyFill="1" applyAlignment="1">
      <alignment horizontal="right"/>
    </xf>
    <xf numFmtId="0" fontId="0" fillId="4" borderId="0" xfId="0" applyFill="1"/>
    <xf numFmtId="0" fontId="0" fillId="3" borderId="2" xfId="0" applyFill="1" applyBorder="1" applyAlignment="1" applyProtection="1">
      <alignment horizontal="right"/>
      <protection locked="0"/>
    </xf>
    <xf numFmtId="0" fontId="0" fillId="3" borderId="2" xfId="0" applyFill="1" applyBorder="1" applyProtection="1">
      <protection locked="0"/>
    </xf>
    <xf numFmtId="0" fontId="0" fillId="2" borderId="0" xfId="0" quotePrefix="1" applyFill="1"/>
    <xf numFmtId="0" fontId="0" fillId="3" borderId="4" xfId="0" applyFill="1" applyBorder="1" applyAlignment="1" applyProtection="1">
      <alignment horizontal="right"/>
      <protection locked="0"/>
    </xf>
    <xf numFmtId="0" fontId="0" fillId="3" borderId="4" xfId="0" applyFill="1" applyBorder="1" applyProtection="1">
      <protection locked="0"/>
    </xf>
    <xf numFmtId="0" fontId="0" fillId="5" borderId="0" xfId="0" applyFill="1"/>
    <xf numFmtId="0" fontId="1" fillId="5" borderId="0" xfId="0" applyFont="1" applyFill="1"/>
    <xf numFmtId="0" fontId="2" fillId="6" borderId="0" xfId="0" applyFont="1" applyFill="1"/>
    <xf numFmtId="0" fontId="0" fillId="6" borderId="0" xfId="0" applyFill="1"/>
    <xf numFmtId="0" fontId="0" fillId="6" borderId="0" xfId="0" applyFont="1" applyFill="1"/>
    <xf numFmtId="0" fontId="0" fillId="7" borderId="0" xfId="0" applyFill="1"/>
    <xf numFmtId="0" fontId="0" fillId="7" borderId="0" xfId="0" quotePrefix="1" applyFill="1"/>
    <xf numFmtId="0" fontId="0" fillId="5" borderId="0" xfId="0" applyFill="1" applyAlignment="1">
      <alignment horizontal="right"/>
    </xf>
    <xf numFmtId="0" fontId="0" fillId="8" borderId="7" xfId="0" applyFill="1" applyBorder="1" applyProtection="1">
      <protection locked="0"/>
    </xf>
    <xf numFmtId="0" fontId="1" fillId="0" borderId="6" xfId="0" applyFont="1" applyBorder="1"/>
    <xf numFmtId="0" fontId="0" fillId="5" borderId="6" xfId="0" applyFill="1" applyBorder="1" applyProtection="1"/>
    <xf numFmtId="0" fontId="0" fillId="8" borderId="6" xfId="0" applyFill="1" applyBorder="1" applyProtection="1">
      <protection locked="0"/>
    </xf>
    <xf numFmtId="0" fontId="0" fillId="7" borderId="0" xfId="0" applyFill="1" applyAlignment="1">
      <alignment horizontal="center"/>
    </xf>
    <xf numFmtId="0" fontId="0" fillId="7" borderId="3" xfId="0" applyFill="1" applyBorder="1"/>
    <xf numFmtId="0" fontId="0" fillId="7" borderId="0" xfId="0" applyFill="1" applyBorder="1"/>
    <xf numFmtId="0" fontId="0" fillId="7" borderId="8" xfId="0" applyFill="1" applyBorder="1"/>
    <xf numFmtId="0" fontId="0" fillId="7" borderId="5" xfId="0" applyFill="1" applyBorder="1"/>
    <xf numFmtId="0" fontId="0" fillId="7" borderId="7" xfId="0" applyFill="1" applyBorder="1"/>
    <xf numFmtId="0" fontId="0" fillId="7" borderId="9" xfId="0" applyFill="1" applyBorder="1"/>
    <xf numFmtId="0" fontId="1" fillId="7" borderId="10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1" fillId="7" borderId="6" xfId="0" applyFont="1" applyFill="1" applyBorder="1"/>
    <xf numFmtId="0" fontId="0" fillId="9" borderId="6" xfId="0" applyFill="1" applyBorder="1" applyProtection="1">
      <protection locked="0"/>
    </xf>
    <xf numFmtId="0" fontId="0" fillId="9" borderId="6" xfId="0" applyFill="1" applyBorder="1" applyAlignment="1" applyProtection="1">
      <alignment horizontal="center"/>
      <protection locked="0"/>
    </xf>
    <xf numFmtId="0" fontId="3" fillId="8" borderId="0" xfId="0" applyFont="1" applyFill="1"/>
    <xf numFmtId="0" fontId="0" fillId="8" borderId="0" xfId="0" applyFill="1"/>
    <xf numFmtId="0" fontId="0" fillId="10" borderId="0" xfId="0" applyFill="1"/>
    <xf numFmtId="0" fontId="0" fillId="11" borderId="0" xfId="0" applyFill="1"/>
    <xf numFmtId="0" fontId="0" fillId="5" borderId="0" xfId="0" quotePrefix="1" applyFill="1"/>
    <xf numFmtId="0" fontId="1" fillId="7" borderId="0" xfId="0" applyFont="1" applyFill="1"/>
    <xf numFmtId="0" fontId="0" fillId="7" borderId="0" xfId="0" applyFill="1" applyAlignment="1">
      <alignment horizontal="right"/>
    </xf>
    <xf numFmtId="0" fontId="0" fillId="7" borderId="5" xfId="0" applyFill="1" applyBorder="1" applyAlignment="1">
      <alignment horizontal="right"/>
    </xf>
    <xf numFmtId="0" fontId="1" fillId="7" borderId="7" xfId="0" applyFont="1" applyFill="1" applyBorder="1"/>
    <xf numFmtId="0" fontId="3" fillId="11" borderId="0" xfId="0" applyFont="1" applyFill="1"/>
    <xf numFmtId="0" fontId="0" fillId="7" borderId="6" xfId="0" applyFill="1" applyBorder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5" fillId="5" borderId="0" xfId="0" applyFont="1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5" fillId="7" borderId="0" xfId="0" applyFont="1" applyFill="1"/>
    <xf numFmtId="0" fontId="7" fillId="11" borderId="0" xfId="0" applyFont="1" applyFill="1"/>
    <xf numFmtId="0" fontId="0" fillId="7" borderId="0" xfId="0" applyFill="1" applyProtection="1">
      <protection locked="0"/>
    </xf>
    <xf numFmtId="0" fontId="4" fillId="21" borderId="0" xfId="0" applyFont="1" applyFill="1"/>
    <xf numFmtId="0" fontId="0" fillId="21" borderId="0" xfId="0" applyFill="1"/>
    <xf numFmtId="0" fontId="6" fillId="21" borderId="0" xfId="0" applyFont="1" applyFill="1"/>
    <xf numFmtId="0" fontId="4" fillId="22" borderId="0" xfId="0" applyFont="1" applyFill="1"/>
    <xf numFmtId="0" fontId="0" fillId="22" borderId="0" xfId="0" applyFill="1"/>
    <xf numFmtId="0" fontId="0" fillId="23" borderId="0" xfId="0" applyFill="1"/>
    <xf numFmtId="0" fontId="5" fillId="23" borderId="0" xfId="0" applyFont="1" applyFill="1"/>
    <xf numFmtId="0" fontId="0" fillId="20" borderId="4" xfId="0" applyFill="1" applyBorder="1"/>
    <xf numFmtId="0" fontId="0" fillId="14" borderId="6" xfId="0" applyFill="1" applyBorder="1"/>
    <xf numFmtId="0" fontId="0" fillId="15" borderId="6" xfId="0" applyFill="1" applyBorder="1"/>
    <xf numFmtId="0" fontId="0" fillId="15" borderId="6" xfId="0" applyFont="1" applyFill="1" applyBorder="1"/>
    <xf numFmtId="0" fontId="0" fillId="16" borderId="6" xfId="0" applyFill="1" applyBorder="1"/>
    <xf numFmtId="0" fontId="0" fillId="19" borderId="6" xfId="0" applyFill="1" applyBorder="1"/>
    <xf numFmtId="0" fontId="0" fillId="17" borderId="6" xfId="0" applyFill="1" applyBorder="1"/>
    <xf numFmtId="0" fontId="0" fillId="18" borderId="6" xfId="0" applyFill="1" applyBorder="1"/>
    <xf numFmtId="0" fontId="0" fillId="7" borderId="6" xfId="0" applyFill="1" applyBorder="1" applyAlignment="1">
      <alignment wrapText="1"/>
    </xf>
    <xf numFmtId="0" fontId="1" fillId="24" borderId="0" xfId="0" applyFont="1" applyFill="1"/>
    <xf numFmtId="0" fontId="1" fillId="21" borderId="6" xfId="0" applyFont="1" applyFill="1" applyBorder="1" applyAlignment="1">
      <alignment wrapText="1"/>
    </xf>
    <xf numFmtId="0" fontId="8" fillId="5" borderId="0" xfId="0" applyFont="1" applyFill="1"/>
    <xf numFmtId="0" fontId="0" fillId="9" borderId="6" xfId="0" applyFill="1" applyBorder="1"/>
    <xf numFmtId="0" fontId="1" fillId="7" borderId="8" xfId="0" applyFont="1" applyFill="1" applyBorder="1"/>
    <xf numFmtId="0" fontId="0" fillId="6" borderId="0" xfId="0" quotePrefix="1" applyFont="1" applyFill="1"/>
    <xf numFmtId="0" fontId="0" fillId="6" borderId="0" xfId="0" quotePrefix="1" applyFill="1"/>
    <xf numFmtId="0" fontId="0" fillId="25" borderId="0" xfId="0" applyFill="1"/>
    <xf numFmtId="0" fontId="0" fillId="5" borderId="0" xfId="0" applyFill="1" applyAlignment="1">
      <alignment horizontal="right" vertical="center"/>
    </xf>
    <xf numFmtId="0" fontId="0" fillId="26" borderId="0" xfId="0" applyFill="1" applyProtection="1">
      <protection locked="0"/>
    </xf>
    <xf numFmtId="0" fontId="0" fillId="12" borderId="0" xfId="0" applyFill="1" applyProtection="1">
      <protection locked="0"/>
    </xf>
    <xf numFmtId="0" fontId="0" fillId="12" borderId="0" xfId="0" applyFill="1" applyProtection="1"/>
    <xf numFmtId="0" fontId="0" fillId="12" borderId="0" xfId="0" applyFont="1" applyFill="1" applyProtection="1">
      <protection locked="0"/>
    </xf>
    <xf numFmtId="0" fontId="0" fillId="7" borderId="6" xfId="0" applyFill="1" applyBorder="1" applyProtection="1"/>
    <xf numFmtId="0" fontId="7" fillId="5" borderId="0" xfId="0" applyFont="1" applyFill="1"/>
    <xf numFmtId="0" fontId="0" fillId="21" borderId="6" xfId="0" applyFill="1" applyBorder="1"/>
    <xf numFmtId="0" fontId="1" fillId="21" borderId="6" xfId="0" applyFont="1" applyFill="1" applyBorder="1"/>
    <xf numFmtId="0" fontId="0" fillId="21" borderId="10" xfId="0" applyFill="1" applyBorder="1"/>
    <xf numFmtId="0" fontId="1" fillId="21" borderId="12" xfId="0" applyFont="1" applyFill="1" applyBorder="1"/>
    <xf numFmtId="0" fontId="0" fillId="21" borderId="2" xfId="0" applyFill="1" applyBorder="1"/>
    <xf numFmtId="0" fontId="0" fillId="21" borderId="4" xfId="0" applyFill="1" applyBorder="1"/>
    <xf numFmtId="0" fontId="0" fillId="16" borderId="6" xfId="0" applyFill="1" applyBorder="1" applyAlignment="1"/>
    <xf numFmtId="0" fontId="1" fillId="14" borderId="6" xfId="0" applyFont="1" applyFill="1" applyBorder="1" applyAlignment="1">
      <alignment wrapText="1"/>
    </xf>
    <xf numFmtId="0" fontId="0" fillId="21" borderId="6" xfId="0" applyFill="1" applyBorder="1" applyAlignment="1">
      <alignment wrapText="1"/>
    </xf>
    <xf numFmtId="0" fontId="0" fillId="21" borderId="6" xfId="0" applyFont="1" applyFill="1" applyBorder="1" applyAlignment="1">
      <alignment wrapText="1"/>
    </xf>
    <xf numFmtId="0" fontId="0" fillId="27" borderId="6" xfId="0" applyFill="1" applyBorder="1"/>
    <xf numFmtId="0" fontId="0" fillId="27" borderId="0" xfId="0" applyFill="1"/>
    <xf numFmtId="0" fontId="5" fillId="16" borderId="0" xfId="0" applyFont="1" applyFill="1"/>
    <xf numFmtId="0" fontId="0" fillId="28" borderId="6" xfId="0" applyFill="1" applyBorder="1"/>
    <xf numFmtId="0" fontId="0" fillId="28" borderId="0" xfId="0" applyFill="1"/>
    <xf numFmtId="0" fontId="0" fillId="29" borderId="6" xfId="0" applyFill="1" applyBorder="1"/>
    <xf numFmtId="0" fontId="0" fillId="29" borderId="0" xfId="0" applyFill="1"/>
    <xf numFmtId="0" fontId="0" fillId="30" borderId="6" xfId="0" applyFill="1" applyBorder="1"/>
    <xf numFmtId="0" fontId="0" fillId="30" borderId="0" xfId="0" applyFill="1"/>
    <xf numFmtId="0" fontId="0" fillId="16" borderId="4" xfId="0" applyFill="1" applyBorder="1"/>
    <xf numFmtId="0" fontId="1" fillId="27" borderId="6" xfId="0" applyFont="1" applyFill="1" applyBorder="1"/>
    <xf numFmtId="0" fontId="1" fillId="4" borderId="6" xfId="0" applyFont="1" applyFill="1" applyBorder="1"/>
    <xf numFmtId="0" fontId="1" fillId="4" borderId="0" xfId="0" applyFont="1" applyFill="1"/>
    <xf numFmtId="0" fontId="0" fillId="27" borderId="6" xfId="0" applyFill="1" applyBorder="1" applyAlignment="1">
      <alignment wrapText="1"/>
    </xf>
    <xf numFmtId="0" fontId="0" fillId="31" borderId="6" xfId="0" applyFill="1" applyBorder="1"/>
    <xf numFmtId="0" fontId="0" fillId="31" borderId="0" xfId="0" applyFill="1"/>
    <xf numFmtId="0" fontId="1" fillId="3" borderId="0" xfId="0" applyFont="1" applyFill="1"/>
    <xf numFmtId="0" fontId="0" fillId="31" borderId="6" xfId="0" applyFill="1" applyBorder="1" applyAlignment="1">
      <alignment wrapText="1"/>
    </xf>
    <xf numFmtId="0" fontId="1" fillId="7" borderId="6" xfId="0" applyFont="1" applyFill="1" applyBorder="1" applyAlignment="1">
      <alignment wrapText="1"/>
    </xf>
    <xf numFmtId="0" fontId="1" fillId="7" borderId="0" xfId="0" applyFont="1" applyFill="1" applyBorder="1" applyAlignment="1">
      <alignment wrapText="1"/>
    </xf>
    <xf numFmtId="0" fontId="0" fillId="9" borderId="0" xfId="0" applyFill="1" applyBorder="1" applyProtection="1">
      <protection locked="0"/>
    </xf>
    <xf numFmtId="0" fontId="0" fillId="21" borderId="0" xfId="0" quotePrefix="1" applyFill="1"/>
    <xf numFmtId="0" fontId="0" fillId="31" borderId="0" xfId="0" quotePrefix="1" applyFill="1"/>
    <xf numFmtId="0" fontId="1" fillId="16" borderId="6" xfId="0" applyFont="1" applyFill="1" applyBorder="1" applyAlignment="1">
      <alignment wrapText="1"/>
    </xf>
    <xf numFmtId="0" fontId="0" fillId="5" borderId="0" xfId="0" applyNumberFormat="1" applyFill="1"/>
    <xf numFmtId="0" fontId="0" fillId="6" borderId="6" xfId="0" applyFill="1" applyBorder="1" applyProtection="1">
      <protection locked="0"/>
    </xf>
    <xf numFmtId="0" fontId="0" fillId="6" borderId="6" xfId="0" applyFill="1" applyBorder="1" applyAlignment="1" applyProtection="1">
      <alignment horizontal="center"/>
      <protection locked="0"/>
    </xf>
    <xf numFmtId="0" fontId="0" fillId="32" borderId="6" xfId="0" applyFill="1" applyBorder="1" applyProtection="1">
      <protection locked="0"/>
    </xf>
    <xf numFmtId="0" fontId="0" fillId="32" borderId="6" xfId="0" applyFill="1" applyBorder="1" applyAlignment="1" applyProtection="1">
      <alignment horizontal="center"/>
      <protection locked="0"/>
    </xf>
    <xf numFmtId="0" fontId="4" fillId="31" borderId="0" xfId="0" applyFont="1" applyFill="1"/>
    <xf numFmtId="0" fontId="0" fillId="20" borderId="0" xfId="0" applyFill="1"/>
    <xf numFmtId="0" fontId="0" fillId="20" borderId="6" xfId="0" applyFill="1" applyBorder="1" applyAlignment="1">
      <alignment wrapText="1"/>
    </xf>
    <xf numFmtId="0" fontId="0" fillId="4" borderId="6" xfId="0" applyFill="1" applyBorder="1" applyAlignment="1">
      <alignment wrapText="1"/>
    </xf>
    <xf numFmtId="0" fontId="4" fillId="4" borderId="0" xfId="0" applyFont="1" applyFill="1"/>
    <xf numFmtId="0" fontId="0" fillId="16" borderId="0" xfId="0" applyFont="1" applyFill="1"/>
    <xf numFmtId="0" fontId="4" fillId="20" borderId="0" xfId="0" applyFont="1" applyFill="1"/>
    <xf numFmtId="0" fontId="7" fillId="31" borderId="0" xfId="0" applyFont="1" applyFill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1" fillId="7" borderId="5" xfId="0" applyFont="1" applyFill="1" applyBorder="1"/>
    <xf numFmtId="0" fontId="0" fillId="4" borderId="0" xfId="0" applyFill="1" applyAlignment="1">
      <alignment wrapText="1"/>
    </xf>
    <xf numFmtId="0" fontId="10" fillId="5" borderId="0" xfId="0" applyFont="1" applyFill="1"/>
    <xf numFmtId="0" fontId="10" fillId="13" borderId="0" xfId="0" applyFont="1" applyFill="1"/>
    <xf numFmtId="0" fontId="0" fillId="24" borderId="0" xfId="0" applyFill="1"/>
    <xf numFmtId="0" fontId="0" fillId="24" borderId="6" xfId="0" applyFill="1" applyBorder="1" applyAlignment="1">
      <alignment wrapText="1"/>
    </xf>
    <xf numFmtId="0" fontId="0" fillId="16" borderId="6" xfId="0" applyFill="1" applyBorder="1" applyAlignment="1">
      <alignment wrapText="1"/>
    </xf>
    <xf numFmtId="0" fontId="0" fillId="31" borderId="0" xfId="0" applyFont="1" applyFill="1"/>
    <xf numFmtId="0" fontId="1" fillId="10" borderId="0" xfId="0" applyFont="1" applyFill="1"/>
    <xf numFmtId="0" fontId="0" fillId="7" borderId="6" xfId="0" applyFill="1" applyBorder="1" applyProtection="1">
      <protection locked="0"/>
    </xf>
    <xf numFmtId="0" fontId="0" fillId="10" borderId="6" xfId="0" applyFill="1" applyBorder="1" applyProtection="1">
      <protection locked="0"/>
    </xf>
    <xf numFmtId="0" fontId="11" fillId="5" borderId="0" xfId="0" applyFont="1" applyFill="1"/>
    <xf numFmtId="0" fontId="11" fillId="25" borderId="0" xfId="0" applyFont="1" applyFill="1"/>
    <xf numFmtId="0" fontId="12" fillId="25" borderId="0" xfId="0" applyFont="1" applyFill="1"/>
    <xf numFmtId="0" fontId="12" fillId="5" borderId="0" xfId="0" applyFont="1" applyFill="1"/>
    <xf numFmtId="0" fontId="11" fillId="5" borderId="0" xfId="0" applyFont="1" applyFill="1" applyAlignment="1">
      <alignment horizontal="right"/>
    </xf>
    <xf numFmtId="0" fontId="11" fillId="12" borderId="0" xfId="0" applyFont="1" applyFill="1" applyProtection="1"/>
    <xf numFmtId="0" fontId="11" fillId="5" borderId="11" xfId="0" applyFont="1" applyFill="1" applyBorder="1"/>
    <xf numFmtId="0" fontId="11" fillId="5" borderId="11" xfId="0" applyFont="1" applyFill="1" applyBorder="1" applyAlignment="1">
      <alignment horizontal="right"/>
    </xf>
    <xf numFmtId="0" fontId="11" fillId="12" borderId="0" xfId="0" applyFont="1" applyFill="1" applyProtection="1">
      <protection locked="0"/>
    </xf>
    <xf numFmtId="0" fontId="1" fillId="28" borderId="6" xfId="0" applyFont="1" applyFill="1" applyBorder="1" applyAlignment="1">
      <alignment wrapText="1"/>
    </xf>
    <xf numFmtId="0" fontId="1" fillId="21" borderId="6" xfId="0" applyFont="1" applyFill="1" applyBorder="1" applyAlignment="1"/>
    <xf numFmtId="0" fontId="13" fillId="5" borderId="0" xfId="0" applyFont="1" applyFill="1"/>
    <xf numFmtId="0" fontId="13" fillId="13" borderId="0" xfId="0" applyFont="1" applyFill="1"/>
    <xf numFmtId="0" fontId="0" fillId="3" borderId="0" xfId="0" applyFill="1"/>
    <xf numFmtId="0" fontId="0" fillId="34" borderId="0" xfId="0" applyFill="1"/>
    <xf numFmtId="0" fontId="14" fillId="34" borderId="0" xfId="0" applyFont="1" applyFill="1"/>
    <xf numFmtId="0" fontId="0" fillId="33" borderId="0" xfId="0" applyFill="1"/>
    <xf numFmtId="0" fontId="15" fillId="33" borderId="0" xfId="0" applyFont="1" applyFill="1"/>
    <xf numFmtId="0" fontId="16" fillId="7" borderId="0" xfId="0" applyFont="1" applyFill="1"/>
    <xf numFmtId="0" fontId="16" fillId="7" borderId="6" xfId="0" applyFont="1" applyFill="1" applyBorder="1"/>
    <xf numFmtId="0" fontId="0" fillId="35" borderId="6" xfId="0" applyFill="1" applyBorder="1" applyProtection="1"/>
    <xf numFmtId="0" fontId="1" fillId="5" borderId="0" xfId="0" applyNumberFormat="1" applyFont="1" applyFill="1"/>
    <xf numFmtId="0" fontId="0" fillId="7" borderId="0" xfId="0" applyFill="1" applyAlignment="1">
      <alignment vertical="top"/>
    </xf>
    <xf numFmtId="0" fontId="0" fillId="35" borderId="6" xfId="0" applyFill="1" applyBorder="1" applyAlignment="1" applyProtection="1">
      <alignment horizontal="center"/>
    </xf>
    <xf numFmtId="0" fontId="0" fillId="35" borderId="0" xfId="0" applyFill="1" applyBorder="1" applyProtection="1"/>
    <xf numFmtId="0" fontId="0" fillId="35" borderId="0" xfId="0" applyFill="1" applyProtection="1"/>
    <xf numFmtId="0" fontId="0" fillId="36" borderId="0" xfId="0" applyFill="1"/>
    <xf numFmtId="0" fontId="17" fillId="36" borderId="0" xfId="0" applyFont="1" applyFill="1"/>
    <xf numFmtId="0" fontId="18" fillId="5" borderId="0" xfId="0" applyFont="1" applyFill="1"/>
    <xf numFmtId="0" fontId="0" fillId="5" borderId="19" xfId="0" applyFill="1" applyBorder="1"/>
    <xf numFmtId="0" fontId="19" fillId="5" borderId="0" xfId="0" applyFont="1" applyFill="1"/>
    <xf numFmtId="0" fontId="0" fillId="9" borderId="0" xfId="0" applyFill="1"/>
    <xf numFmtId="0" fontId="0" fillId="9" borderId="20" xfId="0" applyFill="1" applyBorder="1"/>
    <xf numFmtId="0" fontId="0" fillId="9" borderId="21" xfId="0" applyFill="1" applyBorder="1"/>
    <xf numFmtId="0" fontId="0" fillId="9" borderId="22" xfId="0" applyFill="1" applyBorder="1"/>
    <xf numFmtId="0" fontId="0" fillId="37" borderId="0" xfId="0" applyFill="1"/>
    <xf numFmtId="0" fontId="0" fillId="38" borderId="0" xfId="0" applyFill="1"/>
    <xf numFmtId="0" fontId="20" fillId="13" borderId="0" xfId="0" applyFont="1" applyFill="1"/>
    <xf numFmtId="0" fontId="0" fillId="10" borderId="6" xfId="0" applyFill="1" applyBorder="1" applyProtection="1"/>
    <xf numFmtId="0" fontId="0" fillId="10" borderId="6" xfId="0" applyFill="1" applyBorder="1" applyAlignment="1" applyProtection="1">
      <alignment horizontal="center"/>
      <protection locked="0"/>
    </xf>
    <xf numFmtId="0" fontId="0" fillId="39" borderId="0" xfId="0" applyFill="1"/>
    <xf numFmtId="0" fontId="21" fillId="5" borderId="0" xfId="0" applyFont="1" applyFill="1"/>
    <xf numFmtId="0" fontId="21" fillId="13" borderId="0" xfId="0" applyFont="1" applyFill="1"/>
    <xf numFmtId="0" fontId="0" fillId="13" borderId="0" xfId="0" applyFont="1" applyFill="1"/>
    <xf numFmtId="0" fontId="0" fillId="5" borderId="0" xfId="0" applyFont="1" applyFill="1"/>
    <xf numFmtId="0" fontId="22" fillId="21" borderId="6" xfId="0" applyFont="1" applyFill="1" applyBorder="1"/>
    <xf numFmtId="0" fontId="0" fillId="21" borderId="0" xfId="0" applyFont="1" applyFill="1"/>
    <xf numFmtId="0" fontId="0" fillId="20" borderId="0" xfId="0" applyFont="1" applyFill="1"/>
    <xf numFmtId="0" fontId="0" fillId="23" borderId="0" xfId="0" applyFont="1" applyFill="1"/>
    <xf numFmtId="0" fontId="0" fillId="10" borderId="0" xfId="0" applyFont="1" applyFill="1"/>
    <xf numFmtId="0" fontId="0" fillId="7" borderId="3" xfId="0" applyFont="1" applyFill="1" applyBorder="1"/>
    <xf numFmtId="0" fontId="0" fillId="7" borderId="0" xfId="0" applyFont="1" applyFill="1" applyBorder="1"/>
    <xf numFmtId="0" fontId="0" fillId="7" borderId="8" xfId="0" applyFont="1" applyFill="1" applyBorder="1"/>
    <xf numFmtId="0" fontId="0" fillId="21" borderId="0" xfId="0" quotePrefix="1" applyFont="1" applyFill="1"/>
    <xf numFmtId="0" fontId="1" fillId="21" borderId="0" xfId="0" applyFont="1" applyFill="1"/>
    <xf numFmtId="0" fontId="0" fillId="31" borderId="0" xfId="0" quotePrefix="1" applyFont="1" applyFill="1"/>
    <xf numFmtId="0" fontId="0" fillId="7" borderId="5" xfId="0" applyFont="1" applyFill="1" applyBorder="1"/>
    <xf numFmtId="0" fontId="0" fillId="7" borderId="7" xfId="0" applyFont="1" applyFill="1" applyBorder="1"/>
    <xf numFmtId="0" fontId="0" fillId="7" borderId="9" xfId="0" applyFont="1" applyFill="1" applyBorder="1"/>
    <xf numFmtId="0" fontId="0" fillId="5" borderId="0" xfId="0" quotePrefix="1" applyFont="1" applyFill="1"/>
    <xf numFmtId="0" fontId="0" fillId="40" borderId="0" xfId="0" applyFill="1"/>
    <xf numFmtId="0" fontId="0" fillId="39" borderId="0" xfId="0" quotePrefix="1" applyFill="1"/>
    <xf numFmtId="0" fontId="0" fillId="5" borderId="7" xfId="0" applyFill="1" applyBorder="1"/>
    <xf numFmtId="0" fontId="0" fillId="5" borderId="0" xfId="0" applyFill="1" applyAlignment="1"/>
    <xf numFmtId="0" fontId="0" fillId="5" borderId="6" xfId="0" applyFill="1" applyBorder="1"/>
    <xf numFmtId="0" fontId="0" fillId="4" borderId="0" xfId="0" applyFill="1" applyProtection="1"/>
    <xf numFmtId="0" fontId="0" fillId="5" borderId="23" xfId="0" applyFill="1" applyBorder="1" applyProtection="1">
      <protection locked="0"/>
    </xf>
    <xf numFmtId="0" fontId="0" fillId="5" borderId="12" xfId="0" applyFill="1" applyBorder="1" applyProtection="1">
      <protection locked="0"/>
    </xf>
    <xf numFmtId="0" fontId="0" fillId="5" borderId="24" xfId="0" applyFill="1" applyBorder="1"/>
    <xf numFmtId="0" fontId="0" fillId="18" borderId="0" xfId="0" applyFont="1" applyFill="1"/>
    <xf numFmtId="0" fontId="17" fillId="33" borderId="0" xfId="0" applyFont="1" applyFill="1"/>
    <xf numFmtId="0" fontId="0" fillId="5" borderId="0" xfId="0" applyFill="1" applyAlignment="1">
      <alignment wrapText="1"/>
    </xf>
    <xf numFmtId="0" fontId="0" fillId="5" borderId="25" xfId="0" applyFill="1" applyBorder="1" applyProtection="1">
      <protection locked="0"/>
    </xf>
    <xf numFmtId="0" fontId="0" fillId="5" borderId="9" xfId="0" applyFill="1" applyBorder="1" applyProtection="1">
      <protection locked="0"/>
    </xf>
    <xf numFmtId="0" fontId="0" fillId="5" borderId="6" xfId="0" applyFill="1" applyBorder="1" applyAlignment="1">
      <alignment wrapText="1"/>
    </xf>
    <xf numFmtId="0" fontId="1" fillId="5" borderId="6" xfId="0" applyFont="1" applyFill="1" applyBorder="1" applyAlignment="1">
      <alignment wrapText="1"/>
    </xf>
    <xf numFmtId="0" fontId="1" fillId="5" borderId="6" xfId="0" applyFont="1" applyFill="1" applyBorder="1"/>
    <xf numFmtId="0" fontId="1" fillId="18" borderId="6" xfId="0" applyFont="1" applyFill="1" applyBorder="1" applyAlignment="1">
      <alignment wrapText="1"/>
    </xf>
    <xf numFmtId="0" fontId="0" fillId="5" borderId="0" xfId="0" applyFill="1" applyBorder="1"/>
    <xf numFmtId="0" fontId="23" fillId="13" borderId="0" xfId="0" applyFont="1" applyFill="1"/>
    <xf numFmtId="0" fontId="23" fillId="5" borderId="0" xfId="0" applyFont="1" applyFill="1"/>
    <xf numFmtId="0" fontId="17" fillId="40" borderId="0" xfId="0" applyFont="1" applyFill="1"/>
    <xf numFmtId="0" fontId="23" fillId="21" borderId="0" xfId="0" applyFont="1" applyFill="1"/>
    <xf numFmtId="0" fontId="23" fillId="21" borderId="0" xfId="0" applyFont="1" applyFill="1" applyAlignment="1"/>
    <xf numFmtId="0" fontId="0" fillId="7" borderId="6" xfId="0" applyFill="1" applyBorder="1" applyAlignment="1" applyProtection="1">
      <alignment horizontal="center"/>
      <protection locked="0"/>
    </xf>
    <xf numFmtId="0" fontId="0" fillId="39" borderId="0" xfId="0" quotePrefix="1" applyFill="1" applyAlignment="1"/>
    <xf numFmtId="0" fontId="0" fillId="41" borderId="0" xfId="0" applyFill="1"/>
    <xf numFmtId="0" fontId="0" fillId="41" borderId="0" xfId="0" quotePrefix="1" applyFill="1"/>
    <xf numFmtId="0" fontId="0" fillId="42" borderId="0" xfId="0" applyFill="1"/>
    <xf numFmtId="0" fontId="5" fillId="21" borderId="0" xfId="0" applyFont="1" applyFill="1"/>
    <xf numFmtId="0" fontId="0" fillId="3" borderId="0" xfId="0" applyFont="1" applyFill="1"/>
    <xf numFmtId="0" fontId="24" fillId="21" borderId="0" xfId="0" applyFont="1" applyFill="1"/>
    <xf numFmtId="0" fontId="17" fillId="34" borderId="0" xfId="0" applyFont="1" applyFill="1"/>
    <xf numFmtId="0" fontId="25" fillId="22" borderId="0" xfId="0" applyFont="1" applyFill="1"/>
    <xf numFmtId="0" fontId="25" fillId="31" borderId="0" xfId="0" applyFont="1" applyFill="1"/>
    <xf numFmtId="0" fontId="1" fillId="18" borderId="0" xfId="0" applyFont="1" applyFill="1"/>
    <xf numFmtId="0" fontId="0" fillId="18" borderId="0" xfId="0" quotePrefix="1" applyFill="1"/>
    <xf numFmtId="0" fontId="0" fillId="3" borderId="0" xfId="0" quotePrefix="1" applyFill="1"/>
    <xf numFmtId="0" fontId="1" fillId="5" borderId="26" xfId="0" applyFont="1" applyFill="1" applyBorder="1"/>
    <xf numFmtId="0" fontId="0" fillId="4" borderId="26" xfId="0" applyFill="1" applyBorder="1"/>
    <xf numFmtId="0" fontId="0" fillId="3" borderId="26" xfId="0" applyFill="1" applyBorder="1"/>
    <xf numFmtId="0" fontId="0" fillId="43" borderId="0" xfId="0" applyFill="1"/>
    <xf numFmtId="0" fontId="0" fillId="44" borderId="0" xfId="0" quotePrefix="1" applyFill="1"/>
    <xf numFmtId="0" fontId="0" fillId="5" borderId="0" xfId="0" applyFill="1" applyProtection="1">
      <protection locked="0"/>
    </xf>
    <xf numFmtId="0" fontId="26" fillId="13" borderId="0" xfId="0" applyFont="1" applyFill="1"/>
    <xf numFmtId="0" fontId="23" fillId="3" borderId="0" xfId="0" applyFont="1" applyFill="1"/>
    <xf numFmtId="0" fontId="26" fillId="3" borderId="0" xfId="0" applyFont="1" applyFill="1"/>
    <xf numFmtId="0" fontId="17" fillId="5" borderId="0" xfId="0" applyFont="1" applyFill="1"/>
    <xf numFmtId="0" fontId="24" fillId="3" borderId="0" xfId="0" applyFont="1" applyFill="1"/>
    <xf numFmtId="0" fontId="26" fillId="5" borderId="0" xfId="0" applyFont="1" applyFill="1"/>
    <xf numFmtId="0" fontId="21" fillId="21" borderId="0" xfId="0" applyFont="1" applyFill="1"/>
    <xf numFmtId="0" fontId="0" fillId="7" borderId="0" xfId="0" applyFill="1" applyAlignment="1">
      <alignment wrapText="1"/>
    </xf>
    <xf numFmtId="0" fontId="27" fillId="5" borderId="6" xfId="0" applyFont="1" applyFill="1" applyBorder="1"/>
    <xf numFmtId="0" fontId="27" fillId="5" borderId="0" xfId="0" applyFont="1" applyFill="1"/>
    <xf numFmtId="0" fontId="0" fillId="5" borderId="18" xfId="0" applyFill="1" applyBorder="1" applyAlignment="1"/>
    <xf numFmtId="0" fontId="0" fillId="0" borderId="17" xfId="0" applyBorder="1" applyAlignment="1"/>
    <xf numFmtId="0" fontId="0" fillId="0" borderId="16" xfId="0" applyBorder="1" applyAlignment="1"/>
    <xf numFmtId="0" fontId="0" fillId="9" borderId="10" xfId="0" applyFill="1" applyBorder="1" applyAlignment="1">
      <alignment horizontal="left"/>
    </xf>
    <xf numFmtId="0" fontId="0" fillId="9" borderId="11" xfId="0" applyFill="1" applyBorder="1" applyAlignment="1">
      <alignment horizontal="left"/>
    </xf>
    <xf numFmtId="0" fontId="0" fillId="9" borderId="12" xfId="0" applyFill="1" applyBorder="1" applyAlignment="1">
      <alignment horizontal="left"/>
    </xf>
    <xf numFmtId="0" fontId="0" fillId="9" borderId="10" xfId="0" quotePrefix="1" applyFill="1" applyBorder="1" applyAlignment="1">
      <alignment horizontal="left"/>
    </xf>
  </cellXfs>
  <cellStyles count="1">
    <cellStyle name="Normal" xfId="0" builtinId="0"/>
  </cellStyles>
  <dxfs count="29"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3" tint="0.59996337778862885"/>
      </font>
    </dxf>
    <dxf>
      <font>
        <color theme="2" tint="-9.9948118533890809E-2"/>
      </font>
      <fill>
        <patternFill>
          <bgColor theme="2" tint="-9.9948118533890809E-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3" tint="0.59996337778862885"/>
      </font>
    </dxf>
    <dxf>
      <font>
        <color theme="2" tint="-9.9948118533890809E-2"/>
      </font>
      <fill>
        <patternFill>
          <bgColor theme="2" tint="-9.9948118533890809E-2"/>
        </patternFill>
      </fill>
      <border>
        <left/>
        <right/>
        <top/>
        <bottom/>
        <vertical/>
        <horizontal/>
      </border>
    </dxf>
    <dxf>
      <fill>
        <patternFill>
          <bgColor theme="2" tint="-9.9948118533890809E-2"/>
        </patternFill>
      </fill>
      <border>
        <top/>
        <bottom/>
        <vertical/>
        <horizontal/>
      </border>
    </dxf>
    <dxf>
      <fill>
        <patternFill>
          <bgColor theme="2" tint="-9.9948118533890809E-2"/>
        </patternFill>
      </fill>
      <border>
        <top/>
        <bottom/>
        <vertical/>
        <horizontal/>
      </border>
    </dxf>
    <dxf>
      <fill>
        <patternFill>
          <bgColor theme="2" tint="-9.9948118533890809E-2"/>
        </patternFill>
      </fill>
      <border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theme="0"/>
        </patternFill>
      </fill>
    </dxf>
    <dxf>
      <font>
        <color theme="0" tint="-0.14996795556505021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color theme="1" tint="0.499984740745262"/>
      </font>
      <fill>
        <patternFill>
          <bgColor theme="0" tint="-4.9989318521683403E-2"/>
        </patternFill>
      </fill>
    </dxf>
    <dxf>
      <font>
        <color theme="3" tint="0.59996337778862885"/>
      </font>
    </dxf>
    <dxf>
      <font>
        <color theme="2" tint="-9.9948118533890809E-2"/>
      </font>
      <fill>
        <patternFill>
          <bgColor theme="2" tint="-9.9948118533890809E-2"/>
        </patternFill>
      </fill>
      <border>
        <left/>
        <right/>
        <top/>
        <bottom/>
        <vertical/>
        <horizontal/>
      </border>
    </dxf>
  </dxfs>
  <tableStyles count="0" defaultTableStyle="TableStyleMedium9" defaultPivotStyle="PivotStyleLight16"/>
  <colors>
    <mruColors>
      <color rgb="FF99FF99"/>
      <color rgb="FFCCFFCC"/>
      <color rgb="FFFF9966"/>
      <color rgb="FFFF9933"/>
      <color rgb="FF66FF33"/>
      <color rgb="FFFF99F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9</xdr:col>
      <xdr:colOff>742950</xdr:colOff>
      <xdr:row>10</xdr:row>
      <xdr:rowOff>161925</xdr:rowOff>
    </xdr:to>
    <xdr:sp macro="[0]!b19FromAuthenticationToHome" textlink="">
      <xdr:nvSpPr>
        <xdr:cNvPr id="2" name="1 Flecha arriba"/>
        <xdr:cNvSpPr/>
      </xdr:nvSpPr>
      <xdr:spPr>
        <a:xfrm>
          <a:off x="6858000" y="190500"/>
          <a:ext cx="742950" cy="542925"/>
        </a:xfrm>
        <a:prstGeom prst="upArrow">
          <a:avLst>
            <a:gd name="adj1" fmla="val 73616"/>
            <a:gd name="adj2" fmla="val 50000"/>
          </a:avLst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700"/>
            <a:t>ADMINI</a:t>
          </a:r>
        </a:p>
        <a:p>
          <a:pPr algn="ctr"/>
          <a:r>
            <a:rPr lang="en-US" sz="700"/>
            <a:t>STRATOR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69806</xdr:colOff>
      <xdr:row>110</xdr:row>
      <xdr:rowOff>35229</xdr:rowOff>
    </xdr:from>
    <xdr:to>
      <xdr:col>7</xdr:col>
      <xdr:colOff>437431</xdr:colOff>
      <xdr:row>111</xdr:row>
      <xdr:rowOff>155759</xdr:rowOff>
    </xdr:to>
    <xdr:sp macro="[0]!a006HidemptYrowsEditTable" textlink="">
      <xdr:nvSpPr>
        <xdr:cNvPr id="2" name="1 Rectángulo redondeado"/>
        <xdr:cNvSpPr/>
      </xdr:nvSpPr>
      <xdr:spPr>
        <a:xfrm>
          <a:off x="4129837" y="20990229"/>
          <a:ext cx="1891625" cy="31103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50800" dist="38100" dir="2700000" algn="tl" rotWithShape="0">
                  <a:schemeClr val="bg1">
                    <a:alpha val="40000"/>
                  </a:schemeClr>
                </a:outerShdw>
              </a:effectLst>
            </a:rPr>
            <a:t>Hide whitespaces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617115</xdr:colOff>
      <xdr:row>112</xdr:row>
      <xdr:rowOff>40246</xdr:rowOff>
    </xdr:from>
    <xdr:to>
      <xdr:col>5</xdr:col>
      <xdr:colOff>281727</xdr:colOff>
      <xdr:row>114</xdr:row>
      <xdr:rowOff>40248</xdr:rowOff>
    </xdr:to>
    <xdr:sp macro="[0]!A004NoWhiteSpacesTable" textlink="">
      <xdr:nvSpPr>
        <xdr:cNvPr id="2" name="1 Rectángulo redondeado"/>
        <xdr:cNvSpPr/>
      </xdr:nvSpPr>
      <xdr:spPr>
        <a:xfrm>
          <a:off x="2884333" y="6104049"/>
          <a:ext cx="1422042" cy="37563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50800" dist="38100" dir="2700000" algn="tl" rotWithShape="0">
                  <a:schemeClr val="bg1">
                    <a:alpha val="40000"/>
                  </a:schemeClr>
                </a:outerShdw>
              </a:effectLst>
            </a:rPr>
            <a:t>Hide whitespaces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404812</xdr:colOff>
      <xdr:row>114</xdr:row>
      <xdr:rowOff>47625</xdr:rowOff>
    </xdr:from>
    <xdr:to>
      <xdr:col>9</xdr:col>
      <xdr:colOff>261936</xdr:colOff>
      <xdr:row>115</xdr:row>
      <xdr:rowOff>178593</xdr:rowOff>
    </xdr:to>
    <xdr:sp macro="[0]!a002NoWhiteSpaces2" textlink="">
      <xdr:nvSpPr>
        <xdr:cNvPr id="2" name="1 Rectángulo redondeado"/>
        <xdr:cNvSpPr/>
      </xdr:nvSpPr>
      <xdr:spPr>
        <a:xfrm>
          <a:off x="4881562" y="5000625"/>
          <a:ext cx="1607343" cy="321468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50800" dist="38100" dir="2700000" algn="tl" rotWithShape="0">
                  <a:schemeClr val="bg1">
                    <a:alpha val="40000"/>
                  </a:schemeClr>
                </a:outerShdw>
              </a:effectLst>
            </a:rPr>
            <a:t>Hide whitespaces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114</xdr:row>
      <xdr:rowOff>95250</xdr:rowOff>
    </xdr:from>
    <xdr:to>
      <xdr:col>11</xdr:col>
      <xdr:colOff>23812</xdr:colOff>
      <xdr:row>116</xdr:row>
      <xdr:rowOff>35718</xdr:rowOff>
    </xdr:to>
    <xdr:sp macro="[0]!a003NoEmptyRows_id" textlink="">
      <xdr:nvSpPr>
        <xdr:cNvPr id="2" name="1 Rectángulo redondeado"/>
        <xdr:cNvSpPr/>
      </xdr:nvSpPr>
      <xdr:spPr>
        <a:xfrm>
          <a:off x="7655719" y="5238750"/>
          <a:ext cx="1607343" cy="321468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50800" dist="38100" dir="2700000" algn="tl" rotWithShape="0">
                  <a:schemeClr val="bg1">
                    <a:alpha val="40000"/>
                  </a:schemeClr>
                </a:outerShdw>
              </a:effectLst>
            </a:rPr>
            <a:t>Hide whitespaces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138266</xdr:colOff>
      <xdr:row>114</xdr:row>
      <xdr:rowOff>26885</xdr:rowOff>
    </xdr:from>
    <xdr:to>
      <xdr:col>9</xdr:col>
      <xdr:colOff>162078</xdr:colOff>
      <xdr:row>115</xdr:row>
      <xdr:rowOff>151708</xdr:rowOff>
    </xdr:to>
    <xdr:sp macro="[0]!a005InscriptionHideWhiteCells" textlink="">
      <xdr:nvSpPr>
        <xdr:cNvPr id="2" name="1 Rectángulo redondeado"/>
        <xdr:cNvSpPr/>
      </xdr:nvSpPr>
      <xdr:spPr>
        <a:xfrm>
          <a:off x="6360242" y="6679022"/>
          <a:ext cx="1606191" cy="309178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50800" dist="38100" dir="2700000" algn="tl" rotWithShape="0">
                  <a:schemeClr val="bg1">
                    <a:alpha val="40000"/>
                  </a:schemeClr>
                </a:outerShdw>
              </a:effectLst>
            </a:rPr>
            <a:t>Hide whitespaces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L82"/>
  <sheetViews>
    <sheetView tabSelected="1" topLeftCell="A8" workbookViewId="0">
      <selection activeCell="C17" sqref="C17"/>
    </sheetView>
  </sheetViews>
  <sheetFormatPr baseColWidth="10" defaultColWidth="11.42578125" defaultRowHeight="15" customHeight="1" zeroHeight="1"/>
  <cols>
    <col min="1" max="2" width="11.42578125" style="12" customWidth="1"/>
    <col min="3" max="3" width="12" style="12" customWidth="1"/>
    <col min="4" max="12" width="11.42578125" style="12" customWidth="1"/>
    <col min="13" max="16384" width="11.42578125" style="12"/>
  </cols>
  <sheetData>
    <row r="1" spans="1:8" s="15" customFormat="1" hidden="1">
      <c r="A1" s="15" t="s">
        <v>408</v>
      </c>
      <c r="B1" s="16" t="str">
        <f ca="1">+D7&amp;J34&amp;E1&amp;J34&amp;E2</f>
        <v xml:space="preserve">$_SESSION["standard141509_Virgin_Mary_user"]=$userid; $_SESSION["standard141509_Virgin_Mary_autent"]= "yes"; header ("Location: </v>
      </c>
      <c r="C1" s="15" t="s">
        <v>409</v>
      </c>
      <c r="D1" s="15" t="s">
        <v>410</v>
      </c>
      <c r="E1" s="16" t="s">
        <v>411</v>
      </c>
      <c r="F1" s="16" t="s">
        <v>412</v>
      </c>
      <c r="G1" s="15" t="s">
        <v>413</v>
      </c>
      <c r="H1" s="15" t="str">
        <f>+IF(G46="","","$row['"&amp;G46&amp;"']")</f>
        <v>$row['name']</v>
      </c>
    </row>
    <row r="2" spans="1:8" s="15" customFormat="1" hidden="1">
      <c r="A2" s="15" t="s">
        <v>655</v>
      </c>
      <c r="B2" s="15" t="s">
        <v>414</v>
      </c>
      <c r="C2" s="15" t="s">
        <v>415</v>
      </c>
      <c r="D2" s="16" t="s">
        <v>108</v>
      </c>
      <c r="E2" s="16" t="s">
        <v>416</v>
      </c>
      <c r="F2" s="16" t="s">
        <v>417</v>
      </c>
      <c r="G2" s="15" t="str">
        <f>+","&amp;J21</f>
        <v>,user</v>
      </c>
      <c r="H2" s="15" t="str">
        <f>+IF(G47="","",".' '.$row['"&amp;G47&amp;"']")</f>
        <v>.' '.$row['surname']</v>
      </c>
    </row>
    <row r="3" spans="1:8" s="15" customFormat="1" hidden="1">
      <c r="A3" s="15" t="s">
        <v>418</v>
      </c>
      <c r="B3" s="15" t="s">
        <v>419</v>
      </c>
      <c r="C3" s="15" t="s">
        <v>420</v>
      </c>
      <c r="D3" s="16" t="s">
        <v>421</v>
      </c>
      <c r="E3" s="16" t="s">
        <v>422</v>
      </c>
      <c r="F3" s="16" t="s">
        <v>423</v>
      </c>
      <c r="G3" s="15" t="str">
        <f>+","&amp;L21</f>
        <v>,pwd</v>
      </c>
      <c r="H3" s="15" t="str">
        <f>+IF(G48="","",".$row['"&amp;G48&amp;"']")</f>
        <v/>
      </c>
    </row>
    <row r="4" spans="1:8" s="15" customFormat="1" hidden="1">
      <c r="A4" s="15" t="s">
        <v>424</v>
      </c>
      <c r="B4" s="15" t="s">
        <v>425</v>
      </c>
      <c r="C4" s="15" t="s">
        <v>38</v>
      </c>
      <c r="D4" s="16" t="s">
        <v>21</v>
      </c>
      <c r="E4" s="16" t="s">
        <v>426</v>
      </c>
      <c r="F4" s="16" t="s">
        <v>427</v>
      </c>
      <c r="G4" s="15" t="s">
        <v>428</v>
      </c>
      <c r="H4" s="15" t="str">
        <f>+IF(J46="","",".$row['"&amp;J46&amp;"']")</f>
        <v/>
      </c>
    </row>
    <row r="5" spans="1:8" s="15" customFormat="1" hidden="1">
      <c r="A5" s="15" t="s">
        <v>429</v>
      </c>
      <c r="B5" s="15" t="s">
        <v>415</v>
      </c>
      <c r="C5" s="15" t="s">
        <v>398</v>
      </c>
      <c r="D5" s="81" t="s">
        <v>430</v>
      </c>
      <c r="E5" s="16" t="s">
        <v>431</v>
      </c>
      <c r="F5" s="16" t="s">
        <v>432</v>
      </c>
      <c r="G5" s="15" t="s">
        <v>22</v>
      </c>
      <c r="H5" s="15" t="str">
        <f>+IF(J47="","",".$row['"&amp;J47&amp;"']")</f>
        <v/>
      </c>
    </row>
    <row r="6" spans="1:8" s="15" customFormat="1" hidden="1">
      <c r="A6" s="15" t="s">
        <v>433</v>
      </c>
      <c r="B6" s="15" t="s">
        <v>434</v>
      </c>
      <c r="C6" s="15" t="s">
        <v>435</v>
      </c>
      <c r="E6" s="15" t="s">
        <v>436</v>
      </c>
      <c r="F6" s="15" t="s">
        <v>110</v>
      </c>
      <c r="G6" s="15" t="s">
        <v>437</v>
      </c>
      <c r="H6" s="15" t="str">
        <f>+IF(J48="","",".$row['"&amp;J48&amp;"']")</f>
        <v/>
      </c>
    </row>
    <row r="7" spans="1:8" s="15" customFormat="1" hidden="1">
      <c r="A7" s="15" t="s">
        <v>438</v>
      </c>
      <c r="B7" s="16" t="str">
        <f ca="1">+E3&amp;J34&amp;E4&amp;J34&amp;E5</f>
        <v>session_start(); if (!isset($_SESSION["standard141509_Virgin_Mary_user"])||$_SESSION["standard141509_Virgin_Mary_autent"]!="yes") {header("Location:</v>
      </c>
      <c r="C7" s="15" t="str">
        <f>+IF(H20=C4,"root', 'jatter'","healmy5_healmy5','jatter'")</f>
        <v>healmy5_healmy5','jatter'</v>
      </c>
      <c r="D7" s="16" t="s">
        <v>439</v>
      </c>
      <c r="E7" s="82" t="s">
        <v>440</v>
      </c>
      <c r="F7" s="15" t="s">
        <v>112</v>
      </c>
      <c r="G7" s="15" t="str">
        <f ca="1">D7&amp;J34&amp;G6</f>
        <v>$_SESSION["standard141509_Virgin_Mary_user"]</v>
      </c>
    </row>
    <row r="8" spans="1:8"/>
    <row r="9" spans="1:8">
      <c r="A9" s="13" t="s">
        <v>441</v>
      </c>
    </row>
    <row r="10" spans="1:8"/>
    <row r="11" spans="1:8">
      <c r="A11" s="155" t="s">
        <v>442</v>
      </c>
      <c r="B11" s="152"/>
      <c r="D11" s="156" t="s">
        <v>443</v>
      </c>
      <c r="E11" s="157" t="str">
        <f>+fieldcreatorv2!L15&amp;"_login.php"</f>
        <v>Jesus_login.php</v>
      </c>
    </row>
    <row r="12" spans="1:8">
      <c r="A12" s="154" t="str">
        <f>"&lt;?php  /*"&amp;E11&amp;"*/ ?&gt;"</f>
        <v>&lt;?php  /*Jesus_login.php*/ ?&gt;</v>
      </c>
    </row>
    <row r="13" spans="1:8">
      <c r="A13" s="154" t="str">
        <f>+A2&amp;E31&amp;A3</f>
        <v xml:space="preserve"> &lt;form action="Jesus_verifying_smd.php" method="post"&gt; &lt;div style="width:500px;text-align:right; align:center; "&gt;</v>
      </c>
    </row>
    <row r="14" spans="1:8">
      <c r="A14" s="153" t="s">
        <v>444</v>
      </c>
    </row>
    <row r="15" spans="1:8">
      <c r="A15" s="153" t="s">
        <v>445</v>
      </c>
    </row>
    <row r="16" spans="1:8">
      <c r="A16" s="153" t="s">
        <v>446</v>
      </c>
    </row>
    <row r="17" spans="1:12">
      <c r="A17" s="153" t="s">
        <v>863</v>
      </c>
    </row>
    <row r="18" spans="1:12">
      <c r="A18" s="153" t="s">
        <v>447</v>
      </c>
    </row>
    <row r="19" spans="1:12">
      <c r="L19" s="13" t="s">
        <v>491</v>
      </c>
    </row>
    <row r="20" spans="1:12">
      <c r="A20" s="152" t="s">
        <v>448</v>
      </c>
      <c r="G20" s="12" t="s">
        <v>37</v>
      </c>
      <c r="H20" s="86" t="str">
        <f>+fieldcreatorv2!L23</f>
        <v>healmy5</v>
      </c>
      <c r="I20" s="19" t="s">
        <v>449</v>
      </c>
      <c r="J20" s="86" t="str">
        <f>+fieldcreatorv2!L17</f>
        <v>healmy5_pray</v>
      </c>
      <c r="K20" s="19" t="s">
        <v>450</v>
      </c>
      <c r="L20" s="86" t="str">
        <f>+sessioncreator!K15</f>
        <v>session</v>
      </c>
    </row>
    <row r="21" spans="1:12">
      <c r="A21" s="153" t="s">
        <v>451</v>
      </c>
      <c r="I21" s="19" t="s">
        <v>452</v>
      </c>
      <c r="J21" s="88" t="str">
        <f>+sessioncreator!C15</f>
        <v>user</v>
      </c>
      <c r="K21" s="19" t="s">
        <v>454</v>
      </c>
      <c r="L21" s="86" t="str">
        <f>+sessioncreator!C16</f>
        <v>pwd</v>
      </c>
    </row>
    <row r="22" spans="1:12">
      <c r="A22" s="154" t="str">
        <f>+C6&amp;C7&amp;D1&amp;D2&amp;J20&amp;F6</f>
        <v>$con = mysql_connect('localhost', 'healmy5_healmy5','jatter');  if (!$con)  {die('Could not connect: ' . mysql_error());}mysql_select_db("healmy5_pray", $con);</v>
      </c>
      <c r="L22" s="13" t="s">
        <v>495</v>
      </c>
    </row>
    <row r="23" spans="1:12">
      <c r="A23" s="154" t="str">
        <f>+F7&amp;L20&amp;G1&amp;G2&amp;G4&amp;G3&amp;G4&amp;G5</f>
        <v>$sql = "CREATE TABLE session (id INT(10) AUTO_INCREMENT PRIMARY KEY,user VARCHAR(50),pwd VARCHAR(50))";</v>
      </c>
    </row>
    <row r="24" spans="1:12">
      <c r="A24" s="153" t="s">
        <v>456</v>
      </c>
    </row>
    <row r="25" spans="1:12"/>
    <row r="26" spans="1:12">
      <c r="A26" s="152" t="s">
        <v>457</v>
      </c>
    </row>
    <row r="27" spans="1:12">
      <c r="A27" s="152" t="s">
        <v>458</v>
      </c>
    </row>
    <row r="28" spans="1:12"/>
    <row r="29" spans="1:12"/>
    <row r="30" spans="1:12"/>
    <row r="31" spans="1:12">
      <c r="A31" s="155" t="s">
        <v>459</v>
      </c>
      <c r="D31" s="156" t="s">
        <v>460</v>
      </c>
      <c r="E31" s="157" t="str">
        <f>+fieldcreatorv2!L15&amp;"_verifying_smd.php"</f>
        <v>Jesus_verifying_smd.php</v>
      </c>
      <c r="G31" s="159" t="s">
        <v>37</v>
      </c>
      <c r="H31" s="158" t="str">
        <f>+H20</f>
        <v>healmy5</v>
      </c>
      <c r="I31" s="159" t="s">
        <v>449</v>
      </c>
      <c r="J31" s="158" t="str">
        <f>+J20</f>
        <v>healmy5_pray</v>
      </c>
      <c r="K31" s="159" t="s">
        <v>450</v>
      </c>
      <c r="L31" s="158" t="str">
        <f>+L20</f>
        <v>session</v>
      </c>
    </row>
    <row r="32" spans="1:12">
      <c r="A32" s="154" t="str">
        <f>"&lt;?php //"&amp;E31</f>
        <v>&lt;?php //Jesus_verifying_smd.php</v>
      </c>
      <c r="I32" s="159" t="s">
        <v>461</v>
      </c>
      <c r="J32" s="158" t="str">
        <f>+J21</f>
        <v>user</v>
      </c>
      <c r="K32" s="159" t="s">
        <v>454</v>
      </c>
      <c r="L32" s="158" t="str">
        <f>+L21</f>
        <v>pwd</v>
      </c>
    </row>
    <row r="33" spans="1:11">
      <c r="A33" s="153" t="s">
        <v>462</v>
      </c>
    </row>
    <row r="34" spans="1:11">
      <c r="A34" s="154" t="str">
        <f>+A4&amp;E11&amp;A5</f>
        <v>if (empty($user)||empty($pwd))  {header("Location:Jesus_login.php?erroruser='0'");}</v>
      </c>
      <c r="I34" s="156" t="s">
        <v>463</v>
      </c>
      <c r="J34" s="160" t="str">
        <f ca="1">"standard"&amp;sessioncreator!K19&amp;TODAY()&amp;"_Virgin_Mary"</f>
        <v>standard141509_Virgin_Mary</v>
      </c>
      <c r="K34" s="152" t="s">
        <v>464</v>
      </c>
    </row>
    <row r="35" spans="1:11">
      <c r="A35" s="154" t="str">
        <f>+C6&amp;C7&amp;D1</f>
        <v>$con = mysql_connect('localhost', 'healmy5_healmy5','jatter');  if (!$con)  {die('Could not connect: ' . mysql_error());}</v>
      </c>
      <c r="J35" s="12" t="str">
        <f ca="1">+J34</f>
        <v>standard141509_Virgin_Mary</v>
      </c>
    </row>
    <row r="36" spans="1:11">
      <c r="A36" s="154" t="str">
        <f>+D2&amp;J20&amp;D3&amp;L20&amp;D4&amp;J21&amp;D5</f>
        <v>mysql_select_db("healmy5_pray", $con);$result = mysql_query("SELECT * FROM session WHERE user='$user'");</v>
      </c>
    </row>
    <row r="37" spans="1:11">
      <c r="A37" s="154" t="str">
        <f>+E6&amp;L21&amp;E7</f>
        <v>$knocker=mysql_fetch_array($result);$truepdw=$knocker['pwd'];mysql_close($con);</v>
      </c>
    </row>
    <row r="38" spans="1:11">
      <c r="A38" s="154" t="str">
        <f>+A6&amp;E11&amp;A7</f>
        <v>if ($pwd!=$truepdw) {header("Location:Jesus_login.php?erroruser=1");}</v>
      </c>
    </row>
    <row r="39" spans="1:11">
      <c r="A39" s="153" t="s">
        <v>465</v>
      </c>
    </row>
    <row r="40" spans="1:11">
      <c r="A40" s="154" t="str">
        <f ca="1">+B1&amp;F42&amp;B2</f>
        <v>$_SESSION["standard141509_Virgin_Mary_user"]=$userid; $_SESSION["standard141509_Virgin_Mary_autent"]= "yes"; header ("Location: a01Jesus1.php");}?&gt;</v>
      </c>
    </row>
    <row r="41" spans="1:11"/>
    <row r="42" spans="1:11">
      <c r="A42" s="155" t="s">
        <v>466</v>
      </c>
      <c r="E42" s="84" t="s">
        <v>467</v>
      </c>
      <c r="F42" s="87" t="str">
        <f>IF(J42&lt;&gt;"",J42,"a01"&amp;fieldcreatorv2!L15&amp;fieldcreatorv2!L19&amp;".php")</f>
        <v>a01Jesus1.php</v>
      </c>
      <c r="I42" s="19" t="s">
        <v>492</v>
      </c>
      <c r="J42" s="85"/>
      <c r="K42" s="13" t="s">
        <v>493</v>
      </c>
    </row>
    <row r="43" spans="1:11">
      <c r="A43" s="152" t="s">
        <v>468</v>
      </c>
    </row>
    <row r="44" spans="1:11">
      <c r="A44" s="154" t="str">
        <f>+"&lt;? //"&amp;F42</f>
        <v>&lt;? //a01Jesus1.php</v>
      </c>
    </row>
    <row r="45" spans="1:11">
      <c r="A45" s="154" t="str">
        <f>"?&gt;"&amp;B3&amp;G57&amp;B4</f>
        <v>?&gt;&lt;?php include ("Jesus_SecureLayer.php"); ?&gt;</v>
      </c>
      <c r="F45" s="12" t="s">
        <v>469</v>
      </c>
    </row>
    <row r="46" spans="1:11">
      <c r="A46" s="153" t="s">
        <v>470</v>
      </c>
      <c r="F46" s="12" t="s">
        <v>471</v>
      </c>
      <c r="G46" s="85" t="str">
        <f>+sessioncreator!C19</f>
        <v>name</v>
      </c>
      <c r="H46" s="149" t="s">
        <v>652</v>
      </c>
      <c r="I46" s="12" t="s">
        <v>472</v>
      </c>
      <c r="J46" s="85"/>
    </row>
    <row r="47" spans="1:11">
      <c r="A47" s="83"/>
      <c r="F47" s="12" t="s">
        <v>473</v>
      </c>
      <c r="G47" s="85" t="str">
        <f>+sessioncreator!C20</f>
        <v>surname</v>
      </c>
      <c r="H47" s="149" t="s">
        <v>653</v>
      </c>
      <c r="I47" s="12" t="s">
        <v>474</v>
      </c>
      <c r="J47" s="85"/>
    </row>
    <row r="48" spans="1:11">
      <c r="A48" s="153" t="s">
        <v>475</v>
      </c>
      <c r="F48" s="12" t="s">
        <v>476</v>
      </c>
      <c r="G48" s="85"/>
      <c r="I48" s="12" t="s">
        <v>477</v>
      </c>
      <c r="J48" s="85"/>
    </row>
    <row r="49" spans="1:7">
      <c r="A49" s="153" t="str">
        <f ca="1">"&lt;? $user="&amp;G7&amp;";"</f>
        <v>&lt;? $user=$_SESSION["standard141509_Virgin_Mary_user"];</v>
      </c>
    </row>
    <row r="50" spans="1:7">
      <c r="A50" s="154" t="str">
        <f>A36</f>
        <v>mysql_select_db("healmy5_pray", $con);$result = mysql_query("SELECT * FROM session WHERE user='$user'");</v>
      </c>
    </row>
    <row r="51" spans="1:7">
      <c r="A51" s="153" t="s">
        <v>478</v>
      </c>
    </row>
    <row r="52" spans="1:7">
      <c r="A52" s="153" t="str">
        <f>+"echo "&amp;H1&amp;H2&amp;H3&amp;H4&amp;H5&amp;H6&amp;";"</f>
        <v>echo $row['name'].' '.$row['surname'];</v>
      </c>
    </row>
    <row r="53" spans="1:7">
      <c r="A53" s="153" t="s">
        <v>107</v>
      </c>
    </row>
    <row r="54" spans="1:7">
      <c r="A54" s="154" t="str">
        <f>+B5&amp;E63&amp;B6</f>
        <v>&lt;a href="Jesus_logout.php"&gt;Exit&lt;/a&gt;</v>
      </c>
      <c r="D54" s="12" t="s">
        <v>479</v>
      </c>
    </row>
    <row r="55" spans="1:7">
      <c r="A55" s="153" t="s">
        <v>480</v>
      </c>
    </row>
    <row r="56" spans="1:7"/>
    <row r="57" spans="1:7">
      <c r="A57" s="155" t="s">
        <v>481</v>
      </c>
      <c r="F57" s="19" t="s">
        <v>482</v>
      </c>
      <c r="G57" s="87" t="str">
        <f>+fieldcreatorv2!L15&amp;"_SecureLayer.php"</f>
        <v>Jesus_SecureLayer.php</v>
      </c>
    </row>
    <row r="58" spans="1:7">
      <c r="A58" s="154" t="str">
        <f>"&lt;?php //"&amp;G57</f>
        <v>&lt;?php //Jesus_SecureLayer.php</v>
      </c>
    </row>
    <row r="59" spans="1:7">
      <c r="A59" s="154" t="str">
        <f ca="1">+B7&amp;E11&amp;C1</f>
        <v>session_start(); if (!isset($_SESSION["standard141509_Virgin_Mary_user"])||$_SESSION["standard141509_Virgin_Mary_autent"]!="yes") {header("Location:Jesus_login.php");} ?&gt;</v>
      </c>
    </row>
    <row r="60" spans="1:7">
      <c r="A60" s="12" t="s">
        <v>483</v>
      </c>
    </row>
    <row r="61" spans="1:7"/>
    <row r="62" spans="1:7"/>
    <row r="63" spans="1:7">
      <c r="A63" s="155" t="s">
        <v>484</v>
      </c>
      <c r="D63" s="156" t="s">
        <v>485</v>
      </c>
      <c r="E63" s="157" t="str">
        <f>fieldcreatorv2!L15&amp;"_logout.php"</f>
        <v>Jesus_logout.php</v>
      </c>
    </row>
    <row r="64" spans="1:7">
      <c r="A64" s="154" t="str">
        <f>"&lt;?php  //"&amp;E63</f>
        <v>&lt;?php  //Jesus_logout.php</v>
      </c>
    </row>
    <row r="65" spans="1:4">
      <c r="A65" s="153" t="s">
        <v>486</v>
      </c>
    </row>
    <row r="66" spans="1:4">
      <c r="A66" s="154" t="str">
        <f ca="1">+F1&amp;J34&amp;F2&amp;J34&amp;F3</f>
        <v>if (isset($_SESSION['standard141509_Virgin_Mary_user']))  {unset($_SESSION['standard141509_Virgin_Mary_user']);}</v>
      </c>
    </row>
    <row r="67" spans="1:4">
      <c r="A67" s="154" t="str">
        <f ca="1">+F1&amp;J34&amp;F4&amp;J34&amp;F5</f>
        <v>if (isset($_SESSION['standard141509_Virgin_Mary_autent']))  {unset($_SESSION['standard141509_Virgin_Mary_autent']);}</v>
      </c>
    </row>
    <row r="68" spans="1:4">
      <c r="A68" s="153" t="s">
        <v>107</v>
      </c>
    </row>
    <row r="69" spans="1:4">
      <c r="A69" s="83"/>
    </row>
    <row r="70" spans="1:4">
      <c r="A70" s="153" t="s">
        <v>470</v>
      </c>
    </row>
    <row r="71" spans="1:4">
      <c r="A71" s="153" t="s">
        <v>487</v>
      </c>
    </row>
    <row r="72" spans="1:4">
      <c r="A72" s="153" t="s">
        <v>488</v>
      </c>
    </row>
    <row r="73" spans="1:4">
      <c r="A73" s="154" t="str">
        <f>+C2&amp;E11&amp;C3</f>
        <v>&lt;a href="Jesus_login.php"&gt;Log in&lt;/a&gt;</v>
      </c>
      <c r="D73" s="152" t="s">
        <v>489</v>
      </c>
    </row>
    <row r="74" spans="1:4">
      <c r="A74" s="153"/>
    </row>
    <row r="75" spans="1:4">
      <c r="A75" s="153" t="s">
        <v>480</v>
      </c>
    </row>
    <row r="76" spans="1:4"/>
    <row r="77" spans="1:4"/>
    <row r="78" spans="1:4">
      <c r="C78" s="155" t="s">
        <v>490</v>
      </c>
    </row>
    <row r="79" spans="1:4"/>
    <row r="80" spans="1:4"/>
    <row r="81" hidden="1"/>
    <row r="82" ht="15" customHeight="1"/>
  </sheetData>
  <dataValidations disablePrompts="1" count="1">
    <dataValidation type="list" allowBlank="1" showInputMessage="1" showErrorMessage="1" sqref="H20">
      <formula1>$C$4:$C$5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L191"/>
  <sheetViews>
    <sheetView zoomScale="70" zoomScaleNormal="70" workbookViewId="0">
      <selection activeCell="C19" sqref="C19"/>
    </sheetView>
  </sheetViews>
  <sheetFormatPr baseColWidth="10" defaultRowHeight="15"/>
  <cols>
    <col min="1" max="1" width="14" style="12" customWidth="1"/>
    <col min="2" max="6" width="11.42578125" style="12"/>
    <col min="7" max="7" width="65.42578125" style="12" customWidth="1"/>
    <col min="8" max="16384" width="11.42578125" style="12"/>
  </cols>
  <sheetData>
    <row r="1" spans="1:12">
      <c r="A1" s="61" t="s">
        <v>818</v>
      </c>
      <c r="B1" s="145" t="s">
        <v>829</v>
      </c>
      <c r="C1" s="61" t="s">
        <v>387</v>
      </c>
      <c r="D1" s="12" t="s">
        <v>1023</v>
      </c>
      <c r="I1" s="113" t="s">
        <v>866</v>
      </c>
    </row>
    <row r="2" spans="1:12">
      <c r="A2" s="61" t="s">
        <v>819</v>
      </c>
      <c r="B2" s="145" t="s">
        <v>304</v>
      </c>
      <c r="C2" s="61" t="s">
        <v>844</v>
      </c>
      <c r="I2" s="6" t="s">
        <v>864</v>
      </c>
    </row>
    <row r="3" spans="1:12">
      <c r="A3" s="61" t="s">
        <v>820</v>
      </c>
      <c r="B3" s="61" t="s">
        <v>841</v>
      </c>
      <c r="C3" s="61" t="s">
        <v>868</v>
      </c>
      <c r="I3" s="6" t="s">
        <v>865</v>
      </c>
    </row>
    <row r="4" spans="1:12">
      <c r="A4" s="61" t="s">
        <v>821</v>
      </c>
      <c r="B4" s="61" t="s">
        <v>839</v>
      </c>
      <c r="C4" s="61" t="s">
        <v>873</v>
      </c>
      <c r="I4" s="6" t="s">
        <v>453</v>
      </c>
    </row>
    <row r="5" spans="1:12">
      <c r="A5" s="61" t="s">
        <v>822</v>
      </c>
      <c r="B5" s="61" t="s">
        <v>840</v>
      </c>
      <c r="C5" s="61" t="str">
        <f>"')); }) });  &lt;/script&gt;"</f>
        <v>')); }) });  &lt;/script&gt;</v>
      </c>
      <c r="I5" s="6" t="s">
        <v>870</v>
      </c>
    </row>
    <row r="6" spans="1:12">
      <c r="A6" s="61" t="s">
        <v>823</v>
      </c>
      <c r="B6" s="61" t="s">
        <v>842</v>
      </c>
      <c r="C6" s="12" t="s">
        <v>1020</v>
      </c>
      <c r="I6" s="6" t="s">
        <v>871</v>
      </c>
    </row>
    <row r="7" spans="1:12">
      <c r="A7" s="61" t="s">
        <v>824</v>
      </c>
      <c r="B7" s="61" t="s">
        <v>843</v>
      </c>
      <c r="C7" s="12" t="s">
        <v>1021</v>
      </c>
      <c r="I7" s="6" t="s">
        <v>872</v>
      </c>
    </row>
    <row r="8" spans="1:12">
      <c r="A8" s="145" t="s">
        <v>828</v>
      </c>
      <c r="B8" s="61" t="s">
        <v>301</v>
      </c>
      <c r="C8" s="12" t="s">
        <v>1022</v>
      </c>
    </row>
    <row r="11" spans="1:12">
      <c r="B11" s="12" t="s">
        <v>869</v>
      </c>
      <c r="C11" s="12" t="s">
        <v>123</v>
      </c>
      <c r="E11" s="12" t="s">
        <v>812</v>
      </c>
      <c r="F11" s="12" t="s">
        <v>811</v>
      </c>
      <c r="G11" s="12" t="s">
        <v>875</v>
      </c>
      <c r="H11" s="12" t="s">
        <v>830</v>
      </c>
      <c r="I11" s="12" t="s">
        <v>876</v>
      </c>
      <c r="J11" s="12" t="s">
        <v>845</v>
      </c>
      <c r="K11" s="12" t="s">
        <v>864</v>
      </c>
      <c r="L11" s="12" t="s">
        <v>874</v>
      </c>
    </row>
    <row r="12" spans="1:12" ht="15.75">
      <c r="B12" s="183" t="str">
        <f>+IF(fieldcreatorv2!E15="texto",fieldcreatorv2!C15,"")</f>
        <v/>
      </c>
      <c r="C12" s="79"/>
      <c r="D12" s="183"/>
      <c r="G12" s="61" t="str">
        <f t="shared" ref="G12:G43" si="0">IF(B12="","",$A$1&amp;B12&amp;$A$2&amp;B12&amp;$A$3&amp;E12&amp;","&amp;F12&amp;$A$4&amp;B12&amp;$A$5&amp;B12&amp;$A$6&amp;B12&amp;$A$7)</f>
        <v/>
      </c>
      <c r="H12" s="145" t="str">
        <f>+IF(fieldcreatorv2!E15="texto",fieldcreatorv2!BL15&amp;fieldcreatorv2!BQ15,"")</f>
        <v/>
      </c>
      <c r="I12" s="145" t="str">
        <f t="shared" ref="I12:I43" si="1">IF(B12="","",$A$8&amp;B12&amp;$B$1&amp;B12&amp;$B$2)</f>
        <v/>
      </c>
      <c r="J12" s="61" t="str">
        <f t="shared" ref="J12:J43" si="2">IF(B12="","",$B$3&amp;B12&amp;$B$4&amp;B12&amp;$B$5&amp;B12&amp;$B$6&amp;B12&amp;$B$7&amp;$B$8&amp;B12&amp;$C$1&amp;$C$2)</f>
        <v/>
      </c>
      <c r="K12" s="61" t="str">
        <f t="shared" ref="K12:K15" si="3">IF(B12="","",$C$3&amp;B12&amp;$C$4&amp;B12&amp;$C$5)</f>
        <v/>
      </c>
      <c r="L12" s="197" t="str">
        <f t="shared" ref="L12:L15" si="4">+IF(C12="","",IF(C12=$I$2,K12,IF(C12=$I$3,G12,IF(C12=$I$4,J12,5))))</f>
        <v/>
      </c>
    </row>
    <row r="13" spans="1:12" ht="15.75">
      <c r="B13" s="183" t="str">
        <f>+IF(fieldcreatorv2!E16="texto",fieldcreatorv2!C16,"")</f>
        <v/>
      </c>
      <c r="C13" s="79"/>
      <c r="D13" s="183"/>
      <c r="G13" s="61" t="str">
        <f t="shared" si="0"/>
        <v/>
      </c>
      <c r="H13" s="145" t="str">
        <f>+IF(fieldcreatorv2!E16="texto",fieldcreatorv2!BL16&amp;fieldcreatorv2!BQ16,"")</f>
        <v/>
      </c>
      <c r="I13" s="145" t="str">
        <f t="shared" si="1"/>
        <v/>
      </c>
      <c r="J13" s="61" t="str">
        <f t="shared" si="2"/>
        <v/>
      </c>
      <c r="K13" s="61" t="str">
        <f t="shared" si="3"/>
        <v/>
      </c>
      <c r="L13" s="197" t="str">
        <f t="shared" si="4"/>
        <v/>
      </c>
    </row>
    <row r="14" spans="1:12" ht="15.75">
      <c r="B14" s="183" t="str">
        <f>+IF(fieldcreatorv2!E17="texto",fieldcreatorv2!C17,"")</f>
        <v/>
      </c>
      <c r="C14" s="79"/>
      <c r="D14" s="183"/>
      <c r="G14" s="61" t="str">
        <f t="shared" si="0"/>
        <v/>
      </c>
      <c r="H14" s="145" t="str">
        <f>+IF(fieldcreatorv2!E17="texto",fieldcreatorv2!BL17&amp;fieldcreatorv2!BQ17,"")</f>
        <v/>
      </c>
      <c r="I14" s="145" t="str">
        <f t="shared" si="1"/>
        <v/>
      </c>
      <c r="J14" s="61" t="str">
        <f t="shared" si="2"/>
        <v/>
      </c>
      <c r="K14" s="61" t="str">
        <f t="shared" si="3"/>
        <v/>
      </c>
      <c r="L14" s="197" t="str">
        <f t="shared" si="4"/>
        <v/>
      </c>
    </row>
    <row r="15" spans="1:12" ht="15.75">
      <c r="B15" s="183" t="str">
        <f>+IF(fieldcreatorv2!E18="texto",fieldcreatorv2!C18,"")</f>
        <v/>
      </c>
      <c r="C15" s="79"/>
      <c r="D15" s="183"/>
      <c r="G15" s="61" t="str">
        <f t="shared" si="0"/>
        <v/>
      </c>
      <c r="H15" s="145" t="str">
        <f>+IF(fieldcreatorv2!E18="texto",fieldcreatorv2!BL18&amp;fieldcreatorv2!BQ18,"")</f>
        <v/>
      </c>
      <c r="I15" s="145" t="str">
        <f t="shared" si="1"/>
        <v/>
      </c>
      <c r="J15" s="61" t="str">
        <f t="shared" si="2"/>
        <v/>
      </c>
      <c r="K15" s="61" t="str">
        <f t="shared" si="3"/>
        <v/>
      </c>
      <c r="L15" s="197" t="str">
        <f t="shared" si="4"/>
        <v/>
      </c>
    </row>
    <row r="16" spans="1:12" ht="15.75">
      <c r="B16" s="183" t="str">
        <f>+IF(fieldcreatorv2!E19="texto",fieldcreatorv2!C19,"")</f>
        <v/>
      </c>
      <c r="C16" s="79"/>
      <c r="D16" s="183"/>
      <c r="G16" s="61" t="str">
        <f t="shared" si="0"/>
        <v/>
      </c>
      <c r="H16" s="145" t="str">
        <f>+IF(fieldcreatorv2!E19="texto",fieldcreatorv2!BL19&amp;fieldcreatorv2!BQ19,"")</f>
        <v/>
      </c>
      <c r="I16" s="145" t="str">
        <f t="shared" si="1"/>
        <v/>
      </c>
      <c r="J16" s="61" t="str">
        <f t="shared" si="2"/>
        <v/>
      </c>
      <c r="K16" s="61" t="str">
        <f>IF(B16="","",$C$3&amp;B16&amp;$C$4&amp;B16&amp;$C$5)</f>
        <v/>
      </c>
      <c r="L16" s="197" t="str">
        <f>+IF(C16="","",IF(C16=$I$2,K16,IF(C16=$I$3,G16,IF(C16=$I$4,J16,5))))</f>
        <v/>
      </c>
    </row>
    <row r="17" spans="2:12" ht="15.75">
      <c r="B17" s="183" t="str">
        <f>+IF(fieldcreatorv2!E20="texto",fieldcreatorv2!C20,"")</f>
        <v/>
      </c>
      <c r="C17" s="79"/>
      <c r="D17" s="183"/>
      <c r="G17" s="61" t="str">
        <f t="shared" si="0"/>
        <v/>
      </c>
      <c r="H17" s="145" t="str">
        <f>+IF(fieldcreatorv2!E20="texto",fieldcreatorv2!BL20&amp;fieldcreatorv2!BQ20,"")</f>
        <v/>
      </c>
      <c r="I17" s="145" t="str">
        <f t="shared" si="1"/>
        <v/>
      </c>
      <c r="J17" s="61" t="str">
        <f t="shared" si="2"/>
        <v/>
      </c>
      <c r="K17" s="61" t="str">
        <f t="shared" ref="K17:K80" si="5">IF(B17="","",$C$3&amp;B17&amp;$C$4&amp;B17&amp;$C$5)</f>
        <v/>
      </c>
      <c r="L17" s="197" t="str">
        <f t="shared" ref="L17:L80" si="6">+IF(C17="","",IF(C17=$I$2,K17,IF(C17=$I$3,G17,IF(C17=$I$4,J17,5))))</f>
        <v/>
      </c>
    </row>
    <row r="18" spans="2:12" ht="15.75">
      <c r="B18" s="183" t="str">
        <f>+IF(fieldcreatorv2!E21="texto",fieldcreatorv2!C21,"")</f>
        <v/>
      </c>
      <c r="C18" s="79"/>
      <c r="D18" s="183"/>
      <c r="G18" s="61" t="str">
        <f t="shared" si="0"/>
        <v/>
      </c>
      <c r="H18" s="145" t="str">
        <f>+IF(fieldcreatorv2!E21="texto",fieldcreatorv2!BL21&amp;fieldcreatorv2!BQ21,"")</f>
        <v/>
      </c>
      <c r="I18" s="145" t="str">
        <f t="shared" si="1"/>
        <v/>
      </c>
      <c r="J18" s="61" t="str">
        <f t="shared" si="2"/>
        <v/>
      </c>
      <c r="K18" s="61" t="str">
        <f t="shared" si="5"/>
        <v/>
      </c>
      <c r="L18" s="197" t="str">
        <f t="shared" si="6"/>
        <v/>
      </c>
    </row>
    <row r="19" spans="2:12" ht="15.75">
      <c r="B19" s="183" t="str">
        <f>+IF(fieldcreatorv2!E22="texto",fieldcreatorv2!C22,"")</f>
        <v/>
      </c>
      <c r="C19" s="79"/>
      <c r="D19" s="183"/>
      <c r="G19" s="61" t="str">
        <f t="shared" si="0"/>
        <v/>
      </c>
      <c r="H19" s="145" t="str">
        <f>+IF(fieldcreatorv2!E22="texto",fieldcreatorv2!BL22&amp;fieldcreatorv2!BQ22,"")</f>
        <v/>
      </c>
      <c r="I19" s="145" t="str">
        <f t="shared" si="1"/>
        <v/>
      </c>
      <c r="J19" s="61" t="str">
        <f t="shared" si="2"/>
        <v/>
      </c>
      <c r="K19" s="61" t="str">
        <f t="shared" si="5"/>
        <v/>
      </c>
      <c r="L19" s="197" t="str">
        <f t="shared" si="6"/>
        <v/>
      </c>
    </row>
    <row r="20" spans="2:12" ht="15.75">
      <c r="B20" s="183" t="str">
        <f>+IF(fieldcreatorv2!E23="texto",fieldcreatorv2!C23,"")</f>
        <v/>
      </c>
      <c r="C20" s="79"/>
      <c r="D20" s="183"/>
      <c r="G20" s="61" t="str">
        <f t="shared" si="0"/>
        <v/>
      </c>
      <c r="H20" s="145" t="str">
        <f>+IF(fieldcreatorv2!E23="texto",fieldcreatorv2!BL23&amp;fieldcreatorv2!BQ23,"")</f>
        <v/>
      </c>
      <c r="I20" s="145" t="str">
        <f t="shared" si="1"/>
        <v/>
      </c>
      <c r="J20" s="61" t="str">
        <f t="shared" si="2"/>
        <v/>
      </c>
      <c r="K20" s="61" t="str">
        <f t="shared" si="5"/>
        <v/>
      </c>
      <c r="L20" s="197" t="str">
        <f t="shared" si="6"/>
        <v/>
      </c>
    </row>
    <row r="21" spans="2:12" ht="15.75">
      <c r="B21" s="183" t="str">
        <f>+IF(fieldcreatorv2!E24="texto",fieldcreatorv2!C24,"")</f>
        <v/>
      </c>
      <c r="C21" s="79"/>
      <c r="D21" s="183"/>
      <c r="G21" s="61" t="str">
        <f t="shared" si="0"/>
        <v/>
      </c>
      <c r="H21" s="145" t="str">
        <f>+IF(fieldcreatorv2!E24="texto",fieldcreatorv2!BL24&amp;fieldcreatorv2!BQ24,"")</f>
        <v/>
      </c>
      <c r="I21" s="145" t="str">
        <f t="shared" si="1"/>
        <v/>
      </c>
      <c r="J21" s="61" t="str">
        <f t="shared" si="2"/>
        <v/>
      </c>
      <c r="K21" s="61" t="str">
        <f t="shared" si="5"/>
        <v/>
      </c>
      <c r="L21" s="197" t="str">
        <f t="shared" si="6"/>
        <v/>
      </c>
    </row>
    <row r="22" spans="2:12" ht="15.75">
      <c r="B22" s="183" t="str">
        <f>+IF(fieldcreatorv2!E25="texto",fieldcreatorv2!C25,"")</f>
        <v/>
      </c>
      <c r="C22" s="79"/>
      <c r="D22" s="183"/>
      <c r="G22" s="61" t="str">
        <f t="shared" si="0"/>
        <v/>
      </c>
      <c r="H22" s="145" t="str">
        <f>+IF(fieldcreatorv2!E25="texto",fieldcreatorv2!BL25&amp;fieldcreatorv2!BQ25,"")</f>
        <v/>
      </c>
      <c r="I22" s="145" t="str">
        <f t="shared" si="1"/>
        <v/>
      </c>
      <c r="J22" s="61" t="str">
        <f t="shared" si="2"/>
        <v/>
      </c>
      <c r="K22" s="61" t="str">
        <f t="shared" si="5"/>
        <v/>
      </c>
      <c r="L22" s="197" t="str">
        <f t="shared" si="6"/>
        <v/>
      </c>
    </row>
    <row r="23" spans="2:12" ht="15.75">
      <c r="B23" s="183" t="str">
        <f>+IF(fieldcreatorv2!E26="texto",fieldcreatorv2!C26,"")</f>
        <v/>
      </c>
      <c r="C23" s="79"/>
      <c r="D23" s="183"/>
      <c r="G23" s="61" t="str">
        <f t="shared" si="0"/>
        <v/>
      </c>
      <c r="H23" s="145" t="str">
        <f>+IF(fieldcreatorv2!E26="texto",fieldcreatorv2!BL26&amp;fieldcreatorv2!BQ26,"")</f>
        <v/>
      </c>
      <c r="I23" s="145" t="str">
        <f t="shared" si="1"/>
        <v/>
      </c>
      <c r="J23" s="61" t="str">
        <f t="shared" si="2"/>
        <v/>
      </c>
      <c r="K23" s="61" t="str">
        <f t="shared" si="5"/>
        <v/>
      </c>
      <c r="L23" s="197" t="str">
        <f t="shared" si="6"/>
        <v/>
      </c>
    </row>
    <row r="24" spans="2:12" ht="15.75">
      <c r="B24" s="183" t="str">
        <f>+IF(fieldcreatorv2!E27="texto",fieldcreatorv2!C27,"")</f>
        <v/>
      </c>
      <c r="C24" s="79"/>
      <c r="D24" s="183"/>
      <c r="G24" s="61" t="str">
        <f t="shared" si="0"/>
        <v/>
      </c>
      <c r="H24" s="145" t="str">
        <f>+IF(fieldcreatorv2!E27="texto",fieldcreatorv2!BL27&amp;fieldcreatorv2!BQ27,"")</f>
        <v/>
      </c>
      <c r="I24" s="145" t="str">
        <f t="shared" si="1"/>
        <v/>
      </c>
      <c r="J24" s="61" t="str">
        <f t="shared" si="2"/>
        <v/>
      </c>
      <c r="K24" s="61" t="str">
        <f t="shared" si="5"/>
        <v/>
      </c>
      <c r="L24" s="197" t="str">
        <f t="shared" si="6"/>
        <v/>
      </c>
    </row>
    <row r="25" spans="2:12" ht="15.75">
      <c r="B25" s="183" t="str">
        <f>+IF(fieldcreatorv2!E28="texto",fieldcreatorv2!C28,"")</f>
        <v/>
      </c>
      <c r="C25" s="79"/>
      <c r="D25" s="183"/>
      <c r="G25" s="61" t="str">
        <f t="shared" si="0"/>
        <v/>
      </c>
      <c r="H25" s="145" t="str">
        <f>+IF(fieldcreatorv2!E28="texto",fieldcreatorv2!BL28&amp;fieldcreatorv2!BQ28,"")</f>
        <v/>
      </c>
      <c r="I25" s="145" t="str">
        <f t="shared" si="1"/>
        <v/>
      </c>
      <c r="J25" s="61" t="str">
        <f t="shared" si="2"/>
        <v/>
      </c>
      <c r="K25" s="61" t="str">
        <f t="shared" si="5"/>
        <v/>
      </c>
      <c r="L25" s="197" t="str">
        <f t="shared" si="6"/>
        <v/>
      </c>
    </row>
    <row r="26" spans="2:12" ht="15.75">
      <c r="B26" s="183" t="str">
        <f>+IF(fieldcreatorv2!E29="texto",fieldcreatorv2!C29,"")</f>
        <v/>
      </c>
      <c r="C26" s="79"/>
      <c r="D26" s="183"/>
      <c r="G26" s="61" t="str">
        <f t="shared" si="0"/>
        <v/>
      </c>
      <c r="H26" s="145" t="str">
        <f>+IF(fieldcreatorv2!E29="texto",fieldcreatorv2!BL29&amp;fieldcreatorv2!BQ29,"")</f>
        <v/>
      </c>
      <c r="I26" s="145" t="str">
        <f t="shared" si="1"/>
        <v/>
      </c>
      <c r="J26" s="61" t="str">
        <f t="shared" si="2"/>
        <v/>
      </c>
      <c r="K26" s="61" t="str">
        <f t="shared" si="5"/>
        <v/>
      </c>
      <c r="L26" s="197" t="str">
        <f t="shared" si="6"/>
        <v/>
      </c>
    </row>
    <row r="27" spans="2:12" ht="15.75">
      <c r="B27" s="183" t="str">
        <f>+IF(fieldcreatorv2!E30="texto",fieldcreatorv2!C30,"")</f>
        <v/>
      </c>
      <c r="C27" s="79"/>
      <c r="D27" s="183"/>
      <c r="G27" s="61" t="str">
        <f t="shared" si="0"/>
        <v/>
      </c>
      <c r="H27" s="145" t="str">
        <f>+IF(fieldcreatorv2!E30="texto",fieldcreatorv2!BL30&amp;fieldcreatorv2!BQ30,"")</f>
        <v/>
      </c>
      <c r="I27" s="145" t="str">
        <f t="shared" si="1"/>
        <v/>
      </c>
      <c r="J27" s="61" t="str">
        <f t="shared" si="2"/>
        <v/>
      </c>
      <c r="K27" s="61" t="str">
        <f t="shared" si="5"/>
        <v/>
      </c>
      <c r="L27" s="197" t="str">
        <f t="shared" si="6"/>
        <v/>
      </c>
    </row>
    <row r="28" spans="2:12" ht="15.75">
      <c r="B28" s="183" t="str">
        <f>+IF(fieldcreatorv2!E31="texto",fieldcreatorv2!C31,"")</f>
        <v/>
      </c>
      <c r="C28" s="79"/>
      <c r="D28" s="183"/>
      <c r="G28" s="61" t="str">
        <f t="shared" si="0"/>
        <v/>
      </c>
      <c r="H28" s="145" t="str">
        <f>+IF(fieldcreatorv2!E31="texto",fieldcreatorv2!BL31&amp;fieldcreatorv2!BQ31,"")</f>
        <v/>
      </c>
      <c r="I28" s="145" t="str">
        <f t="shared" si="1"/>
        <v/>
      </c>
      <c r="J28" s="61" t="str">
        <f t="shared" si="2"/>
        <v/>
      </c>
      <c r="K28" s="61" t="str">
        <f t="shared" si="5"/>
        <v/>
      </c>
      <c r="L28" s="197" t="str">
        <f t="shared" si="6"/>
        <v/>
      </c>
    </row>
    <row r="29" spans="2:12" ht="15.75">
      <c r="B29" s="183" t="str">
        <f>+IF(fieldcreatorv2!E32="texto",fieldcreatorv2!C32,"")</f>
        <v/>
      </c>
      <c r="C29" s="79"/>
      <c r="D29" s="183"/>
      <c r="G29" s="61" t="str">
        <f t="shared" si="0"/>
        <v/>
      </c>
      <c r="H29" s="145" t="str">
        <f>+IF(fieldcreatorv2!E32="texto",fieldcreatorv2!BL32&amp;fieldcreatorv2!BQ32,"")</f>
        <v/>
      </c>
      <c r="I29" s="145" t="str">
        <f t="shared" si="1"/>
        <v/>
      </c>
      <c r="J29" s="61" t="str">
        <f t="shared" si="2"/>
        <v/>
      </c>
      <c r="K29" s="61" t="str">
        <f t="shared" si="5"/>
        <v/>
      </c>
      <c r="L29" s="197" t="str">
        <f t="shared" si="6"/>
        <v/>
      </c>
    </row>
    <row r="30" spans="2:12" ht="15.75">
      <c r="B30" s="183" t="str">
        <f>+IF(fieldcreatorv2!E33="texto",fieldcreatorv2!C33,"")</f>
        <v/>
      </c>
      <c r="C30" s="79"/>
      <c r="D30" s="183"/>
      <c r="G30" s="61" t="str">
        <f t="shared" si="0"/>
        <v/>
      </c>
      <c r="H30" s="145" t="str">
        <f>+IF(fieldcreatorv2!E33="texto",fieldcreatorv2!BL33&amp;fieldcreatorv2!BQ33,"")</f>
        <v/>
      </c>
      <c r="I30" s="145" t="str">
        <f t="shared" si="1"/>
        <v/>
      </c>
      <c r="J30" s="61" t="str">
        <f t="shared" si="2"/>
        <v/>
      </c>
      <c r="K30" s="61" t="str">
        <f t="shared" si="5"/>
        <v/>
      </c>
      <c r="L30" s="197" t="str">
        <f t="shared" si="6"/>
        <v/>
      </c>
    </row>
    <row r="31" spans="2:12" ht="15.75">
      <c r="B31" s="183" t="str">
        <f>+IF(fieldcreatorv2!E34="texto",fieldcreatorv2!C34,"")</f>
        <v/>
      </c>
      <c r="C31" s="79"/>
      <c r="D31" s="183"/>
      <c r="G31" s="61" t="str">
        <f t="shared" si="0"/>
        <v/>
      </c>
      <c r="H31" s="145" t="str">
        <f>+IF(fieldcreatorv2!E34="texto",fieldcreatorv2!BL34&amp;fieldcreatorv2!BQ34,"")</f>
        <v/>
      </c>
      <c r="I31" s="145" t="str">
        <f t="shared" si="1"/>
        <v/>
      </c>
      <c r="J31" s="61" t="str">
        <f t="shared" si="2"/>
        <v/>
      </c>
      <c r="K31" s="61" t="str">
        <f t="shared" si="5"/>
        <v/>
      </c>
      <c r="L31" s="197" t="str">
        <f t="shared" si="6"/>
        <v/>
      </c>
    </row>
    <row r="32" spans="2:12" ht="15.75">
      <c r="B32" s="183" t="str">
        <f>+IF(fieldcreatorv2!E35="texto",fieldcreatorv2!C35,"")</f>
        <v/>
      </c>
      <c r="C32" s="79"/>
      <c r="D32" s="183"/>
      <c r="G32" s="61" t="str">
        <f t="shared" si="0"/>
        <v/>
      </c>
      <c r="H32" s="145" t="str">
        <f>+IF(fieldcreatorv2!E35="texto",fieldcreatorv2!BL35&amp;fieldcreatorv2!BQ35,"")</f>
        <v/>
      </c>
      <c r="I32" s="145" t="str">
        <f t="shared" si="1"/>
        <v/>
      </c>
      <c r="J32" s="61" t="str">
        <f t="shared" si="2"/>
        <v/>
      </c>
      <c r="K32" s="61" t="str">
        <f t="shared" si="5"/>
        <v/>
      </c>
      <c r="L32" s="197" t="str">
        <f t="shared" si="6"/>
        <v/>
      </c>
    </row>
    <row r="33" spans="2:12" ht="15.75">
      <c r="B33" s="183" t="str">
        <f>+IF(fieldcreatorv2!E36="texto",fieldcreatorv2!C36,"")</f>
        <v/>
      </c>
      <c r="C33" s="79"/>
      <c r="D33" s="183"/>
      <c r="G33" s="61" t="str">
        <f t="shared" si="0"/>
        <v/>
      </c>
      <c r="H33" s="145" t="str">
        <f>+IF(fieldcreatorv2!E36="texto",fieldcreatorv2!BL36&amp;fieldcreatorv2!BQ36,"")</f>
        <v/>
      </c>
      <c r="I33" s="145" t="str">
        <f t="shared" si="1"/>
        <v/>
      </c>
      <c r="J33" s="61" t="str">
        <f t="shared" si="2"/>
        <v/>
      </c>
      <c r="K33" s="61" t="str">
        <f t="shared" si="5"/>
        <v/>
      </c>
      <c r="L33" s="197" t="str">
        <f t="shared" si="6"/>
        <v/>
      </c>
    </row>
    <row r="34" spans="2:12" ht="15.75">
      <c r="B34" s="183" t="str">
        <f>+IF(fieldcreatorv2!E37="texto",fieldcreatorv2!C37,"")</f>
        <v/>
      </c>
      <c r="C34" s="79"/>
      <c r="D34" s="183"/>
      <c r="G34" s="61" t="str">
        <f t="shared" si="0"/>
        <v/>
      </c>
      <c r="H34" s="145" t="str">
        <f>+IF(fieldcreatorv2!E37="texto",fieldcreatorv2!BL37&amp;fieldcreatorv2!BQ37,"")</f>
        <v/>
      </c>
      <c r="I34" s="145" t="str">
        <f t="shared" si="1"/>
        <v/>
      </c>
      <c r="J34" s="61" t="str">
        <f t="shared" si="2"/>
        <v/>
      </c>
      <c r="K34" s="61" t="str">
        <f t="shared" si="5"/>
        <v/>
      </c>
      <c r="L34" s="197" t="str">
        <f t="shared" si="6"/>
        <v/>
      </c>
    </row>
    <row r="35" spans="2:12" ht="15.75">
      <c r="B35" s="183" t="str">
        <f>+IF(fieldcreatorv2!E38="texto",fieldcreatorv2!C38,"")</f>
        <v/>
      </c>
      <c r="C35" s="79"/>
      <c r="D35" s="183"/>
      <c r="G35" s="61" t="str">
        <f t="shared" si="0"/>
        <v/>
      </c>
      <c r="H35" s="145" t="str">
        <f>+IF(fieldcreatorv2!E38="texto",fieldcreatorv2!BL38&amp;fieldcreatorv2!BQ38,"")</f>
        <v/>
      </c>
      <c r="I35" s="145" t="str">
        <f t="shared" si="1"/>
        <v/>
      </c>
      <c r="J35" s="61" t="str">
        <f t="shared" si="2"/>
        <v/>
      </c>
      <c r="K35" s="61" t="str">
        <f t="shared" si="5"/>
        <v/>
      </c>
      <c r="L35" s="197" t="str">
        <f t="shared" si="6"/>
        <v/>
      </c>
    </row>
    <row r="36" spans="2:12" ht="15.75">
      <c r="B36" s="183" t="str">
        <f>+IF(fieldcreatorv2!E39="texto",fieldcreatorv2!C39,"")</f>
        <v/>
      </c>
      <c r="C36" s="79"/>
      <c r="D36" s="183"/>
      <c r="G36" s="61" t="str">
        <f t="shared" si="0"/>
        <v/>
      </c>
      <c r="H36" s="145" t="str">
        <f>+IF(fieldcreatorv2!E39="texto",fieldcreatorv2!BL39&amp;fieldcreatorv2!BQ39,"")</f>
        <v/>
      </c>
      <c r="I36" s="145" t="str">
        <f t="shared" si="1"/>
        <v/>
      </c>
      <c r="J36" s="61" t="str">
        <f t="shared" si="2"/>
        <v/>
      </c>
      <c r="K36" s="61" t="str">
        <f t="shared" si="5"/>
        <v/>
      </c>
      <c r="L36" s="197" t="str">
        <f t="shared" si="6"/>
        <v/>
      </c>
    </row>
    <row r="37" spans="2:12" ht="15.75">
      <c r="B37" s="183" t="str">
        <f>+IF(fieldcreatorv2!E40="texto",fieldcreatorv2!C40,"")</f>
        <v/>
      </c>
      <c r="C37" s="79"/>
      <c r="D37" s="183"/>
      <c r="G37" s="61" t="str">
        <f t="shared" si="0"/>
        <v/>
      </c>
      <c r="H37" s="145" t="str">
        <f>+IF(fieldcreatorv2!E40="texto",fieldcreatorv2!BL40&amp;fieldcreatorv2!BQ40,"")</f>
        <v/>
      </c>
      <c r="I37" s="145" t="str">
        <f t="shared" si="1"/>
        <v/>
      </c>
      <c r="J37" s="61" t="str">
        <f t="shared" si="2"/>
        <v/>
      </c>
      <c r="K37" s="61" t="str">
        <f t="shared" si="5"/>
        <v/>
      </c>
      <c r="L37" s="197" t="str">
        <f t="shared" si="6"/>
        <v/>
      </c>
    </row>
    <row r="38" spans="2:12" ht="15.75">
      <c r="B38" s="183" t="str">
        <f>+IF(fieldcreatorv2!E41="texto",fieldcreatorv2!C41,"")</f>
        <v/>
      </c>
      <c r="C38" s="79"/>
      <c r="D38" s="183"/>
      <c r="G38" s="61" t="str">
        <f t="shared" si="0"/>
        <v/>
      </c>
      <c r="H38" s="145" t="str">
        <f>+IF(fieldcreatorv2!E41="texto",fieldcreatorv2!BL41&amp;fieldcreatorv2!BQ41,"")</f>
        <v/>
      </c>
      <c r="I38" s="145" t="str">
        <f t="shared" si="1"/>
        <v/>
      </c>
      <c r="J38" s="61" t="str">
        <f t="shared" si="2"/>
        <v/>
      </c>
      <c r="K38" s="61" t="str">
        <f t="shared" si="5"/>
        <v/>
      </c>
      <c r="L38" s="197" t="str">
        <f t="shared" si="6"/>
        <v/>
      </c>
    </row>
    <row r="39" spans="2:12" ht="15.75">
      <c r="B39" s="183" t="str">
        <f>+IF(fieldcreatorv2!E42="texto",fieldcreatorv2!C42,"")</f>
        <v/>
      </c>
      <c r="C39" s="79"/>
      <c r="D39" s="183"/>
      <c r="G39" s="61" t="str">
        <f t="shared" si="0"/>
        <v/>
      </c>
      <c r="H39" s="145" t="str">
        <f>+IF(fieldcreatorv2!E42="texto",fieldcreatorv2!BL42&amp;fieldcreatorv2!BQ42,"")</f>
        <v/>
      </c>
      <c r="I39" s="145" t="str">
        <f t="shared" si="1"/>
        <v/>
      </c>
      <c r="J39" s="61" t="str">
        <f t="shared" si="2"/>
        <v/>
      </c>
      <c r="K39" s="61" t="str">
        <f t="shared" si="5"/>
        <v/>
      </c>
      <c r="L39" s="197" t="str">
        <f t="shared" si="6"/>
        <v/>
      </c>
    </row>
    <row r="40" spans="2:12" ht="15.75">
      <c r="B40" s="183" t="str">
        <f>+IF(fieldcreatorv2!E43="texto",fieldcreatorv2!C43,"")</f>
        <v/>
      </c>
      <c r="C40" s="79"/>
      <c r="D40" s="183"/>
      <c r="G40" s="61" t="str">
        <f t="shared" si="0"/>
        <v/>
      </c>
      <c r="H40" s="145" t="str">
        <f>+IF(fieldcreatorv2!E43="texto",fieldcreatorv2!BL43&amp;fieldcreatorv2!BQ43,"")</f>
        <v/>
      </c>
      <c r="I40" s="145" t="str">
        <f t="shared" si="1"/>
        <v/>
      </c>
      <c r="J40" s="61" t="str">
        <f t="shared" si="2"/>
        <v/>
      </c>
      <c r="K40" s="61" t="str">
        <f t="shared" si="5"/>
        <v/>
      </c>
      <c r="L40" s="197" t="str">
        <f t="shared" si="6"/>
        <v/>
      </c>
    </row>
    <row r="41" spans="2:12" ht="15.75">
      <c r="B41" s="183" t="str">
        <f>+IF(fieldcreatorv2!E44="texto",fieldcreatorv2!C44,"")</f>
        <v/>
      </c>
      <c r="C41" s="79"/>
      <c r="D41" s="183"/>
      <c r="G41" s="61" t="str">
        <f t="shared" si="0"/>
        <v/>
      </c>
      <c r="H41" s="145" t="str">
        <f>+IF(fieldcreatorv2!E44="texto",fieldcreatorv2!BL44&amp;fieldcreatorv2!BQ44,"")</f>
        <v/>
      </c>
      <c r="I41" s="145" t="str">
        <f t="shared" si="1"/>
        <v/>
      </c>
      <c r="J41" s="61" t="str">
        <f t="shared" si="2"/>
        <v/>
      </c>
      <c r="K41" s="61" t="str">
        <f t="shared" si="5"/>
        <v/>
      </c>
      <c r="L41" s="197" t="str">
        <f t="shared" si="6"/>
        <v/>
      </c>
    </row>
    <row r="42" spans="2:12" ht="15.75">
      <c r="B42" s="183" t="str">
        <f>+IF(fieldcreatorv2!E45="texto",fieldcreatorv2!C45,"")</f>
        <v/>
      </c>
      <c r="C42" s="79"/>
      <c r="D42" s="183"/>
      <c r="G42" s="61" t="str">
        <f t="shared" si="0"/>
        <v/>
      </c>
      <c r="H42" s="145" t="str">
        <f>+IF(fieldcreatorv2!E45="texto",fieldcreatorv2!BL45&amp;fieldcreatorv2!BQ45,"")</f>
        <v/>
      </c>
      <c r="I42" s="145" t="str">
        <f t="shared" si="1"/>
        <v/>
      </c>
      <c r="J42" s="61" t="str">
        <f t="shared" si="2"/>
        <v/>
      </c>
      <c r="K42" s="61" t="str">
        <f t="shared" si="5"/>
        <v/>
      </c>
      <c r="L42" s="197" t="str">
        <f t="shared" si="6"/>
        <v/>
      </c>
    </row>
    <row r="43" spans="2:12" ht="15.75">
      <c r="B43" s="183" t="str">
        <f>+IF(fieldcreatorv2!E46="texto",fieldcreatorv2!C46,"")</f>
        <v/>
      </c>
      <c r="C43" s="79"/>
      <c r="D43" s="183"/>
      <c r="G43" s="61" t="str">
        <f t="shared" si="0"/>
        <v/>
      </c>
      <c r="H43" s="145" t="str">
        <f>+IF(fieldcreatorv2!E46="texto",fieldcreatorv2!BL46&amp;fieldcreatorv2!BQ46,"")</f>
        <v/>
      </c>
      <c r="I43" s="145" t="str">
        <f t="shared" si="1"/>
        <v/>
      </c>
      <c r="J43" s="61" t="str">
        <f t="shared" si="2"/>
        <v/>
      </c>
      <c r="K43" s="61" t="str">
        <f t="shared" si="5"/>
        <v/>
      </c>
      <c r="L43" s="197" t="str">
        <f t="shared" si="6"/>
        <v/>
      </c>
    </row>
    <row r="44" spans="2:12" ht="15.75">
      <c r="B44" s="183" t="str">
        <f>+IF(fieldcreatorv2!E47="texto",fieldcreatorv2!C47,"")</f>
        <v/>
      </c>
      <c r="C44" s="79"/>
      <c r="D44" s="183"/>
      <c r="G44" s="61" t="str">
        <f t="shared" ref="G44:G75" si="7">IF(B44="","",$A$1&amp;B44&amp;$A$2&amp;B44&amp;$A$3&amp;E44&amp;","&amp;F44&amp;$A$4&amp;B44&amp;$A$5&amp;B44&amp;$A$6&amp;B44&amp;$A$7)</f>
        <v/>
      </c>
      <c r="H44" s="145" t="str">
        <f>+IF(fieldcreatorv2!E47="texto",fieldcreatorv2!BL47&amp;fieldcreatorv2!BQ47,"")</f>
        <v/>
      </c>
      <c r="I44" s="145" t="str">
        <f t="shared" ref="I44:I75" si="8">IF(B44="","",$A$8&amp;B44&amp;$B$1&amp;B44&amp;$B$2)</f>
        <v/>
      </c>
      <c r="J44" s="61" t="str">
        <f t="shared" ref="J44:J75" si="9">IF(B44="","",$B$3&amp;B44&amp;$B$4&amp;B44&amp;$B$5&amp;B44&amp;$B$6&amp;B44&amp;$B$7&amp;$B$8&amp;B44&amp;$C$1&amp;$C$2)</f>
        <v/>
      </c>
      <c r="K44" s="61" t="str">
        <f t="shared" si="5"/>
        <v/>
      </c>
      <c r="L44" s="197" t="str">
        <f t="shared" si="6"/>
        <v/>
      </c>
    </row>
    <row r="45" spans="2:12" ht="15.75">
      <c r="B45" s="183" t="str">
        <f>+IF(fieldcreatorv2!E48="texto",fieldcreatorv2!C48,"")</f>
        <v/>
      </c>
      <c r="C45" s="79"/>
      <c r="D45" s="183"/>
      <c r="G45" s="61" t="str">
        <f t="shared" si="7"/>
        <v/>
      </c>
      <c r="H45" s="145" t="str">
        <f>+IF(fieldcreatorv2!E48="texto",fieldcreatorv2!BL48&amp;fieldcreatorv2!BQ48,"")</f>
        <v/>
      </c>
      <c r="I45" s="145" t="str">
        <f t="shared" si="8"/>
        <v/>
      </c>
      <c r="J45" s="61" t="str">
        <f t="shared" si="9"/>
        <v/>
      </c>
      <c r="K45" s="61" t="str">
        <f t="shared" si="5"/>
        <v/>
      </c>
      <c r="L45" s="197" t="str">
        <f t="shared" si="6"/>
        <v/>
      </c>
    </row>
    <row r="46" spans="2:12" ht="15.75">
      <c r="B46" s="183" t="str">
        <f>+IF(fieldcreatorv2!E49="texto",fieldcreatorv2!C49,"")</f>
        <v/>
      </c>
      <c r="C46" s="79"/>
      <c r="D46" s="183"/>
      <c r="G46" s="61" t="str">
        <f t="shared" si="7"/>
        <v/>
      </c>
      <c r="H46" s="145" t="str">
        <f>+IF(fieldcreatorv2!E49="texto",fieldcreatorv2!BL49&amp;fieldcreatorv2!BQ49,"")</f>
        <v/>
      </c>
      <c r="I46" s="145" t="str">
        <f t="shared" si="8"/>
        <v/>
      </c>
      <c r="J46" s="61" t="str">
        <f t="shared" si="9"/>
        <v/>
      </c>
      <c r="K46" s="61" t="str">
        <f t="shared" si="5"/>
        <v/>
      </c>
      <c r="L46" s="197" t="str">
        <f t="shared" si="6"/>
        <v/>
      </c>
    </row>
    <row r="47" spans="2:12" ht="15.75">
      <c r="B47" s="183" t="str">
        <f>+IF(fieldcreatorv2!E50="texto",fieldcreatorv2!C50,"")</f>
        <v/>
      </c>
      <c r="C47" s="79"/>
      <c r="D47" s="183"/>
      <c r="G47" s="61" t="str">
        <f t="shared" si="7"/>
        <v/>
      </c>
      <c r="H47" s="145" t="str">
        <f>+IF(fieldcreatorv2!E50="texto",fieldcreatorv2!BL50&amp;fieldcreatorv2!BQ50,"")</f>
        <v/>
      </c>
      <c r="I47" s="145" t="str">
        <f t="shared" si="8"/>
        <v/>
      </c>
      <c r="J47" s="61" t="str">
        <f t="shared" si="9"/>
        <v/>
      </c>
      <c r="K47" s="61" t="str">
        <f t="shared" si="5"/>
        <v/>
      </c>
      <c r="L47" s="197" t="str">
        <f t="shared" si="6"/>
        <v/>
      </c>
    </row>
    <row r="48" spans="2:12" ht="15.75">
      <c r="B48" s="183" t="str">
        <f>+IF(fieldcreatorv2!E51="texto",fieldcreatorv2!C51,"")</f>
        <v/>
      </c>
      <c r="C48" s="79"/>
      <c r="D48" s="183"/>
      <c r="G48" s="61" t="str">
        <f t="shared" si="7"/>
        <v/>
      </c>
      <c r="H48" s="145" t="str">
        <f>+IF(fieldcreatorv2!E51="texto",fieldcreatorv2!BL51&amp;fieldcreatorv2!BQ51,"")</f>
        <v/>
      </c>
      <c r="I48" s="145" t="str">
        <f t="shared" si="8"/>
        <v/>
      </c>
      <c r="J48" s="61" t="str">
        <f t="shared" si="9"/>
        <v/>
      </c>
      <c r="K48" s="61" t="str">
        <f t="shared" si="5"/>
        <v/>
      </c>
      <c r="L48" s="197" t="str">
        <f t="shared" si="6"/>
        <v/>
      </c>
    </row>
    <row r="49" spans="2:12" ht="15.75">
      <c r="B49" s="183" t="str">
        <f>+IF(fieldcreatorv2!E52="texto",fieldcreatorv2!C52,"")</f>
        <v/>
      </c>
      <c r="C49" s="79"/>
      <c r="D49" s="183"/>
      <c r="G49" s="61" t="str">
        <f t="shared" si="7"/>
        <v/>
      </c>
      <c r="H49" s="145" t="str">
        <f>+IF(fieldcreatorv2!E52="texto",fieldcreatorv2!BL52&amp;fieldcreatorv2!BQ52,"")</f>
        <v/>
      </c>
      <c r="I49" s="145" t="str">
        <f t="shared" si="8"/>
        <v/>
      </c>
      <c r="J49" s="61" t="str">
        <f t="shared" si="9"/>
        <v/>
      </c>
      <c r="K49" s="61" t="str">
        <f t="shared" si="5"/>
        <v/>
      </c>
      <c r="L49" s="197" t="str">
        <f t="shared" si="6"/>
        <v/>
      </c>
    </row>
    <row r="50" spans="2:12" ht="15.75">
      <c r="B50" s="183" t="str">
        <f>+IF(fieldcreatorv2!E53="texto",fieldcreatorv2!C53,"")</f>
        <v/>
      </c>
      <c r="C50" s="79"/>
      <c r="D50" s="183"/>
      <c r="G50" s="61" t="str">
        <f t="shared" si="7"/>
        <v/>
      </c>
      <c r="H50" s="145" t="str">
        <f>+IF(fieldcreatorv2!E53="texto",fieldcreatorv2!BL53&amp;fieldcreatorv2!BQ53,"")</f>
        <v/>
      </c>
      <c r="I50" s="145" t="str">
        <f t="shared" si="8"/>
        <v/>
      </c>
      <c r="J50" s="61" t="str">
        <f t="shared" si="9"/>
        <v/>
      </c>
      <c r="K50" s="61" t="str">
        <f t="shared" si="5"/>
        <v/>
      </c>
      <c r="L50" s="197" t="str">
        <f t="shared" si="6"/>
        <v/>
      </c>
    </row>
    <row r="51" spans="2:12" ht="15.75">
      <c r="B51" s="183" t="str">
        <f>+IF(fieldcreatorv2!E54="texto",fieldcreatorv2!C54,"")</f>
        <v/>
      </c>
      <c r="C51" s="79"/>
      <c r="D51" s="183"/>
      <c r="G51" s="61" t="str">
        <f t="shared" si="7"/>
        <v/>
      </c>
      <c r="H51" s="145" t="str">
        <f>+IF(fieldcreatorv2!E54="texto",fieldcreatorv2!BL54&amp;fieldcreatorv2!BQ54,"")</f>
        <v/>
      </c>
      <c r="I51" s="145" t="str">
        <f t="shared" si="8"/>
        <v/>
      </c>
      <c r="J51" s="61" t="str">
        <f t="shared" si="9"/>
        <v/>
      </c>
      <c r="K51" s="61" t="str">
        <f t="shared" si="5"/>
        <v/>
      </c>
      <c r="L51" s="197" t="str">
        <f t="shared" si="6"/>
        <v/>
      </c>
    </row>
    <row r="52" spans="2:12" ht="15.75">
      <c r="B52" s="183" t="str">
        <f>+IF(fieldcreatorv2!E55="texto",fieldcreatorv2!C55,"")</f>
        <v/>
      </c>
      <c r="C52" s="79"/>
      <c r="D52" s="183"/>
      <c r="G52" s="61" t="str">
        <f t="shared" si="7"/>
        <v/>
      </c>
      <c r="H52" s="145" t="str">
        <f>+IF(fieldcreatorv2!E55="texto",fieldcreatorv2!BL55&amp;fieldcreatorv2!BQ55,"")</f>
        <v/>
      </c>
      <c r="I52" s="145" t="str">
        <f t="shared" si="8"/>
        <v/>
      </c>
      <c r="J52" s="61" t="str">
        <f t="shared" si="9"/>
        <v/>
      </c>
      <c r="K52" s="61" t="str">
        <f t="shared" si="5"/>
        <v/>
      </c>
      <c r="L52" s="197" t="str">
        <f t="shared" si="6"/>
        <v/>
      </c>
    </row>
    <row r="53" spans="2:12" ht="15.75">
      <c r="B53" s="183" t="str">
        <f>+IF(fieldcreatorv2!E56="texto",fieldcreatorv2!C56,"")</f>
        <v/>
      </c>
      <c r="C53" s="79"/>
      <c r="D53" s="183"/>
      <c r="G53" s="61" t="str">
        <f t="shared" si="7"/>
        <v/>
      </c>
      <c r="H53" s="145" t="str">
        <f>+IF(fieldcreatorv2!E56="texto",fieldcreatorv2!BL56&amp;fieldcreatorv2!BQ56,"")</f>
        <v/>
      </c>
      <c r="I53" s="145" t="str">
        <f t="shared" si="8"/>
        <v/>
      </c>
      <c r="J53" s="61" t="str">
        <f t="shared" si="9"/>
        <v/>
      </c>
      <c r="K53" s="61" t="str">
        <f t="shared" si="5"/>
        <v/>
      </c>
      <c r="L53" s="197" t="str">
        <f t="shared" si="6"/>
        <v/>
      </c>
    </row>
    <row r="54" spans="2:12" ht="15.75">
      <c r="B54" s="183" t="str">
        <f>+IF(fieldcreatorv2!E57="texto",fieldcreatorv2!C57,"")</f>
        <v/>
      </c>
      <c r="C54" s="79"/>
      <c r="D54" s="183"/>
      <c r="G54" s="61" t="str">
        <f t="shared" si="7"/>
        <v/>
      </c>
      <c r="H54" s="145" t="str">
        <f>+IF(fieldcreatorv2!E57="texto",fieldcreatorv2!BL57&amp;fieldcreatorv2!BQ57,"")</f>
        <v/>
      </c>
      <c r="I54" s="145" t="str">
        <f t="shared" si="8"/>
        <v/>
      </c>
      <c r="J54" s="61" t="str">
        <f t="shared" si="9"/>
        <v/>
      </c>
      <c r="K54" s="61" t="str">
        <f t="shared" si="5"/>
        <v/>
      </c>
      <c r="L54" s="197" t="str">
        <f t="shared" si="6"/>
        <v/>
      </c>
    </row>
    <row r="55" spans="2:12" ht="15.75">
      <c r="B55" s="183" t="str">
        <f>+IF(fieldcreatorv2!E58="texto",fieldcreatorv2!C58,"")</f>
        <v/>
      </c>
      <c r="C55" s="79"/>
      <c r="D55" s="183"/>
      <c r="G55" s="61" t="str">
        <f t="shared" si="7"/>
        <v/>
      </c>
      <c r="H55" s="145" t="str">
        <f>+IF(fieldcreatorv2!E58="texto",fieldcreatorv2!BL58&amp;fieldcreatorv2!BQ58,"")</f>
        <v/>
      </c>
      <c r="I55" s="145" t="str">
        <f t="shared" si="8"/>
        <v/>
      </c>
      <c r="J55" s="61" t="str">
        <f t="shared" si="9"/>
        <v/>
      </c>
      <c r="K55" s="61" t="str">
        <f t="shared" si="5"/>
        <v/>
      </c>
      <c r="L55" s="197" t="str">
        <f t="shared" si="6"/>
        <v/>
      </c>
    </row>
    <row r="56" spans="2:12" ht="15.75">
      <c r="B56" s="183" t="str">
        <f>+IF(fieldcreatorv2!E59="texto",fieldcreatorv2!C59,"")</f>
        <v/>
      </c>
      <c r="C56" s="79"/>
      <c r="D56" s="183"/>
      <c r="G56" s="61" t="str">
        <f t="shared" si="7"/>
        <v/>
      </c>
      <c r="H56" s="145" t="str">
        <f>+IF(fieldcreatorv2!E59="texto",fieldcreatorv2!BL59&amp;fieldcreatorv2!BQ59,"")</f>
        <v/>
      </c>
      <c r="I56" s="145" t="str">
        <f t="shared" si="8"/>
        <v/>
      </c>
      <c r="J56" s="61" t="str">
        <f t="shared" si="9"/>
        <v/>
      </c>
      <c r="K56" s="61" t="str">
        <f t="shared" si="5"/>
        <v/>
      </c>
      <c r="L56" s="197" t="str">
        <f t="shared" si="6"/>
        <v/>
      </c>
    </row>
    <row r="57" spans="2:12" ht="15.75">
      <c r="B57" s="183" t="str">
        <f>+IF(fieldcreatorv2!E60="texto",fieldcreatorv2!C60,"")</f>
        <v/>
      </c>
      <c r="C57" s="79"/>
      <c r="D57" s="183"/>
      <c r="G57" s="61" t="str">
        <f t="shared" si="7"/>
        <v/>
      </c>
      <c r="H57" s="145" t="str">
        <f>+IF(fieldcreatorv2!E60="texto",fieldcreatorv2!BL60&amp;fieldcreatorv2!BQ60,"")</f>
        <v/>
      </c>
      <c r="I57" s="145" t="str">
        <f t="shared" si="8"/>
        <v/>
      </c>
      <c r="J57" s="61" t="str">
        <f t="shared" si="9"/>
        <v/>
      </c>
      <c r="K57" s="61" t="str">
        <f t="shared" si="5"/>
        <v/>
      </c>
      <c r="L57" s="197" t="str">
        <f t="shared" si="6"/>
        <v/>
      </c>
    </row>
    <row r="58" spans="2:12" ht="15.75">
      <c r="B58" s="183" t="str">
        <f>+IF(fieldcreatorv2!E61="texto",fieldcreatorv2!C61,"")</f>
        <v/>
      </c>
      <c r="C58" s="79"/>
      <c r="D58" s="183"/>
      <c r="G58" s="61" t="str">
        <f t="shared" si="7"/>
        <v/>
      </c>
      <c r="H58" s="145" t="str">
        <f>+IF(fieldcreatorv2!E61="texto",fieldcreatorv2!BL61&amp;fieldcreatorv2!BQ61,"")</f>
        <v/>
      </c>
      <c r="I58" s="145" t="str">
        <f t="shared" si="8"/>
        <v/>
      </c>
      <c r="J58" s="61" t="str">
        <f t="shared" si="9"/>
        <v/>
      </c>
      <c r="K58" s="61" t="str">
        <f t="shared" si="5"/>
        <v/>
      </c>
      <c r="L58" s="197" t="str">
        <f t="shared" si="6"/>
        <v/>
      </c>
    </row>
    <row r="59" spans="2:12" ht="15.75">
      <c r="B59" s="183" t="str">
        <f>+IF(fieldcreatorv2!E62="texto",fieldcreatorv2!C62,"")</f>
        <v/>
      </c>
      <c r="C59" s="79"/>
      <c r="D59" s="183"/>
      <c r="G59" s="61" t="str">
        <f t="shared" si="7"/>
        <v/>
      </c>
      <c r="H59" s="145" t="str">
        <f>+IF(fieldcreatorv2!E62="texto",fieldcreatorv2!BL62&amp;fieldcreatorv2!BQ62,"")</f>
        <v/>
      </c>
      <c r="I59" s="145" t="str">
        <f t="shared" si="8"/>
        <v/>
      </c>
      <c r="J59" s="61" t="str">
        <f t="shared" si="9"/>
        <v/>
      </c>
      <c r="K59" s="61" t="str">
        <f t="shared" si="5"/>
        <v/>
      </c>
      <c r="L59" s="197" t="str">
        <f t="shared" si="6"/>
        <v/>
      </c>
    </row>
    <row r="60" spans="2:12" ht="15.75">
      <c r="B60" s="183" t="str">
        <f>+IF(fieldcreatorv2!E63="texto",fieldcreatorv2!C63,"")</f>
        <v/>
      </c>
      <c r="C60" s="79"/>
      <c r="D60" s="183"/>
      <c r="G60" s="61" t="str">
        <f t="shared" si="7"/>
        <v/>
      </c>
      <c r="H60" s="145" t="str">
        <f>+IF(fieldcreatorv2!E63="texto",fieldcreatorv2!BL63&amp;fieldcreatorv2!BQ63,"")</f>
        <v/>
      </c>
      <c r="I60" s="145" t="str">
        <f t="shared" si="8"/>
        <v/>
      </c>
      <c r="J60" s="61" t="str">
        <f t="shared" si="9"/>
        <v/>
      </c>
      <c r="K60" s="61" t="str">
        <f t="shared" si="5"/>
        <v/>
      </c>
      <c r="L60" s="197" t="str">
        <f t="shared" si="6"/>
        <v/>
      </c>
    </row>
    <row r="61" spans="2:12" ht="15.75">
      <c r="B61" s="183" t="str">
        <f>+IF(fieldcreatorv2!E64="texto",fieldcreatorv2!C64,"")</f>
        <v/>
      </c>
      <c r="C61" s="79"/>
      <c r="D61" s="183"/>
      <c r="G61" s="61" t="str">
        <f t="shared" si="7"/>
        <v/>
      </c>
      <c r="H61" s="145" t="str">
        <f>+IF(fieldcreatorv2!E64="texto",fieldcreatorv2!BL64&amp;fieldcreatorv2!BQ64,"")</f>
        <v/>
      </c>
      <c r="I61" s="145" t="str">
        <f t="shared" si="8"/>
        <v/>
      </c>
      <c r="J61" s="61" t="str">
        <f t="shared" si="9"/>
        <v/>
      </c>
      <c r="K61" s="61" t="str">
        <f t="shared" si="5"/>
        <v/>
      </c>
      <c r="L61" s="197" t="str">
        <f t="shared" si="6"/>
        <v/>
      </c>
    </row>
    <row r="62" spans="2:12" ht="15.75">
      <c r="B62" s="183" t="str">
        <f>+IF(fieldcreatorv2!E65="texto",fieldcreatorv2!C65,"")</f>
        <v/>
      </c>
      <c r="C62" s="79"/>
      <c r="D62" s="183"/>
      <c r="G62" s="61" t="str">
        <f t="shared" si="7"/>
        <v/>
      </c>
      <c r="H62" s="145" t="str">
        <f>+IF(fieldcreatorv2!E65="texto",fieldcreatorv2!BL65&amp;fieldcreatorv2!BQ65,"")</f>
        <v/>
      </c>
      <c r="I62" s="145" t="str">
        <f t="shared" si="8"/>
        <v/>
      </c>
      <c r="J62" s="61" t="str">
        <f t="shared" si="9"/>
        <v/>
      </c>
      <c r="K62" s="61" t="str">
        <f t="shared" si="5"/>
        <v/>
      </c>
      <c r="L62" s="197" t="str">
        <f t="shared" si="6"/>
        <v/>
      </c>
    </row>
    <row r="63" spans="2:12" ht="15.75">
      <c r="B63" s="183" t="str">
        <f>+IF(fieldcreatorv2!E66="texto",fieldcreatorv2!C66,"")</f>
        <v/>
      </c>
      <c r="C63" s="79"/>
      <c r="D63" s="183"/>
      <c r="G63" s="61" t="str">
        <f t="shared" si="7"/>
        <v/>
      </c>
      <c r="H63" s="145" t="str">
        <f>+IF(fieldcreatorv2!E66="texto",fieldcreatorv2!BL66&amp;fieldcreatorv2!BQ66,"")</f>
        <v/>
      </c>
      <c r="I63" s="145" t="str">
        <f t="shared" si="8"/>
        <v/>
      </c>
      <c r="J63" s="61" t="str">
        <f t="shared" si="9"/>
        <v/>
      </c>
      <c r="K63" s="61" t="str">
        <f t="shared" si="5"/>
        <v/>
      </c>
      <c r="L63" s="197" t="str">
        <f t="shared" si="6"/>
        <v/>
      </c>
    </row>
    <row r="64" spans="2:12" ht="15.75">
      <c r="B64" s="183" t="str">
        <f>+IF(fieldcreatorv2!E67="texto",fieldcreatorv2!C67,"")</f>
        <v/>
      </c>
      <c r="C64" s="79"/>
      <c r="D64" s="183"/>
      <c r="G64" s="61" t="str">
        <f t="shared" si="7"/>
        <v/>
      </c>
      <c r="H64" s="145" t="str">
        <f>+IF(fieldcreatorv2!E67="texto",fieldcreatorv2!BL67&amp;fieldcreatorv2!BQ67,"")</f>
        <v/>
      </c>
      <c r="I64" s="145" t="str">
        <f t="shared" si="8"/>
        <v/>
      </c>
      <c r="J64" s="61" t="str">
        <f t="shared" si="9"/>
        <v/>
      </c>
      <c r="K64" s="61" t="str">
        <f t="shared" si="5"/>
        <v/>
      </c>
      <c r="L64" s="197" t="str">
        <f t="shared" si="6"/>
        <v/>
      </c>
    </row>
    <row r="65" spans="2:12" ht="15.75">
      <c r="B65" s="183" t="str">
        <f>+IF(fieldcreatorv2!E68="texto",fieldcreatorv2!C68,"")</f>
        <v/>
      </c>
      <c r="C65" s="79"/>
      <c r="D65" s="183"/>
      <c r="G65" s="61" t="str">
        <f t="shared" si="7"/>
        <v/>
      </c>
      <c r="H65" s="145" t="str">
        <f>+IF(fieldcreatorv2!E68="texto",fieldcreatorv2!BL68&amp;fieldcreatorv2!BQ68,"")</f>
        <v/>
      </c>
      <c r="I65" s="145" t="str">
        <f t="shared" si="8"/>
        <v/>
      </c>
      <c r="J65" s="61" t="str">
        <f t="shared" si="9"/>
        <v/>
      </c>
      <c r="K65" s="61" t="str">
        <f t="shared" si="5"/>
        <v/>
      </c>
      <c r="L65" s="197" t="str">
        <f t="shared" si="6"/>
        <v/>
      </c>
    </row>
    <row r="66" spans="2:12" ht="15.75" hidden="1">
      <c r="B66" s="183" t="str">
        <f>+IF(fieldcreatorv2!E69="texto",fieldcreatorv2!C69,"")</f>
        <v/>
      </c>
      <c r="C66" s="79"/>
      <c r="D66" s="183"/>
      <c r="G66" s="61" t="str">
        <f t="shared" si="7"/>
        <v/>
      </c>
      <c r="H66" s="145" t="str">
        <f>+IF(fieldcreatorv2!E69="texto",fieldcreatorv2!BL69&amp;fieldcreatorv2!BQ69,"")</f>
        <v/>
      </c>
      <c r="I66" s="145" t="str">
        <f t="shared" si="8"/>
        <v/>
      </c>
      <c r="J66" s="61" t="str">
        <f t="shared" si="9"/>
        <v/>
      </c>
      <c r="K66" s="61" t="str">
        <f t="shared" si="5"/>
        <v/>
      </c>
      <c r="L66" s="197" t="str">
        <f t="shared" si="6"/>
        <v/>
      </c>
    </row>
    <row r="67" spans="2:12" ht="15.75" hidden="1">
      <c r="B67" s="183" t="str">
        <f>+IF(fieldcreatorv2!E70="texto",fieldcreatorv2!C70,"")</f>
        <v/>
      </c>
      <c r="C67" s="79"/>
      <c r="D67" s="183"/>
      <c r="G67" s="61" t="str">
        <f t="shared" si="7"/>
        <v/>
      </c>
      <c r="H67" s="145" t="str">
        <f>+IF(fieldcreatorv2!E70="texto",fieldcreatorv2!BL70&amp;fieldcreatorv2!BQ70,"")</f>
        <v/>
      </c>
      <c r="I67" s="145" t="str">
        <f t="shared" si="8"/>
        <v/>
      </c>
      <c r="J67" s="61" t="str">
        <f t="shared" si="9"/>
        <v/>
      </c>
      <c r="K67" s="61" t="str">
        <f t="shared" si="5"/>
        <v/>
      </c>
      <c r="L67" s="197" t="str">
        <f t="shared" si="6"/>
        <v/>
      </c>
    </row>
    <row r="68" spans="2:12" ht="15.75" hidden="1">
      <c r="B68" s="183" t="str">
        <f>+IF(fieldcreatorv2!E71="texto",fieldcreatorv2!C71,"")</f>
        <v/>
      </c>
      <c r="C68" s="79"/>
      <c r="D68" s="183"/>
      <c r="G68" s="61" t="str">
        <f t="shared" si="7"/>
        <v/>
      </c>
      <c r="H68" s="145" t="str">
        <f>+IF(fieldcreatorv2!E71="texto",fieldcreatorv2!BL71&amp;fieldcreatorv2!BQ71,"")</f>
        <v/>
      </c>
      <c r="I68" s="145" t="str">
        <f t="shared" si="8"/>
        <v/>
      </c>
      <c r="J68" s="61" t="str">
        <f t="shared" si="9"/>
        <v/>
      </c>
      <c r="K68" s="61" t="str">
        <f t="shared" si="5"/>
        <v/>
      </c>
      <c r="L68" s="197" t="str">
        <f t="shared" si="6"/>
        <v/>
      </c>
    </row>
    <row r="69" spans="2:12" ht="15.75" hidden="1">
      <c r="B69" s="183" t="str">
        <f>+IF(fieldcreatorv2!E72="texto",fieldcreatorv2!C72,"")</f>
        <v/>
      </c>
      <c r="C69" s="79"/>
      <c r="D69" s="183"/>
      <c r="G69" s="61" t="str">
        <f t="shared" si="7"/>
        <v/>
      </c>
      <c r="H69" s="145" t="str">
        <f>+IF(fieldcreatorv2!E72="texto",fieldcreatorv2!BL72&amp;fieldcreatorv2!BQ72,"")</f>
        <v/>
      </c>
      <c r="I69" s="145" t="str">
        <f t="shared" si="8"/>
        <v/>
      </c>
      <c r="J69" s="61" t="str">
        <f t="shared" si="9"/>
        <v/>
      </c>
      <c r="K69" s="61" t="str">
        <f t="shared" si="5"/>
        <v/>
      </c>
      <c r="L69" s="197" t="str">
        <f t="shared" si="6"/>
        <v/>
      </c>
    </row>
    <row r="70" spans="2:12" ht="15.75" hidden="1">
      <c r="B70" s="183" t="str">
        <f>+IF(fieldcreatorv2!E73="texto",fieldcreatorv2!C73,"")</f>
        <v/>
      </c>
      <c r="C70" s="79"/>
      <c r="D70" s="183"/>
      <c r="G70" s="61" t="str">
        <f t="shared" si="7"/>
        <v/>
      </c>
      <c r="H70" s="145" t="str">
        <f>+IF(fieldcreatorv2!E73="texto",fieldcreatorv2!BL73&amp;fieldcreatorv2!BQ73,"")</f>
        <v/>
      </c>
      <c r="I70" s="145" t="str">
        <f t="shared" si="8"/>
        <v/>
      </c>
      <c r="J70" s="61" t="str">
        <f t="shared" si="9"/>
        <v/>
      </c>
      <c r="K70" s="61" t="str">
        <f t="shared" si="5"/>
        <v/>
      </c>
      <c r="L70" s="197" t="str">
        <f t="shared" si="6"/>
        <v/>
      </c>
    </row>
    <row r="71" spans="2:12" ht="15.75" hidden="1">
      <c r="B71" s="183" t="str">
        <f>+IF(fieldcreatorv2!E74="texto",fieldcreatorv2!C74,"")</f>
        <v/>
      </c>
      <c r="C71" s="79"/>
      <c r="D71" s="183"/>
      <c r="G71" s="61" t="str">
        <f t="shared" si="7"/>
        <v/>
      </c>
      <c r="H71" s="145" t="str">
        <f>+IF(fieldcreatorv2!E74="texto",fieldcreatorv2!BL74&amp;fieldcreatorv2!BQ74,"")</f>
        <v/>
      </c>
      <c r="I71" s="145" t="str">
        <f t="shared" si="8"/>
        <v/>
      </c>
      <c r="J71" s="61" t="str">
        <f t="shared" si="9"/>
        <v/>
      </c>
      <c r="K71" s="61" t="str">
        <f t="shared" si="5"/>
        <v/>
      </c>
      <c r="L71" s="197" t="str">
        <f t="shared" si="6"/>
        <v/>
      </c>
    </row>
    <row r="72" spans="2:12" ht="15.75" hidden="1">
      <c r="B72" s="183" t="str">
        <f>+IF(fieldcreatorv2!E75="texto",fieldcreatorv2!C75,"")</f>
        <v/>
      </c>
      <c r="C72" s="79"/>
      <c r="D72" s="183"/>
      <c r="G72" s="61" t="str">
        <f t="shared" si="7"/>
        <v/>
      </c>
      <c r="H72" s="145" t="str">
        <f>+IF(fieldcreatorv2!E75="texto",fieldcreatorv2!BL75&amp;fieldcreatorv2!BQ75,"")</f>
        <v/>
      </c>
      <c r="I72" s="145" t="str">
        <f t="shared" si="8"/>
        <v/>
      </c>
      <c r="J72" s="61" t="str">
        <f t="shared" si="9"/>
        <v/>
      </c>
      <c r="K72" s="61" t="str">
        <f t="shared" si="5"/>
        <v/>
      </c>
      <c r="L72" s="197" t="str">
        <f t="shared" si="6"/>
        <v/>
      </c>
    </row>
    <row r="73" spans="2:12" ht="15.75" hidden="1">
      <c r="B73" s="183" t="str">
        <f>+IF(fieldcreatorv2!E76="texto",fieldcreatorv2!C76,"")</f>
        <v/>
      </c>
      <c r="C73" s="79"/>
      <c r="D73" s="183"/>
      <c r="G73" s="61" t="str">
        <f t="shared" si="7"/>
        <v/>
      </c>
      <c r="H73" s="145" t="str">
        <f>+IF(fieldcreatorv2!E76="texto",fieldcreatorv2!BL76&amp;fieldcreatorv2!BQ76,"")</f>
        <v/>
      </c>
      <c r="I73" s="145" t="str">
        <f t="shared" si="8"/>
        <v/>
      </c>
      <c r="J73" s="61" t="str">
        <f t="shared" si="9"/>
        <v/>
      </c>
      <c r="K73" s="61" t="str">
        <f t="shared" si="5"/>
        <v/>
      </c>
      <c r="L73" s="197" t="str">
        <f t="shared" si="6"/>
        <v/>
      </c>
    </row>
    <row r="74" spans="2:12" ht="15.75" hidden="1">
      <c r="B74" s="183" t="str">
        <f>+IF(fieldcreatorv2!E77="texto",fieldcreatorv2!C77,"")</f>
        <v/>
      </c>
      <c r="C74" s="79"/>
      <c r="D74" s="183"/>
      <c r="G74" s="61" t="str">
        <f t="shared" si="7"/>
        <v/>
      </c>
      <c r="H74" s="145" t="str">
        <f>+IF(fieldcreatorv2!E77="texto",fieldcreatorv2!BL77&amp;fieldcreatorv2!BQ77,"")</f>
        <v/>
      </c>
      <c r="I74" s="145" t="str">
        <f t="shared" si="8"/>
        <v/>
      </c>
      <c r="J74" s="61" t="str">
        <f t="shared" si="9"/>
        <v/>
      </c>
      <c r="K74" s="61" t="str">
        <f t="shared" si="5"/>
        <v/>
      </c>
      <c r="L74" s="197" t="str">
        <f t="shared" si="6"/>
        <v/>
      </c>
    </row>
    <row r="75" spans="2:12" ht="15.75" hidden="1">
      <c r="B75" s="183" t="str">
        <f>+IF(fieldcreatorv2!E78="texto",fieldcreatorv2!C78,"")</f>
        <v/>
      </c>
      <c r="C75" s="79"/>
      <c r="D75" s="183"/>
      <c r="G75" s="61" t="str">
        <f t="shared" si="7"/>
        <v/>
      </c>
      <c r="H75" s="145" t="str">
        <f>+IF(fieldcreatorv2!E78="texto",fieldcreatorv2!BL78&amp;fieldcreatorv2!BQ78,"")</f>
        <v/>
      </c>
      <c r="I75" s="145" t="str">
        <f t="shared" si="8"/>
        <v/>
      </c>
      <c r="J75" s="61" t="str">
        <f t="shared" si="9"/>
        <v/>
      </c>
      <c r="K75" s="61" t="str">
        <f t="shared" si="5"/>
        <v/>
      </c>
      <c r="L75" s="197" t="str">
        <f t="shared" si="6"/>
        <v/>
      </c>
    </row>
    <row r="76" spans="2:12" ht="15.75" hidden="1">
      <c r="B76" s="183" t="str">
        <f>+IF(fieldcreatorv2!E79="texto",fieldcreatorv2!C79,"")</f>
        <v/>
      </c>
      <c r="C76" s="79"/>
      <c r="D76" s="183"/>
      <c r="G76" s="61" t="str">
        <f t="shared" ref="G76:G107" si="10">IF(B76="","",$A$1&amp;B76&amp;$A$2&amp;B76&amp;$A$3&amp;E76&amp;","&amp;F76&amp;$A$4&amp;B76&amp;$A$5&amp;B76&amp;$A$6&amp;B76&amp;$A$7)</f>
        <v/>
      </c>
      <c r="H76" s="145" t="str">
        <f>+IF(fieldcreatorv2!E79="texto",fieldcreatorv2!BL79&amp;fieldcreatorv2!BQ79,"")</f>
        <v/>
      </c>
      <c r="I76" s="145" t="str">
        <f t="shared" ref="I76:I111" si="11">IF(B76="","",$A$8&amp;B76&amp;$B$1&amp;B76&amp;$B$2)</f>
        <v/>
      </c>
      <c r="J76" s="61" t="str">
        <f t="shared" ref="J76:J111" si="12">IF(B76="","",$B$3&amp;B76&amp;$B$4&amp;B76&amp;$B$5&amp;B76&amp;$B$6&amp;B76&amp;$B$7&amp;$B$8&amp;B76&amp;$C$1&amp;$C$2)</f>
        <v/>
      </c>
      <c r="K76" s="61" t="str">
        <f t="shared" si="5"/>
        <v/>
      </c>
      <c r="L76" s="197" t="str">
        <f t="shared" si="6"/>
        <v/>
      </c>
    </row>
    <row r="77" spans="2:12" ht="15.75" hidden="1">
      <c r="B77" s="183" t="str">
        <f>+IF(fieldcreatorv2!E80="texto",fieldcreatorv2!C80,"")</f>
        <v/>
      </c>
      <c r="C77" s="79"/>
      <c r="D77" s="183"/>
      <c r="G77" s="61" t="str">
        <f t="shared" si="10"/>
        <v/>
      </c>
      <c r="H77" s="145" t="str">
        <f>+IF(fieldcreatorv2!E80="texto",fieldcreatorv2!BL80&amp;fieldcreatorv2!BQ80,"")</f>
        <v/>
      </c>
      <c r="I77" s="145" t="str">
        <f t="shared" si="11"/>
        <v/>
      </c>
      <c r="J77" s="61" t="str">
        <f t="shared" si="12"/>
        <v/>
      </c>
      <c r="K77" s="61" t="str">
        <f t="shared" si="5"/>
        <v/>
      </c>
      <c r="L77" s="197" t="str">
        <f t="shared" si="6"/>
        <v/>
      </c>
    </row>
    <row r="78" spans="2:12" ht="15.75" hidden="1">
      <c r="B78" s="183" t="str">
        <f>+IF(fieldcreatorv2!E81="texto",fieldcreatorv2!C81,"")</f>
        <v/>
      </c>
      <c r="C78" s="79"/>
      <c r="D78" s="183"/>
      <c r="G78" s="61" t="str">
        <f t="shared" si="10"/>
        <v/>
      </c>
      <c r="H78" s="145" t="str">
        <f>+IF(fieldcreatorv2!E81="texto",fieldcreatorv2!BL81&amp;fieldcreatorv2!BQ81,"")</f>
        <v/>
      </c>
      <c r="I78" s="145" t="str">
        <f t="shared" si="11"/>
        <v/>
      </c>
      <c r="J78" s="61" t="str">
        <f t="shared" si="12"/>
        <v/>
      </c>
      <c r="K78" s="61" t="str">
        <f t="shared" si="5"/>
        <v/>
      </c>
      <c r="L78" s="197" t="str">
        <f t="shared" si="6"/>
        <v/>
      </c>
    </row>
    <row r="79" spans="2:12" ht="15.75" hidden="1">
      <c r="B79" s="183" t="str">
        <f>+IF(fieldcreatorv2!E82="texto",fieldcreatorv2!C82,"")</f>
        <v/>
      </c>
      <c r="C79" s="79"/>
      <c r="D79" s="183"/>
      <c r="G79" s="61" t="str">
        <f t="shared" si="10"/>
        <v/>
      </c>
      <c r="H79" s="145" t="str">
        <f>+IF(fieldcreatorv2!E82="texto",fieldcreatorv2!BL82&amp;fieldcreatorv2!BQ82,"")</f>
        <v/>
      </c>
      <c r="I79" s="145" t="str">
        <f t="shared" si="11"/>
        <v/>
      </c>
      <c r="J79" s="61" t="str">
        <f t="shared" si="12"/>
        <v/>
      </c>
      <c r="K79" s="61" t="str">
        <f t="shared" si="5"/>
        <v/>
      </c>
      <c r="L79" s="197" t="str">
        <f t="shared" si="6"/>
        <v/>
      </c>
    </row>
    <row r="80" spans="2:12" ht="15.75" hidden="1">
      <c r="B80" s="183" t="str">
        <f>+IF(fieldcreatorv2!E83="texto",fieldcreatorv2!C83,"")</f>
        <v/>
      </c>
      <c r="C80" s="79"/>
      <c r="D80" s="183"/>
      <c r="G80" s="61" t="str">
        <f t="shared" si="10"/>
        <v/>
      </c>
      <c r="H80" s="145" t="str">
        <f>+IF(fieldcreatorv2!E83="texto",fieldcreatorv2!BL83&amp;fieldcreatorv2!BQ83,"")</f>
        <v/>
      </c>
      <c r="I80" s="145" t="str">
        <f t="shared" si="11"/>
        <v/>
      </c>
      <c r="J80" s="61" t="str">
        <f t="shared" si="12"/>
        <v/>
      </c>
      <c r="K80" s="61" t="str">
        <f t="shared" si="5"/>
        <v/>
      </c>
      <c r="L80" s="197" t="str">
        <f t="shared" si="6"/>
        <v/>
      </c>
    </row>
    <row r="81" spans="2:12" ht="15.75" hidden="1">
      <c r="B81" s="183" t="str">
        <f>+IF(fieldcreatorv2!E84="texto",fieldcreatorv2!C84,"")</f>
        <v/>
      </c>
      <c r="C81" s="79"/>
      <c r="D81" s="183"/>
      <c r="G81" s="61" t="str">
        <f t="shared" si="10"/>
        <v/>
      </c>
      <c r="H81" s="145" t="str">
        <f>+IF(fieldcreatorv2!E84="texto",fieldcreatorv2!BL84&amp;fieldcreatorv2!BQ84,"")</f>
        <v/>
      </c>
      <c r="I81" s="145" t="str">
        <f t="shared" si="11"/>
        <v/>
      </c>
      <c r="J81" s="61" t="str">
        <f t="shared" si="12"/>
        <v/>
      </c>
      <c r="K81" s="61" t="str">
        <f t="shared" ref="K81:K111" si="13">IF(B81="","",$C$3&amp;B81&amp;$C$4&amp;B81&amp;$C$5)</f>
        <v/>
      </c>
      <c r="L81" s="197" t="str">
        <f t="shared" ref="L81:L111" si="14">+IF(C81="","",IF(C81=$I$2,K81,IF(C81=$I$3,G81,IF(C81=$I$4,J81,5))))</f>
        <v/>
      </c>
    </row>
    <row r="82" spans="2:12" ht="15.75" hidden="1">
      <c r="B82" s="183" t="str">
        <f>+IF(fieldcreatorv2!E85="texto",fieldcreatorv2!C85,"")</f>
        <v/>
      </c>
      <c r="C82" s="79"/>
      <c r="D82" s="183"/>
      <c r="G82" s="61" t="str">
        <f t="shared" si="10"/>
        <v/>
      </c>
      <c r="H82" s="145" t="str">
        <f>+IF(fieldcreatorv2!E85="texto",fieldcreatorv2!BL85&amp;fieldcreatorv2!BQ85,"")</f>
        <v/>
      </c>
      <c r="I82" s="145" t="str">
        <f t="shared" si="11"/>
        <v/>
      </c>
      <c r="J82" s="61" t="str">
        <f t="shared" si="12"/>
        <v/>
      </c>
      <c r="K82" s="61" t="str">
        <f t="shared" si="13"/>
        <v/>
      </c>
      <c r="L82" s="197" t="str">
        <f t="shared" si="14"/>
        <v/>
      </c>
    </row>
    <row r="83" spans="2:12" ht="15.75" hidden="1">
      <c r="B83" s="183" t="str">
        <f>+IF(fieldcreatorv2!E86="texto",fieldcreatorv2!C86,"")</f>
        <v/>
      </c>
      <c r="C83" s="79"/>
      <c r="D83" s="183"/>
      <c r="G83" s="61" t="str">
        <f t="shared" si="10"/>
        <v/>
      </c>
      <c r="H83" s="145" t="str">
        <f>+IF(fieldcreatorv2!E86="texto",fieldcreatorv2!BL86&amp;fieldcreatorv2!BQ86,"")</f>
        <v/>
      </c>
      <c r="I83" s="145" t="str">
        <f t="shared" si="11"/>
        <v/>
      </c>
      <c r="J83" s="61" t="str">
        <f t="shared" si="12"/>
        <v/>
      </c>
      <c r="K83" s="61" t="str">
        <f t="shared" si="13"/>
        <v/>
      </c>
      <c r="L83" s="197" t="str">
        <f t="shared" si="14"/>
        <v/>
      </c>
    </row>
    <row r="84" spans="2:12" ht="15.75" hidden="1">
      <c r="B84" s="183" t="str">
        <f>+IF(fieldcreatorv2!E87="texto",fieldcreatorv2!C87,"")</f>
        <v/>
      </c>
      <c r="C84" s="79"/>
      <c r="D84" s="183"/>
      <c r="G84" s="61" t="str">
        <f t="shared" si="10"/>
        <v/>
      </c>
      <c r="H84" s="145" t="str">
        <f>+IF(fieldcreatorv2!E87="texto",fieldcreatorv2!BL87&amp;fieldcreatorv2!BQ87,"")</f>
        <v/>
      </c>
      <c r="I84" s="145" t="str">
        <f t="shared" si="11"/>
        <v/>
      </c>
      <c r="J84" s="61" t="str">
        <f t="shared" si="12"/>
        <v/>
      </c>
      <c r="K84" s="61" t="str">
        <f t="shared" si="13"/>
        <v/>
      </c>
      <c r="L84" s="197" t="str">
        <f t="shared" si="14"/>
        <v/>
      </c>
    </row>
    <row r="85" spans="2:12" ht="15.75" hidden="1">
      <c r="B85" s="183" t="str">
        <f>+IF(fieldcreatorv2!E88="texto",fieldcreatorv2!C88,"")</f>
        <v/>
      </c>
      <c r="C85" s="79"/>
      <c r="D85" s="183"/>
      <c r="G85" s="61" t="str">
        <f t="shared" si="10"/>
        <v/>
      </c>
      <c r="H85" s="145" t="str">
        <f>+IF(fieldcreatorv2!E88="texto",fieldcreatorv2!BL88&amp;fieldcreatorv2!BQ88,"")</f>
        <v/>
      </c>
      <c r="I85" s="145" t="str">
        <f t="shared" si="11"/>
        <v/>
      </c>
      <c r="J85" s="61" t="str">
        <f t="shared" si="12"/>
        <v/>
      </c>
      <c r="K85" s="61" t="str">
        <f t="shared" si="13"/>
        <v/>
      </c>
      <c r="L85" s="197" t="str">
        <f t="shared" si="14"/>
        <v/>
      </c>
    </row>
    <row r="86" spans="2:12" ht="15.75" hidden="1">
      <c r="B86" s="183" t="str">
        <f>+IF(fieldcreatorv2!E89="texto",fieldcreatorv2!C89,"")</f>
        <v/>
      </c>
      <c r="C86" s="79"/>
      <c r="D86" s="183"/>
      <c r="G86" s="61" t="str">
        <f t="shared" si="10"/>
        <v/>
      </c>
      <c r="H86" s="145" t="str">
        <f>+IF(fieldcreatorv2!E89="texto",fieldcreatorv2!BL89&amp;fieldcreatorv2!BQ89,"")</f>
        <v/>
      </c>
      <c r="I86" s="145" t="str">
        <f t="shared" si="11"/>
        <v/>
      </c>
      <c r="J86" s="61" t="str">
        <f t="shared" si="12"/>
        <v/>
      </c>
      <c r="K86" s="61" t="str">
        <f t="shared" si="13"/>
        <v/>
      </c>
      <c r="L86" s="197" t="str">
        <f t="shared" si="14"/>
        <v/>
      </c>
    </row>
    <row r="87" spans="2:12" ht="15.75" hidden="1">
      <c r="B87" s="183" t="str">
        <f>+IF(fieldcreatorv2!E90="texto",fieldcreatorv2!C90,"")</f>
        <v/>
      </c>
      <c r="C87" s="79"/>
      <c r="D87" s="183"/>
      <c r="G87" s="61" t="str">
        <f t="shared" si="10"/>
        <v/>
      </c>
      <c r="H87" s="145" t="str">
        <f>+IF(fieldcreatorv2!E90="texto",fieldcreatorv2!BL90&amp;fieldcreatorv2!BQ90,"")</f>
        <v/>
      </c>
      <c r="I87" s="145" t="str">
        <f t="shared" si="11"/>
        <v/>
      </c>
      <c r="J87" s="61" t="str">
        <f t="shared" si="12"/>
        <v/>
      </c>
      <c r="K87" s="61" t="str">
        <f t="shared" si="13"/>
        <v/>
      </c>
      <c r="L87" s="197" t="str">
        <f t="shared" si="14"/>
        <v/>
      </c>
    </row>
    <row r="88" spans="2:12" ht="15.75" hidden="1">
      <c r="B88" s="183" t="str">
        <f>+IF(fieldcreatorv2!E91="texto",fieldcreatorv2!C91,"")</f>
        <v/>
      </c>
      <c r="C88" s="79"/>
      <c r="D88" s="183"/>
      <c r="G88" s="61" t="str">
        <f t="shared" si="10"/>
        <v/>
      </c>
      <c r="H88" s="145" t="str">
        <f>+IF(fieldcreatorv2!E91="texto",fieldcreatorv2!BL91&amp;fieldcreatorv2!BQ91,"")</f>
        <v/>
      </c>
      <c r="I88" s="145" t="str">
        <f t="shared" si="11"/>
        <v/>
      </c>
      <c r="J88" s="61" t="str">
        <f t="shared" si="12"/>
        <v/>
      </c>
      <c r="K88" s="61" t="str">
        <f t="shared" si="13"/>
        <v/>
      </c>
      <c r="L88" s="197" t="str">
        <f t="shared" si="14"/>
        <v/>
      </c>
    </row>
    <row r="89" spans="2:12" ht="15.75" hidden="1">
      <c r="B89" s="183" t="str">
        <f>+IF(fieldcreatorv2!E92="texto",fieldcreatorv2!C92,"")</f>
        <v/>
      </c>
      <c r="C89" s="79"/>
      <c r="D89" s="183"/>
      <c r="G89" s="61" t="str">
        <f t="shared" si="10"/>
        <v/>
      </c>
      <c r="H89" s="145" t="str">
        <f>+IF(fieldcreatorv2!E92="texto",fieldcreatorv2!BL92&amp;fieldcreatorv2!BQ92,"")</f>
        <v/>
      </c>
      <c r="I89" s="145" t="str">
        <f t="shared" si="11"/>
        <v/>
      </c>
      <c r="J89" s="61" t="str">
        <f t="shared" si="12"/>
        <v/>
      </c>
      <c r="K89" s="61" t="str">
        <f t="shared" si="13"/>
        <v/>
      </c>
      <c r="L89" s="197" t="str">
        <f t="shared" si="14"/>
        <v/>
      </c>
    </row>
    <row r="90" spans="2:12" ht="15.75" hidden="1">
      <c r="B90" s="183" t="str">
        <f>+IF(fieldcreatorv2!E93="texto",fieldcreatorv2!C93,"")</f>
        <v/>
      </c>
      <c r="C90" s="79"/>
      <c r="D90" s="183"/>
      <c r="G90" s="61" t="str">
        <f t="shared" si="10"/>
        <v/>
      </c>
      <c r="H90" s="145" t="str">
        <f>+IF(fieldcreatorv2!E93="texto",fieldcreatorv2!BL93&amp;fieldcreatorv2!BQ93,"")</f>
        <v/>
      </c>
      <c r="I90" s="145" t="str">
        <f t="shared" si="11"/>
        <v/>
      </c>
      <c r="J90" s="61" t="str">
        <f t="shared" si="12"/>
        <v/>
      </c>
      <c r="K90" s="61" t="str">
        <f t="shared" si="13"/>
        <v/>
      </c>
      <c r="L90" s="197" t="str">
        <f t="shared" si="14"/>
        <v/>
      </c>
    </row>
    <row r="91" spans="2:12" ht="15.75" hidden="1">
      <c r="B91" s="183" t="str">
        <f>+IF(fieldcreatorv2!E94="texto",fieldcreatorv2!C94,"")</f>
        <v/>
      </c>
      <c r="C91" s="79"/>
      <c r="D91" s="183"/>
      <c r="G91" s="61" t="str">
        <f t="shared" si="10"/>
        <v/>
      </c>
      <c r="H91" s="145" t="str">
        <f>+IF(fieldcreatorv2!E94="texto",fieldcreatorv2!BL94&amp;fieldcreatorv2!BQ94,"")</f>
        <v/>
      </c>
      <c r="I91" s="145" t="str">
        <f t="shared" si="11"/>
        <v/>
      </c>
      <c r="J91" s="61" t="str">
        <f t="shared" si="12"/>
        <v/>
      </c>
      <c r="K91" s="61" t="str">
        <f t="shared" si="13"/>
        <v/>
      </c>
      <c r="L91" s="197" t="str">
        <f t="shared" si="14"/>
        <v/>
      </c>
    </row>
    <row r="92" spans="2:12" ht="15.75" hidden="1">
      <c r="B92" s="183" t="str">
        <f>+IF(fieldcreatorv2!E95="texto",fieldcreatorv2!C95,"")</f>
        <v/>
      </c>
      <c r="C92" s="79"/>
      <c r="D92" s="183"/>
      <c r="G92" s="61" t="str">
        <f t="shared" si="10"/>
        <v/>
      </c>
      <c r="H92" s="145" t="str">
        <f>+IF(fieldcreatorv2!E95="texto",fieldcreatorv2!BL95&amp;fieldcreatorv2!BQ95,"")</f>
        <v/>
      </c>
      <c r="I92" s="145" t="str">
        <f t="shared" si="11"/>
        <v/>
      </c>
      <c r="J92" s="61" t="str">
        <f t="shared" si="12"/>
        <v/>
      </c>
      <c r="K92" s="61" t="str">
        <f t="shared" si="13"/>
        <v/>
      </c>
      <c r="L92" s="197" t="str">
        <f t="shared" si="14"/>
        <v/>
      </c>
    </row>
    <row r="93" spans="2:12" ht="15.75" hidden="1">
      <c r="B93" s="183" t="str">
        <f>+IF(fieldcreatorv2!E96="texto",fieldcreatorv2!C96,"")</f>
        <v/>
      </c>
      <c r="C93" s="79"/>
      <c r="D93" s="183"/>
      <c r="G93" s="61" t="str">
        <f t="shared" si="10"/>
        <v/>
      </c>
      <c r="H93" s="145" t="str">
        <f>+IF(fieldcreatorv2!E96="texto",fieldcreatorv2!BL96&amp;fieldcreatorv2!BQ96,"")</f>
        <v/>
      </c>
      <c r="I93" s="145" t="str">
        <f t="shared" si="11"/>
        <v/>
      </c>
      <c r="J93" s="61" t="str">
        <f t="shared" si="12"/>
        <v/>
      </c>
      <c r="K93" s="61" t="str">
        <f t="shared" si="13"/>
        <v/>
      </c>
      <c r="L93" s="197" t="str">
        <f t="shared" si="14"/>
        <v/>
      </c>
    </row>
    <row r="94" spans="2:12" ht="15.75" hidden="1">
      <c r="B94" s="183" t="str">
        <f>+IF(fieldcreatorv2!E97="texto",fieldcreatorv2!C97,"")</f>
        <v/>
      </c>
      <c r="C94" s="79"/>
      <c r="D94" s="183"/>
      <c r="G94" s="61" t="str">
        <f t="shared" si="10"/>
        <v/>
      </c>
      <c r="H94" s="145" t="str">
        <f>+IF(fieldcreatorv2!E97="texto",fieldcreatorv2!BL97&amp;fieldcreatorv2!BQ97,"")</f>
        <v/>
      </c>
      <c r="I94" s="145" t="str">
        <f t="shared" si="11"/>
        <v/>
      </c>
      <c r="J94" s="61" t="str">
        <f t="shared" si="12"/>
        <v/>
      </c>
      <c r="K94" s="61" t="str">
        <f t="shared" si="13"/>
        <v/>
      </c>
      <c r="L94" s="197" t="str">
        <f t="shared" si="14"/>
        <v/>
      </c>
    </row>
    <row r="95" spans="2:12" ht="15.75" hidden="1">
      <c r="B95" s="183" t="str">
        <f>+IF(fieldcreatorv2!E98="texto",fieldcreatorv2!C98,"")</f>
        <v/>
      </c>
      <c r="C95" s="79"/>
      <c r="D95" s="183"/>
      <c r="G95" s="61" t="str">
        <f t="shared" si="10"/>
        <v/>
      </c>
      <c r="H95" s="145" t="str">
        <f>+IF(fieldcreatorv2!E98="texto",fieldcreatorv2!BL98&amp;fieldcreatorv2!BQ98,"")</f>
        <v/>
      </c>
      <c r="I95" s="145" t="str">
        <f t="shared" si="11"/>
        <v/>
      </c>
      <c r="J95" s="61" t="str">
        <f t="shared" si="12"/>
        <v/>
      </c>
      <c r="K95" s="61" t="str">
        <f t="shared" si="13"/>
        <v/>
      </c>
      <c r="L95" s="197" t="str">
        <f t="shared" si="14"/>
        <v/>
      </c>
    </row>
    <row r="96" spans="2:12" ht="15.75" hidden="1">
      <c r="B96" s="183" t="str">
        <f>+IF(fieldcreatorv2!E99="texto",fieldcreatorv2!C99,"")</f>
        <v/>
      </c>
      <c r="C96" s="79"/>
      <c r="D96" s="183"/>
      <c r="G96" s="61" t="str">
        <f t="shared" si="10"/>
        <v/>
      </c>
      <c r="H96" s="145" t="str">
        <f>+IF(fieldcreatorv2!E99="texto",fieldcreatorv2!BL99&amp;fieldcreatorv2!BQ99,"")</f>
        <v/>
      </c>
      <c r="I96" s="145" t="str">
        <f t="shared" si="11"/>
        <v/>
      </c>
      <c r="J96" s="61" t="str">
        <f t="shared" si="12"/>
        <v/>
      </c>
      <c r="K96" s="61" t="str">
        <f t="shared" si="13"/>
        <v/>
      </c>
      <c r="L96" s="197" t="str">
        <f t="shared" si="14"/>
        <v/>
      </c>
    </row>
    <row r="97" spans="2:12" ht="15.75" hidden="1">
      <c r="B97" s="183" t="str">
        <f>+IF(fieldcreatorv2!E100="texto",fieldcreatorv2!C100,"")</f>
        <v/>
      </c>
      <c r="C97" s="79"/>
      <c r="D97" s="183"/>
      <c r="G97" s="61" t="str">
        <f t="shared" si="10"/>
        <v/>
      </c>
      <c r="H97" s="145" t="str">
        <f>+IF(fieldcreatorv2!E100="texto",fieldcreatorv2!BL100&amp;fieldcreatorv2!BQ100,"")</f>
        <v/>
      </c>
      <c r="I97" s="145" t="str">
        <f t="shared" si="11"/>
        <v/>
      </c>
      <c r="J97" s="61" t="str">
        <f t="shared" si="12"/>
        <v/>
      </c>
      <c r="K97" s="61" t="str">
        <f t="shared" si="13"/>
        <v/>
      </c>
      <c r="L97" s="197" t="str">
        <f t="shared" si="14"/>
        <v/>
      </c>
    </row>
    <row r="98" spans="2:12" ht="15.75" hidden="1">
      <c r="B98" s="183" t="str">
        <f>+IF(fieldcreatorv2!E101="texto",fieldcreatorv2!C101,"")</f>
        <v/>
      </c>
      <c r="C98" s="79"/>
      <c r="D98" s="183"/>
      <c r="G98" s="61" t="str">
        <f t="shared" si="10"/>
        <v/>
      </c>
      <c r="H98" s="145" t="str">
        <f>+IF(fieldcreatorv2!E101="texto",fieldcreatorv2!BL101&amp;fieldcreatorv2!BQ101,"")</f>
        <v/>
      </c>
      <c r="I98" s="145" t="str">
        <f t="shared" si="11"/>
        <v/>
      </c>
      <c r="J98" s="61" t="str">
        <f t="shared" si="12"/>
        <v/>
      </c>
      <c r="K98" s="61" t="str">
        <f t="shared" si="13"/>
        <v/>
      </c>
      <c r="L98" s="197" t="str">
        <f t="shared" si="14"/>
        <v/>
      </c>
    </row>
    <row r="99" spans="2:12" ht="15.75" hidden="1">
      <c r="B99" s="183" t="str">
        <f>+IF(fieldcreatorv2!E102="texto",fieldcreatorv2!C102,"")</f>
        <v/>
      </c>
      <c r="C99" s="79"/>
      <c r="D99" s="183"/>
      <c r="G99" s="61" t="str">
        <f t="shared" si="10"/>
        <v/>
      </c>
      <c r="H99" s="145" t="str">
        <f>+IF(fieldcreatorv2!E102="texto",fieldcreatorv2!BL102&amp;fieldcreatorv2!BQ102,"")</f>
        <v/>
      </c>
      <c r="I99" s="145" t="str">
        <f t="shared" si="11"/>
        <v/>
      </c>
      <c r="J99" s="61" t="str">
        <f t="shared" si="12"/>
        <v/>
      </c>
      <c r="K99" s="61" t="str">
        <f t="shared" si="13"/>
        <v/>
      </c>
      <c r="L99" s="197" t="str">
        <f t="shared" si="14"/>
        <v/>
      </c>
    </row>
    <row r="100" spans="2:12" ht="15.75" hidden="1">
      <c r="B100" s="183" t="str">
        <f>+IF(fieldcreatorv2!E103="texto",fieldcreatorv2!C103,"")</f>
        <v/>
      </c>
      <c r="C100" s="79"/>
      <c r="D100" s="183"/>
      <c r="G100" s="61" t="str">
        <f t="shared" si="10"/>
        <v/>
      </c>
      <c r="H100" s="145" t="str">
        <f>+IF(fieldcreatorv2!E103="texto",fieldcreatorv2!BL103&amp;fieldcreatorv2!BQ103,"")</f>
        <v/>
      </c>
      <c r="I100" s="145" t="str">
        <f t="shared" si="11"/>
        <v/>
      </c>
      <c r="J100" s="61" t="str">
        <f t="shared" si="12"/>
        <v/>
      </c>
      <c r="K100" s="61" t="str">
        <f t="shared" si="13"/>
        <v/>
      </c>
      <c r="L100" s="197" t="str">
        <f t="shared" si="14"/>
        <v/>
      </c>
    </row>
    <row r="101" spans="2:12" ht="15.75" hidden="1">
      <c r="B101" s="183" t="str">
        <f>+IF(fieldcreatorv2!E104="texto",fieldcreatorv2!C104,"")</f>
        <v/>
      </c>
      <c r="C101" s="79"/>
      <c r="D101" s="183"/>
      <c r="G101" s="61" t="str">
        <f t="shared" si="10"/>
        <v/>
      </c>
      <c r="H101" s="145" t="str">
        <f>+IF(fieldcreatorv2!E104="texto",fieldcreatorv2!BL104&amp;fieldcreatorv2!BQ104,"")</f>
        <v/>
      </c>
      <c r="I101" s="145" t="str">
        <f t="shared" si="11"/>
        <v/>
      </c>
      <c r="J101" s="61" t="str">
        <f t="shared" si="12"/>
        <v/>
      </c>
      <c r="K101" s="61" t="str">
        <f t="shared" si="13"/>
        <v/>
      </c>
      <c r="L101" s="197" t="str">
        <f t="shared" si="14"/>
        <v/>
      </c>
    </row>
    <row r="102" spans="2:12" ht="15.75" hidden="1">
      <c r="B102" s="183" t="str">
        <f>+IF(fieldcreatorv2!E105="texto",fieldcreatorv2!C105,"")</f>
        <v/>
      </c>
      <c r="C102" s="79"/>
      <c r="D102" s="183"/>
      <c r="G102" s="61" t="str">
        <f t="shared" si="10"/>
        <v/>
      </c>
      <c r="H102" s="145" t="str">
        <f>+IF(fieldcreatorv2!E105="texto",fieldcreatorv2!BL105&amp;fieldcreatorv2!BQ105,"")</f>
        <v/>
      </c>
      <c r="I102" s="145" t="str">
        <f t="shared" si="11"/>
        <v/>
      </c>
      <c r="J102" s="61" t="str">
        <f t="shared" si="12"/>
        <v/>
      </c>
      <c r="K102" s="61" t="str">
        <f t="shared" si="13"/>
        <v/>
      </c>
      <c r="L102" s="197" t="str">
        <f t="shared" si="14"/>
        <v/>
      </c>
    </row>
    <row r="103" spans="2:12" ht="15.75" hidden="1">
      <c r="B103" s="183" t="str">
        <f>+IF(fieldcreatorv2!E106="texto",fieldcreatorv2!C106,"")</f>
        <v/>
      </c>
      <c r="C103" s="79"/>
      <c r="D103" s="183"/>
      <c r="G103" s="61" t="str">
        <f t="shared" si="10"/>
        <v/>
      </c>
      <c r="H103" s="145" t="str">
        <f>+IF(fieldcreatorv2!E106="texto",fieldcreatorv2!BL106&amp;fieldcreatorv2!BQ106,"")</f>
        <v/>
      </c>
      <c r="I103" s="145" t="str">
        <f t="shared" si="11"/>
        <v/>
      </c>
      <c r="J103" s="61" t="str">
        <f t="shared" si="12"/>
        <v/>
      </c>
      <c r="K103" s="61" t="str">
        <f t="shared" si="13"/>
        <v/>
      </c>
      <c r="L103" s="197" t="str">
        <f t="shared" si="14"/>
        <v/>
      </c>
    </row>
    <row r="104" spans="2:12" ht="15.75" hidden="1">
      <c r="B104" s="183" t="str">
        <f>+IF(fieldcreatorv2!E107="texto",fieldcreatorv2!C107,"")</f>
        <v/>
      </c>
      <c r="C104" s="79"/>
      <c r="D104" s="183"/>
      <c r="G104" s="61" t="str">
        <f t="shared" si="10"/>
        <v/>
      </c>
      <c r="H104" s="145" t="str">
        <f>+IF(fieldcreatorv2!E107="texto",fieldcreatorv2!BL107&amp;fieldcreatorv2!BQ107,"")</f>
        <v/>
      </c>
      <c r="I104" s="145" t="str">
        <f t="shared" si="11"/>
        <v/>
      </c>
      <c r="J104" s="61" t="str">
        <f t="shared" si="12"/>
        <v/>
      </c>
      <c r="K104" s="61" t="str">
        <f t="shared" si="13"/>
        <v/>
      </c>
      <c r="L104" s="197" t="str">
        <f t="shared" si="14"/>
        <v/>
      </c>
    </row>
    <row r="105" spans="2:12" ht="15.75" hidden="1">
      <c r="B105" s="183" t="str">
        <f>+IF(fieldcreatorv2!E108="texto",fieldcreatorv2!C108,"")</f>
        <v/>
      </c>
      <c r="C105" s="79"/>
      <c r="D105" s="183"/>
      <c r="G105" s="61" t="str">
        <f t="shared" si="10"/>
        <v/>
      </c>
      <c r="H105" s="145" t="str">
        <f>+IF(fieldcreatorv2!E108="texto",fieldcreatorv2!BL108&amp;fieldcreatorv2!BQ108,"")</f>
        <v/>
      </c>
      <c r="I105" s="145" t="str">
        <f t="shared" si="11"/>
        <v/>
      </c>
      <c r="J105" s="61" t="str">
        <f t="shared" si="12"/>
        <v/>
      </c>
      <c r="K105" s="61" t="str">
        <f t="shared" si="13"/>
        <v/>
      </c>
      <c r="L105" s="197" t="str">
        <f t="shared" si="14"/>
        <v/>
      </c>
    </row>
    <row r="106" spans="2:12" ht="15.75" hidden="1">
      <c r="B106" s="183" t="str">
        <f>+IF(fieldcreatorv2!E109="texto",fieldcreatorv2!C109,"")</f>
        <v/>
      </c>
      <c r="C106" s="79"/>
      <c r="D106" s="183"/>
      <c r="G106" s="61" t="str">
        <f t="shared" si="10"/>
        <v/>
      </c>
      <c r="H106" s="145" t="str">
        <f>+IF(fieldcreatorv2!E109="texto",fieldcreatorv2!BL109&amp;fieldcreatorv2!BQ109,"")</f>
        <v/>
      </c>
      <c r="I106" s="145" t="str">
        <f t="shared" si="11"/>
        <v/>
      </c>
      <c r="J106" s="61" t="str">
        <f t="shared" si="12"/>
        <v/>
      </c>
      <c r="K106" s="61" t="str">
        <f t="shared" si="13"/>
        <v/>
      </c>
      <c r="L106" s="197" t="str">
        <f t="shared" si="14"/>
        <v/>
      </c>
    </row>
    <row r="107" spans="2:12" ht="15.75" hidden="1">
      <c r="B107" s="183" t="str">
        <f>+IF(fieldcreatorv2!E110="texto",fieldcreatorv2!C110,"")</f>
        <v/>
      </c>
      <c r="C107" s="79"/>
      <c r="D107" s="183"/>
      <c r="G107" s="61" t="str">
        <f t="shared" si="10"/>
        <v/>
      </c>
      <c r="H107" s="145" t="str">
        <f>+IF(fieldcreatorv2!E110="texto",fieldcreatorv2!BL110&amp;fieldcreatorv2!BQ110,"")</f>
        <v/>
      </c>
      <c r="I107" s="145" t="str">
        <f t="shared" si="11"/>
        <v/>
      </c>
      <c r="J107" s="61" t="str">
        <f t="shared" si="12"/>
        <v/>
      </c>
      <c r="K107" s="61" t="str">
        <f t="shared" si="13"/>
        <v/>
      </c>
      <c r="L107" s="197" t="str">
        <f t="shared" si="14"/>
        <v/>
      </c>
    </row>
    <row r="108" spans="2:12" ht="15.75" hidden="1">
      <c r="B108" s="183" t="str">
        <f>+IF(fieldcreatorv2!E111="texto",fieldcreatorv2!C111,"")</f>
        <v/>
      </c>
      <c r="C108" s="79"/>
      <c r="D108" s="183"/>
      <c r="G108" s="61" t="str">
        <f t="shared" ref="G108:G111" si="15">IF(B108="","",$A$1&amp;B108&amp;$A$2&amp;B108&amp;$A$3&amp;E108&amp;","&amp;F108&amp;$A$4&amp;B108&amp;$A$5&amp;B108&amp;$A$6&amp;B108&amp;$A$7)</f>
        <v/>
      </c>
      <c r="H108" s="145" t="str">
        <f>+IF(fieldcreatorv2!E111="texto",fieldcreatorv2!BL111&amp;fieldcreatorv2!BQ111,"")</f>
        <v/>
      </c>
      <c r="I108" s="145" t="str">
        <f t="shared" si="11"/>
        <v/>
      </c>
      <c r="J108" s="61" t="str">
        <f t="shared" si="12"/>
        <v/>
      </c>
      <c r="K108" s="61" t="str">
        <f t="shared" si="13"/>
        <v/>
      </c>
      <c r="L108" s="197" t="str">
        <f t="shared" si="14"/>
        <v/>
      </c>
    </row>
    <row r="109" spans="2:12" ht="15.75" hidden="1">
      <c r="B109" s="183" t="str">
        <f>+IF(fieldcreatorv2!E112="texto",fieldcreatorv2!C112,"")</f>
        <v/>
      </c>
      <c r="C109" s="79"/>
      <c r="D109" s="183"/>
      <c r="G109" s="61" t="str">
        <f t="shared" si="15"/>
        <v/>
      </c>
      <c r="H109" s="145" t="str">
        <f>+IF(fieldcreatorv2!E112="texto",fieldcreatorv2!BL112&amp;fieldcreatorv2!BQ112,"")</f>
        <v/>
      </c>
      <c r="I109" s="145" t="str">
        <f t="shared" si="11"/>
        <v/>
      </c>
      <c r="J109" s="61" t="str">
        <f t="shared" si="12"/>
        <v/>
      </c>
      <c r="K109" s="61" t="str">
        <f t="shared" si="13"/>
        <v/>
      </c>
      <c r="L109" s="197" t="str">
        <f t="shared" si="14"/>
        <v/>
      </c>
    </row>
    <row r="110" spans="2:12" ht="15.75" hidden="1">
      <c r="B110" s="183" t="str">
        <f>+IF(fieldcreatorv2!E113="texto",fieldcreatorv2!C113,"")</f>
        <v/>
      </c>
      <c r="C110" s="79"/>
      <c r="D110" s="183"/>
      <c r="G110" s="61" t="str">
        <f t="shared" si="15"/>
        <v/>
      </c>
      <c r="H110" s="145" t="str">
        <f>+IF(fieldcreatorv2!E113="texto",fieldcreatorv2!BL113&amp;fieldcreatorv2!BQ113,"")</f>
        <v/>
      </c>
      <c r="I110" s="145" t="str">
        <f t="shared" si="11"/>
        <v/>
      </c>
      <c r="J110" s="61" t="str">
        <f t="shared" si="12"/>
        <v/>
      </c>
      <c r="K110" s="61" t="str">
        <f t="shared" si="13"/>
        <v/>
      </c>
      <c r="L110" s="197" t="str">
        <f t="shared" si="14"/>
        <v/>
      </c>
    </row>
    <row r="111" spans="2:12" ht="15.75">
      <c r="B111" s="183" t="str">
        <f>+IF(fieldcreatorv2!E114="texto",fieldcreatorv2!C114,"")</f>
        <v/>
      </c>
      <c r="C111" s="79"/>
      <c r="D111" s="183"/>
      <c r="G111" s="61" t="str">
        <f t="shared" si="15"/>
        <v/>
      </c>
      <c r="H111" s="145" t="str">
        <f>+IF(fieldcreatorv2!E114="texto",fieldcreatorv2!BL114&amp;fieldcreatorv2!BQ114,"")</f>
        <v/>
      </c>
      <c r="I111" s="145" t="str">
        <f t="shared" si="11"/>
        <v/>
      </c>
      <c r="J111" s="61" t="str">
        <f t="shared" si="12"/>
        <v/>
      </c>
      <c r="K111" s="61" t="str">
        <f t="shared" si="13"/>
        <v/>
      </c>
      <c r="L111" s="197" t="str">
        <f t="shared" si="14"/>
        <v/>
      </c>
    </row>
    <row r="114" spans="1:1">
      <c r="A114" s="188" t="s">
        <v>827</v>
      </c>
    </row>
    <row r="115" spans="1:1">
      <c r="A115" s="188" t="s">
        <v>814</v>
      </c>
    </row>
    <row r="116" spans="1:1">
      <c r="A116" s="188" t="s">
        <v>815</v>
      </c>
    </row>
    <row r="117" spans="1:1">
      <c r="A117" s="188" t="s">
        <v>825</v>
      </c>
    </row>
    <row r="118" spans="1:1">
      <c r="A118" s="188" t="s">
        <v>826</v>
      </c>
    </row>
    <row r="119" spans="1:1">
      <c r="A119" s="188" t="s">
        <v>833</v>
      </c>
    </row>
    <row r="120" spans="1:1">
      <c r="A120" s="188" t="s">
        <v>831</v>
      </c>
    </row>
    <row r="121" spans="1:1">
      <c r="A121" s="188" t="s">
        <v>816</v>
      </c>
    </row>
    <row r="122" spans="1:1">
      <c r="A122" s="188" t="s">
        <v>832</v>
      </c>
    </row>
    <row r="123" spans="1:1">
      <c r="A123" s="188" t="s">
        <v>817</v>
      </c>
    </row>
    <row r="124" spans="1:1">
      <c r="A124" s="188" t="s">
        <v>813</v>
      </c>
    </row>
    <row r="125" spans="1:1">
      <c r="A125" s="188" t="s">
        <v>96</v>
      </c>
    </row>
    <row r="127" spans="1:1">
      <c r="A127" s="188" t="s">
        <v>837</v>
      </c>
    </row>
    <row r="128" spans="1:1">
      <c r="A128" s="188" t="s">
        <v>838</v>
      </c>
    </row>
    <row r="130" spans="1:5">
      <c r="A130" s="188" t="s">
        <v>967</v>
      </c>
    </row>
    <row r="131" spans="1:5">
      <c r="A131" s="188" t="s">
        <v>969</v>
      </c>
    </row>
    <row r="132" spans="1:5">
      <c r="A132" s="188" t="s">
        <v>970</v>
      </c>
    </row>
    <row r="133" spans="1:5">
      <c r="A133" s="188" t="s">
        <v>971</v>
      </c>
    </row>
    <row r="134" spans="1:5">
      <c r="A134" s="188" t="s">
        <v>973</v>
      </c>
    </row>
    <row r="135" spans="1:5">
      <c r="A135" s="188" t="s">
        <v>972</v>
      </c>
    </row>
    <row r="136" spans="1:5">
      <c r="A136" s="188" t="s">
        <v>979</v>
      </c>
    </row>
    <row r="137" spans="1:5">
      <c r="A137" s="188" t="s">
        <v>974</v>
      </c>
    </row>
    <row r="138" spans="1:5">
      <c r="A138" s="188" t="s">
        <v>968</v>
      </c>
    </row>
    <row r="140" spans="1:5">
      <c r="A140" s="188" t="s">
        <v>994</v>
      </c>
    </row>
    <row r="141" spans="1:5">
      <c r="A141" s="188" t="s">
        <v>980</v>
      </c>
      <c r="E141" s="39" t="s">
        <v>995</v>
      </c>
    </row>
    <row r="142" spans="1:5">
      <c r="A142" s="188" t="s">
        <v>981</v>
      </c>
    </row>
    <row r="143" spans="1:5">
      <c r="A143" s="188" t="s">
        <v>982</v>
      </c>
    </row>
    <row r="144" spans="1:5">
      <c r="A144" s="188" t="s">
        <v>983</v>
      </c>
    </row>
    <row r="145" spans="1:1">
      <c r="A145" s="188" t="s">
        <v>984</v>
      </c>
    </row>
    <row r="146" spans="1:1">
      <c r="A146" s="188" t="s">
        <v>985</v>
      </c>
    </row>
    <row r="147" spans="1:1">
      <c r="A147" s="188" t="s">
        <v>986</v>
      </c>
    </row>
    <row r="148" spans="1:1">
      <c r="A148" s="188" t="s">
        <v>987</v>
      </c>
    </row>
    <row r="149" spans="1:1">
      <c r="A149" s="188" t="s">
        <v>988</v>
      </c>
    </row>
    <row r="150" spans="1:1">
      <c r="A150" s="188" t="s">
        <v>989</v>
      </c>
    </row>
    <row r="151" spans="1:1">
      <c r="A151" s="188" t="s">
        <v>990</v>
      </c>
    </row>
    <row r="152" spans="1:1">
      <c r="A152" s="188" t="s">
        <v>991</v>
      </c>
    </row>
    <row r="153" spans="1:1">
      <c r="A153" s="188" t="s">
        <v>992</v>
      </c>
    </row>
    <row r="154" spans="1:1">
      <c r="A154" s="188" t="s">
        <v>993</v>
      </c>
    </row>
    <row r="155" spans="1:1">
      <c r="A155" s="188" t="s">
        <v>106</v>
      </c>
    </row>
    <row r="156" spans="1:1">
      <c r="A156" s="188" t="s">
        <v>96</v>
      </c>
    </row>
    <row r="159" spans="1:1">
      <c r="A159" s="188" t="s">
        <v>893</v>
      </c>
    </row>
    <row r="160" spans="1:1">
      <c r="A160" s="188" t="s">
        <v>1009</v>
      </c>
    </row>
    <row r="161" spans="1:1">
      <c r="A161" s="188" t="s">
        <v>1019</v>
      </c>
    </row>
    <row r="162" spans="1:1">
      <c r="A162" s="188" t="s">
        <v>1010</v>
      </c>
    </row>
    <row r="163" spans="1:1">
      <c r="A163" s="188" t="s">
        <v>1011</v>
      </c>
    </row>
    <row r="164" spans="1:1">
      <c r="A164" s="188" t="s">
        <v>1012</v>
      </c>
    </row>
    <row r="165" spans="1:1">
      <c r="A165" s="188" t="s">
        <v>1013</v>
      </c>
    </row>
    <row r="166" spans="1:1">
      <c r="A166" s="188" t="s">
        <v>1014</v>
      </c>
    </row>
    <row r="167" spans="1:1">
      <c r="A167" s="188" t="s">
        <v>1015</v>
      </c>
    </row>
    <row r="168" spans="1:1">
      <c r="A168" s="188" t="s">
        <v>1016</v>
      </c>
    </row>
    <row r="169" spans="1:1">
      <c r="A169" s="188" t="s">
        <v>1017</v>
      </c>
    </row>
    <row r="170" spans="1:1">
      <c r="A170" s="188" t="s">
        <v>1018</v>
      </c>
    </row>
    <row r="171" spans="1:1">
      <c r="A171" s="188" t="s">
        <v>96</v>
      </c>
    </row>
    <row r="178" spans="1:4">
      <c r="D178" s="125"/>
    </row>
    <row r="186" spans="1:4">
      <c r="A186" s="189" t="s">
        <v>834</v>
      </c>
    </row>
    <row r="187" spans="1:4">
      <c r="A187" s="12" t="str">
        <f>+H23&amp;I23</f>
        <v/>
      </c>
    </row>
    <row r="188" spans="1:4">
      <c r="A188" s="12" t="str">
        <f>+H24&amp;I24</f>
        <v/>
      </c>
    </row>
    <row r="189" spans="1:4">
      <c r="A189" s="189" t="s">
        <v>834</v>
      </c>
    </row>
    <row r="190" spans="1:4">
      <c r="A190" s="12" t="str">
        <f>+G23</f>
        <v/>
      </c>
    </row>
    <row r="191" spans="1:4">
      <c r="A191" s="12" t="str">
        <f>+G24</f>
        <v/>
      </c>
    </row>
  </sheetData>
  <dataValidations count="1">
    <dataValidation type="list" allowBlank="1" showInputMessage="1" showErrorMessage="1" sqref="C12:C111">
      <formula1>$I$2:$I$7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O66"/>
  <sheetViews>
    <sheetView topLeftCell="A11" zoomScale="90" zoomScaleNormal="90" workbookViewId="0">
      <selection activeCell="A11" sqref="A11"/>
    </sheetView>
  </sheetViews>
  <sheetFormatPr baseColWidth="10" defaultRowHeight="15"/>
  <cols>
    <col min="1" max="16384" width="11.42578125" style="12"/>
  </cols>
  <sheetData>
    <row r="1" spans="1:9" s="183" customFormat="1" hidden="1">
      <c r="A1" s="186" t="s">
        <v>763</v>
      </c>
      <c r="B1" s="186" t="s">
        <v>762</v>
      </c>
      <c r="C1" s="116" t="str">
        <f>$B$8&amp;B7&amp;B9&amp;A2&amp;B10</f>
        <v>if ($profile=="king"</v>
      </c>
    </row>
    <row r="2" spans="1:9" s="183" customFormat="1" hidden="1">
      <c r="A2" s="185" t="s">
        <v>749</v>
      </c>
      <c r="B2" s="185" t="s">
        <v>38</v>
      </c>
      <c r="C2" s="116" t="str">
        <f>C1&amp;"||"&amp;$B$7&amp;$B$9&amp;A3&amp;$B$10</f>
        <v>if ($profile=="king"||$profile=="queen"</v>
      </c>
    </row>
    <row r="3" spans="1:9" s="183" customFormat="1" ht="15.75" hidden="1" thickBot="1">
      <c r="A3" s="185" t="s">
        <v>761</v>
      </c>
      <c r="B3" s="184" t="s">
        <v>398</v>
      </c>
      <c r="C3" s="116" t="str">
        <f>+C2&amp;"||"&amp;$B$7&amp;$B$9&amp;A4&amp;$B$10</f>
        <v>if ($profile=="king"||$profile=="queen"||$profile=="rook"</v>
      </c>
    </row>
    <row r="4" spans="1:9" s="183" customFormat="1" hidden="1">
      <c r="A4" s="185" t="s">
        <v>760</v>
      </c>
      <c r="B4" s="116" t="s">
        <v>110</v>
      </c>
      <c r="C4" s="116" t="str">
        <f>+C3&amp;"||"&amp;$B$7&amp;$B$9&amp;A5&amp;$B$10</f>
        <v>if ($profile=="king"||$profile=="queen"||$profile=="rook"||$profile=="bishop"</v>
      </c>
    </row>
    <row r="5" spans="1:9" s="183" customFormat="1" hidden="1">
      <c r="A5" s="185" t="s">
        <v>759</v>
      </c>
      <c r="B5" s="116" t="s">
        <v>192</v>
      </c>
      <c r="C5" s="116" t="s">
        <v>758</v>
      </c>
    </row>
    <row r="6" spans="1:9" s="183" customFormat="1" hidden="1">
      <c r="A6" s="185" t="s">
        <v>757</v>
      </c>
      <c r="B6" s="116" t="s">
        <v>756</v>
      </c>
      <c r="C6" s="116" t="s">
        <v>755</v>
      </c>
    </row>
    <row r="7" spans="1:9" s="183" customFormat="1" ht="15.75" hidden="1" thickBot="1">
      <c r="A7" s="184" t="s">
        <v>754</v>
      </c>
      <c r="B7" s="116" t="s">
        <v>753</v>
      </c>
    </row>
    <row r="8" spans="1:9" s="183" customFormat="1" hidden="1">
      <c r="A8" s="116" t="s">
        <v>435</v>
      </c>
      <c r="B8" s="116" t="s">
        <v>29</v>
      </c>
    </row>
    <row r="9" spans="1:9" s="183" customFormat="1" hidden="1">
      <c r="A9" s="116" t="s">
        <v>410</v>
      </c>
      <c r="B9" s="123" t="s">
        <v>752</v>
      </c>
    </row>
    <row r="10" spans="1:9" s="183" customFormat="1" hidden="1">
      <c r="A10" s="116" t="s">
        <v>108</v>
      </c>
      <c r="B10" s="116" t="s">
        <v>65</v>
      </c>
    </row>
    <row r="12" spans="1:9" ht="23.25">
      <c r="B12" s="182" t="s">
        <v>751</v>
      </c>
    </row>
    <row r="14" spans="1:9" ht="15.75" thickBot="1">
      <c r="B14" s="12" t="s">
        <v>750</v>
      </c>
      <c r="D14" s="12" t="s">
        <v>713</v>
      </c>
      <c r="F14" s="12" t="s">
        <v>711</v>
      </c>
      <c r="H14" s="12" t="s">
        <v>120</v>
      </c>
    </row>
    <row r="15" spans="1:9" ht="15.75" thickBot="1">
      <c r="B15" s="181" t="s">
        <v>759</v>
      </c>
      <c r="D15" s="181" t="str">
        <f>+fieldcreatorv2!L23</f>
        <v>healmy5</v>
      </c>
      <c r="F15" s="181" t="str">
        <f>+fieldcreatorv2!L17</f>
        <v>healmy5_pray</v>
      </c>
      <c r="H15" s="181" t="s">
        <v>361</v>
      </c>
      <c r="I15" s="12" t="s">
        <v>748</v>
      </c>
    </row>
    <row r="17" spans="2:7" ht="15.75" thickBot="1">
      <c r="B17" s="12" t="s">
        <v>747</v>
      </c>
    </row>
    <row r="18" spans="2:7" ht="15.75" thickBot="1">
      <c r="B18" s="266" t="str">
        <f ca="1">+fieldcreatorv2!J15</f>
        <v>$_SESSION["standard141509_Virgin_Mary_user"]</v>
      </c>
      <c r="C18" s="267"/>
      <c r="D18" s="267"/>
      <c r="E18" s="268"/>
    </row>
    <row r="20" spans="2:7" hidden="1">
      <c r="B20" s="180" t="s">
        <v>486</v>
      </c>
    </row>
    <row r="21" spans="2:7" hidden="1">
      <c r="B21" s="180" t="str">
        <f>+A8&amp;IF(D15=B2,"root',''",IF(D15=B3,"healmy5','jatter'",""))&amp;A9</f>
        <v>$con = mysql_connect('localhost', 'healmy5','jatter');  if (!$con)  {die('Could not connect: ' . mysql_error());}</v>
      </c>
    </row>
    <row r="22" spans="2:7" hidden="1">
      <c r="B22" s="180" t="str">
        <f>+A10&amp;F15&amp;B4</f>
        <v>mysql_select_db("healmy5_pray", $con);</v>
      </c>
    </row>
    <row r="23" spans="2:7" hidden="1">
      <c r="B23" s="180" t="str">
        <f ca="1">+"$user="&amp;B18&amp;";"</f>
        <v>$user=$_SESSION["standard141509_Virgin_Mary_user"];</v>
      </c>
    </row>
    <row r="24" spans="2:7" hidden="1">
      <c r="B24" s="180" t="str">
        <f>+B5&amp;H15&amp;B6</f>
        <v>$result = mysql_query("SELECT * FROM session WHERE email='$user'");</v>
      </c>
    </row>
    <row r="25" spans="2:7" hidden="1">
      <c r="B25" s="180" t="s">
        <v>478</v>
      </c>
    </row>
    <row r="26" spans="2:7" hidden="1">
      <c r="B26" s="180" t="s">
        <v>746</v>
      </c>
    </row>
    <row r="27" spans="2:7">
      <c r="B27" s="55" t="str">
        <f>IF(OR(B15=A2,B15=A7),"",IF(B15=A3,C1,IF(B15=A4,C2,IF(B15=A5,C3,IF(B15=A6,C4,0))))&amp;") "&amp;B7&amp;"="&amp;B10&amp;B15&amp;B10&amp;";")</f>
        <v>if ($profile=="king"||$profile=="queen"||$profile=="rook") $profile="bishop";</v>
      </c>
    </row>
    <row r="28" spans="2:7">
      <c r="B28" s="55" t="str">
        <f>IF(B15=A7,"",B8&amp;B7&amp;C5&amp;B10&amp;B15&amp;B10&amp;") "&amp;C6)</f>
        <v>if ($profile!="bishop") header ("Location: admin.php");}</v>
      </c>
      <c r="G28" s="12" t="s">
        <v>745</v>
      </c>
    </row>
    <row r="29" spans="2:7">
      <c r="B29" s="55" t="s">
        <v>744</v>
      </c>
      <c r="G29" s="12" t="s">
        <v>743</v>
      </c>
    </row>
    <row r="30" spans="2:7">
      <c r="B30" s="13" t="s">
        <v>742</v>
      </c>
    </row>
    <row r="33" spans="2:15">
      <c r="B33" s="12" t="s">
        <v>741</v>
      </c>
      <c r="N33" s="12" t="s">
        <v>740</v>
      </c>
      <c r="O33" s="12" t="s">
        <v>739</v>
      </c>
    </row>
    <row r="34" spans="2:15">
      <c r="B34" s="12" t="s">
        <v>738</v>
      </c>
      <c r="M34" s="12" t="s">
        <v>737</v>
      </c>
      <c r="N34" s="12" t="s">
        <v>736</v>
      </c>
      <c r="O34" s="12" t="s">
        <v>735</v>
      </c>
    </row>
    <row r="35" spans="2:15">
      <c r="M35" s="12" t="s">
        <v>734</v>
      </c>
      <c r="N35" s="12" t="s">
        <v>733</v>
      </c>
      <c r="O35" s="12" t="s">
        <v>732</v>
      </c>
    </row>
    <row r="36" spans="2:15">
      <c r="B36" s="12" t="s">
        <v>764</v>
      </c>
      <c r="M36" s="12" t="s">
        <v>731</v>
      </c>
    </row>
    <row r="37" spans="2:15">
      <c r="B37" s="12" t="s">
        <v>765</v>
      </c>
      <c r="M37" s="12" t="s">
        <v>730</v>
      </c>
    </row>
    <row r="38" spans="2:15">
      <c r="B38" s="12" t="s">
        <v>766</v>
      </c>
    </row>
    <row r="40" spans="2:15">
      <c r="B40" s="12" t="s">
        <v>767</v>
      </c>
    </row>
    <row r="41" spans="2:15">
      <c r="B41" s="12" t="s">
        <v>785</v>
      </c>
    </row>
    <row r="42" spans="2:15">
      <c r="B42" s="12" t="s">
        <v>784</v>
      </c>
    </row>
    <row r="43" spans="2:15">
      <c r="B43" s="12" t="s">
        <v>768</v>
      </c>
    </row>
    <row r="44" spans="2:15">
      <c r="B44" s="39" t="s">
        <v>769</v>
      </c>
      <c r="C44" s="39"/>
      <c r="D44" s="39"/>
      <c r="E44" s="39"/>
      <c r="F44" s="39"/>
      <c r="G44" s="39"/>
      <c r="H44" s="39"/>
      <c r="I44" s="39"/>
      <c r="J44" s="12" t="s">
        <v>786</v>
      </c>
    </row>
    <row r="45" spans="2:15">
      <c r="B45" s="39" t="s">
        <v>770</v>
      </c>
      <c r="C45" s="39"/>
      <c r="D45" s="39"/>
      <c r="E45" s="39"/>
      <c r="F45" s="39"/>
      <c r="G45" s="39"/>
      <c r="H45" s="39"/>
      <c r="I45" s="39"/>
      <c r="J45" s="12" t="s">
        <v>787</v>
      </c>
    </row>
    <row r="46" spans="2:15">
      <c r="B46" s="39" t="s">
        <v>771</v>
      </c>
      <c r="C46" s="39"/>
      <c r="D46" s="39"/>
      <c r="E46" s="39"/>
      <c r="F46" s="39"/>
      <c r="G46" s="39"/>
      <c r="H46" s="39"/>
      <c r="I46" s="39"/>
    </row>
    <row r="47" spans="2:15">
      <c r="B47" s="39" t="s">
        <v>772</v>
      </c>
      <c r="C47" s="39"/>
      <c r="D47" s="39"/>
      <c r="E47" s="39"/>
      <c r="F47" s="39"/>
      <c r="G47" s="39"/>
      <c r="H47" s="39"/>
      <c r="I47" s="39"/>
    </row>
    <row r="48" spans="2:15">
      <c r="B48" s="39" t="s">
        <v>773</v>
      </c>
      <c r="C48" s="39"/>
      <c r="D48" s="39"/>
      <c r="E48" s="39"/>
      <c r="F48" s="39"/>
      <c r="G48" s="39"/>
      <c r="H48" s="39"/>
      <c r="I48" s="39"/>
    </row>
    <row r="49" spans="2:10">
      <c r="B49" s="39" t="s">
        <v>478</v>
      </c>
      <c r="C49" s="39"/>
      <c r="D49" s="39"/>
      <c r="E49" s="39"/>
      <c r="F49" s="39"/>
      <c r="G49" s="39"/>
      <c r="H49" s="39"/>
      <c r="I49" s="39"/>
    </row>
    <row r="51" spans="2:10">
      <c r="B51" s="55" t="s">
        <v>774</v>
      </c>
      <c r="C51" s="55"/>
      <c r="D51" s="55"/>
      <c r="E51" s="55"/>
      <c r="F51" s="55"/>
      <c r="G51" s="55"/>
      <c r="H51" s="55"/>
      <c r="I51" s="55"/>
      <c r="J51" s="12" t="s">
        <v>788</v>
      </c>
    </row>
    <row r="52" spans="2:10">
      <c r="B52" s="55" t="s">
        <v>775</v>
      </c>
      <c r="C52" s="55"/>
      <c r="D52" s="55"/>
      <c r="E52" s="55"/>
      <c r="F52" s="55"/>
      <c r="G52" s="55"/>
      <c r="H52" s="55"/>
      <c r="I52" s="55"/>
      <c r="J52" s="12" t="s">
        <v>789</v>
      </c>
    </row>
    <row r="53" spans="2:10">
      <c r="B53" s="55"/>
      <c r="C53" s="55"/>
      <c r="D53" s="55"/>
      <c r="E53" s="55"/>
      <c r="F53" s="55"/>
      <c r="G53" s="55"/>
      <c r="H53" s="55"/>
      <c r="I53" s="55"/>
    </row>
    <row r="54" spans="2:10">
      <c r="B54" s="55" t="s">
        <v>776</v>
      </c>
      <c r="C54" s="55"/>
      <c r="D54" s="55"/>
      <c r="E54" s="55"/>
      <c r="F54" s="55"/>
      <c r="G54" s="55"/>
      <c r="H54" s="55"/>
      <c r="I54" s="55"/>
    </row>
    <row r="55" spans="2:10">
      <c r="B55" s="187" t="s">
        <v>777</v>
      </c>
      <c r="C55" s="187"/>
      <c r="D55" s="187"/>
      <c r="E55" s="187"/>
      <c r="F55" s="187"/>
      <c r="G55" s="187"/>
      <c r="H55" s="187"/>
      <c r="I55" s="187"/>
      <c r="J55" s="12" t="s">
        <v>788</v>
      </c>
    </row>
    <row r="56" spans="2:10">
      <c r="B56" s="187" t="s">
        <v>778</v>
      </c>
      <c r="C56" s="187"/>
      <c r="D56" s="187"/>
      <c r="E56" s="187"/>
      <c r="F56" s="187"/>
      <c r="G56" s="187"/>
      <c r="H56" s="187"/>
      <c r="I56" s="187"/>
      <c r="J56" s="12" t="s">
        <v>790</v>
      </c>
    </row>
    <row r="57" spans="2:10">
      <c r="B57" s="187" t="s">
        <v>776</v>
      </c>
      <c r="C57" s="187"/>
      <c r="D57" s="187"/>
      <c r="E57" s="187"/>
      <c r="F57" s="187"/>
      <c r="G57" s="187"/>
      <c r="H57" s="187"/>
      <c r="I57" s="187"/>
    </row>
    <row r="58" spans="2:10">
      <c r="B58" s="55" t="s">
        <v>779</v>
      </c>
      <c r="C58" s="55"/>
      <c r="D58" s="55"/>
      <c r="E58" s="55"/>
      <c r="F58" s="55"/>
      <c r="G58" s="55"/>
      <c r="H58" s="55"/>
      <c r="I58" s="55"/>
      <c r="J58" s="12" t="s">
        <v>788</v>
      </c>
    </row>
    <row r="59" spans="2:10">
      <c r="B59" s="55" t="s">
        <v>780</v>
      </c>
      <c r="C59" s="55"/>
      <c r="D59" s="55"/>
      <c r="E59" s="55"/>
      <c r="F59" s="55"/>
      <c r="G59" s="55"/>
      <c r="H59" s="55"/>
      <c r="I59" s="55"/>
      <c r="J59" s="12" t="s">
        <v>791</v>
      </c>
    </row>
    <row r="60" spans="2:10">
      <c r="B60" s="55" t="s">
        <v>776</v>
      </c>
      <c r="C60" s="55"/>
      <c r="D60" s="55"/>
      <c r="E60" s="55"/>
      <c r="F60" s="55"/>
      <c r="G60" s="55"/>
      <c r="H60" s="55"/>
      <c r="I60" s="55"/>
    </row>
    <row r="61" spans="2:10">
      <c r="B61" s="187" t="s">
        <v>792</v>
      </c>
      <c r="C61" s="187"/>
      <c r="D61" s="187"/>
      <c r="E61" s="187"/>
      <c r="F61" s="187"/>
      <c r="G61" s="187"/>
      <c r="H61" s="187"/>
      <c r="I61" s="187"/>
      <c r="J61" s="12" t="s">
        <v>788</v>
      </c>
    </row>
    <row r="62" spans="2:10">
      <c r="B62" s="187" t="s">
        <v>781</v>
      </c>
      <c r="C62" s="187"/>
      <c r="D62" s="187"/>
      <c r="E62" s="187"/>
      <c r="F62" s="187"/>
      <c r="G62" s="187"/>
      <c r="H62" s="187"/>
      <c r="I62" s="187"/>
      <c r="J62" s="12" t="s">
        <v>793</v>
      </c>
    </row>
    <row r="63" spans="2:10">
      <c r="B63" s="187" t="s">
        <v>776</v>
      </c>
      <c r="C63" s="187"/>
      <c r="D63" s="187"/>
      <c r="E63" s="187"/>
      <c r="F63" s="187"/>
      <c r="G63" s="187"/>
      <c r="H63" s="187"/>
      <c r="I63" s="187"/>
    </row>
    <row r="64" spans="2:10">
      <c r="B64" s="55" t="s">
        <v>107</v>
      </c>
      <c r="C64" s="55"/>
      <c r="D64" s="55"/>
      <c r="E64" s="55"/>
      <c r="F64" s="55"/>
      <c r="G64" s="55"/>
      <c r="H64" s="55"/>
      <c r="I64" s="55"/>
    </row>
    <row r="65" spans="2:10">
      <c r="B65" s="12" t="s">
        <v>782</v>
      </c>
      <c r="J65" s="12" t="s">
        <v>794</v>
      </c>
    </row>
    <row r="66" spans="2:10">
      <c r="B66" s="12" t="s">
        <v>783</v>
      </c>
      <c r="J66" s="12" t="s">
        <v>795</v>
      </c>
    </row>
  </sheetData>
  <mergeCells count="1">
    <mergeCell ref="B18:E18"/>
  </mergeCells>
  <dataValidations count="2">
    <dataValidation type="list" allowBlank="1" showInputMessage="1" showErrorMessage="1" sqref="B15">
      <formula1>$A$2:$A$7</formula1>
    </dataValidation>
    <dataValidation type="list" allowBlank="1" showInputMessage="1" showErrorMessage="1" sqref="D15">
      <formula1>$B$2:$B$3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filterMode="1"/>
  <dimension ref="A1:S205"/>
  <sheetViews>
    <sheetView topLeftCell="A7" zoomScale="87" zoomScaleNormal="87" workbookViewId="0">
      <selection activeCell="C12" sqref="C12"/>
    </sheetView>
  </sheetViews>
  <sheetFormatPr baseColWidth="10" defaultRowHeight="15"/>
  <cols>
    <col min="1" max="1" width="4.7109375" style="12" customWidth="1"/>
    <col min="2" max="2" width="25.140625" style="12" customWidth="1"/>
    <col min="3" max="3" width="10.42578125" style="12" customWidth="1"/>
    <col min="4" max="4" width="25.28515625" style="12" customWidth="1"/>
    <col min="5" max="5" width="5.42578125" style="12" customWidth="1"/>
    <col min="6" max="9" width="11.42578125" style="12"/>
    <col min="10" max="10" width="16.28515625" style="12" customWidth="1"/>
    <col min="11" max="11" width="11.42578125" style="12"/>
    <col min="12" max="12" width="20.85546875" style="12" customWidth="1"/>
    <col min="13" max="14" width="11.42578125" style="12"/>
    <col min="15" max="15" width="3.7109375" style="12" customWidth="1"/>
    <col min="16" max="17" width="15.5703125" style="12" customWidth="1"/>
    <col min="18" max="16384" width="11.42578125" style="12"/>
  </cols>
  <sheetData>
    <row r="1" spans="1:19" s="192" customFormat="1" hidden="1">
      <c r="A1" s="61" t="s">
        <v>799</v>
      </c>
      <c r="B1" s="61" t="s">
        <v>810</v>
      </c>
      <c r="C1" s="61" t="s">
        <v>901</v>
      </c>
      <c r="D1" s="61" t="s">
        <v>907</v>
      </c>
      <c r="H1" s="192" t="s">
        <v>888</v>
      </c>
      <c r="J1" s="192" t="s">
        <v>962</v>
      </c>
    </row>
    <row r="2" spans="1:19" s="192" customFormat="1" hidden="1">
      <c r="A2" s="61" t="s">
        <v>301</v>
      </c>
      <c r="B2" s="61" t="s">
        <v>897</v>
      </c>
      <c r="C2" s="122" t="s">
        <v>902</v>
      </c>
      <c r="D2" s="122" t="s">
        <v>965</v>
      </c>
      <c r="H2" s="6" t="s">
        <v>798</v>
      </c>
      <c r="J2" s="192" t="str">
        <f>+$B$6&amp;B13&amp;$B$1&amp;$D$2&amp;B13&amp;$C$4&amp;$D$3&amp;$B$2&amp;B13&amp;$B$3&amp;E13&amp;$B$4&amp;B13&amp;$B$5</f>
        <v>if ($("#").val()=="") {var ="";} else var = ":  "+ $("#").val();</v>
      </c>
    </row>
    <row r="3" spans="1:19" s="192" customFormat="1" hidden="1">
      <c r="A3" s="61" t="s">
        <v>800</v>
      </c>
      <c r="B3" s="122" t="s">
        <v>898</v>
      </c>
      <c r="C3" s="61" t="s">
        <v>903</v>
      </c>
      <c r="D3" s="61" t="s">
        <v>966</v>
      </c>
      <c r="H3" s="6" t="s">
        <v>48</v>
      </c>
    </row>
    <row r="4" spans="1:19" s="192" customFormat="1" hidden="1">
      <c r="A4" s="61" t="s">
        <v>806</v>
      </c>
      <c r="B4" s="61" t="s">
        <v>899</v>
      </c>
      <c r="C4" s="122" t="s">
        <v>904</v>
      </c>
    </row>
    <row r="5" spans="1:19" s="192" customFormat="1" hidden="1">
      <c r="A5" s="61" t="s">
        <v>890</v>
      </c>
      <c r="B5" s="61" t="s">
        <v>167</v>
      </c>
      <c r="C5" s="61" t="s">
        <v>905</v>
      </c>
      <c r="I5" s="192" t="s">
        <v>962</v>
      </c>
    </row>
    <row r="6" spans="1:19" s="192" customFormat="1" hidden="1">
      <c r="A6" s="122" t="s">
        <v>809</v>
      </c>
      <c r="B6" s="61" t="s">
        <v>900</v>
      </c>
      <c r="C6" s="122" t="s">
        <v>906</v>
      </c>
      <c r="L6" s="192" t="str">
        <f>+I13</f>
        <v/>
      </c>
    </row>
    <row r="8" spans="1:19">
      <c r="B8" s="12" t="s">
        <v>797</v>
      </c>
      <c r="C8" s="12" t="s">
        <v>1120</v>
      </c>
      <c r="D8" s="12" t="s">
        <v>963</v>
      </c>
      <c r="E8" s="12" t="s">
        <v>964</v>
      </c>
      <c r="F8" s="12" t="s">
        <v>896</v>
      </c>
      <c r="G8" s="12" t="s">
        <v>892</v>
      </c>
      <c r="H8" s="12" t="s">
        <v>889</v>
      </c>
      <c r="I8" s="12" t="s">
        <v>908</v>
      </c>
      <c r="J8" s="12" t="s">
        <v>804</v>
      </c>
      <c r="L8" s="12" t="s">
        <v>803</v>
      </c>
      <c r="M8" s="12" t="s">
        <v>807</v>
      </c>
      <c r="N8" s="12">
        <v>0</v>
      </c>
      <c r="O8" s="12" t="s">
        <v>808</v>
      </c>
      <c r="P8" s="12" t="s">
        <v>895</v>
      </c>
      <c r="Q8" s="12" t="s">
        <v>137</v>
      </c>
      <c r="R8" s="12" t="s">
        <v>891</v>
      </c>
      <c r="S8" s="12" t="s">
        <v>136</v>
      </c>
    </row>
    <row r="9" spans="1:19">
      <c r="A9" s="12">
        <v>1</v>
      </c>
      <c r="B9" s="12" t="str">
        <f>IF(fieldcreatorv2!BX15&lt;&gt;"",fieldcreatorv2!BX15,"")</f>
        <v>user</v>
      </c>
      <c r="C9" s="220" t="s">
        <v>798</v>
      </c>
      <c r="D9" s="216"/>
      <c r="E9" s="6" t="str">
        <f t="shared" ref="E9:E12" si="0">+IF(D9&lt;&gt;"",D9,B9)</f>
        <v>user</v>
      </c>
      <c r="F9" s="12">
        <f>+IF(fieldcreatorv2!I15="si",1,0)</f>
        <v>0</v>
      </c>
      <c r="G9" s="12" t="str">
        <f>IF(fieldcreatorv2!E15="","",fieldcreatorv2!E15)</f>
        <v>session</v>
      </c>
      <c r="H9" s="12">
        <v>1</v>
      </c>
      <c r="I9" s="61" t="str">
        <f t="shared" ref="I9:I40" si="1">IF(C9="yes",P9&amp;Q9&amp;R9&amp;S9,"")</f>
        <v/>
      </c>
      <c r="J9" s="61" t="str">
        <f t="shared" ref="J9:J40" si="2">IF(C9="yes",O9&amp;B9,"")</f>
        <v>user</v>
      </c>
      <c r="L9" s="12" t="str">
        <f t="shared" ref="L9:L17" si="3">IF(AND(B9&lt;&gt;"",C9="yes"),IF(O9="+",";","")&amp;$A$2&amp;B9&amp;$A$3,"")</f>
        <v>$("#user").change(function(){summary()})</v>
      </c>
      <c r="M9" s="61">
        <f>+IF(AND(B9&lt;&gt;"",C9="yes"),1,0)</f>
        <v>1</v>
      </c>
      <c r="N9" s="61">
        <f>+M9+N8</f>
        <v>1</v>
      </c>
      <c r="O9" s="61" t="str">
        <f t="shared" ref="O9:O40" si="4">+IF(AND(B9&lt;&gt;"",C9&lt;&gt;""),IF(N9&gt;1,"+",""),"")</f>
        <v/>
      </c>
      <c r="P9" s="12" t="str">
        <f t="shared" ref="P9:P12" si="5">+IF(OR(G9="texto",G9="bigtext"),IF(F9=1,$B$6&amp;B9&amp;$C$1&amp;B9&amp;$C$2&amp;B9&amp;$C$3&amp;B9&amp;$C$4,$B$6&amp;B9&amp;$B$1&amp;$D$2&amp;B9&amp;$C$4&amp;$D$3&amp;$B$2&amp;B9&amp;$B$3&amp;E9&amp;$B$4&amp;B9&amp;$B$5),"")</f>
        <v/>
      </c>
      <c r="Q9" s="12" t="str">
        <f t="shared" ref="Q9:Q12" si="6">+IF(AND(G9="selectlist",B9&lt;&gt;""),$B$2&amp;B9&amp;$B$3&amp;B9&amp;$B$4&amp;B9&amp;$B$5,"")</f>
        <v/>
      </c>
      <c r="R9" s="12" t="str">
        <f t="shared" ref="R9:R18" si="7">+IF(G9="check",+$B$6&amp;B9&amp;$C$5&amp;B9&amp;$C$6&amp;B9&amp;$D$1&amp;B9&amp;$C$4,"")</f>
        <v/>
      </c>
      <c r="S9" s="214" t="str">
        <f>+IF(G9="radio","ver similar to checkbox","")</f>
        <v/>
      </c>
    </row>
    <row r="10" spans="1:19">
      <c r="A10" s="12">
        <v>2</v>
      </c>
      <c r="B10" s="12" t="str">
        <f>IF(fieldcreatorv2!BX16&lt;&gt;"",fieldcreatorv2!BX16,"")</f>
        <v>tipo_doc_id</v>
      </c>
      <c r="C10" s="220" t="s">
        <v>798</v>
      </c>
      <c r="D10" s="216"/>
      <c r="E10" s="6" t="str">
        <f t="shared" si="0"/>
        <v>tipo_doc_id</v>
      </c>
      <c r="F10" s="12">
        <f>+IF(fieldcreatorv2!I16="si",1,0)</f>
        <v>0</v>
      </c>
      <c r="G10" s="12" t="str">
        <f>IF(fieldcreatorv2!E16="","",fieldcreatorv2!E16)</f>
        <v>session</v>
      </c>
      <c r="H10" s="12">
        <v>2</v>
      </c>
      <c r="I10" s="61" t="str">
        <f t="shared" si="1"/>
        <v/>
      </c>
      <c r="J10" s="61" t="str">
        <f t="shared" si="2"/>
        <v>+tipo_doc_id</v>
      </c>
      <c r="L10" s="12" t="str">
        <f t="shared" si="3"/>
        <v>;$("#tipo_doc_id").change(function(){summary()})</v>
      </c>
      <c r="M10" s="61">
        <f t="shared" ref="M10:M73" si="8">+IF(AND(B10&lt;&gt;"",C10="yes"),1,0)</f>
        <v>1</v>
      </c>
      <c r="N10" s="61">
        <f t="shared" ref="N10:N73" si="9">+M10+N9</f>
        <v>2</v>
      </c>
      <c r="O10" s="61" t="str">
        <f t="shared" si="4"/>
        <v>+</v>
      </c>
      <c r="P10" s="12" t="str">
        <f t="shared" si="5"/>
        <v/>
      </c>
      <c r="Q10" s="12" t="str">
        <f t="shared" si="6"/>
        <v/>
      </c>
      <c r="R10" s="12" t="str">
        <f t="shared" si="7"/>
        <v/>
      </c>
      <c r="S10" s="214" t="str">
        <f t="shared" ref="S10:S41" si="10">+IF(G10="radio",1,"")</f>
        <v/>
      </c>
    </row>
    <row r="11" spans="1:19">
      <c r="A11" s="12">
        <v>3</v>
      </c>
      <c r="B11" s="12" t="str">
        <f>IF(fieldcreatorv2!BX17&lt;&gt;"",fieldcreatorv2!BX17,"")</f>
        <v>numd</v>
      </c>
      <c r="C11" s="220" t="s">
        <v>798</v>
      </c>
      <c r="D11" s="216"/>
      <c r="E11" s="6" t="str">
        <f t="shared" si="0"/>
        <v>numd</v>
      </c>
      <c r="F11" s="12">
        <f>+IF(fieldcreatorv2!I17="si",1,0)</f>
        <v>0</v>
      </c>
      <c r="G11" s="12" t="str">
        <f>IF(fieldcreatorv2!E17="","",fieldcreatorv2!E17)</f>
        <v>session</v>
      </c>
      <c r="H11" s="12">
        <v>3</v>
      </c>
      <c r="I11" s="61" t="str">
        <f t="shared" si="1"/>
        <v/>
      </c>
      <c r="J11" s="61" t="str">
        <f t="shared" si="2"/>
        <v>+numd</v>
      </c>
      <c r="L11" s="12" t="str">
        <f t="shared" si="3"/>
        <v>;$("#numd").change(function(){summary()})</v>
      </c>
      <c r="M11" s="61">
        <f t="shared" si="8"/>
        <v>1</v>
      </c>
      <c r="N11" s="61">
        <f t="shared" si="9"/>
        <v>3</v>
      </c>
      <c r="O11" s="61" t="str">
        <f t="shared" si="4"/>
        <v>+</v>
      </c>
      <c r="P11" s="12" t="str">
        <f t="shared" si="5"/>
        <v/>
      </c>
      <c r="Q11" s="12" t="str">
        <f t="shared" si="6"/>
        <v/>
      </c>
      <c r="R11" s="12" t="str">
        <f t="shared" si="7"/>
        <v/>
      </c>
      <c r="S11" s="214" t="str">
        <f t="shared" si="10"/>
        <v/>
      </c>
    </row>
    <row r="12" spans="1:19">
      <c r="A12" s="12">
        <v>4</v>
      </c>
      <c r="B12" s="12" t="str">
        <f>IF(fieldcreatorv2!BX18&lt;&gt;"",fieldcreatorv2!BX18,"")</f>
        <v>tms_1</v>
      </c>
      <c r="C12" s="220" t="s">
        <v>798</v>
      </c>
      <c r="D12" s="216"/>
      <c r="E12" s="6" t="str">
        <f t="shared" si="0"/>
        <v>tms_1</v>
      </c>
      <c r="F12" s="12">
        <f>+IF(fieldcreatorv2!I18="si",1,0)</f>
        <v>0</v>
      </c>
      <c r="G12" s="12" t="str">
        <f>IF(fieldcreatorv2!E18="","",fieldcreatorv2!E18)</f>
        <v>date</v>
      </c>
      <c r="H12" s="12">
        <v>4</v>
      </c>
      <c r="I12" s="61" t="str">
        <f t="shared" si="1"/>
        <v/>
      </c>
      <c r="J12" s="61" t="str">
        <f t="shared" si="2"/>
        <v>+tms_1</v>
      </c>
      <c r="L12" s="12" t="str">
        <f t="shared" si="3"/>
        <v>;$("#tms_1").change(function(){summary()})</v>
      </c>
      <c r="M12" s="61">
        <f t="shared" si="8"/>
        <v>1</v>
      </c>
      <c r="N12" s="61">
        <f t="shared" si="9"/>
        <v>4</v>
      </c>
      <c r="O12" s="61" t="str">
        <f t="shared" si="4"/>
        <v>+</v>
      </c>
      <c r="P12" s="12" t="str">
        <f t="shared" si="5"/>
        <v/>
      </c>
      <c r="Q12" s="12" t="str">
        <f t="shared" si="6"/>
        <v/>
      </c>
      <c r="R12" s="12" t="str">
        <f t="shared" si="7"/>
        <v/>
      </c>
      <c r="S12" s="214" t="str">
        <f t="shared" si="10"/>
        <v/>
      </c>
    </row>
    <row r="13" spans="1:19">
      <c r="A13" s="12">
        <v>5</v>
      </c>
      <c r="B13" s="12" t="str">
        <f>IF(fieldcreatorv2!BX19&lt;&gt;"",fieldcreatorv2!BX19,"")</f>
        <v/>
      </c>
      <c r="C13" s="220"/>
      <c r="D13" s="216"/>
      <c r="E13" s="6" t="str">
        <f>+IF(D13&lt;&gt;"",D13,B13)</f>
        <v/>
      </c>
      <c r="F13" s="12">
        <f>+IF(fieldcreatorv2!I19="si",1,0)</f>
        <v>0</v>
      </c>
      <c r="G13" s="12" t="str">
        <f>IF(fieldcreatorv2!E19="","",fieldcreatorv2!E19)</f>
        <v/>
      </c>
      <c r="H13" s="12">
        <v>5</v>
      </c>
      <c r="I13" s="61" t="str">
        <f t="shared" si="1"/>
        <v/>
      </c>
      <c r="J13" s="61" t="str">
        <f t="shared" si="2"/>
        <v/>
      </c>
      <c r="L13" s="12" t="str">
        <f t="shared" si="3"/>
        <v/>
      </c>
      <c r="M13" s="61">
        <f t="shared" si="8"/>
        <v>0</v>
      </c>
      <c r="N13" s="61">
        <f t="shared" si="9"/>
        <v>4</v>
      </c>
      <c r="O13" s="61" t="str">
        <f t="shared" si="4"/>
        <v/>
      </c>
      <c r="P13" s="12" t="str">
        <f>+IF(OR(G13="texto",G13="bigtext"),IF(F13=1,$B$6&amp;B13&amp;$C$1&amp;B13&amp;$C$2&amp;B13&amp;$C$3&amp;B13&amp;$C$4,$B$6&amp;B13&amp;$B$1&amp;$D$2&amp;B13&amp;$C$4&amp;$D$3&amp;$B$2&amp;B13&amp;$B$3&amp;E13&amp;$B$4&amp;B13&amp;$B$5),"")</f>
        <v/>
      </c>
      <c r="Q13" s="12" t="str">
        <f>+IF(AND(G13="selectlist",B13&lt;&gt;""),$B$2&amp;B13&amp;$B$3&amp;B13&amp;$B$4&amp;B13&amp;$B$5,"")</f>
        <v/>
      </c>
      <c r="R13" s="12" t="str">
        <f t="shared" si="7"/>
        <v/>
      </c>
      <c r="S13" s="214" t="str">
        <f t="shared" si="10"/>
        <v/>
      </c>
    </row>
    <row r="14" spans="1:19">
      <c r="A14" s="12">
        <v>6</v>
      </c>
      <c r="B14" s="12" t="str">
        <f>IF(fieldcreatorv2!BX20&lt;&gt;"",fieldcreatorv2!BX20,"")</f>
        <v/>
      </c>
      <c r="C14" s="220"/>
      <c r="D14" s="216"/>
      <c r="E14" s="6" t="str">
        <f t="shared" ref="E14:E77" si="11">+IF(D14&lt;&gt;"",D14,B14)</f>
        <v/>
      </c>
      <c r="F14" s="12">
        <f>+IF(fieldcreatorv2!I20="si",1,0)</f>
        <v>0</v>
      </c>
      <c r="G14" s="12" t="str">
        <f>IF(fieldcreatorv2!E20="","",fieldcreatorv2!E20)</f>
        <v/>
      </c>
      <c r="H14" s="12">
        <v>6</v>
      </c>
      <c r="I14" s="61" t="str">
        <f t="shared" si="1"/>
        <v/>
      </c>
      <c r="J14" s="61" t="str">
        <f t="shared" si="2"/>
        <v/>
      </c>
      <c r="L14" s="12" t="str">
        <f t="shared" si="3"/>
        <v/>
      </c>
      <c r="M14" s="61">
        <f t="shared" si="8"/>
        <v>0</v>
      </c>
      <c r="N14" s="61">
        <f t="shared" si="9"/>
        <v>4</v>
      </c>
      <c r="O14" s="61" t="str">
        <f t="shared" si="4"/>
        <v/>
      </c>
      <c r="P14" s="12" t="str">
        <f t="shared" ref="P14:P77" si="12">+IF(OR(G14="texto",G14="bigtext"),IF(F14=1,$B$6&amp;B14&amp;$C$1&amp;B14&amp;$C$2&amp;B14&amp;$C$3&amp;B14&amp;$C$4,$B$6&amp;B14&amp;$B$1&amp;$D$2&amp;B14&amp;$C$4&amp;$D$3&amp;$B$2&amp;B14&amp;$B$3&amp;E14&amp;$B$4&amp;B14&amp;$B$5),"")</f>
        <v/>
      </c>
      <c r="Q14" s="12" t="str">
        <f t="shared" ref="Q14:Q77" si="13">+IF(AND(G14="selectlist",B14&lt;&gt;""),$B$2&amp;B14&amp;$B$3&amp;B14&amp;$B$4&amp;B14&amp;$B$5,"")</f>
        <v/>
      </c>
      <c r="R14" s="12" t="str">
        <f t="shared" si="7"/>
        <v/>
      </c>
      <c r="S14" s="214" t="str">
        <f t="shared" si="10"/>
        <v/>
      </c>
    </row>
    <row r="15" spans="1:19">
      <c r="A15" s="12">
        <v>7</v>
      </c>
      <c r="B15" s="12" t="str">
        <f>IF(fieldcreatorv2!BX21&lt;&gt;"",fieldcreatorv2!BX21,"")</f>
        <v/>
      </c>
      <c r="C15" s="220"/>
      <c r="D15" s="216"/>
      <c r="E15" s="6" t="str">
        <f t="shared" si="11"/>
        <v/>
      </c>
      <c r="F15" s="12">
        <f>+IF(fieldcreatorv2!I21="si",1,0)</f>
        <v>0</v>
      </c>
      <c r="G15" s="12" t="str">
        <f>IF(fieldcreatorv2!E21="","",fieldcreatorv2!E21)</f>
        <v/>
      </c>
      <c r="H15" s="12">
        <v>7</v>
      </c>
      <c r="I15" s="61" t="str">
        <f t="shared" si="1"/>
        <v/>
      </c>
      <c r="J15" s="61" t="str">
        <f t="shared" si="2"/>
        <v/>
      </c>
      <c r="L15" s="12" t="str">
        <f t="shared" si="3"/>
        <v/>
      </c>
      <c r="M15" s="61">
        <f t="shared" si="8"/>
        <v>0</v>
      </c>
      <c r="N15" s="61">
        <f t="shared" si="9"/>
        <v>4</v>
      </c>
      <c r="O15" s="61" t="str">
        <f t="shared" si="4"/>
        <v/>
      </c>
      <c r="P15" s="12" t="str">
        <f t="shared" si="12"/>
        <v/>
      </c>
      <c r="Q15" s="12" t="str">
        <f t="shared" si="13"/>
        <v/>
      </c>
      <c r="R15" s="12" t="str">
        <f t="shared" si="7"/>
        <v/>
      </c>
      <c r="S15" s="214" t="str">
        <f t="shared" si="10"/>
        <v/>
      </c>
    </row>
    <row r="16" spans="1:19">
      <c r="A16" s="12">
        <v>8</v>
      </c>
      <c r="B16" s="12" t="str">
        <f>IF(fieldcreatorv2!BX22&lt;&gt;"",fieldcreatorv2!BX22,"")</f>
        <v/>
      </c>
      <c r="C16" s="220"/>
      <c r="D16" s="216"/>
      <c r="E16" s="6" t="str">
        <f t="shared" si="11"/>
        <v/>
      </c>
      <c r="F16" s="12">
        <f>+IF(fieldcreatorv2!I22="si",1,0)</f>
        <v>0</v>
      </c>
      <c r="G16" s="12" t="str">
        <f>IF(fieldcreatorv2!E22="","",fieldcreatorv2!E22)</f>
        <v/>
      </c>
      <c r="H16" s="12">
        <v>8</v>
      </c>
      <c r="I16" s="61" t="str">
        <f t="shared" si="1"/>
        <v/>
      </c>
      <c r="J16" s="61" t="str">
        <f t="shared" si="2"/>
        <v/>
      </c>
      <c r="L16" s="12" t="str">
        <f t="shared" si="3"/>
        <v/>
      </c>
      <c r="M16" s="61">
        <f t="shared" si="8"/>
        <v>0</v>
      </c>
      <c r="N16" s="61">
        <f t="shared" si="9"/>
        <v>4</v>
      </c>
      <c r="O16" s="61" t="str">
        <f t="shared" si="4"/>
        <v/>
      </c>
      <c r="P16" s="12" t="str">
        <f t="shared" si="12"/>
        <v/>
      </c>
      <c r="Q16" s="12" t="str">
        <f t="shared" si="13"/>
        <v/>
      </c>
      <c r="R16" s="12" t="str">
        <f t="shared" si="7"/>
        <v/>
      </c>
      <c r="S16" s="214" t="str">
        <f t="shared" si="10"/>
        <v/>
      </c>
    </row>
    <row r="17" spans="1:19">
      <c r="A17" s="12">
        <v>9</v>
      </c>
      <c r="B17" s="12" t="str">
        <f>IF(fieldcreatorv2!BX23&lt;&gt;"",fieldcreatorv2!BX23,"")</f>
        <v/>
      </c>
      <c r="C17" s="220"/>
      <c r="D17" s="216"/>
      <c r="E17" s="6" t="str">
        <f t="shared" si="11"/>
        <v/>
      </c>
      <c r="F17" s="12">
        <f>+IF(fieldcreatorv2!I23="si",1,0)</f>
        <v>0</v>
      </c>
      <c r="G17" s="12" t="str">
        <f>IF(fieldcreatorv2!E23="","",fieldcreatorv2!E23)</f>
        <v/>
      </c>
      <c r="H17" s="12">
        <v>9</v>
      </c>
      <c r="I17" s="61" t="str">
        <f t="shared" si="1"/>
        <v/>
      </c>
      <c r="J17" s="61" t="str">
        <f t="shared" si="2"/>
        <v/>
      </c>
      <c r="L17" s="12" t="str">
        <f t="shared" si="3"/>
        <v/>
      </c>
      <c r="M17" s="61">
        <f t="shared" si="8"/>
        <v>0</v>
      </c>
      <c r="N17" s="61">
        <f t="shared" si="9"/>
        <v>4</v>
      </c>
      <c r="O17" s="61" t="str">
        <f t="shared" si="4"/>
        <v/>
      </c>
      <c r="P17" s="12" t="str">
        <f t="shared" si="12"/>
        <v/>
      </c>
      <c r="Q17" s="12" t="str">
        <f t="shared" si="13"/>
        <v/>
      </c>
      <c r="R17" s="12" t="str">
        <f t="shared" si="7"/>
        <v/>
      </c>
      <c r="S17" s="214" t="str">
        <f t="shared" si="10"/>
        <v/>
      </c>
    </row>
    <row r="18" spans="1:19">
      <c r="A18" s="12">
        <v>10</v>
      </c>
      <c r="B18" s="12" t="str">
        <f>IF(fieldcreatorv2!BX24&lt;&gt;"",fieldcreatorv2!BX24,"")</f>
        <v/>
      </c>
      <c r="C18" s="220"/>
      <c r="D18" s="216"/>
      <c r="E18" s="6" t="str">
        <f t="shared" si="11"/>
        <v/>
      </c>
      <c r="F18" s="12">
        <f>+IF(fieldcreatorv2!I24="si",1,0)</f>
        <v>0</v>
      </c>
      <c r="G18" s="12" t="str">
        <f>IF(fieldcreatorv2!E24="","",fieldcreatorv2!E24)</f>
        <v/>
      </c>
      <c r="H18" s="12">
        <v>10</v>
      </c>
      <c r="I18" s="61" t="str">
        <f t="shared" si="1"/>
        <v/>
      </c>
      <c r="J18" s="61" t="str">
        <f t="shared" si="2"/>
        <v/>
      </c>
      <c r="L18" s="12" t="str">
        <f>IF(AND(B18&lt;&gt;"",C18="yes"),IF(O18="+",";","")&amp;$A$2&amp;B18&amp;$A$3,"")</f>
        <v/>
      </c>
      <c r="M18" s="61">
        <f t="shared" si="8"/>
        <v>0</v>
      </c>
      <c r="N18" s="61">
        <f t="shared" si="9"/>
        <v>4</v>
      </c>
      <c r="O18" s="61" t="str">
        <f t="shared" si="4"/>
        <v/>
      </c>
      <c r="P18" s="12" t="str">
        <f t="shared" si="12"/>
        <v/>
      </c>
      <c r="Q18" s="12" t="str">
        <f t="shared" si="13"/>
        <v/>
      </c>
      <c r="R18" s="12" t="str">
        <f t="shared" si="7"/>
        <v/>
      </c>
      <c r="S18" s="214" t="str">
        <f t="shared" si="10"/>
        <v/>
      </c>
    </row>
    <row r="19" spans="1:19">
      <c r="A19" s="12">
        <v>11</v>
      </c>
      <c r="B19" s="12" t="str">
        <f>IF(fieldcreatorv2!BX25&lt;&gt;"",fieldcreatorv2!BX25,"")</f>
        <v/>
      </c>
      <c r="C19" s="220"/>
      <c r="D19" s="216"/>
      <c r="E19" s="6" t="str">
        <f t="shared" si="11"/>
        <v/>
      </c>
      <c r="F19" s="12">
        <f>+IF(fieldcreatorv2!I25="si",1,0)</f>
        <v>0</v>
      </c>
      <c r="G19" s="12" t="str">
        <f>IF(fieldcreatorv2!E25="","",fieldcreatorv2!E25)</f>
        <v/>
      </c>
      <c r="H19" s="12">
        <v>11</v>
      </c>
      <c r="I19" s="61" t="str">
        <f t="shared" si="1"/>
        <v/>
      </c>
      <c r="J19" s="61" t="str">
        <f t="shared" si="2"/>
        <v/>
      </c>
      <c r="L19" s="12" t="str">
        <f t="shared" ref="L19:L82" si="14">IF(AND(B19&lt;&gt;"",C19="yes"),IF(O19="+",";","")&amp;$A$2&amp;B19&amp;$A$3,"")</f>
        <v/>
      </c>
      <c r="M19" s="61">
        <f t="shared" si="8"/>
        <v>0</v>
      </c>
      <c r="N19" s="61">
        <f t="shared" si="9"/>
        <v>4</v>
      </c>
      <c r="O19" s="61" t="str">
        <f t="shared" si="4"/>
        <v/>
      </c>
      <c r="P19" s="12" t="str">
        <f t="shared" si="12"/>
        <v/>
      </c>
      <c r="Q19" s="12" t="str">
        <f t="shared" si="13"/>
        <v/>
      </c>
      <c r="R19" s="12" t="str">
        <f>+IF(G19="check",+$B$6&amp;B19&amp;$C$5&amp;B19&amp;$C$6&amp;B19&amp;$D$1&amp;B19&amp;$C$4,"")</f>
        <v/>
      </c>
      <c r="S19" s="214" t="str">
        <f t="shared" si="10"/>
        <v/>
      </c>
    </row>
    <row r="20" spans="1:19">
      <c r="A20" s="12">
        <v>12</v>
      </c>
      <c r="B20" s="12" t="str">
        <f>IF(fieldcreatorv2!BX26&lt;&gt;"",fieldcreatorv2!BX26,"")</f>
        <v/>
      </c>
      <c r="C20" s="220"/>
      <c r="D20" s="216"/>
      <c r="E20" s="6" t="str">
        <f t="shared" si="11"/>
        <v/>
      </c>
      <c r="F20" s="12">
        <f>+IF(fieldcreatorv2!I26="si",1,0)</f>
        <v>0</v>
      </c>
      <c r="G20" s="12" t="str">
        <f>IF(fieldcreatorv2!E26="","",fieldcreatorv2!E26)</f>
        <v/>
      </c>
      <c r="H20" s="12">
        <v>12</v>
      </c>
      <c r="I20" s="61" t="str">
        <f t="shared" si="1"/>
        <v/>
      </c>
      <c r="J20" s="61" t="str">
        <f t="shared" si="2"/>
        <v/>
      </c>
      <c r="L20" s="12" t="str">
        <f t="shared" si="14"/>
        <v/>
      </c>
      <c r="M20" s="61">
        <f t="shared" si="8"/>
        <v>0</v>
      </c>
      <c r="N20" s="61">
        <f t="shared" si="9"/>
        <v>4</v>
      </c>
      <c r="O20" s="61" t="str">
        <f t="shared" si="4"/>
        <v/>
      </c>
      <c r="P20" s="12" t="str">
        <f t="shared" si="12"/>
        <v/>
      </c>
      <c r="Q20" s="12" t="str">
        <f t="shared" si="13"/>
        <v/>
      </c>
      <c r="R20" s="12" t="str">
        <f t="shared" ref="R20:R83" si="15">+IF(G20="check",+$B$6&amp;B20&amp;$C$5&amp;B20&amp;$C$6&amp;B20&amp;$D$1&amp;B20&amp;$C$4,"")</f>
        <v/>
      </c>
      <c r="S20" s="214" t="str">
        <f t="shared" si="10"/>
        <v/>
      </c>
    </row>
    <row r="21" spans="1:19">
      <c r="A21" s="12">
        <v>13</v>
      </c>
      <c r="B21" s="12" t="str">
        <f>IF(fieldcreatorv2!BX27&lt;&gt;"",fieldcreatorv2!BX27,"")</f>
        <v/>
      </c>
      <c r="C21" s="220"/>
      <c r="D21" s="216"/>
      <c r="E21" s="6" t="str">
        <f t="shared" si="11"/>
        <v/>
      </c>
      <c r="F21" s="12">
        <f>+IF(fieldcreatorv2!I27="si",1,0)</f>
        <v>0</v>
      </c>
      <c r="G21" s="12" t="str">
        <f>IF(fieldcreatorv2!E27="","",fieldcreatorv2!E27)</f>
        <v/>
      </c>
      <c r="H21" s="12">
        <v>13</v>
      </c>
      <c r="I21" s="61" t="str">
        <f t="shared" si="1"/>
        <v/>
      </c>
      <c r="J21" s="61" t="str">
        <f t="shared" si="2"/>
        <v/>
      </c>
      <c r="L21" s="12" t="str">
        <f t="shared" si="14"/>
        <v/>
      </c>
      <c r="M21" s="61">
        <f t="shared" si="8"/>
        <v>0</v>
      </c>
      <c r="N21" s="61">
        <f t="shared" si="9"/>
        <v>4</v>
      </c>
      <c r="O21" s="61" t="str">
        <f t="shared" si="4"/>
        <v/>
      </c>
      <c r="P21" s="12" t="str">
        <f t="shared" si="12"/>
        <v/>
      </c>
      <c r="Q21" s="12" t="str">
        <f t="shared" si="13"/>
        <v/>
      </c>
      <c r="R21" s="12" t="str">
        <f t="shared" si="15"/>
        <v/>
      </c>
      <c r="S21" s="214" t="str">
        <f t="shared" si="10"/>
        <v/>
      </c>
    </row>
    <row r="22" spans="1:19">
      <c r="A22" s="12">
        <v>14</v>
      </c>
      <c r="B22" s="12" t="str">
        <f>IF(fieldcreatorv2!BX28&lt;&gt;"",fieldcreatorv2!BX28,"")</f>
        <v/>
      </c>
      <c r="C22" s="220"/>
      <c r="D22" s="216"/>
      <c r="E22" s="6" t="str">
        <f t="shared" si="11"/>
        <v/>
      </c>
      <c r="F22" s="12">
        <f>+IF(fieldcreatorv2!I28="si",1,0)</f>
        <v>0</v>
      </c>
      <c r="G22" s="12" t="str">
        <f>IF(fieldcreatorv2!E28="","",fieldcreatorv2!E28)</f>
        <v/>
      </c>
      <c r="H22" s="12">
        <v>14</v>
      </c>
      <c r="I22" s="61" t="str">
        <f t="shared" si="1"/>
        <v/>
      </c>
      <c r="J22" s="61" t="str">
        <f t="shared" si="2"/>
        <v/>
      </c>
      <c r="L22" s="12" t="str">
        <f t="shared" si="14"/>
        <v/>
      </c>
      <c r="M22" s="61">
        <f t="shared" si="8"/>
        <v>0</v>
      </c>
      <c r="N22" s="61">
        <f t="shared" si="9"/>
        <v>4</v>
      </c>
      <c r="O22" s="61" t="str">
        <f t="shared" si="4"/>
        <v/>
      </c>
      <c r="P22" s="12" t="str">
        <f t="shared" si="12"/>
        <v/>
      </c>
      <c r="Q22" s="12" t="str">
        <f t="shared" si="13"/>
        <v/>
      </c>
      <c r="R22" s="12" t="str">
        <f t="shared" si="15"/>
        <v/>
      </c>
      <c r="S22" s="214" t="str">
        <f t="shared" si="10"/>
        <v/>
      </c>
    </row>
    <row r="23" spans="1:19">
      <c r="A23" s="12">
        <v>15</v>
      </c>
      <c r="B23" s="12" t="str">
        <f>IF(fieldcreatorv2!BX29&lt;&gt;"",fieldcreatorv2!BX29,"")</f>
        <v/>
      </c>
      <c r="C23" s="220"/>
      <c r="D23" s="216"/>
      <c r="E23" s="6" t="str">
        <f t="shared" si="11"/>
        <v/>
      </c>
      <c r="F23" s="12">
        <f>+IF(fieldcreatorv2!I29="si",1,0)</f>
        <v>0</v>
      </c>
      <c r="G23" s="12" t="str">
        <f>IF(fieldcreatorv2!E29="","",fieldcreatorv2!E29)</f>
        <v/>
      </c>
      <c r="H23" s="12">
        <v>15</v>
      </c>
      <c r="I23" s="61" t="str">
        <f t="shared" si="1"/>
        <v/>
      </c>
      <c r="J23" s="61" t="str">
        <f t="shared" si="2"/>
        <v/>
      </c>
      <c r="L23" s="12" t="str">
        <f t="shared" si="14"/>
        <v/>
      </c>
      <c r="M23" s="61">
        <f t="shared" si="8"/>
        <v>0</v>
      </c>
      <c r="N23" s="61">
        <f t="shared" si="9"/>
        <v>4</v>
      </c>
      <c r="O23" s="61" t="str">
        <f t="shared" si="4"/>
        <v/>
      </c>
      <c r="P23" s="12" t="str">
        <f t="shared" si="12"/>
        <v/>
      </c>
      <c r="Q23" s="12" t="str">
        <f t="shared" si="13"/>
        <v/>
      </c>
      <c r="R23" s="12" t="str">
        <f t="shared" si="15"/>
        <v/>
      </c>
      <c r="S23" s="214" t="str">
        <f t="shared" si="10"/>
        <v/>
      </c>
    </row>
    <row r="24" spans="1:19">
      <c r="A24" s="12">
        <v>16</v>
      </c>
      <c r="B24" s="12" t="str">
        <f>IF(fieldcreatorv2!BX30&lt;&gt;"",fieldcreatorv2!BX30,"")</f>
        <v/>
      </c>
      <c r="C24" s="220"/>
      <c r="D24" s="216"/>
      <c r="E24" s="6" t="str">
        <f t="shared" si="11"/>
        <v/>
      </c>
      <c r="F24" s="12">
        <f>+IF(fieldcreatorv2!I30="si",1,0)</f>
        <v>0</v>
      </c>
      <c r="G24" s="12" t="str">
        <f>IF(fieldcreatorv2!E30="","",fieldcreatorv2!E30)</f>
        <v/>
      </c>
      <c r="H24" s="12">
        <v>16</v>
      </c>
      <c r="I24" s="61" t="str">
        <f t="shared" si="1"/>
        <v/>
      </c>
      <c r="J24" s="61" t="str">
        <f t="shared" si="2"/>
        <v/>
      </c>
      <c r="L24" s="12" t="str">
        <f t="shared" si="14"/>
        <v/>
      </c>
      <c r="M24" s="61">
        <f t="shared" si="8"/>
        <v>0</v>
      </c>
      <c r="N24" s="61">
        <f t="shared" si="9"/>
        <v>4</v>
      </c>
      <c r="O24" s="61" t="str">
        <f t="shared" si="4"/>
        <v/>
      </c>
      <c r="P24" s="12" t="str">
        <f t="shared" si="12"/>
        <v/>
      </c>
      <c r="Q24" s="12" t="str">
        <f t="shared" si="13"/>
        <v/>
      </c>
      <c r="R24" s="12" t="str">
        <f t="shared" si="15"/>
        <v/>
      </c>
      <c r="S24" s="214" t="str">
        <f t="shared" si="10"/>
        <v/>
      </c>
    </row>
    <row r="25" spans="1:19">
      <c r="A25" s="12">
        <v>17</v>
      </c>
      <c r="B25" s="12" t="str">
        <f>IF(fieldcreatorv2!BX31&lt;&gt;"",fieldcreatorv2!BX31,"")</f>
        <v/>
      </c>
      <c r="C25" s="220"/>
      <c r="D25" s="216"/>
      <c r="E25" s="6" t="str">
        <f t="shared" si="11"/>
        <v/>
      </c>
      <c r="F25" s="12">
        <f>+IF(fieldcreatorv2!I31="si",1,0)</f>
        <v>0</v>
      </c>
      <c r="G25" s="12" t="str">
        <f>IF(fieldcreatorv2!E31="","",fieldcreatorv2!E31)</f>
        <v/>
      </c>
      <c r="H25" s="12">
        <v>17</v>
      </c>
      <c r="I25" s="61" t="str">
        <f t="shared" si="1"/>
        <v/>
      </c>
      <c r="J25" s="61" t="str">
        <f t="shared" si="2"/>
        <v/>
      </c>
      <c r="L25" s="12" t="str">
        <f t="shared" si="14"/>
        <v/>
      </c>
      <c r="M25" s="61">
        <f t="shared" si="8"/>
        <v>0</v>
      </c>
      <c r="N25" s="61">
        <f t="shared" si="9"/>
        <v>4</v>
      </c>
      <c r="O25" s="61" t="str">
        <f t="shared" si="4"/>
        <v/>
      </c>
      <c r="P25" s="12" t="str">
        <f t="shared" si="12"/>
        <v/>
      </c>
      <c r="Q25" s="12" t="str">
        <f t="shared" si="13"/>
        <v/>
      </c>
      <c r="R25" s="12" t="str">
        <f t="shared" si="15"/>
        <v/>
      </c>
      <c r="S25" s="214" t="str">
        <f t="shared" si="10"/>
        <v/>
      </c>
    </row>
    <row r="26" spans="1:19">
      <c r="A26" s="12">
        <v>18</v>
      </c>
      <c r="B26" s="12" t="str">
        <f>IF(fieldcreatorv2!BX32&lt;&gt;"",fieldcreatorv2!BX32,"")</f>
        <v/>
      </c>
      <c r="C26" s="220"/>
      <c r="D26" s="216"/>
      <c r="E26" s="6" t="str">
        <f t="shared" si="11"/>
        <v/>
      </c>
      <c r="F26" s="12">
        <f>+IF(fieldcreatorv2!I32="si",1,0)</f>
        <v>0</v>
      </c>
      <c r="G26" s="12" t="str">
        <f>IF(fieldcreatorv2!E32="","",fieldcreatorv2!E32)</f>
        <v/>
      </c>
      <c r="H26" s="12">
        <v>18</v>
      </c>
      <c r="I26" s="61" t="str">
        <f t="shared" si="1"/>
        <v/>
      </c>
      <c r="J26" s="61" t="str">
        <f t="shared" si="2"/>
        <v/>
      </c>
      <c r="L26" s="12" t="str">
        <f t="shared" si="14"/>
        <v/>
      </c>
      <c r="M26" s="61">
        <f t="shared" si="8"/>
        <v>0</v>
      </c>
      <c r="N26" s="61">
        <f t="shared" si="9"/>
        <v>4</v>
      </c>
      <c r="O26" s="61" t="str">
        <f t="shared" si="4"/>
        <v/>
      </c>
      <c r="P26" s="12" t="str">
        <f t="shared" si="12"/>
        <v/>
      </c>
      <c r="Q26" s="12" t="str">
        <f t="shared" si="13"/>
        <v/>
      </c>
      <c r="R26" s="12" t="str">
        <f t="shared" si="15"/>
        <v/>
      </c>
      <c r="S26" s="214" t="str">
        <f t="shared" si="10"/>
        <v/>
      </c>
    </row>
    <row r="27" spans="1:19">
      <c r="A27" s="12">
        <v>19</v>
      </c>
      <c r="B27" s="12" t="str">
        <f>IF(fieldcreatorv2!BX33&lt;&gt;"",fieldcreatorv2!BX33,"")</f>
        <v/>
      </c>
      <c r="C27" s="220"/>
      <c r="D27" s="216"/>
      <c r="E27" s="6" t="str">
        <f t="shared" si="11"/>
        <v/>
      </c>
      <c r="F27" s="12">
        <f>+IF(fieldcreatorv2!I33="si",1,0)</f>
        <v>0</v>
      </c>
      <c r="G27" s="12" t="str">
        <f>IF(fieldcreatorv2!E33="","",fieldcreatorv2!E33)</f>
        <v/>
      </c>
      <c r="H27" s="12">
        <v>19</v>
      </c>
      <c r="I27" s="61" t="str">
        <f t="shared" si="1"/>
        <v/>
      </c>
      <c r="J27" s="61" t="str">
        <f t="shared" si="2"/>
        <v/>
      </c>
      <c r="L27" s="12" t="str">
        <f t="shared" si="14"/>
        <v/>
      </c>
      <c r="M27" s="61">
        <f t="shared" si="8"/>
        <v>0</v>
      </c>
      <c r="N27" s="61">
        <f t="shared" si="9"/>
        <v>4</v>
      </c>
      <c r="O27" s="61" t="str">
        <f t="shared" si="4"/>
        <v/>
      </c>
      <c r="P27" s="12" t="str">
        <f t="shared" si="12"/>
        <v/>
      </c>
      <c r="Q27" s="12" t="str">
        <f t="shared" si="13"/>
        <v/>
      </c>
      <c r="R27" s="12" t="str">
        <f t="shared" si="15"/>
        <v/>
      </c>
      <c r="S27" s="214" t="str">
        <f t="shared" si="10"/>
        <v/>
      </c>
    </row>
    <row r="28" spans="1:19">
      <c r="A28" s="12">
        <v>20</v>
      </c>
      <c r="B28" s="12" t="str">
        <f>IF(fieldcreatorv2!BX34&lt;&gt;"",fieldcreatorv2!BX34,"")</f>
        <v/>
      </c>
      <c r="C28" s="220"/>
      <c r="D28" s="216"/>
      <c r="E28" s="6" t="str">
        <f t="shared" si="11"/>
        <v/>
      </c>
      <c r="F28" s="12">
        <f>+IF(fieldcreatorv2!I34="si",1,0)</f>
        <v>0</v>
      </c>
      <c r="G28" s="12" t="str">
        <f>IF(fieldcreatorv2!E34="","",fieldcreatorv2!E34)</f>
        <v/>
      </c>
      <c r="H28" s="12">
        <v>20</v>
      </c>
      <c r="I28" s="61" t="str">
        <f t="shared" si="1"/>
        <v/>
      </c>
      <c r="J28" s="61" t="str">
        <f t="shared" si="2"/>
        <v/>
      </c>
      <c r="L28" s="12" t="str">
        <f t="shared" si="14"/>
        <v/>
      </c>
      <c r="M28" s="61">
        <f t="shared" si="8"/>
        <v>0</v>
      </c>
      <c r="N28" s="61">
        <f t="shared" si="9"/>
        <v>4</v>
      </c>
      <c r="O28" s="61" t="str">
        <f t="shared" si="4"/>
        <v/>
      </c>
      <c r="P28" s="12" t="str">
        <f t="shared" si="12"/>
        <v/>
      </c>
      <c r="Q28" s="12" t="str">
        <f t="shared" si="13"/>
        <v/>
      </c>
      <c r="R28" s="12" t="str">
        <f t="shared" si="15"/>
        <v/>
      </c>
      <c r="S28" s="214" t="str">
        <f t="shared" si="10"/>
        <v/>
      </c>
    </row>
    <row r="29" spans="1:19">
      <c r="A29" s="12">
        <v>21</v>
      </c>
      <c r="B29" s="12" t="str">
        <f>IF(fieldcreatorv2!BX35&lt;&gt;"",fieldcreatorv2!BX35,"")</f>
        <v/>
      </c>
      <c r="C29" s="220"/>
      <c r="D29" s="216"/>
      <c r="E29" s="6" t="str">
        <f t="shared" si="11"/>
        <v/>
      </c>
      <c r="F29" s="12">
        <f>+IF(fieldcreatorv2!I35="si",1,0)</f>
        <v>0</v>
      </c>
      <c r="G29" s="12" t="str">
        <f>IF(fieldcreatorv2!E35="","",fieldcreatorv2!E35)</f>
        <v/>
      </c>
      <c r="H29" s="12">
        <v>21</v>
      </c>
      <c r="I29" s="61" t="str">
        <f t="shared" si="1"/>
        <v/>
      </c>
      <c r="J29" s="61" t="str">
        <f t="shared" si="2"/>
        <v/>
      </c>
      <c r="L29" s="12" t="str">
        <f t="shared" si="14"/>
        <v/>
      </c>
      <c r="M29" s="61">
        <f t="shared" si="8"/>
        <v>0</v>
      </c>
      <c r="N29" s="61">
        <f t="shared" si="9"/>
        <v>4</v>
      </c>
      <c r="O29" s="61" t="str">
        <f t="shared" si="4"/>
        <v/>
      </c>
      <c r="P29" s="12" t="str">
        <f t="shared" si="12"/>
        <v/>
      </c>
      <c r="Q29" s="12" t="str">
        <f t="shared" si="13"/>
        <v/>
      </c>
      <c r="R29" s="12" t="str">
        <f t="shared" si="15"/>
        <v/>
      </c>
      <c r="S29" s="214" t="str">
        <f t="shared" si="10"/>
        <v/>
      </c>
    </row>
    <row r="30" spans="1:19">
      <c r="A30" s="12">
        <v>22</v>
      </c>
      <c r="B30" s="12" t="str">
        <f>IF(fieldcreatorv2!BX36&lt;&gt;"",fieldcreatorv2!BX36,"")</f>
        <v/>
      </c>
      <c r="C30" s="220"/>
      <c r="D30" s="216"/>
      <c r="E30" s="6" t="str">
        <f t="shared" si="11"/>
        <v/>
      </c>
      <c r="F30" s="12">
        <f>+IF(fieldcreatorv2!I36="si",1,0)</f>
        <v>0</v>
      </c>
      <c r="G30" s="12" t="str">
        <f>IF(fieldcreatorv2!E36="","",fieldcreatorv2!E36)</f>
        <v/>
      </c>
      <c r="H30" s="12">
        <v>22</v>
      </c>
      <c r="I30" s="61" t="str">
        <f t="shared" si="1"/>
        <v/>
      </c>
      <c r="J30" s="61" t="str">
        <f t="shared" si="2"/>
        <v/>
      </c>
      <c r="L30" s="12" t="str">
        <f t="shared" si="14"/>
        <v/>
      </c>
      <c r="M30" s="61">
        <f t="shared" si="8"/>
        <v>0</v>
      </c>
      <c r="N30" s="61">
        <f t="shared" si="9"/>
        <v>4</v>
      </c>
      <c r="O30" s="61" t="str">
        <f t="shared" si="4"/>
        <v/>
      </c>
      <c r="P30" s="12" t="str">
        <f t="shared" si="12"/>
        <v/>
      </c>
      <c r="Q30" s="12" t="str">
        <f t="shared" si="13"/>
        <v/>
      </c>
      <c r="R30" s="12" t="str">
        <f t="shared" si="15"/>
        <v/>
      </c>
      <c r="S30" s="214" t="str">
        <f t="shared" si="10"/>
        <v/>
      </c>
    </row>
    <row r="31" spans="1:19">
      <c r="A31" s="12">
        <v>23</v>
      </c>
      <c r="B31" s="12" t="str">
        <f>IF(fieldcreatorv2!BX37&lt;&gt;"",fieldcreatorv2!BX37,"")</f>
        <v/>
      </c>
      <c r="C31" s="220"/>
      <c r="D31" s="216"/>
      <c r="E31" s="6" t="str">
        <f t="shared" si="11"/>
        <v/>
      </c>
      <c r="F31" s="12">
        <f>+IF(fieldcreatorv2!I37="si",1,0)</f>
        <v>0</v>
      </c>
      <c r="G31" s="12" t="str">
        <f>IF(fieldcreatorv2!E37="","",fieldcreatorv2!E37)</f>
        <v/>
      </c>
      <c r="H31" s="12">
        <v>23</v>
      </c>
      <c r="I31" s="61" t="str">
        <f t="shared" si="1"/>
        <v/>
      </c>
      <c r="J31" s="61" t="str">
        <f t="shared" si="2"/>
        <v/>
      </c>
      <c r="L31" s="12" t="str">
        <f t="shared" si="14"/>
        <v/>
      </c>
      <c r="M31" s="61">
        <f t="shared" si="8"/>
        <v>0</v>
      </c>
      <c r="N31" s="61">
        <f t="shared" si="9"/>
        <v>4</v>
      </c>
      <c r="O31" s="61" t="str">
        <f t="shared" si="4"/>
        <v/>
      </c>
      <c r="P31" s="12" t="str">
        <f t="shared" si="12"/>
        <v/>
      </c>
      <c r="Q31" s="12" t="str">
        <f t="shared" si="13"/>
        <v/>
      </c>
      <c r="R31" s="12" t="str">
        <f t="shared" si="15"/>
        <v/>
      </c>
      <c r="S31" s="214" t="str">
        <f t="shared" si="10"/>
        <v/>
      </c>
    </row>
    <row r="32" spans="1:19">
      <c r="A32" s="12">
        <v>24</v>
      </c>
      <c r="B32" s="12" t="str">
        <f>IF(fieldcreatorv2!BX38&lt;&gt;"",fieldcreatorv2!BX38,"")</f>
        <v/>
      </c>
      <c r="C32" s="220"/>
      <c r="D32" s="216"/>
      <c r="E32" s="6" t="str">
        <f t="shared" si="11"/>
        <v/>
      </c>
      <c r="F32" s="12">
        <f>+IF(fieldcreatorv2!I38="si",1,0)</f>
        <v>0</v>
      </c>
      <c r="G32" s="12" t="str">
        <f>IF(fieldcreatorv2!E38="","",fieldcreatorv2!E38)</f>
        <v/>
      </c>
      <c r="H32" s="12">
        <v>24</v>
      </c>
      <c r="I32" s="61" t="str">
        <f t="shared" si="1"/>
        <v/>
      </c>
      <c r="J32" s="61" t="str">
        <f t="shared" si="2"/>
        <v/>
      </c>
      <c r="L32" s="12" t="str">
        <f t="shared" si="14"/>
        <v/>
      </c>
      <c r="M32" s="61">
        <f t="shared" si="8"/>
        <v>0</v>
      </c>
      <c r="N32" s="61">
        <f t="shared" si="9"/>
        <v>4</v>
      </c>
      <c r="O32" s="61" t="str">
        <f t="shared" si="4"/>
        <v/>
      </c>
      <c r="P32" s="12" t="str">
        <f t="shared" si="12"/>
        <v/>
      </c>
      <c r="Q32" s="12" t="str">
        <f t="shared" si="13"/>
        <v/>
      </c>
      <c r="R32" s="12" t="str">
        <f t="shared" si="15"/>
        <v/>
      </c>
      <c r="S32" s="214" t="str">
        <f t="shared" si="10"/>
        <v/>
      </c>
    </row>
    <row r="33" spans="1:19">
      <c r="A33" s="12">
        <v>25</v>
      </c>
      <c r="B33" s="12" t="str">
        <f>IF(fieldcreatorv2!BX39&lt;&gt;"",fieldcreatorv2!BX39,"")</f>
        <v/>
      </c>
      <c r="C33" s="220"/>
      <c r="D33" s="216"/>
      <c r="E33" s="6" t="str">
        <f t="shared" si="11"/>
        <v/>
      </c>
      <c r="F33" s="12">
        <f>+IF(fieldcreatorv2!I39="si",1,0)</f>
        <v>0</v>
      </c>
      <c r="G33" s="12" t="str">
        <f>IF(fieldcreatorv2!E39="","",fieldcreatorv2!E39)</f>
        <v/>
      </c>
      <c r="H33" s="12">
        <v>25</v>
      </c>
      <c r="I33" s="61" t="str">
        <f t="shared" si="1"/>
        <v/>
      </c>
      <c r="J33" s="61" t="str">
        <f t="shared" si="2"/>
        <v/>
      </c>
      <c r="L33" s="12" t="str">
        <f t="shared" si="14"/>
        <v/>
      </c>
      <c r="M33" s="61">
        <f t="shared" si="8"/>
        <v>0</v>
      </c>
      <c r="N33" s="61">
        <f t="shared" si="9"/>
        <v>4</v>
      </c>
      <c r="O33" s="61" t="str">
        <f t="shared" si="4"/>
        <v/>
      </c>
      <c r="P33" s="12" t="str">
        <f t="shared" si="12"/>
        <v/>
      </c>
      <c r="Q33" s="12" t="str">
        <f t="shared" si="13"/>
        <v/>
      </c>
      <c r="R33" s="12" t="str">
        <f t="shared" si="15"/>
        <v/>
      </c>
      <c r="S33" s="214" t="str">
        <f t="shared" si="10"/>
        <v/>
      </c>
    </row>
    <row r="34" spans="1:19">
      <c r="A34" s="12">
        <v>26</v>
      </c>
      <c r="B34" s="12" t="str">
        <f>IF(fieldcreatorv2!BX40&lt;&gt;"",fieldcreatorv2!BX40,"")</f>
        <v/>
      </c>
      <c r="C34" s="220"/>
      <c r="D34" s="216"/>
      <c r="E34" s="6" t="str">
        <f t="shared" si="11"/>
        <v/>
      </c>
      <c r="F34" s="12">
        <f>+IF(fieldcreatorv2!I40="si",1,0)</f>
        <v>0</v>
      </c>
      <c r="G34" s="12" t="str">
        <f>IF(fieldcreatorv2!E40="","",fieldcreatorv2!E40)</f>
        <v/>
      </c>
      <c r="H34" s="12">
        <v>26</v>
      </c>
      <c r="I34" s="61" t="str">
        <f t="shared" si="1"/>
        <v/>
      </c>
      <c r="J34" s="61" t="str">
        <f t="shared" si="2"/>
        <v/>
      </c>
      <c r="L34" s="12" t="str">
        <f t="shared" si="14"/>
        <v/>
      </c>
      <c r="M34" s="61">
        <f t="shared" si="8"/>
        <v>0</v>
      </c>
      <c r="N34" s="61">
        <f t="shared" si="9"/>
        <v>4</v>
      </c>
      <c r="O34" s="61" t="str">
        <f t="shared" si="4"/>
        <v/>
      </c>
      <c r="P34" s="12" t="str">
        <f t="shared" si="12"/>
        <v/>
      </c>
      <c r="Q34" s="12" t="str">
        <f t="shared" si="13"/>
        <v/>
      </c>
      <c r="R34" s="12" t="str">
        <f t="shared" si="15"/>
        <v/>
      </c>
      <c r="S34" s="214" t="str">
        <f t="shared" si="10"/>
        <v/>
      </c>
    </row>
    <row r="35" spans="1:19" hidden="1">
      <c r="A35" s="12">
        <v>27</v>
      </c>
      <c r="B35" s="12" t="str">
        <f>IF(fieldcreatorv2!BX41&lt;&gt;"",fieldcreatorv2!BX41,"")</f>
        <v/>
      </c>
      <c r="C35" s="220"/>
      <c r="D35" s="216"/>
      <c r="E35" s="6" t="str">
        <f t="shared" si="11"/>
        <v/>
      </c>
      <c r="F35" s="12">
        <f>+IF(fieldcreatorv2!I41="si",1,0)</f>
        <v>0</v>
      </c>
      <c r="G35" s="12" t="str">
        <f>IF(fieldcreatorv2!E41="","",fieldcreatorv2!E41)</f>
        <v/>
      </c>
      <c r="H35" s="12">
        <v>27</v>
      </c>
      <c r="I35" s="61" t="str">
        <f t="shared" si="1"/>
        <v/>
      </c>
      <c r="J35" s="61" t="str">
        <f t="shared" si="2"/>
        <v/>
      </c>
      <c r="L35" s="12" t="str">
        <f t="shared" si="14"/>
        <v/>
      </c>
      <c r="M35" s="61">
        <f t="shared" si="8"/>
        <v>0</v>
      </c>
      <c r="N35" s="61">
        <f t="shared" si="9"/>
        <v>4</v>
      </c>
      <c r="O35" s="61" t="str">
        <f t="shared" si="4"/>
        <v/>
      </c>
      <c r="P35" s="12" t="str">
        <f t="shared" si="12"/>
        <v/>
      </c>
      <c r="Q35" s="12" t="str">
        <f t="shared" si="13"/>
        <v/>
      </c>
      <c r="R35" s="12" t="str">
        <f t="shared" si="15"/>
        <v/>
      </c>
      <c r="S35" s="214" t="str">
        <f t="shared" si="10"/>
        <v/>
      </c>
    </row>
    <row r="36" spans="1:19" hidden="1">
      <c r="A36" s="12">
        <v>28</v>
      </c>
      <c r="B36" s="12" t="str">
        <f>IF(fieldcreatorv2!BX42&lt;&gt;"",fieldcreatorv2!BX42,"")</f>
        <v/>
      </c>
      <c r="C36" s="220"/>
      <c r="D36" s="216"/>
      <c r="E36" s="6" t="str">
        <f t="shared" si="11"/>
        <v/>
      </c>
      <c r="F36" s="12">
        <f>+IF(fieldcreatorv2!I42="si",1,0)</f>
        <v>0</v>
      </c>
      <c r="G36" s="12" t="str">
        <f>IF(fieldcreatorv2!E42="","",fieldcreatorv2!E42)</f>
        <v/>
      </c>
      <c r="H36" s="12">
        <v>28</v>
      </c>
      <c r="I36" s="61" t="str">
        <f t="shared" si="1"/>
        <v/>
      </c>
      <c r="J36" s="61" t="str">
        <f t="shared" si="2"/>
        <v/>
      </c>
      <c r="L36" s="12" t="str">
        <f t="shared" si="14"/>
        <v/>
      </c>
      <c r="M36" s="61">
        <f t="shared" si="8"/>
        <v>0</v>
      </c>
      <c r="N36" s="61">
        <f t="shared" si="9"/>
        <v>4</v>
      </c>
      <c r="O36" s="61" t="str">
        <f t="shared" si="4"/>
        <v/>
      </c>
      <c r="P36" s="12" t="str">
        <f t="shared" si="12"/>
        <v/>
      </c>
      <c r="Q36" s="12" t="str">
        <f t="shared" si="13"/>
        <v/>
      </c>
      <c r="R36" s="12" t="str">
        <f t="shared" si="15"/>
        <v/>
      </c>
      <c r="S36" s="214" t="str">
        <f t="shared" si="10"/>
        <v/>
      </c>
    </row>
    <row r="37" spans="1:19" hidden="1">
      <c r="A37" s="12">
        <v>29</v>
      </c>
      <c r="B37" s="12" t="str">
        <f>IF(fieldcreatorv2!BX43&lt;&gt;"",fieldcreatorv2!BX43,"")</f>
        <v/>
      </c>
      <c r="C37" s="220"/>
      <c r="D37" s="216"/>
      <c r="E37" s="6" t="str">
        <f t="shared" si="11"/>
        <v/>
      </c>
      <c r="F37" s="12">
        <f>+IF(fieldcreatorv2!I43="si",1,0)</f>
        <v>0</v>
      </c>
      <c r="G37" s="12" t="str">
        <f>IF(fieldcreatorv2!E43="","",fieldcreatorv2!E43)</f>
        <v/>
      </c>
      <c r="H37" s="12">
        <v>29</v>
      </c>
      <c r="I37" s="61" t="str">
        <f t="shared" si="1"/>
        <v/>
      </c>
      <c r="J37" s="61" t="str">
        <f t="shared" si="2"/>
        <v/>
      </c>
      <c r="L37" s="12" t="str">
        <f t="shared" si="14"/>
        <v/>
      </c>
      <c r="M37" s="61">
        <f t="shared" si="8"/>
        <v>0</v>
      </c>
      <c r="N37" s="61">
        <f t="shared" si="9"/>
        <v>4</v>
      </c>
      <c r="O37" s="61" t="str">
        <f t="shared" si="4"/>
        <v/>
      </c>
      <c r="P37" s="12" t="str">
        <f t="shared" si="12"/>
        <v/>
      </c>
      <c r="Q37" s="12" t="str">
        <f t="shared" si="13"/>
        <v/>
      </c>
      <c r="R37" s="12" t="str">
        <f t="shared" si="15"/>
        <v/>
      </c>
      <c r="S37" s="214" t="str">
        <f t="shared" si="10"/>
        <v/>
      </c>
    </row>
    <row r="38" spans="1:19" hidden="1">
      <c r="A38" s="12">
        <v>30</v>
      </c>
      <c r="B38" s="12" t="str">
        <f>IF(fieldcreatorv2!BX44&lt;&gt;"",fieldcreatorv2!BX44,"")</f>
        <v/>
      </c>
      <c r="C38" s="220"/>
      <c r="D38" s="216"/>
      <c r="E38" s="6" t="str">
        <f t="shared" si="11"/>
        <v/>
      </c>
      <c r="F38" s="12">
        <f>+IF(fieldcreatorv2!I44="si",1,0)</f>
        <v>0</v>
      </c>
      <c r="G38" s="12" t="str">
        <f>IF(fieldcreatorv2!E44="","",fieldcreatorv2!E44)</f>
        <v/>
      </c>
      <c r="H38" s="12">
        <v>30</v>
      </c>
      <c r="I38" s="61" t="str">
        <f t="shared" si="1"/>
        <v/>
      </c>
      <c r="J38" s="61" t="str">
        <f t="shared" si="2"/>
        <v/>
      </c>
      <c r="L38" s="12" t="str">
        <f t="shared" si="14"/>
        <v/>
      </c>
      <c r="M38" s="61">
        <f t="shared" si="8"/>
        <v>0</v>
      </c>
      <c r="N38" s="61">
        <f t="shared" si="9"/>
        <v>4</v>
      </c>
      <c r="O38" s="61" t="str">
        <f t="shared" si="4"/>
        <v/>
      </c>
      <c r="P38" s="12" t="str">
        <f t="shared" si="12"/>
        <v/>
      </c>
      <c r="Q38" s="12" t="str">
        <f t="shared" si="13"/>
        <v/>
      </c>
      <c r="R38" s="12" t="str">
        <f t="shared" si="15"/>
        <v/>
      </c>
      <c r="S38" s="214" t="str">
        <f t="shared" si="10"/>
        <v/>
      </c>
    </row>
    <row r="39" spans="1:19" hidden="1">
      <c r="A39" s="12">
        <v>31</v>
      </c>
      <c r="B39" s="12" t="str">
        <f>IF(fieldcreatorv2!BX45&lt;&gt;"",fieldcreatorv2!BX45,"")</f>
        <v/>
      </c>
      <c r="C39" s="220"/>
      <c r="D39" s="216"/>
      <c r="E39" s="6" t="str">
        <f t="shared" si="11"/>
        <v/>
      </c>
      <c r="F39" s="12">
        <f>+IF(fieldcreatorv2!I45="si",1,0)</f>
        <v>0</v>
      </c>
      <c r="G39" s="12" t="str">
        <f>IF(fieldcreatorv2!E45="","",fieldcreatorv2!E45)</f>
        <v/>
      </c>
      <c r="H39" s="12">
        <v>31</v>
      </c>
      <c r="I39" s="61" t="str">
        <f t="shared" si="1"/>
        <v/>
      </c>
      <c r="J39" s="61" t="str">
        <f t="shared" si="2"/>
        <v/>
      </c>
      <c r="L39" s="12" t="str">
        <f t="shared" si="14"/>
        <v/>
      </c>
      <c r="M39" s="61">
        <f t="shared" si="8"/>
        <v>0</v>
      </c>
      <c r="N39" s="61">
        <f t="shared" si="9"/>
        <v>4</v>
      </c>
      <c r="O39" s="61" t="str">
        <f t="shared" si="4"/>
        <v/>
      </c>
      <c r="P39" s="12" t="str">
        <f t="shared" si="12"/>
        <v/>
      </c>
      <c r="Q39" s="12" t="str">
        <f t="shared" si="13"/>
        <v/>
      </c>
      <c r="R39" s="12" t="str">
        <f t="shared" si="15"/>
        <v/>
      </c>
      <c r="S39" s="214" t="str">
        <f t="shared" si="10"/>
        <v/>
      </c>
    </row>
    <row r="40" spans="1:19" hidden="1">
      <c r="A40" s="12">
        <v>32</v>
      </c>
      <c r="B40" s="12" t="str">
        <f>IF(fieldcreatorv2!BX46&lt;&gt;"",fieldcreatorv2!BX46,"")</f>
        <v/>
      </c>
      <c r="C40" s="220"/>
      <c r="D40" s="216"/>
      <c r="E40" s="6" t="str">
        <f t="shared" si="11"/>
        <v/>
      </c>
      <c r="F40" s="12">
        <f>+IF(fieldcreatorv2!I46="si",1,0)</f>
        <v>0</v>
      </c>
      <c r="G40" s="12" t="str">
        <f>IF(fieldcreatorv2!E46="","",fieldcreatorv2!E46)</f>
        <v/>
      </c>
      <c r="H40" s="12">
        <v>32</v>
      </c>
      <c r="I40" s="61" t="str">
        <f t="shared" si="1"/>
        <v/>
      </c>
      <c r="J40" s="61" t="str">
        <f t="shared" si="2"/>
        <v/>
      </c>
      <c r="L40" s="12" t="str">
        <f t="shared" si="14"/>
        <v/>
      </c>
      <c r="M40" s="61">
        <f t="shared" si="8"/>
        <v>0</v>
      </c>
      <c r="N40" s="61">
        <f t="shared" si="9"/>
        <v>4</v>
      </c>
      <c r="O40" s="61" t="str">
        <f t="shared" si="4"/>
        <v/>
      </c>
      <c r="P40" s="12" t="str">
        <f t="shared" si="12"/>
        <v/>
      </c>
      <c r="Q40" s="12" t="str">
        <f t="shared" si="13"/>
        <v/>
      </c>
      <c r="R40" s="12" t="str">
        <f t="shared" si="15"/>
        <v/>
      </c>
      <c r="S40" s="214" t="str">
        <f t="shared" si="10"/>
        <v/>
      </c>
    </row>
    <row r="41" spans="1:19" hidden="1">
      <c r="A41" s="12">
        <v>33</v>
      </c>
      <c r="B41" s="12" t="str">
        <f>IF(fieldcreatorv2!BX47&lt;&gt;"",fieldcreatorv2!BX47,"")</f>
        <v/>
      </c>
      <c r="C41" s="220"/>
      <c r="D41" s="216"/>
      <c r="E41" s="6" t="str">
        <f t="shared" si="11"/>
        <v/>
      </c>
      <c r="F41" s="12">
        <f>+IF(fieldcreatorv2!I47="si",1,0)</f>
        <v>0</v>
      </c>
      <c r="G41" s="12" t="str">
        <f>IF(fieldcreatorv2!E47="","",fieldcreatorv2!E47)</f>
        <v/>
      </c>
      <c r="H41" s="12">
        <v>33</v>
      </c>
      <c r="I41" s="61" t="str">
        <f t="shared" ref="I41:I72" si="16">IF(C41="yes",P41&amp;Q41&amp;R41&amp;S41,"")</f>
        <v/>
      </c>
      <c r="J41" s="61" t="str">
        <f t="shared" ref="J41:J72" si="17">IF(C41="yes",O41&amp;B41,"")</f>
        <v/>
      </c>
      <c r="L41" s="12" t="str">
        <f t="shared" si="14"/>
        <v/>
      </c>
      <c r="M41" s="61">
        <f t="shared" si="8"/>
        <v>0</v>
      </c>
      <c r="N41" s="61">
        <f t="shared" si="9"/>
        <v>4</v>
      </c>
      <c r="O41" s="61" t="str">
        <f t="shared" ref="O41:O72" si="18">+IF(AND(B41&lt;&gt;"",C41&lt;&gt;""),IF(N41&gt;1,"+",""),"")</f>
        <v/>
      </c>
      <c r="P41" s="12" t="str">
        <f t="shared" si="12"/>
        <v/>
      </c>
      <c r="Q41" s="12" t="str">
        <f t="shared" si="13"/>
        <v/>
      </c>
      <c r="R41" s="12" t="str">
        <f t="shared" si="15"/>
        <v/>
      </c>
      <c r="S41" s="214" t="str">
        <f t="shared" si="10"/>
        <v/>
      </c>
    </row>
    <row r="42" spans="1:19" hidden="1">
      <c r="A42" s="12">
        <v>34</v>
      </c>
      <c r="B42" s="12" t="str">
        <f>IF(fieldcreatorv2!BX48&lt;&gt;"",fieldcreatorv2!BX48,"")</f>
        <v/>
      </c>
      <c r="C42" s="220"/>
      <c r="D42" s="216"/>
      <c r="E42" s="6" t="str">
        <f t="shared" si="11"/>
        <v/>
      </c>
      <c r="F42" s="12">
        <f>+IF(fieldcreatorv2!I48="si",1,0)</f>
        <v>0</v>
      </c>
      <c r="G42" s="12" t="str">
        <f>IF(fieldcreatorv2!E48="","",fieldcreatorv2!E48)</f>
        <v/>
      </c>
      <c r="H42" s="12">
        <v>34</v>
      </c>
      <c r="I42" s="61" t="str">
        <f t="shared" si="16"/>
        <v/>
      </c>
      <c r="J42" s="61" t="str">
        <f t="shared" si="17"/>
        <v/>
      </c>
      <c r="L42" s="12" t="str">
        <f t="shared" si="14"/>
        <v/>
      </c>
      <c r="M42" s="61">
        <f t="shared" si="8"/>
        <v>0</v>
      </c>
      <c r="N42" s="61">
        <f t="shared" si="9"/>
        <v>4</v>
      </c>
      <c r="O42" s="61" t="str">
        <f t="shared" si="18"/>
        <v/>
      </c>
      <c r="P42" s="12" t="str">
        <f t="shared" si="12"/>
        <v/>
      </c>
      <c r="Q42" s="12" t="str">
        <f t="shared" si="13"/>
        <v/>
      </c>
      <c r="R42" s="12" t="str">
        <f t="shared" si="15"/>
        <v/>
      </c>
      <c r="S42" s="214" t="str">
        <f t="shared" ref="S42:S73" si="19">+IF(G42="radio",1,"")</f>
        <v/>
      </c>
    </row>
    <row r="43" spans="1:19" hidden="1">
      <c r="A43" s="12">
        <v>35</v>
      </c>
      <c r="B43" s="12" t="str">
        <f>IF(fieldcreatorv2!BX49&lt;&gt;"",fieldcreatorv2!BX49,"")</f>
        <v/>
      </c>
      <c r="C43" s="220"/>
      <c r="D43" s="216"/>
      <c r="E43" s="6" t="str">
        <f t="shared" si="11"/>
        <v/>
      </c>
      <c r="F43" s="12">
        <f>+IF(fieldcreatorv2!I49="si",1,0)</f>
        <v>0</v>
      </c>
      <c r="G43" s="12" t="str">
        <f>IF(fieldcreatorv2!E49="","",fieldcreatorv2!E49)</f>
        <v/>
      </c>
      <c r="H43" s="12">
        <v>35</v>
      </c>
      <c r="I43" s="61" t="str">
        <f t="shared" si="16"/>
        <v/>
      </c>
      <c r="J43" s="61" t="str">
        <f t="shared" si="17"/>
        <v/>
      </c>
      <c r="L43" s="12" t="str">
        <f t="shared" si="14"/>
        <v/>
      </c>
      <c r="M43" s="61">
        <f t="shared" si="8"/>
        <v>0</v>
      </c>
      <c r="N43" s="61">
        <f t="shared" si="9"/>
        <v>4</v>
      </c>
      <c r="O43" s="61" t="str">
        <f t="shared" si="18"/>
        <v/>
      </c>
      <c r="P43" s="12" t="str">
        <f t="shared" si="12"/>
        <v/>
      </c>
      <c r="Q43" s="12" t="str">
        <f t="shared" si="13"/>
        <v/>
      </c>
      <c r="R43" s="12" t="str">
        <f t="shared" si="15"/>
        <v/>
      </c>
      <c r="S43" s="214" t="str">
        <f t="shared" si="19"/>
        <v/>
      </c>
    </row>
    <row r="44" spans="1:19" hidden="1">
      <c r="A44" s="12">
        <v>36</v>
      </c>
      <c r="B44" s="12" t="str">
        <f>IF(fieldcreatorv2!BX50&lt;&gt;"",fieldcreatorv2!BX50,"")</f>
        <v/>
      </c>
      <c r="C44" s="220"/>
      <c r="D44" s="216"/>
      <c r="E44" s="6" t="str">
        <f t="shared" si="11"/>
        <v/>
      </c>
      <c r="F44" s="12">
        <f>+IF(fieldcreatorv2!I50="si",1,0)</f>
        <v>0</v>
      </c>
      <c r="G44" s="12" t="str">
        <f>IF(fieldcreatorv2!E50="","",fieldcreatorv2!E50)</f>
        <v/>
      </c>
      <c r="H44" s="12">
        <v>36</v>
      </c>
      <c r="I44" s="61" t="str">
        <f t="shared" si="16"/>
        <v/>
      </c>
      <c r="J44" s="61" t="str">
        <f t="shared" si="17"/>
        <v/>
      </c>
      <c r="L44" s="12" t="str">
        <f t="shared" si="14"/>
        <v/>
      </c>
      <c r="M44" s="61">
        <f t="shared" si="8"/>
        <v>0</v>
      </c>
      <c r="N44" s="61">
        <f t="shared" si="9"/>
        <v>4</v>
      </c>
      <c r="O44" s="61" t="str">
        <f t="shared" si="18"/>
        <v/>
      </c>
      <c r="P44" s="12" t="str">
        <f t="shared" si="12"/>
        <v/>
      </c>
      <c r="Q44" s="12" t="str">
        <f t="shared" si="13"/>
        <v/>
      </c>
      <c r="R44" s="12" t="str">
        <f t="shared" si="15"/>
        <v/>
      </c>
      <c r="S44" s="214" t="str">
        <f t="shared" si="19"/>
        <v/>
      </c>
    </row>
    <row r="45" spans="1:19" hidden="1">
      <c r="A45" s="12">
        <v>37</v>
      </c>
      <c r="B45" s="12" t="str">
        <f>IF(fieldcreatorv2!BX51&lt;&gt;"",fieldcreatorv2!BX51,"")</f>
        <v/>
      </c>
      <c r="C45" s="220"/>
      <c r="D45" s="216"/>
      <c r="E45" s="6" t="str">
        <f t="shared" si="11"/>
        <v/>
      </c>
      <c r="F45" s="12">
        <f>+IF(fieldcreatorv2!I51="si",1,0)</f>
        <v>0</v>
      </c>
      <c r="G45" s="12" t="str">
        <f>IF(fieldcreatorv2!E51="","",fieldcreatorv2!E51)</f>
        <v/>
      </c>
      <c r="H45" s="12">
        <v>37</v>
      </c>
      <c r="I45" s="61" t="str">
        <f t="shared" si="16"/>
        <v/>
      </c>
      <c r="J45" s="61" t="str">
        <f t="shared" si="17"/>
        <v/>
      </c>
      <c r="L45" s="12" t="str">
        <f t="shared" si="14"/>
        <v/>
      </c>
      <c r="M45" s="61">
        <f t="shared" si="8"/>
        <v>0</v>
      </c>
      <c r="N45" s="61">
        <f t="shared" si="9"/>
        <v>4</v>
      </c>
      <c r="O45" s="61" t="str">
        <f t="shared" si="18"/>
        <v/>
      </c>
      <c r="P45" s="12" t="str">
        <f t="shared" si="12"/>
        <v/>
      </c>
      <c r="Q45" s="12" t="str">
        <f t="shared" si="13"/>
        <v/>
      </c>
      <c r="R45" s="12" t="str">
        <f t="shared" si="15"/>
        <v/>
      </c>
      <c r="S45" s="214" t="str">
        <f t="shared" si="19"/>
        <v/>
      </c>
    </row>
    <row r="46" spans="1:19" hidden="1">
      <c r="A46" s="12">
        <v>38</v>
      </c>
      <c r="B46" s="12" t="str">
        <f>IF(fieldcreatorv2!BX52&lt;&gt;"",fieldcreatorv2!BX52,"")</f>
        <v/>
      </c>
      <c r="C46" s="220"/>
      <c r="D46" s="216"/>
      <c r="E46" s="6" t="str">
        <f t="shared" si="11"/>
        <v/>
      </c>
      <c r="F46" s="12">
        <f>+IF(fieldcreatorv2!I52="si",1,0)</f>
        <v>0</v>
      </c>
      <c r="G46" s="12" t="str">
        <f>IF(fieldcreatorv2!E52="","",fieldcreatorv2!E52)</f>
        <v/>
      </c>
      <c r="H46" s="12">
        <v>38</v>
      </c>
      <c r="I46" s="61" t="str">
        <f t="shared" si="16"/>
        <v/>
      </c>
      <c r="J46" s="61" t="str">
        <f t="shared" si="17"/>
        <v/>
      </c>
      <c r="L46" s="12" t="str">
        <f t="shared" si="14"/>
        <v/>
      </c>
      <c r="M46" s="61">
        <f t="shared" si="8"/>
        <v>0</v>
      </c>
      <c r="N46" s="61">
        <f t="shared" si="9"/>
        <v>4</v>
      </c>
      <c r="O46" s="61" t="str">
        <f t="shared" si="18"/>
        <v/>
      </c>
      <c r="P46" s="12" t="str">
        <f t="shared" si="12"/>
        <v/>
      </c>
      <c r="Q46" s="12" t="str">
        <f t="shared" si="13"/>
        <v/>
      </c>
      <c r="R46" s="12" t="str">
        <f t="shared" si="15"/>
        <v/>
      </c>
      <c r="S46" s="214" t="str">
        <f t="shared" si="19"/>
        <v/>
      </c>
    </row>
    <row r="47" spans="1:19" hidden="1">
      <c r="A47" s="12">
        <v>39</v>
      </c>
      <c r="B47" s="12" t="str">
        <f>IF(fieldcreatorv2!BX53&lt;&gt;"",fieldcreatorv2!BX53,"")</f>
        <v/>
      </c>
      <c r="C47" s="220"/>
      <c r="D47" s="216"/>
      <c r="E47" s="6" t="str">
        <f t="shared" si="11"/>
        <v/>
      </c>
      <c r="F47" s="12">
        <f>+IF(fieldcreatorv2!I53="si",1,0)</f>
        <v>0</v>
      </c>
      <c r="G47" s="12" t="str">
        <f>IF(fieldcreatorv2!E53="","",fieldcreatorv2!E53)</f>
        <v/>
      </c>
      <c r="H47" s="12">
        <v>39</v>
      </c>
      <c r="I47" s="61" t="str">
        <f t="shared" si="16"/>
        <v/>
      </c>
      <c r="J47" s="61" t="str">
        <f t="shared" si="17"/>
        <v/>
      </c>
      <c r="L47" s="12" t="str">
        <f t="shared" si="14"/>
        <v/>
      </c>
      <c r="M47" s="61">
        <f t="shared" si="8"/>
        <v>0</v>
      </c>
      <c r="N47" s="61">
        <f t="shared" si="9"/>
        <v>4</v>
      </c>
      <c r="O47" s="61" t="str">
        <f t="shared" si="18"/>
        <v/>
      </c>
      <c r="P47" s="12" t="str">
        <f t="shared" si="12"/>
        <v/>
      </c>
      <c r="Q47" s="12" t="str">
        <f t="shared" si="13"/>
        <v/>
      </c>
      <c r="R47" s="12" t="str">
        <f t="shared" si="15"/>
        <v/>
      </c>
      <c r="S47" s="214" t="str">
        <f t="shared" si="19"/>
        <v/>
      </c>
    </row>
    <row r="48" spans="1:19" hidden="1">
      <c r="A48" s="12">
        <v>40</v>
      </c>
      <c r="B48" s="12" t="str">
        <f>IF(fieldcreatorv2!BX54&lt;&gt;"",fieldcreatorv2!BX54,"")</f>
        <v/>
      </c>
      <c r="C48" s="220"/>
      <c r="D48" s="216"/>
      <c r="E48" s="6" t="str">
        <f t="shared" si="11"/>
        <v/>
      </c>
      <c r="F48" s="12">
        <f>+IF(fieldcreatorv2!I54="si",1,0)</f>
        <v>0</v>
      </c>
      <c r="G48" s="12" t="str">
        <f>IF(fieldcreatorv2!E54="","",fieldcreatorv2!E54)</f>
        <v/>
      </c>
      <c r="H48" s="12">
        <v>40</v>
      </c>
      <c r="I48" s="61" t="str">
        <f t="shared" si="16"/>
        <v/>
      </c>
      <c r="J48" s="61" t="str">
        <f t="shared" si="17"/>
        <v/>
      </c>
      <c r="L48" s="12" t="str">
        <f t="shared" si="14"/>
        <v/>
      </c>
      <c r="M48" s="61">
        <f t="shared" si="8"/>
        <v>0</v>
      </c>
      <c r="N48" s="61">
        <f t="shared" si="9"/>
        <v>4</v>
      </c>
      <c r="O48" s="61" t="str">
        <f t="shared" si="18"/>
        <v/>
      </c>
      <c r="P48" s="12" t="str">
        <f t="shared" si="12"/>
        <v/>
      </c>
      <c r="Q48" s="12" t="str">
        <f t="shared" si="13"/>
        <v/>
      </c>
      <c r="R48" s="12" t="str">
        <f t="shared" si="15"/>
        <v/>
      </c>
      <c r="S48" s="214" t="str">
        <f t="shared" si="19"/>
        <v/>
      </c>
    </row>
    <row r="49" spans="1:19" hidden="1">
      <c r="A49" s="12">
        <v>41</v>
      </c>
      <c r="B49" s="12" t="str">
        <f>IF(fieldcreatorv2!BX55&lt;&gt;"",fieldcreatorv2!BX55,"")</f>
        <v/>
      </c>
      <c r="C49" s="220"/>
      <c r="D49" s="216"/>
      <c r="E49" s="6" t="str">
        <f t="shared" si="11"/>
        <v/>
      </c>
      <c r="F49" s="12">
        <f>+IF(fieldcreatorv2!I55="si",1,0)</f>
        <v>0</v>
      </c>
      <c r="G49" s="12" t="str">
        <f>IF(fieldcreatorv2!E55="","",fieldcreatorv2!E55)</f>
        <v/>
      </c>
      <c r="H49" s="12">
        <v>41</v>
      </c>
      <c r="I49" s="61" t="str">
        <f t="shared" si="16"/>
        <v/>
      </c>
      <c r="J49" s="61" t="str">
        <f t="shared" si="17"/>
        <v/>
      </c>
      <c r="L49" s="12" t="str">
        <f t="shared" si="14"/>
        <v/>
      </c>
      <c r="M49" s="61">
        <f t="shared" si="8"/>
        <v>0</v>
      </c>
      <c r="N49" s="61">
        <f t="shared" si="9"/>
        <v>4</v>
      </c>
      <c r="O49" s="61" t="str">
        <f t="shared" si="18"/>
        <v/>
      </c>
      <c r="P49" s="12" t="str">
        <f t="shared" si="12"/>
        <v/>
      </c>
      <c r="Q49" s="12" t="str">
        <f t="shared" si="13"/>
        <v/>
      </c>
      <c r="R49" s="12" t="str">
        <f t="shared" si="15"/>
        <v/>
      </c>
      <c r="S49" s="214" t="str">
        <f t="shared" si="19"/>
        <v/>
      </c>
    </row>
    <row r="50" spans="1:19" hidden="1">
      <c r="A50" s="12">
        <v>42</v>
      </c>
      <c r="B50" s="12" t="str">
        <f>IF(fieldcreatorv2!BX56&lt;&gt;"",fieldcreatorv2!BX56,"")</f>
        <v/>
      </c>
      <c r="C50" s="220"/>
      <c r="D50" s="216"/>
      <c r="E50" s="6" t="str">
        <f t="shared" si="11"/>
        <v/>
      </c>
      <c r="F50" s="12">
        <f>+IF(fieldcreatorv2!I56="si",1,0)</f>
        <v>0</v>
      </c>
      <c r="G50" s="12" t="str">
        <f>IF(fieldcreatorv2!E56="","",fieldcreatorv2!E56)</f>
        <v/>
      </c>
      <c r="H50" s="12">
        <v>42</v>
      </c>
      <c r="I50" s="61" t="str">
        <f t="shared" si="16"/>
        <v/>
      </c>
      <c r="J50" s="61" t="str">
        <f t="shared" si="17"/>
        <v/>
      </c>
      <c r="L50" s="12" t="str">
        <f t="shared" si="14"/>
        <v/>
      </c>
      <c r="M50" s="61">
        <f t="shared" si="8"/>
        <v>0</v>
      </c>
      <c r="N50" s="61">
        <f t="shared" si="9"/>
        <v>4</v>
      </c>
      <c r="O50" s="61" t="str">
        <f t="shared" si="18"/>
        <v/>
      </c>
      <c r="P50" s="12" t="str">
        <f t="shared" si="12"/>
        <v/>
      </c>
      <c r="Q50" s="12" t="str">
        <f t="shared" si="13"/>
        <v/>
      </c>
      <c r="R50" s="12" t="str">
        <f t="shared" si="15"/>
        <v/>
      </c>
      <c r="S50" s="214" t="str">
        <f t="shared" si="19"/>
        <v/>
      </c>
    </row>
    <row r="51" spans="1:19" hidden="1">
      <c r="A51" s="12">
        <v>43</v>
      </c>
      <c r="B51" s="12" t="str">
        <f>IF(fieldcreatorv2!BX57&lt;&gt;"",fieldcreatorv2!BX57,"")</f>
        <v/>
      </c>
      <c r="C51" s="220"/>
      <c r="D51" s="216"/>
      <c r="E51" s="6" t="str">
        <f t="shared" si="11"/>
        <v/>
      </c>
      <c r="F51" s="12">
        <f>+IF(fieldcreatorv2!I57="si",1,0)</f>
        <v>0</v>
      </c>
      <c r="G51" s="12" t="str">
        <f>IF(fieldcreatorv2!E57="","",fieldcreatorv2!E57)</f>
        <v/>
      </c>
      <c r="H51" s="12">
        <v>43</v>
      </c>
      <c r="I51" s="61" t="str">
        <f t="shared" si="16"/>
        <v/>
      </c>
      <c r="J51" s="61" t="str">
        <f t="shared" si="17"/>
        <v/>
      </c>
      <c r="L51" s="12" t="str">
        <f t="shared" si="14"/>
        <v/>
      </c>
      <c r="M51" s="61">
        <f t="shared" si="8"/>
        <v>0</v>
      </c>
      <c r="N51" s="61">
        <f t="shared" si="9"/>
        <v>4</v>
      </c>
      <c r="O51" s="61" t="str">
        <f t="shared" si="18"/>
        <v/>
      </c>
      <c r="P51" s="12" t="str">
        <f t="shared" si="12"/>
        <v/>
      </c>
      <c r="Q51" s="12" t="str">
        <f t="shared" si="13"/>
        <v/>
      </c>
      <c r="R51" s="12" t="str">
        <f t="shared" si="15"/>
        <v/>
      </c>
      <c r="S51" s="214" t="str">
        <f t="shared" si="19"/>
        <v/>
      </c>
    </row>
    <row r="52" spans="1:19" hidden="1">
      <c r="A52" s="12">
        <v>44</v>
      </c>
      <c r="B52" s="12" t="str">
        <f>IF(fieldcreatorv2!BX58&lt;&gt;"",fieldcreatorv2!BX58,"")</f>
        <v/>
      </c>
      <c r="C52" s="220"/>
      <c r="D52" s="216"/>
      <c r="E52" s="6" t="str">
        <f t="shared" si="11"/>
        <v/>
      </c>
      <c r="F52" s="12">
        <f>+IF(fieldcreatorv2!I58="si",1,0)</f>
        <v>0</v>
      </c>
      <c r="G52" s="12" t="str">
        <f>IF(fieldcreatorv2!E58="","",fieldcreatorv2!E58)</f>
        <v/>
      </c>
      <c r="H52" s="12">
        <v>44</v>
      </c>
      <c r="I52" s="61" t="str">
        <f t="shared" si="16"/>
        <v/>
      </c>
      <c r="J52" s="61" t="str">
        <f t="shared" si="17"/>
        <v/>
      </c>
      <c r="L52" s="12" t="str">
        <f t="shared" si="14"/>
        <v/>
      </c>
      <c r="M52" s="61">
        <f t="shared" si="8"/>
        <v>0</v>
      </c>
      <c r="N52" s="61">
        <f t="shared" si="9"/>
        <v>4</v>
      </c>
      <c r="O52" s="61" t="str">
        <f t="shared" si="18"/>
        <v/>
      </c>
      <c r="P52" s="12" t="str">
        <f t="shared" si="12"/>
        <v/>
      </c>
      <c r="Q52" s="12" t="str">
        <f t="shared" si="13"/>
        <v/>
      </c>
      <c r="R52" s="12" t="str">
        <f t="shared" si="15"/>
        <v/>
      </c>
      <c r="S52" s="214" t="str">
        <f t="shared" si="19"/>
        <v/>
      </c>
    </row>
    <row r="53" spans="1:19" hidden="1">
      <c r="A53" s="12">
        <v>45</v>
      </c>
      <c r="B53" s="12" t="str">
        <f>IF(fieldcreatorv2!BX59&lt;&gt;"",fieldcreatorv2!BX59,"")</f>
        <v/>
      </c>
      <c r="C53" s="220"/>
      <c r="D53" s="216"/>
      <c r="E53" s="6" t="str">
        <f t="shared" si="11"/>
        <v/>
      </c>
      <c r="F53" s="12">
        <f>+IF(fieldcreatorv2!I59="si",1,0)</f>
        <v>0</v>
      </c>
      <c r="G53" s="12" t="str">
        <f>IF(fieldcreatorv2!E59="","",fieldcreatorv2!E59)</f>
        <v/>
      </c>
      <c r="H53" s="12">
        <v>45</v>
      </c>
      <c r="I53" s="61" t="str">
        <f t="shared" si="16"/>
        <v/>
      </c>
      <c r="J53" s="61" t="str">
        <f t="shared" si="17"/>
        <v/>
      </c>
      <c r="L53" s="12" t="str">
        <f t="shared" si="14"/>
        <v/>
      </c>
      <c r="M53" s="61">
        <f t="shared" si="8"/>
        <v>0</v>
      </c>
      <c r="N53" s="61">
        <f t="shared" si="9"/>
        <v>4</v>
      </c>
      <c r="O53" s="61" t="str">
        <f t="shared" si="18"/>
        <v/>
      </c>
      <c r="P53" s="12" t="str">
        <f t="shared" si="12"/>
        <v/>
      </c>
      <c r="Q53" s="12" t="str">
        <f t="shared" si="13"/>
        <v/>
      </c>
      <c r="R53" s="12" t="str">
        <f t="shared" si="15"/>
        <v/>
      </c>
      <c r="S53" s="214" t="str">
        <f t="shared" si="19"/>
        <v/>
      </c>
    </row>
    <row r="54" spans="1:19" hidden="1">
      <c r="A54" s="12">
        <v>46</v>
      </c>
      <c r="B54" s="12" t="str">
        <f>IF(fieldcreatorv2!BX60&lt;&gt;"",fieldcreatorv2!BX60,"")</f>
        <v/>
      </c>
      <c r="C54" s="220"/>
      <c r="D54" s="216"/>
      <c r="E54" s="6" t="str">
        <f t="shared" si="11"/>
        <v/>
      </c>
      <c r="F54" s="12">
        <f>+IF(fieldcreatorv2!I60="si",1,0)</f>
        <v>0</v>
      </c>
      <c r="G54" s="12" t="str">
        <f>IF(fieldcreatorv2!E60="","",fieldcreatorv2!E60)</f>
        <v/>
      </c>
      <c r="H54" s="12">
        <v>46</v>
      </c>
      <c r="I54" s="61" t="str">
        <f t="shared" si="16"/>
        <v/>
      </c>
      <c r="J54" s="61" t="str">
        <f t="shared" si="17"/>
        <v/>
      </c>
      <c r="L54" s="12" t="str">
        <f t="shared" si="14"/>
        <v/>
      </c>
      <c r="M54" s="61">
        <f t="shared" si="8"/>
        <v>0</v>
      </c>
      <c r="N54" s="61">
        <f t="shared" si="9"/>
        <v>4</v>
      </c>
      <c r="O54" s="61" t="str">
        <f t="shared" si="18"/>
        <v/>
      </c>
      <c r="P54" s="12" t="str">
        <f t="shared" si="12"/>
        <v/>
      </c>
      <c r="Q54" s="12" t="str">
        <f t="shared" si="13"/>
        <v/>
      </c>
      <c r="R54" s="12" t="str">
        <f t="shared" si="15"/>
        <v/>
      </c>
      <c r="S54" s="214" t="str">
        <f t="shared" si="19"/>
        <v/>
      </c>
    </row>
    <row r="55" spans="1:19" hidden="1">
      <c r="A55" s="12">
        <v>47</v>
      </c>
      <c r="B55" s="12" t="str">
        <f>IF(fieldcreatorv2!BX61&lt;&gt;"",fieldcreatorv2!BX61,"")</f>
        <v/>
      </c>
      <c r="C55" s="220"/>
      <c r="D55" s="216"/>
      <c r="E55" s="6" t="str">
        <f t="shared" si="11"/>
        <v/>
      </c>
      <c r="F55" s="12">
        <f>+IF(fieldcreatorv2!I61="si",1,0)</f>
        <v>0</v>
      </c>
      <c r="G55" s="12" t="str">
        <f>IF(fieldcreatorv2!E61="","",fieldcreatorv2!E61)</f>
        <v/>
      </c>
      <c r="H55" s="12">
        <v>47</v>
      </c>
      <c r="I55" s="61" t="str">
        <f t="shared" si="16"/>
        <v/>
      </c>
      <c r="J55" s="61" t="str">
        <f t="shared" si="17"/>
        <v/>
      </c>
      <c r="L55" s="12" t="str">
        <f t="shared" si="14"/>
        <v/>
      </c>
      <c r="M55" s="61">
        <f t="shared" si="8"/>
        <v>0</v>
      </c>
      <c r="N55" s="61">
        <f t="shared" si="9"/>
        <v>4</v>
      </c>
      <c r="O55" s="61" t="str">
        <f t="shared" si="18"/>
        <v/>
      </c>
      <c r="P55" s="12" t="str">
        <f t="shared" si="12"/>
        <v/>
      </c>
      <c r="Q55" s="12" t="str">
        <f t="shared" si="13"/>
        <v/>
      </c>
      <c r="R55" s="12" t="str">
        <f t="shared" si="15"/>
        <v/>
      </c>
      <c r="S55" s="214" t="str">
        <f t="shared" si="19"/>
        <v/>
      </c>
    </row>
    <row r="56" spans="1:19" hidden="1">
      <c r="A56" s="12">
        <v>48</v>
      </c>
      <c r="B56" s="12" t="str">
        <f>IF(fieldcreatorv2!BX62&lt;&gt;"",fieldcreatorv2!BX62,"")</f>
        <v/>
      </c>
      <c r="C56" s="220"/>
      <c r="D56" s="216"/>
      <c r="E56" s="6" t="str">
        <f t="shared" si="11"/>
        <v/>
      </c>
      <c r="F56" s="12">
        <f>+IF(fieldcreatorv2!I62="si",1,0)</f>
        <v>0</v>
      </c>
      <c r="G56" s="12" t="str">
        <f>IF(fieldcreatorv2!E62="","",fieldcreatorv2!E62)</f>
        <v/>
      </c>
      <c r="H56" s="12">
        <v>48</v>
      </c>
      <c r="I56" s="61" t="str">
        <f t="shared" si="16"/>
        <v/>
      </c>
      <c r="J56" s="61" t="str">
        <f t="shared" si="17"/>
        <v/>
      </c>
      <c r="L56" s="12" t="str">
        <f t="shared" si="14"/>
        <v/>
      </c>
      <c r="M56" s="61">
        <f t="shared" si="8"/>
        <v>0</v>
      </c>
      <c r="N56" s="61">
        <f t="shared" si="9"/>
        <v>4</v>
      </c>
      <c r="O56" s="61" t="str">
        <f t="shared" si="18"/>
        <v/>
      </c>
      <c r="P56" s="12" t="str">
        <f t="shared" si="12"/>
        <v/>
      </c>
      <c r="Q56" s="12" t="str">
        <f t="shared" si="13"/>
        <v/>
      </c>
      <c r="R56" s="12" t="str">
        <f t="shared" si="15"/>
        <v/>
      </c>
      <c r="S56" s="214" t="str">
        <f t="shared" si="19"/>
        <v/>
      </c>
    </row>
    <row r="57" spans="1:19" hidden="1">
      <c r="A57" s="12">
        <v>49</v>
      </c>
      <c r="B57" s="12" t="str">
        <f>IF(fieldcreatorv2!BX63&lt;&gt;"",fieldcreatorv2!BX63,"")</f>
        <v/>
      </c>
      <c r="C57" s="220"/>
      <c r="D57" s="216"/>
      <c r="E57" s="6" t="str">
        <f t="shared" si="11"/>
        <v/>
      </c>
      <c r="F57" s="12">
        <f>+IF(fieldcreatorv2!I63="si",1,0)</f>
        <v>0</v>
      </c>
      <c r="G57" s="12" t="str">
        <f>IF(fieldcreatorv2!E63="","",fieldcreatorv2!E63)</f>
        <v/>
      </c>
      <c r="H57" s="12">
        <v>49</v>
      </c>
      <c r="I57" s="61" t="str">
        <f t="shared" si="16"/>
        <v/>
      </c>
      <c r="J57" s="61" t="str">
        <f t="shared" si="17"/>
        <v/>
      </c>
      <c r="L57" s="12" t="str">
        <f t="shared" si="14"/>
        <v/>
      </c>
      <c r="M57" s="61">
        <f t="shared" si="8"/>
        <v>0</v>
      </c>
      <c r="N57" s="61">
        <f t="shared" si="9"/>
        <v>4</v>
      </c>
      <c r="O57" s="61" t="str">
        <f t="shared" si="18"/>
        <v/>
      </c>
      <c r="P57" s="12" t="str">
        <f t="shared" si="12"/>
        <v/>
      </c>
      <c r="Q57" s="12" t="str">
        <f t="shared" si="13"/>
        <v/>
      </c>
      <c r="R57" s="12" t="str">
        <f t="shared" si="15"/>
        <v/>
      </c>
      <c r="S57" s="214" t="str">
        <f t="shared" si="19"/>
        <v/>
      </c>
    </row>
    <row r="58" spans="1:19" hidden="1">
      <c r="A58" s="12">
        <v>50</v>
      </c>
      <c r="B58" s="12" t="str">
        <f>IF(fieldcreatorv2!BX64&lt;&gt;"",fieldcreatorv2!BX64,"")</f>
        <v/>
      </c>
      <c r="C58" s="220"/>
      <c r="D58" s="216"/>
      <c r="E58" s="6" t="str">
        <f t="shared" si="11"/>
        <v/>
      </c>
      <c r="F58" s="12">
        <f>+IF(fieldcreatorv2!I64="si",1,0)</f>
        <v>0</v>
      </c>
      <c r="G58" s="12" t="str">
        <f>IF(fieldcreatorv2!E64="","",fieldcreatorv2!E64)</f>
        <v/>
      </c>
      <c r="H58" s="12">
        <v>50</v>
      </c>
      <c r="I58" s="61" t="str">
        <f t="shared" si="16"/>
        <v/>
      </c>
      <c r="J58" s="61" t="str">
        <f t="shared" si="17"/>
        <v/>
      </c>
      <c r="L58" s="12" t="str">
        <f t="shared" si="14"/>
        <v/>
      </c>
      <c r="M58" s="61">
        <f t="shared" si="8"/>
        <v>0</v>
      </c>
      <c r="N58" s="61">
        <f t="shared" si="9"/>
        <v>4</v>
      </c>
      <c r="O58" s="61" t="str">
        <f t="shared" si="18"/>
        <v/>
      </c>
      <c r="P58" s="12" t="str">
        <f t="shared" si="12"/>
        <v/>
      </c>
      <c r="Q58" s="12" t="str">
        <f t="shared" si="13"/>
        <v/>
      </c>
      <c r="R58" s="12" t="str">
        <f t="shared" si="15"/>
        <v/>
      </c>
      <c r="S58" s="214" t="str">
        <f t="shared" si="19"/>
        <v/>
      </c>
    </row>
    <row r="59" spans="1:19" hidden="1">
      <c r="A59" s="12">
        <v>51</v>
      </c>
      <c r="B59" s="12" t="str">
        <f>IF(fieldcreatorv2!BX65&lt;&gt;"",fieldcreatorv2!BX65,"")</f>
        <v/>
      </c>
      <c r="C59" s="220"/>
      <c r="D59" s="216"/>
      <c r="E59" s="6" t="str">
        <f t="shared" si="11"/>
        <v/>
      </c>
      <c r="F59" s="12">
        <f>+IF(fieldcreatorv2!I65="si",1,0)</f>
        <v>0</v>
      </c>
      <c r="G59" s="12" t="str">
        <f>IF(fieldcreatorv2!E65="","",fieldcreatorv2!E65)</f>
        <v/>
      </c>
      <c r="H59" s="12">
        <v>51</v>
      </c>
      <c r="I59" s="61" t="str">
        <f t="shared" si="16"/>
        <v/>
      </c>
      <c r="J59" s="61" t="str">
        <f t="shared" si="17"/>
        <v/>
      </c>
      <c r="L59" s="12" t="str">
        <f t="shared" si="14"/>
        <v/>
      </c>
      <c r="M59" s="61">
        <f t="shared" si="8"/>
        <v>0</v>
      </c>
      <c r="N59" s="61">
        <f t="shared" si="9"/>
        <v>4</v>
      </c>
      <c r="O59" s="61" t="str">
        <f t="shared" si="18"/>
        <v/>
      </c>
      <c r="P59" s="12" t="str">
        <f t="shared" si="12"/>
        <v/>
      </c>
      <c r="Q59" s="12" t="str">
        <f t="shared" si="13"/>
        <v/>
      </c>
      <c r="R59" s="12" t="str">
        <f t="shared" si="15"/>
        <v/>
      </c>
      <c r="S59" s="214" t="str">
        <f t="shared" si="19"/>
        <v/>
      </c>
    </row>
    <row r="60" spans="1:19" hidden="1">
      <c r="A60" s="12">
        <v>52</v>
      </c>
      <c r="B60" s="12" t="str">
        <f>IF(fieldcreatorv2!BX66&lt;&gt;"",fieldcreatorv2!BX66,"")</f>
        <v/>
      </c>
      <c r="C60" s="220"/>
      <c r="D60" s="216"/>
      <c r="E60" s="6" t="str">
        <f t="shared" si="11"/>
        <v/>
      </c>
      <c r="F60" s="12">
        <f>+IF(fieldcreatorv2!I66="si",1,0)</f>
        <v>0</v>
      </c>
      <c r="G60" s="12" t="str">
        <f>IF(fieldcreatorv2!E66="","",fieldcreatorv2!E66)</f>
        <v/>
      </c>
      <c r="H60" s="12">
        <v>52</v>
      </c>
      <c r="I60" s="61" t="str">
        <f t="shared" si="16"/>
        <v/>
      </c>
      <c r="J60" s="61" t="str">
        <f t="shared" si="17"/>
        <v/>
      </c>
      <c r="L60" s="12" t="str">
        <f t="shared" si="14"/>
        <v/>
      </c>
      <c r="M60" s="61">
        <f t="shared" si="8"/>
        <v>0</v>
      </c>
      <c r="N60" s="61">
        <f t="shared" si="9"/>
        <v>4</v>
      </c>
      <c r="O60" s="61" t="str">
        <f t="shared" si="18"/>
        <v/>
      </c>
      <c r="P60" s="12" t="str">
        <f t="shared" si="12"/>
        <v/>
      </c>
      <c r="Q60" s="12" t="str">
        <f t="shared" si="13"/>
        <v/>
      </c>
      <c r="R60" s="12" t="str">
        <f t="shared" si="15"/>
        <v/>
      </c>
      <c r="S60" s="214" t="str">
        <f t="shared" si="19"/>
        <v/>
      </c>
    </row>
    <row r="61" spans="1:19" hidden="1">
      <c r="A61" s="12">
        <v>53</v>
      </c>
      <c r="B61" s="12" t="str">
        <f>IF(fieldcreatorv2!BX67&lt;&gt;"",fieldcreatorv2!BX67,"")</f>
        <v/>
      </c>
      <c r="C61" s="220"/>
      <c r="D61" s="216"/>
      <c r="E61" s="6" t="str">
        <f t="shared" si="11"/>
        <v/>
      </c>
      <c r="F61" s="12">
        <f>+IF(fieldcreatorv2!I67="si",1,0)</f>
        <v>0</v>
      </c>
      <c r="G61" s="12" t="str">
        <f>IF(fieldcreatorv2!E67="","",fieldcreatorv2!E67)</f>
        <v/>
      </c>
      <c r="H61" s="12">
        <v>53</v>
      </c>
      <c r="I61" s="61" t="str">
        <f t="shared" si="16"/>
        <v/>
      </c>
      <c r="J61" s="61" t="str">
        <f t="shared" si="17"/>
        <v/>
      </c>
      <c r="L61" s="12" t="str">
        <f t="shared" si="14"/>
        <v/>
      </c>
      <c r="M61" s="61">
        <f t="shared" si="8"/>
        <v>0</v>
      </c>
      <c r="N61" s="61">
        <f t="shared" si="9"/>
        <v>4</v>
      </c>
      <c r="O61" s="61" t="str">
        <f t="shared" si="18"/>
        <v/>
      </c>
      <c r="P61" s="12" t="str">
        <f t="shared" si="12"/>
        <v/>
      </c>
      <c r="Q61" s="12" t="str">
        <f t="shared" si="13"/>
        <v/>
      </c>
      <c r="R61" s="12" t="str">
        <f t="shared" si="15"/>
        <v/>
      </c>
      <c r="S61" s="214" t="str">
        <f t="shared" si="19"/>
        <v/>
      </c>
    </row>
    <row r="62" spans="1:19" hidden="1">
      <c r="A62" s="12">
        <v>54</v>
      </c>
      <c r="B62" s="12" t="str">
        <f>IF(fieldcreatorv2!BX68&lt;&gt;"",fieldcreatorv2!BX68,"")</f>
        <v/>
      </c>
      <c r="C62" s="220"/>
      <c r="D62" s="216"/>
      <c r="E62" s="6" t="str">
        <f t="shared" si="11"/>
        <v/>
      </c>
      <c r="F62" s="12">
        <f>+IF(fieldcreatorv2!I68="si",1,0)</f>
        <v>0</v>
      </c>
      <c r="G62" s="12" t="str">
        <f>IF(fieldcreatorv2!E68="","",fieldcreatorv2!E68)</f>
        <v/>
      </c>
      <c r="H62" s="12">
        <v>54</v>
      </c>
      <c r="I62" s="61" t="str">
        <f t="shared" si="16"/>
        <v/>
      </c>
      <c r="J62" s="61" t="str">
        <f t="shared" si="17"/>
        <v/>
      </c>
      <c r="L62" s="12" t="str">
        <f t="shared" si="14"/>
        <v/>
      </c>
      <c r="M62" s="61">
        <f t="shared" si="8"/>
        <v>0</v>
      </c>
      <c r="N62" s="61">
        <f t="shared" si="9"/>
        <v>4</v>
      </c>
      <c r="O62" s="61" t="str">
        <f t="shared" si="18"/>
        <v/>
      </c>
      <c r="P62" s="12" t="str">
        <f t="shared" si="12"/>
        <v/>
      </c>
      <c r="Q62" s="12" t="str">
        <f t="shared" si="13"/>
        <v/>
      </c>
      <c r="R62" s="12" t="str">
        <f t="shared" si="15"/>
        <v/>
      </c>
      <c r="S62" s="214" t="str">
        <f t="shared" si="19"/>
        <v/>
      </c>
    </row>
    <row r="63" spans="1:19" hidden="1">
      <c r="A63" s="12">
        <v>55</v>
      </c>
      <c r="B63" s="12" t="str">
        <f>IF(fieldcreatorv2!BX69&lt;&gt;"",fieldcreatorv2!BX69,"")</f>
        <v/>
      </c>
      <c r="C63" s="220"/>
      <c r="D63" s="216"/>
      <c r="E63" s="6" t="str">
        <f t="shared" si="11"/>
        <v/>
      </c>
      <c r="F63" s="12">
        <f>+IF(fieldcreatorv2!I69="si",1,0)</f>
        <v>0</v>
      </c>
      <c r="G63" s="12" t="str">
        <f>IF(fieldcreatorv2!E69="","",fieldcreatorv2!E69)</f>
        <v/>
      </c>
      <c r="H63" s="12">
        <v>55</v>
      </c>
      <c r="I63" s="61" t="str">
        <f t="shared" si="16"/>
        <v/>
      </c>
      <c r="J63" s="61" t="str">
        <f t="shared" si="17"/>
        <v/>
      </c>
      <c r="L63" s="12" t="str">
        <f t="shared" si="14"/>
        <v/>
      </c>
      <c r="M63" s="61">
        <f t="shared" si="8"/>
        <v>0</v>
      </c>
      <c r="N63" s="61">
        <f t="shared" si="9"/>
        <v>4</v>
      </c>
      <c r="O63" s="61" t="str">
        <f t="shared" si="18"/>
        <v/>
      </c>
      <c r="P63" s="12" t="str">
        <f t="shared" si="12"/>
        <v/>
      </c>
      <c r="Q63" s="12" t="str">
        <f t="shared" si="13"/>
        <v/>
      </c>
      <c r="R63" s="12" t="str">
        <f t="shared" si="15"/>
        <v/>
      </c>
      <c r="S63" s="214" t="str">
        <f t="shared" si="19"/>
        <v/>
      </c>
    </row>
    <row r="64" spans="1:19" hidden="1">
      <c r="A64" s="12">
        <v>56</v>
      </c>
      <c r="B64" s="12" t="str">
        <f>IF(fieldcreatorv2!BX70&lt;&gt;"",fieldcreatorv2!BX70,"")</f>
        <v/>
      </c>
      <c r="C64" s="220"/>
      <c r="D64" s="216"/>
      <c r="E64" s="6" t="str">
        <f t="shared" si="11"/>
        <v/>
      </c>
      <c r="F64" s="12">
        <f>+IF(fieldcreatorv2!I70="si",1,0)</f>
        <v>0</v>
      </c>
      <c r="G64" s="12" t="str">
        <f>IF(fieldcreatorv2!E70="","",fieldcreatorv2!E70)</f>
        <v/>
      </c>
      <c r="H64" s="12">
        <v>56</v>
      </c>
      <c r="I64" s="61" t="str">
        <f t="shared" si="16"/>
        <v/>
      </c>
      <c r="J64" s="61" t="str">
        <f t="shared" si="17"/>
        <v/>
      </c>
      <c r="L64" s="12" t="str">
        <f t="shared" si="14"/>
        <v/>
      </c>
      <c r="M64" s="61">
        <f t="shared" si="8"/>
        <v>0</v>
      </c>
      <c r="N64" s="61">
        <f t="shared" si="9"/>
        <v>4</v>
      </c>
      <c r="O64" s="61" t="str">
        <f t="shared" si="18"/>
        <v/>
      </c>
      <c r="P64" s="12" t="str">
        <f t="shared" si="12"/>
        <v/>
      </c>
      <c r="Q64" s="12" t="str">
        <f t="shared" si="13"/>
        <v/>
      </c>
      <c r="R64" s="12" t="str">
        <f t="shared" si="15"/>
        <v/>
      </c>
      <c r="S64" s="214" t="str">
        <f t="shared" si="19"/>
        <v/>
      </c>
    </row>
    <row r="65" spans="1:19" hidden="1">
      <c r="A65" s="12">
        <v>57</v>
      </c>
      <c r="B65" s="12" t="str">
        <f>IF(fieldcreatorv2!BX71&lt;&gt;"",fieldcreatorv2!BX71,"")</f>
        <v/>
      </c>
      <c r="C65" s="220"/>
      <c r="D65" s="216"/>
      <c r="E65" s="6" t="str">
        <f t="shared" si="11"/>
        <v/>
      </c>
      <c r="F65" s="12">
        <f>+IF(fieldcreatorv2!I71="si",1,0)</f>
        <v>0</v>
      </c>
      <c r="G65" s="12" t="str">
        <f>IF(fieldcreatorv2!E71="","",fieldcreatorv2!E71)</f>
        <v/>
      </c>
      <c r="H65" s="12">
        <v>57</v>
      </c>
      <c r="I65" s="61" t="str">
        <f t="shared" si="16"/>
        <v/>
      </c>
      <c r="J65" s="61" t="str">
        <f t="shared" si="17"/>
        <v/>
      </c>
      <c r="L65" s="12" t="str">
        <f t="shared" si="14"/>
        <v/>
      </c>
      <c r="M65" s="61">
        <f t="shared" si="8"/>
        <v>0</v>
      </c>
      <c r="N65" s="61">
        <f t="shared" si="9"/>
        <v>4</v>
      </c>
      <c r="O65" s="61" t="str">
        <f t="shared" si="18"/>
        <v/>
      </c>
      <c r="P65" s="12" t="str">
        <f t="shared" si="12"/>
        <v/>
      </c>
      <c r="Q65" s="12" t="str">
        <f t="shared" si="13"/>
        <v/>
      </c>
      <c r="R65" s="12" t="str">
        <f t="shared" si="15"/>
        <v/>
      </c>
      <c r="S65" s="214" t="str">
        <f t="shared" si="19"/>
        <v/>
      </c>
    </row>
    <row r="66" spans="1:19" hidden="1">
      <c r="A66" s="12">
        <v>58</v>
      </c>
      <c r="B66" s="12" t="str">
        <f>IF(fieldcreatorv2!BX72&lt;&gt;"",fieldcreatorv2!BX72,"")</f>
        <v/>
      </c>
      <c r="C66" s="220"/>
      <c r="D66" s="216"/>
      <c r="E66" s="6" t="str">
        <f t="shared" si="11"/>
        <v/>
      </c>
      <c r="F66" s="12">
        <f>+IF(fieldcreatorv2!I72="si",1,0)</f>
        <v>0</v>
      </c>
      <c r="G66" s="12" t="str">
        <f>IF(fieldcreatorv2!E72="","",fieldcreatorv2!E72)</f>
        <v/>
      </c>
      <c r="H66" s="12">
        <v>58</v>
      </c>
      <c r="I66" s="61" t="str">
        <f t="shared" si="16"/>
        <v/>
      </c>
      <c r="J66" s="61" t="str">
        <f t="shared" si="17"/>
        <v/>
      </c>
      <c r="L66" s="12" t="str">
        <f t="shared" si="14"/>
        <v/>
      </c>
      <c r="M66" s="61">
        <f t="shared" si="8"/>
        <v>0</v>
      </c>
      <c r="N66" s="61">
        <f t="shared" si="9"/>
        <v>4</v>
      </c>
      <c r="O66" s="61" t="str">
        <f t="shared" si="18"/>
        <v/>
      </c>
      <c r="P66" s="12" t="str">
        <f t="shared" si="12"/>
        <v/>
      </c>
      <c r="Q66" s="12" t="str">
        <f t="shared" si="13"/>
        <v/>
      </c>
      <c r="R66" s="12" t="str">
        <f t="shared" si="15"/>
        <v/>
      </c>
      <c r="S66" s="214" t="str">
        <f t="shared" si="19"/>
        <v/>
      </c>
    </row>
    <row r="67" spans="1:19" hidden="1">
      <c r="A67" s="12">
        <v>59</v>
      </c>
      <c r="B67" s="12" t="str">
        <f>IF(fieldcreatorv2!BX73&lt;&gt;"",fieldcreatorv2!BX73,"")</f>
        <v/>
      </c>
      <c r="C67" s="220"/>
      <c r="D67" s="216"/>
      <c r="E67" s="6" t="str">
        <f t="shared" si="11"/>
        <v/>
      </c>
      <c r="F67" s="12">
        <f>+IF(fieldcreatorv2!I73="si",1,0)</f>
        <v>0</v>
      </c>
      <c r="G67" s="12" t="str">
        <f>IF(fieldcreatorv2!E73="","",fieldcreatorv2!E73)</f>
        <v/>
      </c>
      <c r="H67" s="12">
        <v>59</v>
      </c>
      <c r="I67" s="61" t="str">
        <f t="shared" si="16"/>
        <v/>
      </c>
      <c r="J67" s="61" t="str">
        <f t="shared" si="17"/>
        <v/>
      </c>
      <c r="L67" s="12" t="str">
        <f t="shared" si="14"/>
        <v/>
      </c>
      <c r="M67" s="61">
        <f t="shared" si="8"/>
        <v>0</v>
      </c>
      <c r="N67" s="61">
        <f t="shared" si="9"/>
        <v>4</v>
      </c>
      <c r="O67" s="61" t="str">
        <f t="shared" si="18"/>
        <v/>
      </c>
      <c r="P67" s="12" t="str">
        <f t="shared" si="12"/>
        <v/>
      </c>
      <c r="Q67" s="12" t="str">
        <f t="shared" si="13"/>
        <v/>
      </c>
      <c r="R67" s="12" t="str">
        <f t="shared" si="15"/>
        <v/>
      </c>
      <c r="S67" s="214" t="str">
        <f t="shared" si="19"/>
        <v/>
      </c>
    </row>
    <row r="68" spans="1:19" hidden="1">
      <c r="A68" s="12">
        <v>60</v>
      </c>
      <c r="B68" s="12" t="str">
        <f>IF(fieldcreatorv2!BX74&lt;&gt;"",fieldcreatorv2!BX74,"")</f>
        <v/>
      </c>
      <c r="C68" s="220"/>
      <c r="D68" s="216"/>
      <c r="E68" s="6" t="str">
        <f t="shared" si="11"/>
        <v/>
      </c>
      <c r="F68" s="12">
        <f>+IF(fieldcreatorv2!I74="si",1,0)</f>
        <v>0</v>
      </c>
      <c r="G68" s="12" t="str">
        <f>IF(fieldcreatorv2!E74="","",fieldcreatorv2!E74)</f>
        <v/>
      </c>
      <c r="H68" s="12">
        <v>60</v>
      </c>
      <c r="I68" s="61" t="str">
        <f t="shared" si="16"/>
        <v/>
      </c>
      <c r="J68" s="61" t="str">
        <f t="shared" si="17"/>
        <v/>
      </c>
      <c r="L68" s="12" t="str">
        <f t="shared" si="14"/>
        <v/>
      </c>
      <c r="M68" s="61">
        <f t="shared" si="8"/>
        <v>0</v>
      </c>
      <c r="N68" s="61">
        <f t="shared" si="9"/>
        <v>4</v>
      </c>
      <c r="O68" s="61" t="str">
        <f t="shared" si="18"/>
        <v/>
      </c>
      <c r="P68" s="12" t="str">
        <f t="shared" si="12"/>
        <v/>
      </c>
      <c r="Q68" s="12" t="str">
        <f t="shared" si="13"/>
        <v/>
      </c>
      <c r="R68" s="12" t="str">
        <f t="shared" si="15"/>
        <v/>
      </c>
      <c r="S68" s="214" t="str">
        <f t="shared" si="19"/>
        <v/>
      </c>
    </row>
    <row r="69" spans="1:19" hidden="1">
      <c r="A69" s="12">
        <v>61</v>
      </c>
      <c r="B69" s="12" t="str">
        <f>IF(fieldcreatorv2!BX75&lt;&gt;"",fieldcreatorv2!BX75,"")</f>
        <v/>
      </c>
      <c r="C69" s="220"/>
      <c r="D69" s="216"/>
      <c r="E69" s="6" t="str">
        <f t="shared" si="11"/>
        <v/>
      </c>
      <c r="F69" s="12">
        <f>+IF(fieldcreatorv2!I75="si",1,0)</f>
        <v>0</v>
      </c>
      <c r="G69" s="12" t="str">
        <f>IF(fieldcreatorv2!E75="","",fieldcreatorv2!E75)</f>
        <v/>
      </c>
      <c r="H69" s="12">
        <v>61</v>
      </c>
      <c r="I69" s="61" t="str">
        <f t="shared" si="16"/>
        <v/>
      </c>
      <c r="J69" s="61" t="str">
        <f t="shared" si="17"/>
        <v/>
      </c>
      <c r="L69" s="12" t="str">
        <f t="shared" si="14"/>
        <v/>
      </c>
      <c r="M69" s="61">
        <f t="shared" si="8"/>
        <v>0</v>
      </c>
      <c r="N69" s="61">
        <f t="shared" si="9"/>
        <v>4</v>
      </c>
      <c r="O69" s="61" t="str">
        <f t="shared" si="18"/>
        <v/>
      </c>
      <c r="P69" s="12" t="str">
        <f t="shared" si="12"/>
        <v/>
      </c>
      <c r="Q69" s="12" t="str">
        <f t="shared" si="13"/>
        <v/>
      </c>
      <c r="R69" s="12" t="str">
        <f t="shared" si="15"/>
        <v/>
      </c>
      <c r="S69" s="214" t="str">
        <f t="shared" si="19"/>
        <v/>
      </c>
    </row>
    <row r="70" spans="1:19" hidden="1">
      <c r="A70" s="12">
        <v>62</v>
      </c>
      <c r="B70" s="12" t="str">
        <f>IF(fieldcreatorv2!BX76&lt;&gt;"",fieldcreatorv2!BX76,"")</f>
        <v/>
      </c>
      <c r="C70" s="220"/>
      <c r="D70" s="216"/>
      <c r="E70" s="6" t="str">
        <f t="shared" si="11"/>
        <v/>
      </c>
      <c r="F70" s="12">
        <f>+IF(fieldcreatorv2!I76="si",1,0)</f>
        <v>0</v>
      </c>
      <c r="G70" s="12" t="str">
        <f>IF(fieldcreatorv2!E76="","",fieldcreatorv2!E76)</f>
        <v/>
      </c>
      <c r="H70" s="12">
        <v>62</v>
      </c>
      <c r="I70" s="61" t="str">
        <f t="shared" si="16"/>
        <v/>
      </c>
      <c r="J70" s="61" t="str">
        <f t="shared" si="17"/>
        <v/>
      </c>
      <c r="L70" s="12" t="str">
        <f t="shared" si="14"/>
        <v/>
      </c>
      <c r="M70" s="61">
        <f t="shared" si="8"/>
        <v>0</v>
      </c>
      <c r="N70" s="61">
        <f t="shared" si="9"/>
        <v>4</v>
      </c>
      <c r="O70" s="61" t="str">
        <f t="shared" si="18"/>
        <v/>
      </c>
      <c r="P70" s="12" t="str">
        <f t="shared" si="12"/>
        <v/>
      </c>
      <c r="Q70" s="12" t="str">
        <f t="shared" si="13"/>
        <v/>
      </c>
      <c r="R70" s="12" t="str">
        <f t="shared" si="15"/>
        <v/>
      </c>
      <c r="S70" s="214" t="str">
        <f t="shared" si="19"/>
        <v/>
      </c>
    </row>
    <row r="71" spans="1:19" hidden="1">
      <c r="A71" s="12">
        <v>63</v>
      </c>
      <c r="B71" s="12" t="str">
        <f>IF(fieldcreatorv2!BX77&lt;&gt;"",fieldcreatorv2!BX77,"")</f>
        <v/>
      </c>
      <c r="C71" s="220"/>
      <c r="D71" s="216"/>
      <c r="E71" s="6" t="str">
        <f t="shared" si="11"/>
        <v/>
      </c>
      <c r="F71" s="12">
        <f>+IF(fieldcreatorv2!I77="si",1,0)</f>
        <v>0</v>
      </c>
      <c r="G71" s="12" t="str">
        <f>IF(fieldcreatorv2!E77="","",fieldcreatorv2!E77)</f>
        <v/>
      </c>
      <c r="H71" s="12">
        <v>63</v>
      </c>
      <c r="I71" s="61" t="str">
        <f t="shared" si="16"/>
        <v/>
      </c>
      <c r="J71" s="61" t="str">
        <f t="shared" si="17"/>
        <v/>
      </c>
      <c r="L71" s="12" t="str">
        <f t="shared" si="14"/>
        <v/>
      </c>
      <c r="M71" s="61">
        <f t="shared" si="8"/>
        <v>0</v>
      </c>
      <c r="N71" s="61">
        <f t="shared" si="9"/>
        <v>4</v>
      </c>
      <c r="O71" s="61" t="str">
        <f t="shared" si="18"/>
        <v/>
      </c>
      <c r="P71" s="12" t="str">
        <f t="shared" si="12"/>
        <v/>
      </c>
      <c r="Q71" s="12" t="str">
        <f t="shared" si="13"/>
        <v/>
      </c>
      <c r="R71" s="12" t="str">
        <f t="shared" si="15"/>
        <v/>
      </c>
      <c r="S71" s="214" t="str">
        <f t="shared" si="19"/>
        <v/>
      </c>
    </row>
    <row r="72" spans="1:19" hidden="1">
      <c r="A72" s="12">
        <v>64</v>
      </c>
      <c r="B72" s="12" t="str">
        <f>IF(fieldcreatorv2!BX78&lt;&gt;"",fieldcreatorv2!BX78,"")</f>
        <v/>
      </c>
      <c r="C72" s="220"/>
      <c r="D72" s="216"/>
      <c r="E72" s="6" t="str">
        <f t="shared" si="11"/>
        <v/>
      </c>
      <c r="F72" s="12">
        <f>+IF(fieldcreatorv2!I78="si",1,0)</f>
        <v>0</v>
      </c>
      <c r="G72" s="12" t="str">
        <f>IF(fieldcreatorv2!E78="","",fieldcreatorv2!E78)</f>
        <v/>
      </c>
      <c r="H72" s="12">
        <v>64</v>
      </c>
      <c r="I72" s="61" t="str">
        <f t="shared" si="16"/>
        <v/>
      </c>
      <c r="J72" s="61" t="str">
        <f t="shared" si="17"/>
        <v/>
      </c>
      <c r="L72" s="12" t="str">
        <f t="shared" si="14"/>
        <v/>
      </c>
      <c r="M72" s="61">
        <f t="shared" si="8"/>
        <v>0</v>
      </c>
      <c r="N72" s="61">
        <f t="shared" si="9"/>
        <v>4</v>
      </c>
      <c r="O72" s="61" t="str">
        <f t="shared" si="18"/>
        <v/>
      </c>
      <c r="P72" s="12" t="str">
        <f t="shared" si="12"/>
        <v/>
      </c>
      <c r="Q72" s="12" t="str">
        <f t="shared" si="13"/>
        <v/>
      </c>
      <c r="R72" s="12" t="str">
        <f t="shared" si="15"/>
        <v/>
      </c>
      <c r="S72" s="214" t="str">
        <f t="shared" si="19"/>
        <v/>
      </c>
    </row>
    <row r="73" spans="1:19" hidden="1">
      <c r="A73" s="12">
        <v>65</v>
      </c>
      <c r="B73" s="12" t="str">
        <f>IF(fieldcreatorv2!BX79&lt;&gt;"",fieldcreatorv2!BX79,"")</f>
        <v/>
      </c>
      <c r="C73" s="220"/>
      <c r="D73" s="216"/>
      <c r="E73" s="6" t="str">
        <f t="shared" si="11"/>
        <v/>
      </c>
      <c r="F73" s="12">
        <f>+IF(fieldcreatorv2!I79="si",1,0)</f>
        <v>0</v>
      </c>
      <c r="G73" s="12" t="str">
        <f>IF(fieldcreatorv2!E79="","",fieldcreatorv2!E79)</f>
        <v/>
      </c>
      <c r="H73" s="12">
        <v>65</v>
      </c>
      <c r="I73" s="61" t="str">
        <f t="shared" ref="I73:I108" si="20">IF(C73="yes",P73&amp;Q73&amp;R73&amp;S73,"")</f>
        <v/>
      </c>
      <c r="J73" s="61" t="str">
        <f t="shared" ref="J73:J108" si="21">IF(C73="yes",O73&amp;B73,"")</f>
        <v/>
      </c>
      <c r="L73" s="12" t="str">
        <f t="shared" si="14"/>
        <v/>
      </c>
      <c r="M73" s="61">
        <f t="shared" si="8"/>
        <v>0</v>
      </c>
      <c r="N73" s="61">
        <f t="shared" si="9"/>
        <v>4</v>
      </c>
      <c r="O73" s="61" t="str">
        <f t="shared" ref="O73:O104" si="22">+IF(AND(B73&lt;&gt;"",C73&lt;&gt;""),IF(N73&gt;1,"+",""),"")</f>
        <v/>
      </c>
      <c r="P73" s="12" t="str">
        <f t="shared" si="12"/>
        <v/>
      </c>
      <c r="Q73" s="12" t="str">
        <f t="shared" si="13"/>
        <v/>
      </c>
      <c r="R73" s="12" t="str">
        <f t="shared" si="15"/>
        <v/>
      </c>
      <c r="S73" s="214" t="str">
        <f t="shared" si="19"/>
        <v/>
      </c>
    </row>
    <row r="74" spans="1:19" hidden="1">
      <c r="A74" s="12">
        <v>66</v>
      </c>
      <c r="B74" s="12" t="str">
        <f>IF(fieldcreatorv2!BX80&lt;&gt;"",fieldcreatorv2!BX80,"")</f>
        <v/>
      </c>
      <c r="C74" s="220"/>
      <c r="D74" s="216"/>
      <c r="E74" s="6" t="str">
        <f t="shared" si="11"/>
        <v/>
      </c>
      <c r="F74" s="12">
        <f>+IF(fieldcreatorv2!I80="si",1,0)</f>
        <v>0</v>
      </c>
      <c r="G74" s="12" t="str">
        <f>IF(fieldcreatorv2!E80="","",fieldcreatorv2!E80)</f>
        <v/>
      </c>
      <c r="H74" s="12">
        <v>66</v>
      </c>
      <c r="I74" s="61" t="str">
        <f t="shared" si="20"/>
        <v/>
      </c>
      <c r="J74" s="61" t="str">
        <f t="shared" si="21"/>
        <v/>
      </c>
      <c r="L74" s="12" t="str">
        <f t="shared" si="14"/>
        <v/>
      </c>
      <c r="M74" s="61">
        <f t="shared" ref="M74:M108" si="23">+IF(AND(B74&lt;&gt;"",C74="yes"),1,0)</f>
        <v>0</v>
      </c>
      <c r="N74" s="61">
        <f t="shared" ref="N74:N108" si="24">+M74+N73</f>
        <v>4</v>
      </c>
      <c r="O74" s="61" t="str">
        <f t="shared" si="22"/>
        <v/>
      </c>
      <c r="P74" s="12" t="str">
        <f t="shared" si="12"/>
        <v/>
      </c>
      <c r="Q74" s="12" t="str">
        <f t="shared" si="13"/>
        <v/>
      </c>
      <c r="R74" s="12" t="str">
        <f t="shared" si="15"/>
        <v/>
      </c>
      <c r="S74" s="214" t="str">
        <f t="shared" ref="S74:S108" si="25">+IF(G74="radio",1,"")</f>
        <v/>
      </c>
    </row>
    <row r="75" spans="1:19" hidden="1">
      <c r="A75" s="12">
        <v>67</v>
      </c>
      <c r="B75" s="12" t="str">
        <f>IF(fieldcreatorv2!BX81&lt;&gt;"",fieldcreatorv2!BX81,"")</f>
        <v/>
      </c>
      <c r="C75" s="220"/>
      <c r="D75" s="216"/>
      <c r="E75" s="6" t="str">
        <f t="shared" si="11"/>
        <v/>
      </c>
      <c r="F75" s="12">
        <f>+IF(fieldcreatorv2!I81="si",1,0)</f>
        <v>0</v>
      </c>
      <c r="G75" s="12" t="str">
        <f>IF(fieldcreatorv2!E81="","",fieldcreatorv2!E81)</f>
        <v/>
      </c>
      <c r="H75" s="12">
        <v>67</v>
      </c>
      <c r="I75" s="61" t="str">
        <f t="shared" si="20"/>
        <v/>
      </c>
      <c r="J75" s="61" t="str">
        <f t="shared" si="21"/>
        <v/>
      </c>
      <c r="L75" s="12" t="str">
        <f t="shared" si="14"/>
        <v/>
      </c>
      <c r="M75" s="61">
        <f t="shared" si="23"/>
        <v>0</v>
      </c>
      <c r="N75" s="61">
        <f t="shared" si="24"/>
        <v>4</v>
      </c>
      <c r="O75" s="61" t="str">
        <f t="shared" si="22"/>
        <v/>
      </c>
      <c r="P75" s="12" t="str">
        <f t="shared" si="12"/>
        <v/>
      </c>
      <c r="Q75" s="12" t="str">
        <f t="shared" si="13"/>
        <v/>
      </c>
      <c r="R75" s="12" t="str">
        <f t="shared" si="15"/>
        <v/>
      </c>
      <c r="S75" s="214" t="str">
        <f t="shared" si="25"/>
        <v/>
      </c>
    </row>
    <row r="76" spans="1:19" hidden="1">
      <c r="A76" s="12">
        <v>68</v>
      </c>
      <c r="B76" s="12" t="str">
        <f>IF(fieldcreatorv2!BX82&lt;&gt;"",fieldcreatorv2!BX82,"")</f>
        <v/>
      </c>
      <c r="C76" s="220"/>
      <c r="D76" s="216"/>
      <c r="E76" s="6" t="str">
        <f t="shared" si="11"/>
        <v/>
      </c>
      <c r="F76" s="12">
        <f>+IF(fieldcreatorv2!I82="si",1,0)</f>
        <v>0</v>
      </c>
      <c r="G76" s="12" t="str">
        <f>IF(fieldcreatorv2!E82="","",fieldcreatorv2!E82)</f>
        <v/>
      </c>
      <c r="H76" s="12">
        <v>68</v>
      </c>
      <c r="I76" s="61" t="str">
        <f t="shared" si="20"/>
        <v/>
      </c>
      <c r="J76" s="61" t="str">
        <f t="shared" si="21"/>
        <v/>
      </c>
      <c r="L76" s="12" t="str">
        <f t="shared" si="14"/>
        <v/>
      </c>
      <c r="M76" s="61">
        <f t="shared" si="23"/>
        <v>0</v>
      </c>
      <c r="N76" s="61">
        <f t="shared" si="24"/>
        <v>4</v>
      </c>
      <c r="O76" s="61" t="str">
        <f t="shared" si="22"/>
        <v/>
      </c>
      <c r="P76" s="12" t="str">
        <f t="shared" si="12"/>
        <v/>
      </c>
      <c r="Q76" s="12" t="str">
        <f t="shared" si="13"/>
        <v/>
      </c>
      <c r="R76" s="12" t="str">
        <f t="shared" si="15"/>
        <v/>
      </c>
      <c r="S76" s="214" t="str">
        <f t="shared" si="25"/>
        <v/>
      </c>
    </row>
    <row r="77" spans="1:19" hidden="1">
      <c r="A77" s="12">
        <v>69</v>
      </c>
      <c r="B77" s="12" t="str">
        <f>IF(fieldcreatorv2!BX83&lt;&gt;"",fieldcreatorv2!BX83,"")</f>
        <v/>
      </c>
      <c r="C77" s="220"/>
      <c r="D77" s="216"/>
      <c r="E77" s="6" t="str">
        <f t="shared" si="11"/>
        <v/>
      </c>
      <c r="F77" s="12">
        <f>+IF(fieldcreatorv2!I83="si",1,0)</f>
        <v>0</v>
      </c>
      <c r="G77" s="12" t="str">
        <f>IF(fieldcreatorv2!E83="","",fieldcreatorv2!E83)</f>
        <v/>
      </c>
      <c r="H77" s="12">
        <v>69</v>
      </c>
      <c r="I77" s="61" t="str">
        <f t="shared" si="20"/>
        <v/>
      </c>
      <c r="J77" s="61" t="str">
        <f t="shared" si="21"/>
        <v/>
      </c>
      <c r="L77" s="12" t="str">
        <f t="shared" si="14"/>
        <v/>
      </c>
      <c r="M77" s="61">
        <f t="shared" si="23"/>
        <v>0</v>
      </c>
      <c r="N77" s="61">
        <f t="shared" si="24"/>
        <v>4</v>
      </c>
      <c r="O77" s="61" t="str">
        <f t="shared" si="22"/>
        <v/>
      </c>
      <c r="P77" s="12" t="str">
        <f t="shared" si="12"/>
        <v/>
      </c>
      <c r="Q77" s="12" t="str">
        <f t="shared" si="13"/>
        <v/>
      </c>
      <c r="R77" s="12" t="str">
        <f t="shared" si="15"/>
        <v/>
      </c>
      <c r="S77" s="214" t="str">
        <f t="shared" si="25"/>
        <v/>
      </c>
    </row>
    <row r="78" spans="1:19" hidden="1">
      <c r="A78" s="12">
        <v>70</v>
      </c>
      <c r="B78" s="12" t="str">
        <f>IF(fieldcreatorv2!BX84&lt;&gt;"",fieldcreatorv2!BX84,"")</f>
        <v/>
      </c>
      <c r="C78" s="220"/>
      <c r="D78" s="216"/>
      <c r="E78" s="6" t="str">
        <f t="shared" ref="E78:E108" si="26">+IF(D78&lt;&gt;"",D78,B78)</f>
        <v/>
      </c>
      <c r="F78" s="12">
        <f>+IF(fieldcreatorv2!I84="si",1,0)</f>
        <v>0</v>
      </c>
      <c r="G78" s="12" t="str">
        <f>IF(fieldcreatorv2!E84="","",fieldcreatorv2!E84)</f>
        <v/>
      </c>
      <c r="H78" s="12">
        <v>70</v>
      </c>
      <c r="I78" s="61" t="str">
        <f t="shared" si="20"/>
        <v/>
      </c>
      <c r="J78" s="61" t="str">
        <f t="shared" si="21"/>
        <v/>
      </c>
      <c r="L78" s="12" t="str">
        <f t="shared" si="14"/>
        <v/>
      </c>
      <c r="M78" s="61">
        <f t="shared" si="23"/>
        <v>0</v>
      </c>
      <c r="N78" s="61">
        <f t="shared" si="24"/>
        <v>4</v>
      </c>
      <c r="O78" s="61" t="str">
        <f t="shared" si="22"/>
        <v/>
      </c>
      <c r="P78" s="12" t="str">
        <f t="shared" ref="P78:P108" si="27">+IF(OR(G78="texto",G78="bigtext"),IF(F78=1,$B$6&amp;B78&amp;$C$1&amp;B78&amp;$C$2&amp;B78&amp;$C$3&amp;B78&amp;$C$4,$B$6&amp;B78&amp;$B$1&amp;$D$2&amp;B78&amp;$C$4&amp;$D$3&amp;$B$2&amp;B78&amp;$B$3&amp;E78&amp;$B$4&amp;B78&amp;$B$5),"")</f>
        <v/>
      </c>
      <c r="Q78" s="12" t="str">
        <f t="shared" ref="Q78:Q108" si="28">+IF(AND(G78="selectlist",B78&lt;&gt;""),$B$2&amp;B78&amp;$B$3&amp;B78&amp;$B$4&amp;B78&amp;$B$5,"")</f>
        <v/>
      </c>
      <c r="R78" s="12" t="str">
        <f t="shared" si="15"/>
        <v/>
      </c>
      <c r="S78" s="214" t="str">
        <f t="shared" si="25"/>
        <v/>
      </c>
    </row>
    <row r="79" spans="1:19" hidden="1">
      <c r="A79" s="12">
        <v>71</v>
      </c>
      <c r="B79" s="12" t="str">
        <f>IF(fieldcreatorv2!BX85&lt;&gt;"",fieldcreatorv2!BX85,"")</f>
        <v/>
      </c>
      <c r="C79" s="220"/>
      <c r="D79" s="216"/>
      <c r="E79" s="6" t="str">
        <f t="shared" si="26"/>
        <v/>
      </c>
      <c r="F79" s="12">
        <f>+IF(fieldcreatorv2!I85="si",1,0)</f>
        <v>0</v>
      </c>
      <c r="G79" s="12" t="str">
        <f>IF(fieldcreatorv2!E85="","",fieldcreatorv2!E85)</f>
        <v/>
      </c>
      <c r="H79" s="12">
        <v>71</v>
      </c>
      <c r="I79" s="61" t="str">
        <f t="shared" si="20"/>
        <v/>
      </c>
      <c r="J79" s="61" t="str">
        <f t="shared" si="21"/>
        <v/>
      </c>
      <c r="L79" s="12" t="str">
        <f t="shared" si="14"/>
        <v/>
      </c>
      <c r="M79" s="61">
        <f t="shared" si="23"/>
        <v>0</v>
      </c>
      <c r="N79" s="61">
        <f t="shared" si="24"/>
        <v>4</v>
      </c>
      <c r="O79" s="61" t="str">
        <f t="shared" si="22"/>
        <v/>
      </c>
      <c r="P79" s="12" t="str">
        <f t="shared" si="27"/>
        <v/>
      </c>
      <c r="Q79" s="12" t="str">
        <f t="shared" si="28"/>
        <v/>
      </c>
      <c r="R79" s="12" t="str">
        <f t="shared" si="15"/>
        <v/>
      </c>
      <c r="S79" s="214" t="str">
        <f t="shared" si="25"/>
        <v/>
      </c>
    </row>
    <row r="80" spans="1:19" hidden="1">
      <c r="A80" s="12">
        <v>72</v>
      </c>
      <c r="B80" s="12" t="str">
        <f>IF(fieldcreatorv2!BX86&lt;&gt;"",fieldcreatorv2!BX86,"")</f>
        <v/>
      </c>
      <c r="C80" s="220"/>
      <c r="D80" s="216"/>
      <c r="E80" s="6" t="str">
        <f t="shared" si="26"/>
        <v/>
      </c>
      <c r="F80" s="12">
        <f>+IF(fieldcreatorv2!I86="si",1,0)</f>
        <v>0</v>
      </c>
      <c r="G80" s="12" t="str">
        <f>IF(fieldcreatorv2!E86="","",fieldcreatorv2!E86)</f>
        <v/>
      </c>
      <c r="H80" s="12">
        <v>72</v>
      </c>
      <c r="I80" s="61" t="str">
        <f t="shared" si="20"/>
        <v/>
      </c>
      <c r="J80" s="61" t="str">
        <f t="shared" si="21"/>
        <v/>
      </c>
      <c r="L80" s="12" t="str">
        <f t="shared" si="14"/>
        <v/>
      </c>
      <c r="M80" s="61">
        <f t="shared" si="23"/>
        <v>0</v>
      </c>
      <c r="N80" s="61">
        <f t="shared" si="24"/>
        <v>4</v>
      </c>
      <c r="O80" s="61" t="str">
        <f t="shared" si="22"/>
        <v/>
      </c>
      <c r="P80" s="12" t="str">
        <f t="shared" si="27"/>
        <v/>
      </c>
      <c r="Q80" s="12" t="str">
        <f t="shared" si="28"/>
        <v/>
      </c>
      <c r="R80" s="12" t="str">
        <f t="shared" si="15"/>
        <v/>
      </c>
      <c r="S80" s="214" t="str">
        <f t="shared" si="25"/>
        <v/>
      </c>
    </row>
    <row r="81" spans="1:19" hidden="1">
      <c r="A81" s="12">
        <v>73</v>
      </c>
      <c r="B81" s="12" t="str">
        <f>IF(fieldcreatorv2!BX87&lt;&gt;"",fieldcreatorv2!BX87,"")</f>
        <v/>
      </c>
      <c r="C81" s="220"/>
      <c r="D81" s="216"/>
      <c r="E81" s="6" t="str">
        <f t="shared" si="26"/>
        <v/>
      </c>
      <c r="F81" s="12">
        <f>+IF(fieldcreatorv2!I87="si",1,0)</f>
        <v>0</v>
      </c>
      <c r="G81" s="12" t="str">
        <f>IF(fieldcreatorv2!E87="","",fieldcreatorv2!E87)</f>
        <v/>
      </c>
      <c r="H81" s="12">
        <v>73</v>
      </c>
      <c r="I81" s="61" t="str">
        <f t="shared" si="20"/>
        <v/>
      </c>
      <c r="J81" s="61" t="str">
        <f t="shared" si="21"/>
        <v/>
      </c>
      <c r="L81" s="12" t="str">
        <f t="shared" si="14"/>
        <v/>
      </c>
      <c r="M81" s="61">
        <f t="shared" si="23"/>
        <v>0</v>
      </c>
      <c r="N81" s="61">
        <f t="shared" si="24"/>
        <v>4</v>
      </c>
      <c r="O81" s="61" t="str">
        <f t="shared" si="22"/>
        <v/>
      </c>
      <c r="P81" s="12" t="str">
        <f t="shared" si="27"/>
        <v/>
      </c>
      <c r="Q81" s="12" t="str">
        <f t="shared" si="28"/>
        <v/>
      </c>
      <c r="R81" s="12" t="str">
        <f t="shared" si="15"/>
        <v/>
      </c>
      <c r="S81" s="214" t="str">
        <f t="shared" si="25"/>
        <v/>
      </c>
    </row>
    <row r="82" spans="1:19" hidden="1">
      <c r="A82" s="12">
        <v>74</v>
      </c>
      <c r="B82" s="12" t="str">
        <f>IF(fieldcreatorv2!BX88&lt;&gt;"",fieldcreatorv2!BX88,"")</f>
        <v/>
      </c>
      <c r="C82" s="220"/>
      <c r="D82" s="216"/>
      <c r="E82" s="6" t="str">
        <f t="shared" si="26"/>
        <v/>
      </c>
      <c r="F82" s="12">
        <f>+IF(fieldcreatorv2!I88="si",1,0)</f>
        <v>0</v>
      </c>
      <c r="G82" s="12" t="str">
        <f>IF(fieldcreatorv2!E88="","",fieldcreatorv2!E88)</f>
        <v/>
      </c>
      <c r="H82" s="12">
        <v>74</v>
      </c>
      <c r="I82" s="61" t="str">
        <f t="shared" si="20"/>
        <v/>
      </c>
      <c r="J82" s="61" t="str">
        <f t="shared" si="21"/>
        <v/>
      </c>
      <c r="L82" s="12" t="str">
        <f t="shared" si="14"/>
        <v/>
      </c>
      <c r="M82" s="61">
        <f t="shared" si="23"/>
        <v>0</v>
      </c>
      <c r="N82" s="61">
        <f t="shared" si="24"/>
        <v>4</v>
      </c>
      <c r="O82" s="61" t="str">
        <f t="shared" si="22"/>
        <v/>
      </c>
      <c r="P82" s="12" t="str">
        <f t="shared" si="27"/>
        <v/>
      </c>
      <c r="Q82" s="12" t="str">
        <f t="shared" si="28"/>
        <v/>
      </c>
      <c r="R82" s="12" t="str">
        <f t="shared" si="15"/>
        <v/>
      </c>
      <c r="S82" s="214" t="str">
        <f t="shared" si="25"/>
        <v/>
      </c>
    </row>
    <row r="83" spans="1:19" hidden="1">
      <c r="A83" s="12">
        <v>75</v>
      </c>
      <c r="B83" s="12" t="str">
        <f>IF(fieldcreatorv2!BX89&lt;&gt;"",fieldcreatorv2!BX89,"")</f>
        <v/>
      </c>
      <c r="C83" s="220"/>
      <c r="D83" s="216"/>
      <c r="E83" s="6" t="str">
        <f t="shared" si="26"/>
        <v/>
      </c>
      <c r="F83" s="12">
        <f>+IF(fieldcreatorv2!I89="si",1,0)</f>
        <v>0</v>
      </c>
      <c r="G83" s="12" t="str">
        <f>IF(fieldcreatorv2!E89="","",fieldcreatorv2!E89)</f>
        <v/>
      </c>
      <c r="H83" s="12">
        <v>75</v>
      </c>
      <c r="I83" s="61" t="str">
        <f t="shared" si="20"/>
        <v/>
      </c>
      <c r="J83" s="61" t="str">
        <f t="shared" si="21"/>
        <v/>
      </c>
      <c r="L83" s="12" t="str">
        <f t="shared" ref="L83:L108" si="29">IF(AND(B83&lt;&gt;"",C83="yes"),IF(O83="+",";","")&amp;$A$2&amp;B83&amp;$A$3,"")</f>
        <v/>
      </c>
      <c r="M83" s="61">
        <f t="shared" si="23"/>
        <v>0</v>
      </c>
      <c r="N83" s="61">
        <f t="shared" si="24"/>
        <v>4</v>
      </c>
      <c r="O83" s="61" t="str">
        <f t="shared" si="22"/>
        <v/>
      </c>
      <c r="P83" s="12" t="str">
        <f t="shared" si="27"/>
        <v/>
      </c>
      <c r="Q83" s="12" t="str">
        <f t="shared" si="28"/>
        <v/>
      </c>
      <c r="R83" s="12" t="str">
        <f t="shared" si="15"/>
        <v/>
      </c>
      <c r="S83" s="214" t="str">
        <f t="shared" si="25"/>
        <v/>
      </c>
    </row>
    <row r="84" spans="1:19" hidden="1">
      <c r="A84" s="12">
        <v>76</v>
      </c>
      <c r="B84" s="12" t="str">
        <f>IF(fieldcreatorv2!BX90&lt;&gt;"",fieldcreatorv2!BX90,"")</f>
        <v/>
      </c>
      <c r="C84" s="220"/>
      <c r="D84" s="216"/>
      <c r="E84" s="6" t="str">
        <f t="shared" si="26"/>
        <v/>
      </c>
      <c r="F84" s="12">
        <f>+IF(fieldcreatorv2!I90="si",1,0)</f>
        <v>0</v>
      </c>
      <c r="G84" s="12" t="str">
        <f>IF(fieldcreatorv2!E90="","",fieldcreatorv2!E90)</f>
        <v/>
      </c>
      <c r="H84" s="12">
        <v>76</v>
      </c>
      <c r="I84" s="61" t="str">
        <f t="shared" si="20"/>
        <v/>
      </c>
      <c r="J84" s="61" t="str">
        <f t="shared" si="21"/>
        <v/>
      </c>
      <c r="L84" s="12" t="str">
        <f t="shared" si="29"/>
        <v/>
      </c>
      <c r="M84" s="61">
        <f t="shared" si="23"/>
        <v>0</v>
      </c>
      <c r="N84" s="61">
        <f t="shared" si="24"/>
        <v>4</v>
      </c>
      <c r="O84" s="61" t="str">
        <f t="shared" si="22"/>
        <v/>
      </c>
      <c r="P84" s="12" t="str">
        <f t="shared" si="27"/>
        <v/>
      </c>
      <c r="Q84" s="12" t="str">
        <f t="shared" si="28"/>
        <v/>
      </c>
      <c r="R84" s="12" t="str">
        <f t="shared" ref="R84:R108" si="30">+IF(G84="check",+$B$6&amp;B84&amp;$C$5&amp;B84&amp;$C$6&amp;B84&amp;$D$1&amp;B84&amp;$C$4,"")</f>
        <v/>
      </c>
      <c r="S84" s="214" t="str">
        <f t="shared" si="25"/>
        <v/>
      </c>
    </row>
    <row r="85" spans="1:19" hidden="1">
      <c r="A85" s="12">
        <v>77</v>
      </c>
      <c r="B85" s="12" t="str">
        <f>IF(fieldcreatorv2!BX91&lt;&gt;"",fieldcreatorv2!BX91,"")</f>
        <v/>
      </c>
      <c r="C85" s="220"/>
      <c r="D85" s="216"/>
      <c r="E85" s="6" t="str">
        <f t="shared" si="26"/>
        <v/>
      </c>
      <c r="F85" s="12">
        <f>+IF(fieldcreatorv2!I91="si",1,0)</f>
        <v>0</v>
      </c>
      <c r="G85" s="12" t="str">
        <f>IF(fieldcreatorv2!E91="","",fieldcreatorv2!E91)</f>
        <v/>
      </c>
      <c r="H85" s="12">
        <v>77</v>
      </c>
      <c r="I85" s="61" t="str">
        <f t="shared" si="20"/>
        <v/>
      </c>
      <c r="J85" s="61" t="str">
        <f t="shared" si="21"/>
        <v/>
      </c>
      <c r="L85" s="12" t="str">
        <f t="shared" si="29"/>
        <v/>
      </c>
      <c r="M85" s="61">
        <f t="shared" si="23"/>
        <v>0</v>
      </c>
      <c r="N85" s="61">
        <f t="shared" si="24"/>
        <v>4</v>
      </c>
      <c r="O85" s="61" t="str">
        <f t="shared" si="22"/>
        <v/>
      </c>
      <c r="P85" s="12" t="str">
        <f t="shared" si="27"/>
        <v/>
      </c>
      <c r="Q85" s="12" t="str">
        <f t="shared" si="28"/>
        <v/>
      </c>
      <c r="R85" s="12" t="str">
        <f t="shared" si="30"/>
        <v/>
      </c>
      <c r="S85" s="214" t="str">
        <f t="shared" si="25"/>
        <v/>
      </c>
    </row>
    <row r="86" spans="1:19" hidden="1">
      <c r="A86" s="12">
        <v>78</v>
      </c>
      <c r="B86" s="12" t="str">
        <f>IF(fieldcreatorv2!BX92&lt;&gt;"",fieldcreatorv2!BX92,"")</f>
        <v/>
      </c>
      <c r="C86" s="220"/>
      <c r="D86" s="216"/>
      <c r="E86" s="6" t="str">
        <f t="shared" si="26"/>
        <v/>
      </c>
      <c r="F86" s="12">
        <f>+IF(fieldcreatorv2!I92="si",1,0)</f>
        <v>0</v>
      </c>
      <c r="G86" s="12" t="str">
        <f>IF(fieldcreatorv2!E92="","",fieldcreatorv2!E92)</f>
        <v/>
      </c>
      <c r="H86" s="12">
        <v>78</v>
      </c>
      <c r="I86" s="61" t="str">
        <f t="shared" si="20"/>
        <v/>
      </c>
      <c r="J86" s="61" t="str">
        <f t="shared" si="21"/>
        <v/>
      </c>
      <c r="L86" s="12" t="str">
        <f t="shared" si="29"/>
        <v/>
      </c>
      <c r="M86" s="61">
        <f t="shared" si="23"/>
        <v>0</v>
      </c>
      <c r="N86" s="61">
        <f t="shared" si="24"/>
        <v>4</v>
      </c>
      <c r="O86" s="61" t="str">
        <f t="shared" si="22"/>
        <v/>
      </c>
      <c r="P86" s="12" t="str">
        <f t="shared" si="27"/>
        <v/>
      </c>
      <c r="Q86" s="12" t="str">
        <f t="shared" si="28"/>
        <v/>
      </c>
      <c r="R86" s="12" t="str">
        <f t="shared" si="30"/>
        <v/>
      </c>
      <c r="S86" s="214" t="str">
        <f t="shared" si="25"/>
        <v/>
      </c>
    </row>
    <row r="87" spans="1:19" hidden="1">
      <c r="A87" s="12">
        <v>79</v>
      </c>
      <c r="B87" s="12" t="str">
        <f>IF(fieldcreatorv2!BX93&lt;&gt;"",fieldcreatorv2!BX93,"")</f>
        <v/>
      </c>
      <c r="C87" s="220"/>
      <c r="D87" s="216"/>
      <c r="E87" s="6" t="str">
        <f t="shared" si="26"/>
        <v/>
      </c>
      <c r="F87" s="12">
        <f>+IF(fieldcreatorv2!I93="si",1,0)</f>
        <v>0</v>
      </c>
      <c r="G87" s="12" t="str">
        <f>IF(fieldcreatorv2!E93="","",fieldcreatorv2!E93)</f>
        <v/>
      </c>
      <c r="H87" s="12">
        <v>79</v>
      </c>
      <c r="I87" s="61" t="str">
        <f t="shared" si="20"/>
        <v/>
      </c>
      <c r="J87" s="61" t="str">
        <f t="shared" si="21"/>
        <v/>
      </c>
      <c r="L87" s="12" t="str">
        <f t="shared" si="29"/>
        <v/>
      </c>
      <c r="M87" s="61">
        <f t="shared" si="23"/>
        <v>0</v>
      </c>
      <c r="N87" s="61">
        <f t="shared" si="24"/>
        <v>4</v>
      </c>
      <c r="O87" s="61" t="str">
        <f t="shared" si="22"/>
        <v/>
      </c>
      <c r="P87" s="12" t="str">
        <f t="shared" si="27"/>
        <v/>
      </c>
      <c r="Q87" s="12" t="str">
        <f t="shared" si="28"/>
        <v/>
      </c>
      <c r="R87" s="12" t="str">
        <f t="shared" si="30"/>
        <v/>
      </c>
      <c r="S87" s="214" t="str">
        <f t="shared" si="25"/>
        <v/>
      </c>
    </row>
    <row r="88" spans="1:19" hidden="1">
      <c r="A88" s="12">
        <v>80</v>
      </c>
      <c r="B88" s="12" t="str">
        <f>IF(fieldcreatorv2!BX94&lt;&gt;"",fieldcreatorv2!BX94,"")</f>
        <v/>
      </c>
      <c r="C88" s="220"/>
      <c r="D88" s="216"/>
      <c r="E88" s="6" t="str">
        <f t="shared" si="26"/>
        <v/>
      </c>
      <c r="F88" s="12">
        <f>+IF(fieldcreatorv2!I94="si",1,0)</f>
        <v>0</v>
      </c>
      <c r="G88" s="12" t="str">
        <f>IF(fieldcreatorv2!E94="","",fieldcreatorv2!E94)</f>
        <v/>
      </c>
      <c r="H88" s="12">
        <v>80</v>
      </c>
      <c r="I88" s="61" t="str">
        <f t="shared" si="20"/>
        <v/>
      </c>
      <c r="J88" s="61" t="str">
        <f t="shared" si="21"/>
        <v/>
      </c>
      <c r="L88" s="12" t="str">
        <f t="shared" si="29"/>
        <v/>
      </c>
      <c r="M88" s="61">
        <f t="shared" si="23"/>
        <v>0</v>
      </c>
      <c r="N88" s="61">
        <f t="shared" si="24"/>
        <v>4</v>
      </c>
      <c r="O88" s="61" t="str">
        <f t="shared" si="22"/>
        <v/>
      </c>
      <c r="P88" s="12" t="str">
        <f t="shared" si="27"/>
        <v/>
      </c>
      <c r="Q88" s="12" t="str">
        <f t="shared" si="28"/>
        <v/>
      </c>
      <c r="R88" s="12" t="str">
        <f t="shared" si="30"/>
        <v/>
      </c>
      <c r="S88" s="214" t="str">
        <f t="shared" si="25"/>
        <v/>
      </c>
    </row>
    <row r="89" spans="1:19" hidden="1">
      <c r="A89" s="12">
        <v>81</v>
      </c>
      <c r="B89" s="12" t="str">
        <f>IF(fieldcreatorv2!BX95&lt;&gt;"",fieldcreatorv2!BX95,"")</f>
        <v/>
      </c>
      <c r="C89" s="220"/>
      <c r="D89" s="216"/>
      <c r="E89" s="6" t="str">
        <f t="shared" si="26"/>
        <v/>
      </c>
      <c r="F89" s="12">
        <f>+IF(fieldcreatorv2!I95="si",1,0)</f>
        <v>0</v>
      </c>
      <c r="G89" s="12" t="str">
        <f>IF(fieldcreatorv2!E95="","",fieldcreatorv2!E95)</f>
        <v/>
      </c>
      <c r="H89" s="12">
        <v>81</v>
      </c>
      <c r="I89" s="61" t="str">
        <f t="shared" si="20"/>
        <v/>
      </c>
      <c r="J89" s="61" t="str">
        <f t="shared" si="21"/>
        <v/>
      </c>
      <c r="L89" s="12" t="str">
        <f t="shared" si="29"/>
        <v/>
      </c>
      <c r="M89" s="61">
        <f t="shared" si="23"/>
        <v>0</v>
      </c>
      <c r="N89" s="61">
        <f t="shared" si="24"/>
        <v>4</v>
      </c>
      <c r="O89" s="61" t="str">
        <f t="shared" si="22"/>
        <v/>
      </c>
      <c r="P89" s="12" t="str">
        <f t="shared" si="27"/>
        <v/>
      </c>
      <c r="Q89" s="12" t="str">
        <f t="shared" si="28"/>
        <v/>
      </c>
      <c r="R89" s="12" t="str">
        <f t="shared" si="30"/>
        <v/>
      </c>
      <c r="S89" s="214" t="str">
        <f t="shared" si="25"/>
        <v/>
      </c>
    </row>
    <row r="90" spans="1:19" hidden="1">
      <c r="A90" s="12">
        <v>82</v>
      </c>
      <c r="B90" s="12" t="str">
        <f>IF(fieldcreatorv2!BX96&lt;&gt;"",fieldcreatorv2!BX96,"")</f>
        <v/>
      </c>
      <c r="C90" s="220"/>
      <c r="D90" s="216"/>
      <c r="E90" s="6" t="str">
        <f t="shared" si="26"/>
        <v/>
      </c>
      <c r="F90" s="12">
        <f>+IF(fieldcreatorv2!I96="si",1,0)</f>
        <v>0</v>
      </c>
      <c r="G90" s="12" t="str">
        <f>IF(fieldcreatorv2!E96="","",fieldcreatorv2!E96)</f>
        <v/>
      </c>
      <c r="H90" s="12">
        <v>82</v>
      </c>
      <c r="I90" s="61" t="str">
        <f t="shared" si="20"/>
        <v/>
      </c>
      <c r="J90" s="61" t="str">
        <f t="shared" si="21"/>
        <v/>
      </c>
      <c r="L90" s="12" t="str">
        <f t="shared" si="29"/>
        <v/>
      </c>
      <c r="M90" s="61">
        <f t="shared" si="23"/>
        <v>0</v>
      </c>
      <c r="N90" s="61">
        <f t="shared" si="24"/>
        <v>4</v>
      </c>
      <c r="O90" s="61" t="str">
        <f t="shared" si="22"/>
        <v/>
      </c>
      <c r="P90" s="12" t="str">
        <f t="shared" si="27"/>
        <v/>
      </c>
      <c r="Q90" s="12" t="str">
        <f t="shared" si="28"/>
        <v/>
      </c>
      <c r="R90" s="12" t="str">
        <f t="shared" si="30"/>
        <v/>
      </c>
      <c r="S90" s="214" t="str">
        <f t="shared" si="25"/>
        <v/>
      </c>
    </row>
    <row r="91" spans="1:19" hidden="1">
      <c r="A91" s="12">
        <v>83</v>
      </c>
      <c r="B91" s="12" t="str">
        <f>IF(fieldcreatorv2!BX97&lt;&gt;"",fieldcreatorv2!BX97,"")</f>
        <v/>
      </c>
      <c r="C91" s="220"/>
      <c r="D91" s="216"/>
      <c r="E91" s="6" t="str">
        <f t="shared" si="26"/>
        <v/>
      </c>
      <c r="F91" s="12">
        <f>+IF(fieldcreatorv2!I97="si",1,0)</f>
        <v>0</v>
      </c>
      <c r="G91" s="12" t="str">
        <f>IF(fieldcreatorv2!E97="","",fieldcreatorv2!E97)</f>
        <v/>
      </c>
      <c r="H91" s="12">
        <v>83</v>
      </c>
      <c r="I91" s="61" t="str">
        <f t="shared" si="20"/>
        <v/>
      </c>
      <c r="J91" s="61" t="str">
        <f t="shared" si="21"/>
        <v/>
      </c>
      <c r="L91" s="12" t="str">
        <f t="shared" si="29"/>
        <v/>
      </c>
      <c r="M91" s="61">
        <f t="shared" si="23"/>
        <v>0</v>
      </c>
      <c r="N91" s="61">
        <f t="shared" si="24"/>
        <v>4</v>
      </c>
      <c r="O91" s="61" t="str">
        <f t="shared" si="22"/>
        <v/>
      </c>
      <c r="P91" s="12" t="str">
        <f t="shared" si="27"/>
        <v/>
      </c>
      <c r="Q91" s="12" t="str">
        <f t="shared" si="28"/>
        <v/>
      </c>
      <c r="R91" s="12" t="str">
        <f t="shared" si="30"/>
        <v/>
      </c>
      <c r="S91" s="214" t="str">
        <f t="shared" si="25"/>
        <v/>
      </c>
    </row>
    <row r="92" spans="1:19" hidden="1">
      <c r="A92" s="12">
        <v>84</v>
      </c>
      <c r="B92" s="12" t="str">
        <f>IF(fieldcreatorv2!BX98&lt;&gt;"",fieldcreatorv2!BX98,"")</f>
        <v/>
      </c>
      <c r="C92" s="220"/>
      <c r="D92" s="216"/>
      <c r="E92" s="6" t="str">
        <f t="shared" si="26"/>
        <v/>
      </c>
      <c r="F92" s="12">
        <f>+IF(fieldcreatorv2!I98="si",1,0)</f>
        <v>0</v>
      </c>
      <c r="G92" s="12" t="str">
        <f>IF(fieldcreatorv2!E98="","",fieldcreatorv2!E98)</f>
        <v/>
      </c>
      <c r="H92" s="12">
        <v>84</v>
      </c>
      <c r="I92" s="61" t="str">
        <f t="shared" si="20"/>
        <v/>
      </c>
      <c r="J92" s="61" t="str">
        <f t="shared" si="21"/>
        <v/>
      </c>
      <c r="L92" s="12" t="str">
        <f t="shared" si="29"/>
        <v/>
      </c>
      <c r="M92" s="61">
        <f t="shared" si="23"/>
        <v>0</v>
      </c>
      <c r="N92" s="61">
        <f t="shared" si="24"/>
        <v>4</v>
      </c>
      <c r="O92" s="61" t="str">
        <f t="shared" si="22"/>
        <v/>
      </c>
      <c r="P92" s="12" t="str">
        <f t="shared" si="27"/>
        <v/>
      </c>
      <c r="Q92" s="12" t="str">
        <f t="shared" si="28"/>
        <v/>
      </c>
      <c r="R92" s="12" t="str">
        <f t="shared" si="30"/>
        <v/>
      </c>
      <c r="S92" s="214" t="str">
        <f t="shared" si="25"/>
        <v/>
      </c>
    </row>
    <row r="93" spans="1:19" hidden="1">
      <c r="A93" s="12">
        <v>85</v>
      </c>
      <c r="B93" s="12" t="str">
        <f>IF(fieldcreatorv2!BX99&lt;&gt;"",fieldcreatorv2!BX99,"")</f>
        <v/>
      </c>
      <c r="C93" s="220"/>
      <c r="D93" s="216"/>
      <c r="E93" s="6" t="str">
        <f t="shared" si="26"/>
        <v/>
      </c>
      <c r="F93" s="12">
        <f>+IF(fieldcreatorv2!I99="si",1,0)</f>
        <v>0</v>
      </c>
      <c r="G93" s="12" t="str">
        <f>IF(fieldcreatorv2!E99="","",fieldcreatorv2!E99)</f>
        <v/>
      </c>
      <c r="H93" s="12">
        <v>85</v>
      </c>
      <c r="I93" s="61" t="str">
        <f t="shared" si="20"/>
        <v/>
      </c>
      <c r="J93" s="61" t="str">
        <f t="shared" si="21"/>
        <v/>
      </c>
      <c r="L93" s="12" t="str">
        <f t="shared" si="29"/>
        <v/>
      </c>
      <c r="M93" s="61">
        <f t="shared" si="23"/>
        <v>0</v>
      </c>
      <c r="N93" s="61">
        <f t="shared" si="24"/>
        <v>4</v>
      </c>
      <c r="O93" s="61" t="str">
        <f t="shared" si="22"/>
        <v/>
      </c>
      <c r="P93" s="12" t="str">
        <f t="shared" si="27"/>
        <v/>
      </c>
      <c r="Q93" s="12" t="str">
        <f t="shared" si="28"/>
        <v/>
      </c>
      <c r="R93" s="12" t="str">
        <f t="shared" si="30"/>
        <v/>
      </c>
      <c r="S93" s="214" t="str">
        <f t="shared" si="25"/>
        <v/>
      </c>
    </row>
    <row r="94" spans="1:19" hidden="1">
      <c r="A94" s="12">
        <v>86</v>
      </c>
      <c r="B94" s="12" t="str">
        <f>IF(fieldcreatorv2!BX100&lt;&gt;"",fieldcreatorv2!BX100,"")</f>
        <v/>
      </c>
      <c r="C94" s="220"/>
      <c r="D94" s="216"/>
      <c r="E94" s="6" t="str">
        <f t="shared" si="26"/>
        <v/>
      </c>
      <c r="F94" s="12">
        <f>+IF(fieldcreatorv2!I100="si",1,0)</f>
        <v>0</v>
      </c>
      <c r="G94" s="12" t="str">
        <f>IF(fieldcreatorv2!E100="","",fieldcreatorv2!E100)</f>
        <v/>
      </c>
      <c r="H94" s="12">
        <v>86</v>
      </c>
      <c r="I94" s="61" t="str">
        <f t="shared" si="20"/>
        <v/>
      </c>
      <c r="J94" s="61" t="str">
        <f t="shared" si="21"/>
        <v/>
      </c>
      <c r="L94" s="12" t="str">
        <f t="shared" si="29"/>
        <v/>
      </c>
      <c r="M94" s="61">
        <f t="shared" si="23"/>
        <v>0</v>
      </c>
      <c r="N94" s="61">
        <f t="shared" si="24"/>
        <v>4</v>
      </c>
      <c r="O94" s="61" t="str">
        <f t="shared" si="22"/>
        <v/>
      </c>
      <c r="P94" s="12" t="str">
        <f t="shared" si="27"/>
        <v/>
      </c>
      <c r="Q94" s="12" t="str">
        <f t="shared" si="28"/>
        <v/>
      </c>
      <c r="R94" s="12" t="str">
        <f t="shared" si="30"/>
        <v/>
      </c>
      <c r="S94" s="214" t="str">
        <f t="shared" si="25"/>
        <v/>
      </c>
    </row>
    <row r="95" spans="1:19" hidden="1">
      <c r="A95" s="12">
        <v>87</v>
      </c>
      <c r="B95" s="12" t="str">
        <f>IF(fieldcreatorv2!BX101&lt;&gt;"",fieldcreatorv2!BX101,"")</f>
        <v/>
      </c>
      <c r="C95" s="220"/>
      <c r="D95" s="216"/>
      <c r="E95" s="6" t="str">
        <f t="shared" si="26"/>
        <v/>
      </c>
      <c r="F95" s="12">
        <f>+IF(fieldcreatorv2!I101="si",1,0)</f>
        <v>0</v>
      </c>
      <c r="G95" s="12" t="str">
        <f>IF(fieldcreatorv2!E101="","",fieldcreatorv2!E101)</f>
        <v/>
      </c>
      <c r="H95" s="12">
        <v>87</v>
      </c>
      <c r="I95" s="61" t="str">
        <f t="shared" si="20"/>
        <v/>
      </c>
      <c r="J95" s="61" t="str">
        <f t="shared" si="21"/>
        <v/>
      </c>
      <c r="L95" s="12" t="str">
        <f t="shared" si="29"/>
        <v/>
      </c>
      <c r="M95" s="61">
        <f t="shared" si="23"/>
        <v>0</v>
      </c>
      <c r="N95" s="61">
        <f t="shared" si="24"/>
        <v>4</v>
      </c>
      <c r="O95" s="61" t="str">
        <f t="shared" si="22"/>
        <v/>
      </c>
      <c r="P95" s="12" t="str">
        <f t="shared" si="27"/>
        <v/>
      </c>
      <c r="Q95" s="12" t="str">
        <f t="shared" si="28"/>
        <v/>
      </c>
      <c r="R95" s="12" t="str">
        <f t="shared" si="30"/>
        <v/>
      </c>
      <c r="S95" s="214" t="str">
        <f t="shared" si="25"/>
        <v/>
      </c>
    </row>
    <row r="96" spans="1:19" hidden="1">
      <c r="A96" s="12">
        <v>88</v>
      </c>
      <c r="B96" s="12" t="str">
        <f>IF(fieldcreatorv2!BX102&lt;&gt;"",fieldcreatorv2!BX102,"")</f>
        <v/>
      </c>
      <c r="C96" s="220"/>
      <c r="D96" s="216"/>
      <c r="E96" s="6" t="str">
        <f t="shared" si="26"/>
        <v/>
      </c>
      <c r="F96" s="12">
        <f>+IF(fieldcreatorv2!I102="si",1,0)</f>
        <v>0</v>
      </c>
      <c r="G96" s="12" t="str">
        <f>IF(fieldcreatorv2!E102="","",fieldcreatorv2!E102)</f>
        <v/>
      </c>
      <c r="H96" s="12">
        <v>88</v>
      </c>
      <c r="I96" s="61" t="str">
        <f t="shared" si="20"/>
        <v/>
      </c>
      <c r="J96" s="61" t="str">
        <f t="shared" si="21"/>
        <v/>
      </c>
      <c r="L96" s="12" t="str">
        <f t="shared" si="29"/>
        <v/>
      </c>
      <c r="M96" s="61">
        <f t="shared" si="23"/>
        <v>0</v>
      </c>
      <c r="N96" s="61">
        <f t="shared" si="24"/>
        <v>4</v>
      </c>
      <c r="O96" s="61" t="str">
        <f t="shared" si="22"/>
        <v/>
      </c>
      <c r="P96" s="12" t="str">
        <f t="shared" si="27"/>
        <v/>
      </c>
      <c r="Q96" s="12" t="str">
        <f t="shared" si="28"/>
        <v/>
      </c>
      <c r="R96" s="12" t="str">
        <f t="shared" si="30"/>
        <v/>
      </c>
      <c r="S96" s="214" t="str">
        <f t="shared" si="25"/>
        <v/>
      </c>
    </row>
    <row r="97" spans="1:19" hidden="1">
      <c r="A97" s="12">
        <v>89</v>
      </c>
      <c r="B97" s="12" t="str">
        <f>IF(fieldcreatorv2!BX103&lt;&gt;"",fieldcreatorv2!BX103,"")</f>
        <v/>
      </c>
      <c r="C97" s="220"/>
      <c r="D97" s="216"/>
      <c r="E97" s="6" t="str">
        <f t="shared" si="26"/>
        <v/>
      </c>
      <c r="F97" s="12">
        <f>+IF(fieldcreatorv2!I103="si",1,0)</f>
        <v>0</v>
      </c>
      <c r="G97" s="12" t="str">
        <f>IF(fieldcreatorv2!E103="","",fieldcreatorv2!E103)</f>
        <v/>
      </c>
      <c r="H97" s="12">
        <v>89</v>
      </c>
      <c r="I97" s="61" t="str">
        <f t="shared" si="20"/>
        <v/>
      </c>
      <c r="J97" s="61" t="str">
        <f t="shared" si="21"/>
        <v/>
      </c>
      <c r="L97" s="12" t="str">
        <f t="shared" si="29"/>
        <v/>
      </c>
      <c r="M97" s="61">
        <f t="shared" si="23"/>
        <v>0</v>
      </c>
      <c r="N97" s="61">
        <f t="shared" si="24"/>
        <v>4</v>
      </c>
      <c r="O97" s="61" t="str">
        <f t="shared" si="22"/>
        <v/>
      </c>
      <c r="P97" s="12" t="str">
        <f t="shared" si="27"/>
        <v/>
      </c>
      <c r="Q97" s="12" t="str">
        <f t="shared" si="28"/>
        <v/>
      </c>
      <c r="R97" s="12" t="str">
        <f t="shared" si="30"/>
        <v/>
      </c>
      <c r="S97" s="214" t="str">
        <f t="shared" si="25"/>
        <v/>
      </c>
    </row>
    <row r="98" spans="1:19" hidden="1">
      <c r="A98" s="12">
        <v>90</v>
      </c>
      <c r="B98" s="12" t="str">
        <f>IF(fieldcreatorv2!BX104&lt;&gt;"",fieldcreatorv2!BX104,"")</f>
        <v/>
      </c>
      <c r="C98" s="220"/>
      <c r="D98" s="216"/>
      <c r="E98" s="6" t="str">
        <f t="shared" si="26"/>
        <v/>
      </c>
      <c r="F98" s="12">
        <f>+IF(fieldcreatorv2!I104="si",1,0)</f>
        <v>0</v>
      </c>
      <c r="G98" s="12" t="str">
        <f>IF(fieldcreatorv2!E104="","",fieldcreatorv2!E104)</f>
        <v/>
      </c>
      <c r="H98" s="12">
        <v>90</v>
      </c>
      <c r="I98" s="61" t="str">
        <f t="shared" si="20"/>
        <v/>
      </c>
      <c r="J98" s="61" t="str">
        <f t="shared" si="21"/>
        <v/>
      </c>
      <c r="L98" s="12" t="str">
        <f t="shared" si="29"/>
        <v/>
      </c>
      <c r="M98" s="61">
        <f t="shared" si="23"/>
        <v>0</v>
      </c>
      <c r="N98" s="61">
        <f t="shared" si="24"/>
        <v>4</v>
      </c>
      <c r="O98" s="61" t="str">
        <f t="shared" si="22"/>
        <v/>
      </c>
      <c r="P98" s="12" t="str">
        <f t="shared" si="27"/>
        <v/>
      </c>
      <c r="Q98" s="12" t="str">
        <f t="shared" si="28"/>
        <v/>
      </c>
      <c r="R98" s="12" t="str">
        <f t="shared" si="30"/>
        <v/>
      </c>
      <c r="S98" s="214" t="str">
        <f t="shared" si="25"/>
        <v/>
      </c>
    </row>
    <row r="99" spans="1:19" hidden="1">
      <c r="A99" s="12">
        <v>91</v>
      </c>
      <c r="B99" s="12" t="str">
        <f>IF(fieldcreatorv2!BX105&lt;&gt;"",fieldcreatorv2!BX105,"")</f>
        <v/>
      </c>
      <c r="C99" s="220"/>
      <c r="D99" s="216"/>
      <c r="E99" s="6" t="str">
        <f t="shared" si="26"/>
        <v/>
      </c>
      <c r="F99" s="12">
        <f>+IF(fieldcreatorv2!I105="si",1,0)</f>
        <v>0</v>
      </c>
      <c r="G99" s="12" t="str">
        <f>IF(fieldcreatorv2!E105="","",fieldcreatorv2!E105)</f>
        <v/>
      </c>
      <c r="H99" s="12">
        <v>91</v>
      </c>
      <c r="I99" s="61" t="str">
        <f t="shared" si="20"/>
        <v/>
      </c>
      <c r="J99" s="61" t="str">
        <f t="shared" si="21"/>
        <v/>
      </c>
      <c r="L99" s="12" t="str">
        <f t="shared" si="29"/>
        <v/>
      </c>
      <c r="M99" s="61">
        <f t="shared" si="23"/>
        <v>0</v>
      </c>
      <c r="N99" s="61">
        <f t="shared" si="24"/>
        <v>4</v>
      </c>
      <c r="O99" s="61" t="str">
        <f t="shared" si="22"/>
        <v/>
      </c>
      <c r="P99" s="12" t="str">
        <f t="shared" si="27"/>
        <v/>
      </c>
      <c r="Q99" s="12" t="str">
        <f t="shared" si="28"/>
        <v/>
      </c>
      <c r="R99" s="12" t="str">
        <f t="shared" si="30"/>
        <v/>
      </c>
      <c r="S99" s="214" t="str">
        <f t="shared" si="25"/>
        <v/>
      </c>
    </row>
    <row r="100" spans="1:19" hidden="1">
      <c r="A100" s="12">
        <v>92</v>
      </c>
      <c r="B100" s="12" t="str">
        <f>IF(fieldcreatorv2!BX106&lt;&gt;"",fieldcreatorv2!BX106,"")</f>
        <v/>
      </c>
      <c r="C100" s="220"/>
      <c r="D100" s="216"/>
      <c r="E100" s="6" t="str">
        <f t="shared" si="26"/>
        <v/>
      </c>
      <c r="F100" s="12">
        <f>+IF(fieldcreatorv2!I106="si",1,0)</f>
        <v>0</v>
      </c>
      <c r="G100" s="12" t="str">
        <f>IF(fieldcreatorv2!E106="","",fieldcreatorv2!E106)</f>
        <v/>
      </c>
      <c r="H100" s="12">
        <v>92</v>
      </c>
      <c r="I100" s="61" t="str">
        <f t="shared" si="20"/>
        <v/>
      </c>
      <c r="J100" s="61" t="str">
        <f t="shared" si="21"/>
        <v/>
      </c>
      <c r="L100" s="12" t="str">
        <f t="shared" si="29"/>
        <v/>
      </c>
      <c r="M100" s="61">
        <f t="shared" si="23"/>
        <v>0</v>
      </c>
      <c r="N100" s="61">
        <f t="shared" si="24"/>
        <v>4</v>
      </c>
      <c r="O100" s="61" t="str">
        <f t="shared" si="22"/>
        <v/>
      </c>
      <c r="P100" s="12" t="str">
        <f t="shared" si="27"/>
        <v/>
      </c>
      <c r="Q100" s="12" t="str">
        <f t="shared" si="28"/>
        <v/>
      </c>
      <c r="R100" s="12" t="str">
        <f t="shared" si="30"/>
        <v/>
      </c>
      <c r="S100" s="214" t="str">
        <f t="shared" si="25"/>
        <v/>
      </c>
    </row>
    <row r="101" spans="1:19" hidden="1">
      <c r="A101" s="12">
        <v>93</v>
      </c>
      <c r="B101" s="12" t="str">
        <f>IF(fieldcreatorv2!BX107&lt;&gt;"",fieldcreatorv2!BX107,"")</f>
        <v/>
      </c>
      <c r="C101" s="220"/>
      <c r="D101" s="216"/>
      <c r="E101" s="6" t="str">
        <f t="shared" si="26"/>
        <v/>
      </c>
      <c r="F101" s="12">
        <f>+IF(fieldcreatorv2!I107="si",1,0)</f>
        <v>0</v>
      </c>
      <c r="G101" s="12" t="str">
        <f>IF(fieldcreatorv2!E107="","",fieldcreatorv2!E107)</f>
        <v/>
      </c>
      <c r="H101" s="12">
        <v>93</v>
      </c>
      <c r="I101" s="61" t="str">
        <f t="shared" si="20"/>
        <v/>
      </c>
      <c r="J101" s="61" t="str">
        <f t="shared" si="21"/>
        <v/>
      </c>
      <c r="L101" s="12" t="str">
        <f t="shared" si="29"/>
        <v/>
      </c>
      <c r="M101" s="61">
        <f t="shared" si="23"/>
        <v>0</v>
      </c>
      <c r="N101" s="61">
        <f t="shared" si="24"/>
        <v>4</v>
      </c>
      <c r="O101" s="61" t="str">
        <f t="shared" si="22"/>
        <v/>
      </c>
      <c r="P101" s="12" t="str">
        <f t="shared" si="27"/>
        <v/>
      </c>
      <c r="Q101" s="12" t="str">
        <f t="shared" si="28"/>
        <v/>
      </c>
      <c r="R101" s="12" t="str">
        <f t="shared" si="30"/>
        <v/>
      </c>
      <c r="S101" s="214" t="str">
        <f t="shared" si="25"/>
        <v/>
      </c>
    </row>
    <row r="102" spans="1:19" hidden="1">
      <c r="A102" s="12">
        <v>94</v>
      </c>
      <c r="B102" s="12" t="str">
        <f>IF(fieldcreatorv2!BX108&lt;&gt;"",fieldcreatorv2!BX108,"")</f>
        <v/>
      </c>
      <c r="C102" s="220"/>
      <c r="D102" s="216"/>
      <c r="E102" s="6" t="str">
        <f t="shared" si="26"/>
        <v/>
      </c>
      <c r="F102" s="12">
        <f>+IF(fieldcreatorv2!I108="si",1,0)</f>
        <v>0</v>
      </c>
      <c r="G102" s="12" t="str">
        <f>IF(fieldcreatorv2!E108="","",fieldcreatorv2!E108)</f>
        <v/>
      </c>
      <c r="H102" s="12">
        <v>94</v>
      </c>
      <c r="I102" s="61" t="str">
        <f t="shared" si="20"/>
        <v/>
      </c>
      <c r="J102" s="61" t="str">
        <f t="shared" si="21"/>
        <v/>
      </c>
      <c r="L102" s="12" t="str">
        <f t="shared" si="29"/>
        <v/>
      </c>
      <c r="M102" s="61">
        <f t="shared" si="23"/>
        <v>0</v>
      </c>
      <c r="N102" s="61">
        <f t="shared" si="24"/>
        <v>4</v>
      </c>
      <c r="O102" s="61" t="str">
        <f t="shared" si="22"/>
        <v/>
      </c>
      <c r="P102" s="12" t="str">
        <f t="shared" si="27"/>
        <v/>
      </c>
      <c r="Q102" s="12" t="str">
        <f t="shared" si="28"/>
        <v/>
      </c>
      <c r="R102" s="12" t="str">
        <f t="shared" si="30"/>
        <v/>
      </c>
      <c r="S102" s="214" t="str">
        <f t="shared" si="25"/>
        <v/>
      </c>
    </row>
    <row r="103" spans="1:19" hidden="1">
      <c r="A103" s="12">
        <v>95</v>
      </c>
      <c r="B103" s="12" t="str">
        <f>IF(fieldcreatorv2!BX109&lt;&gt;"",fieldcreatorv2!BX109,"")</f>
        <v/>
      </c>
      <c r="C103" s="220"/>
      <c r="D103" s="216"/>
      <c r="E103" s="6" t="str">
        <f t="shared" si="26"/>
        <v/>
      </c>
      <c r="F103" s="12">
        <f>+IF(fieldcreatorv2!I109="si",1,0)</f>
        <v>0</v>
      </c>
      <c r="G103" s="12" t="str">
        <f>IF(fieldcreatorv2!E109="","",fieldcreatorv2!E109)</f>
        <v/>
      </c>
      <c r="H103" s="12">
        <v>95</v>
      </c>
      <c r="I103" s="61" t="str">
        <f t="shared" si="20"/>
        <v/>
      </c>
      <c r="J103" s="61" t="str">
        <f t="shared" si="21"/>
        <v/>
      </c>
      <c r="L103" s="12" t="str">
        <f t="shared" si="29"/>
        <v/>
      </c>
      <c r="M103" s="61">
        <f t="shared" si="23"/>
        <v>0</v>
      </c>
      <c r="N103" s="61">
        <f t="shared" si="24"/>
        <v>4</v>
      </c>
      <c r="O103" s="61" t="str">
        <f t="shared" si="22"/>
        <v/>
      </c>
      <c r="P103" s="12" t="str">
        <f t="shared" si="27"/>
        <v/>
      </c>
      <c r="Q103" s="12" t="str">
        <f t="shared" si="28"/>
        <v/>
      </c>
      <c r="R103" s="12" t="str">
        <f t="shared" si="30"/>
        <v/>
      </c>
      <c r="S103" s="214" t="str">
        <f t="shared" si="25"/>
        <v/>
      </c>
    </row>
    <row r="104" spans="1:19" hidden="1">
      <c r="A104" s="12">
        <v>96</v>
      </c>
      <c r="B104" s="12" t="str">
        <f>IF(fieldcreatorv2!BX110&lt;&gt;"",fieldcreatorv2!BX110,"")</f>
        <v/>
      </c>
      <c r="C104" s="220"/>
      <c r="D104" s="216"/>
      <c r="E104" s="6" t="str">
        <f t="shared" si="26"/>
        <v/>
      </c>
      <c r="F104" s="12">
        <f>+IF(fieldcreatorv2!I110="si",1,0)</f>
        <v>0</v>
      </c>
      <c r="G104" s="12" t="str">
        <f>IF(fieldcreatorv2!E110="","",fieldcreatorv2!E110)</f>
        <v/>
      </c>
      <c r="H104" s="12">
        <v>96</v>
      </c>
      <c r="I104" s="61" t="str">
        <f t="shared" si="20"/>
        <v/>
      </c>
      <c r="J104" s="61" t="str">
        <f t="shared" si="21"/>
        <v/>
      </c>
      <c r="L104" s="12" t="str">
        <f t="shared" si="29"/>
        <v/>
      </c>
      <c r="M104" s="61">
        <f t="shared" si="23"/>
        <v>0</v>
      </c>
      <c r="N104" s="61">
        <f t="shared" si="24"/>
        <v>4</v>
      </c>
      <c r="O104" s="61" t="str">
        <f t="shared" si="22"/>
        <v/>
      </c>
      <c r="P104" s="12" t="str">
        <f t="shared" si="27"/>
        <v/>
      </c>
      <c r="Q104" s="12" t="str">
        <f t="shared" si="28"/>
        <v/>
      </c>
      <c r="R104" s="12" t="str">
        <f t="shared" si="30"/>
        <v/>
      </c>
      <c r="S104" s="214" t="str">
        <f t="shared" si="25"/>
        <v/>
      </c>
    </row>
    <row r="105" spans="1:19" hidden="1">
      <c r="A105" s="12">
        <v>97</v>
      </c>
      <c r="B105" s="12" t="str">
        <f>IF(fieldcreatorv2!BX111&lt;&gt;"",fieldcreatorv2!BX111,"")</f>
        <v/>
      </c>
      <c r="C105" s="220"/>
      <c r="D105" s="216"/>
      <c r="E105" s="6" t="str">
        <f t="shared" si="26"/>
        <v/>
      </c>
      <c r="F105" s="12">
        <f>+IF(fieldcreatorv2!I111="si",1,0)</f>
        <v>0</v>
      </c>
      <c r="G105" s="12" t="str">
        <f>IF(fieldcreatorv2!E111="","",fieldcreatorv2!E111)</f>
        <v/>
      </c>
      <c r="H105" s="12">
        <v>97</v>
      </c>
      <c r="I105" s="61" t="str">
        <f t="shared" si="20"/>
        <v/>
      </c>
      <c r="J105" s="61" t="str">
        <f t="shared" si="21"/>
        <v/>
      </c>
      <c r="L105" s="12" t="str">
        <f t="shared" si="29"/>
        <v/>
      </c>
      <c r="M105" s="61">
        <f t="shared" si="23"/>
        <v>0</v>
      </c>
      <c r="N105" s="61">
        <f t="shared" si="24"/>
        <v>4</v>
      </c>
      <c r="O105" s="61" t="str">
        <f t="shared" ref="O105:O108" si="31">+IF(AND(B105&lt;&gt;"",C105&lt;&gt;""),IF(N105&gt;1,"+",""),"")</f>
        <v/>
      </c>
      <c r="P105" s="12" t="str">
        <f t="shared" si="27"/>
        <v/>
      </c>
      <c r="Q105" s="12" t="str">
        <f t="shared" si="28"/>
        <v/>
      </c>
      <c r="R105" s="12" t="str">
        <f t="shared" si="30"/>
        <v/>
      </c>
      <c r="S105" s="214" t="str">
        <f t="shared" si="25"/>
        <v/>
      </c>
    </row>
    <row r="106" spans="1:19" hidden="1">
      <c r="A106" s="12">
        <v>98</v>
      </c>
      <c r="B106" s="12" t="str">
        <f>IF(fieldcreatorv2!BX112&lt;&gt;"",fieldcreatorv2!BX112,"")</f>
        <v/>
      </c>
      <c r="C106" s="220"/>
      <c r="D106" s="216"/>
      <c r="E106" s="6" t="str">
        <f t="shared" si="26"/>
        <v/>
      </c>
      <c r="F106" s="12">
        <f>+IF(fieldcreatorv2!I112="si",1,0)</f>
        <v>0</v>
      </c>
      <c r="G106" s="12" t="str">
        <f>IF(fieldcreatorv2!E112="","",fieldcreatorv2!E112)</f>
        <v/>
      </c>
      <c r="H106" s="12">
        <v>98</v>
      </c>
      <c r="I106" s="61" t="str">
        <f t="shared" si="20"/>
        <v/>
      </c>
      <c r="J106" s="61" t="str">
        <f t="shared" si="21"/>
        <v/>
      </c>
      <c r="L106" s="12" t="str">
        <f t="shared" si="29"/>
        <v/>
      </c>
      <c r="M106" s="61">
        <f t="shared" si="23"/>
        <v>0</v>
      </c>
      <c r="N106" s="61">
        <f t="shared" si="24"/>
        <v>4</v>
      </c>
      <c r="O106" s="61" t="str">
        <f t="shared" si="31"/>
        <v/>
      </c>
      <c r="P106" s="12" t="str">
        <f t="shared" si="27"/>
        <v/>
      </c>
      <c r="Q106" s="12" t="str">
        <f t="shared" si="28"/>
        <v/>
      </c>
      <c r="R106" s="12" t="str">
        <f t="shared" si="30"/>
        <v/>
      </c>
      <c r="S106" s="214" t="str">
        <f t="shared" si="25"/>
        <v/>
      </c>
    </row>
    <row r="107" spans="1:19" hidden="1">
      <c r="A107" s="12">
        <v>99</v>
      </c>
      <c r="B107" s="12" t="str">
        <f>IF(fieldcreatorv2!BX113&lt;&gt;"",fieldcreatorv2!BX113,"")</f>
        <v/>
      </c>
      <c r="C107" s="220"/>
      <c r="D107" s="216"/>
      <c r="E107" s="6" t="str">
        <f t="shared" si="26"/>
        <v/>
      </c>
      <c r="F107" s="12">
        <f>+IF(fieldcreatorv2!I113="si",1,0)</f>
        <v>0</v>
      </c>
      <c r="G107" s="12" t="str">
        <f>IF(fieldcreatorv2!E113="","",fieldcreatorv2!E113)</f>
        <v/>
      </c>
      <c r="H107" s="12">
        <v>99</v>
      </c>
      <c r="I107" s="61" t="str">
        <f t="shared" si="20"/>
        <v/>
      </c>
      <c r="J107" s="61" t="str">
        <f t="shared" si="21"/>
        <v/>
      </c>
      <c r="L107" s="12" t="str">
        <f t="shared" si="29"/>
        <v/>
      </c>
      <c r="M107" s="61">
        <f t="shared" si="23"/>
        <v>0</v>
      </c>
      <c r="N107" s="61">
        <f t="shared" si="24"/>
        <v>4</v>
      </c>
      <c r="O107" s="61" t="str">
        <f t="shared" si="31"/>
        <v/>
      </c>
      <c r="P107" s="12" t="str">
        <f t="shared" si="27"/>
        <v/>
      </c>
      <c r="Q107" s="12" t="str">
        <f t="shared" si="28"/>
        <v/>
      </c>
      <c r="R107" s="12" t="str">
        <f t="shared" si="30"/>
        <v/>
      </c>
      <c r="S107" s="214" t="str">
        <f t="shared" si="25"/>
        <v/>
      </c>
    </row>
    <row r="108" spans="1:19">
      <c r="A108" s="12">
        <v>100</v>
      </c>
      <c r="B108" s="12" t="str">
        <f>IF(fieldcreatorv2!BX114&lt;&gt;"",fieldcreatorv2!BX114,"")</f>
        <v/>
      </c>
      <c r="C108" s="220"/>
      <c r="D108" s="216"/>
      <c r="E108" s="6" t="str">
        <f t="shared" si="26"/>
        <v/>
      </c>
      <c r="F108" s="12">
        <f>+IF(fieldcreatorv2!I114="si",1,0)</f>
        <v>0</v>
      </c>
      <c r="G108" s="12" t="str">
        <f>IF(fieldcreatorv2!E114="","",fieldcreatorv2!E114)</f>
        <v/>
      </c>
      <c r="H108" s="12">
        <v>100</v>
      </c>
      <c r="I108" s="61" t="str">
        <f t="shared" si="20"/>
        <v/>
      </c>
      <c r="J108" s="61" t="str">
        <f t="shared" si="21"/>
        <v/>
      </c>
      <c r="L108" s="12" t="str">
        <f t="shared" si="29"/>
        <v/>
      </c>
      <c r="M108" s="61">
        <f t="shared" si="23"/>
        <v>0</v>
      </c>
      <c r="N108" s="61">
        <f t="shared" si="24"/>
        <v>4</v>
      </c>
      <c r="O108" s="61" t="str">
        <f t="shared" si="31"/>
        <v/>
      </c>
      <c r="P108" s="12" t="str">
        <f t="shared" si="27"/>
        <v/>
      </c>
      <c r="Q108" s="12" t="str">
        <f t="shared" si="28"/>
        <v/>
      </c>
      <c r="R108" s="12" t="str">
        <f t="shared" si="30"/>
        <v/>
      </c>
      <c r="S108" s="214" t="str">
        <f t="shared" si="25"/>
        <v/>
      </c>
    </row>
    <row r="111" spans="1:19">
      <c r="B111" s="12" t="s">
        <v>913</v>
      </c>
      <c r="E111" s="39" t="s">
        <v>952</v>
      </c>
    </row>
    <row r="112" spans="1:19">
      <c r="B112" s="61" t="s">
        <v>893</v>
      </c>
    </row>
    <row r="113" spans="2:2">
      <c r="B113" s="61" t="s">
        <v>801</v>
      </c>
    </row>
    <row r="114" spans="2:2">
      <c r="B114" s="61" t="s">
        <v>894</v>
      </c>
    </row>
    <row r="115" spans="2:2" hidden="1">
      <c r="B115" s="192" t="str">
        <f>+I9&amp;I10&amp;I11&amp;I12&amp;I13</f>
        <v/>
      </c>
    </row>
    <row r="116" spans="2:2" hidden="1">
      <c r="B116" s="192" t="str">
        <f>+I14&amp;I15&amp;I16&amp;I17&amp;I18</f>
        <v/>
      </c>
    </row>
    <row r="117" spans="2:2" hidden="1">
      <c r="B117" s="192" t="str">
        <f>+I19&amp;I20&amp;I21&amp;I22&amp;I23</f>
        <v/>
      </c>
    </row>
    <row r="118" spans="2:2" hidden="1">
      <c r="B118" s="192" t="str">
        <f>+I24&amp;I25&amp;I26&amp;I27&amp;I28</f>
        <v/>
      </c>
    </row>
    <row r="119" spans="2:2" hidden="1">
      <c r="B119" s="192" t="str">
        <f>+I29&amp;I30&amp;I31&amp;I32&amp;I33</f>
        <v/>
      </c>
    </row>
    <row r="120" spans="2:2" hidden="1">
      <c r="B120" s="192" t="str">
        <f>+I34&amp;I35&amp;I36&amp;I37&amp;I38</f>
        <v/>
      </c>
    </row>
    <row r="121" spans="2:2" hidden="1">
      <c r="B121" s="192" t="str">
        <f>+I39&amp;I40&amp;I41&amp;I42&amp;I43</f>
        <v/>
      </c>
    </row>
    <row r="122" spans="2:2" hidden="1">
      <c r="B122" s="192" t="str">
        <f>+I44&amp;I45&amp;I46&amp;I47&amp;I48</f>
        <v/>
      </c>
    </row>
    <row r="123" spans="2:2" hidden="1">
      <c r="B123" s="192" t="str">
        <f>+I49&amp;I50&amp;I51&amp;I52&amp;I53</f>
        <v/>
      </c>
    </row>
    <row r="124" spans="2:2" hidden="1">
      <c r="B124" s="192" t="str">
        <f>+I54&amp;I55&amp;I56&amp;I57&amp;I58</f>
        <v/>
      </c>
    </row>
    <row r="125" spans="2:2" hidden="1">
      <c r="B125" s="192" t="str">
        <f>+I59&amp;I60&amp;I61&amp;I62&amp;I63</f>
        <v/>
      </c>
    </row>
    <row r="126" spans="2:2" hidden="1">
      <c r="B126" s="192" t="str">
        <f>+I64&amp;I65&amp;I66&amp;I67&amp;I68</f>
        <v/>
      </c>
    </row>
    <row r="127" spans="2:2" hidden="1">
      <c r="B127" s="192" t="str">
        <f>+I69&amp;I70&amp;I71&amp;I72&amp;I73</f>
        <v/>
      </c>
    </row>
    <row r="128" spans="2:2" hidden="1">
      <c r="B128" s="192" t="str">
        <f>+I74&amp;I75&amp;I76&amp;I77&amp;I78</f>
        <v/>
      </c>
    </row>
    <row r="129" spans="2:2" hidden="1">
      <c r="B129" s="192" t="str">
        <f>+I79&amp;I80&amp;I81&amp;I82&amp;I83</f>
        <v/>
      </c>
    </row>
    <row r="130" spans="2:2" hidden="1">
      <c r="B130" s="192" t="str">
        <f>+I84&amp;I85&amp;I86&amp;I87&amp;I88</f>
        <v/>
      </c>
    </row>
    <row r="131" spans="2:2" hidden="1">
      <c r="B131" s="192" t="str">
        <f>+I89&amp;I90&amp;I91&amp;I92&amp;I93</f>
        <v/>
      </c>
    </row>
    <row r="132" spans="2:2" hidden="1">
      <c r="B132" s="192" t="str">
        <f>+I94&amp;I95&amp;I96&amp;I97&amp;I98</f>
        <v/>
      </c>
    </row>
    <row r="133" spans="2:2" hidden="1">
      <c r="B133" s="192" t="str">
        <f>+I99&amp;I100&amp;I101&amp;I102&amp;I103</f>
        <v/>
      </c>
    </row>
    <row r="134" spans="2:2" hidden="1">
      <c r="B134" s="192" t="str">
        <f>+I104&amp;I105&amp;I106&amp;I107&amp;I108</f>
        <v/>
      </c>
    </row>
    <row r="135" spans="2:2">
      <c r="B135" s="61" t="s">
        <v>909</v>
      </c>
    </row>
    <row r="136" spans="2:2">
      <c r="B136" s="61" t="s">
        <v>910</v>
      </c>
    </row>
    <row r="137" spans="2:2">
      <c r="B137" s="192" t="str">
        <f>+J9&amp;J10&amp;J11&amp;J12&amp;J13</f>
        <v>user+tipo_doc_id+numd+tms_1</v>
      </c>
    </row>
    <row r="138" spans="2:2" hidden="1">
      <c r="B138" s="192" t="str">
        <f>+J14&amp;J15&amp;J16&amp;J17&amp;J18</f>
        <v/>
      </c>
    </row>
    <row r="139" spans="2:2" hidden="1">
      <c r="B139" s="192" t="str">
        <f>+J19&amp;J20&amp;J21&amp;J22&amp;J23</f>
        <v/>
      </c>
    </row>
    <row r="140" spans="2:2" hidden="1">
      <c r="B140" s="192" t="str">
        <f>+J24&amp;J25&amp;J26&amp;J27&amp;J28</f>
        <v/>
      </c>
    </row>
    <row r="141" spans="2:2" hidden="1">
      <c r="B141" s="192" t="str">
        <f>+J29&amp;J30&amp;J31&amp;J32&amp;J33</f>
        <v/>
      </c>
    </row>
    <row r="142" spans="2:2" hidden="1">
      <c r="B142" s="192" t="str">
        <f>+J34&amp;J35&amp;J36&amp;J37&amp;J38</f>
        <v/>
      </c>
    </row>
    <row r="143" spans="2:2" hidden="1">
      <c r="B143" s="192" t="str">
        <f>+J39&amp;J40&amp;J41&amp;J42&amp;J43</f>
        <v/>
      </c>
    </row>
    <row r="144" spans="2:2" hidden="1">
      <c r="B144" s="192" t="str">
        <f>+J44&amp;J45&amp;J46&amp;J47&amp;J48</f>
        <v/>
      </c>
    </row>
    <row r="145" spans="2:2" hidden="1">
      <c r="B145" s="192" t="str">
        <f>+J49&amp;J50&amp;J51&amp;J52&amp;J53</f>
        <v/>
      </c>
    </row>
    <row r="146" spans="2:2" hidden="1">
      <c r="B146" s="192" t="str">
        <f>+J54&amp;J55&amp;J56&amp;J57&amp;J58</f>
        <v/>
      </c>
    </row>
    <row r="147" spans="2:2" hidden="1">
      <c r="B147" s="192" t="str">
        <f>+J59&amp;J60&amp;J61&amp;J62&amp;J63</f>
        <v/>
      </c>
    </row>
    <row r="148" spans="2:2" hidden="1">
      <c r="B148" s="192" t="str">
        <f>+J64&amp;J65&amp;J66&amp;J67&amp;J68</f>
        <v/>
      </c>
    </row>
    <row r="149" spans="2:2" hidden="1">
      <c r="B149" s="192" t="str">
        <f>+J69&amp;J70&amp;J71&amp;J72&amp;J73</f>
        <v/>
      </c>
    </row>
    <row r="150" spans="2:2" hidden="1">
      <c r="B150" s="192" t="str">
        <f>+J74&amp;J75&amp;J76&amp;J77&amp;J78</f>
        <v/>
      </c>
    </row>
    <row r="151" spans="2:2" hidden="1">
      <c r="B151" s="192" t="str">
        <f>+J79&amp;J80&amp;J81&amp;J82&amp;J83</f>
        <v/>
      </c>
    </row>
    <row r="152" spans="2:2" hidden="1">
      <c r="B152" s="192" t="str">
        <f>+J84&amp;J85&amp;J86&amp;J87&amp;J88</f>
        <v/>
      </c>
    </row>
    <row r="153" spans="2:2" hidden="1">
      <c r="B153" s="192" t="str">
        <f>+J89&amp;J90&amp;J91&amp;J92&amp;J93</f>
        <v/>
      </c>
    </row>
    <row r="154" spans="2:2" hidden="1">
      <c r="B154" s="192" t="str">
        <f>+J94&amp;J95&amp;J96&amp;J97&amp;J98</f>
        <v/>
      </c>
    </row>
    <row r="155" spans="2:2" hidden="1">
      <c r="B155" s="192" t="str">
        <f>+J99&amp;J100&amp;J101&amp;J102&amp;J103</f>
        <v/>
      </c>
    </row>
    <row r="156" spans="2:2" hidden="1">
      <c r="B156" s="192" t="str">
        <f>+J104&amp;J105&amp;J106&amp;J107&amp;J108</f>
        <v/>
      </c>
    </row>
    <row r="157" spans="2:2">
      <c r="B157" s="61" t="s">
        <v>802</v>
      </c>
    </row>
    <row r="158" spans="2:2">
      <c r="B158" s="61" t="s">
        <v>106</v>
      </c>
    </row>
    <row r="159" spans="2:2">
      <c r="B159" s="61" t="s">
        <v>96</v>
      </c>
    </row>
    <row r="160" spans="2:2">
      <c r="B160" s="13" t="s">
        <v>914</v>
      </c>
    </row>
    <row r="161" spans="2:2">
      <c r="B161" s="61" t="str">
        <f>+A1</f>
        <v>&lt;script type="text/javascript"&gt;$(document).ready(function(){</v>
      </c>
    </row>
    <row r="162" spans="2:2">
      <c r="B162" s="192" t="str">
        <f>+L9&amp;L10&amp;L11&amp;L12&amp;L13</f>
        <v>$("#user").change(function(){summary()});$("#tipo_doc_id").change(function(){summary()});$("#numd").change(function(){summary()});$("#tms_1").change(function(){summary()})</v>
      </c>
    </row>
    <row r="163" spans="2:2" hidden="1">
      <c r="B163" s="192" t="str">
        <f>+L14&amp;L15&amp;L16&amp;L17&amp;L18</f>
        <v/>
      </c>
    </row>
    <row r="164" spans="2:2" hidden="1">
      <c r="B164" s="192" t="str">
        <f>+L19&amp;L20&amp;L21&amp;L22&amp;L23</f>
        <v/>
      </c>
    </row>
    <row r="165" spans="2:2" hidden="1">
      <c r="B165" s="192" t="str">
        <f>+L24&amp;L25&amp;L26&amp;L27&amp;L28</f>
        <v/>
      </c>
    </row>
    <row r="166" spans="2:2" hidden="1">
      <c r="B166" s="192" t="str">
        <f>+L29&amp;L30&amp;L31&amp;L32&amp;L33</f>
        <v/>
      </c>
    </row>
    <row r="167" spans="2:2" hidden="1">
      <c r="B167" s="192" t="str">
        <f>+L34&amp;L35&amp;L36&amp;L37&amp;L38</f>
        <v/>
      </c>
    </row>
    <row r="168" spans="2:2" hidden="1">
      <c r="B168" s="192" t="str">
        <f>+L39&amp;L40&amp;L41&amp;L42&amp;L43</f>
        <v/>
      </c>
    </row>
    <row r="169" spans="2:2" hidden="1">
      <c r="B169" s="192" t="str">
        <f>+L44&amp;L45&amp;L46&amp;L47&amp;L48</f>
        <v/>
      </c>
    </row>
    <row r="170" spans="2:2" hidden="1">
      <c r="B170" s="192" t="str">
        <f>+L49&amp;L50&amp;L51&amp;L52&amp;L53</f>
        <v/>
      </c>
    </row>
    <row r="171" spans="2:2" hidden="1">
      <c r="B171" s="192" t="str">
        <f>+L54&amp;L55&amp;L56&amp;L57&amp;L58</f>
        <v/>
      </c>
    </row>
    <row r="172" spans="2:2" hidden="1">
      <c r="B172" s="192" t="str">
        <f>+L59&amp;L60&amp;L61&amp;L62&amp;L63</f>
        <v/>
      </c>
    </row>
    <row r="173" spans="2:2" hidden="1">
      <c r="B173" s="192" t="str">
        <f>+L64&amp;L65&amp;L66&amp;L67&amp;L68</f>
        <v/>
      </c>
    </row>
    <row r="174" spans="2:2" hidden="1">
      <c r="B174" s="192" t="str">
        <f>+L69&amp;L70&amp;L71&amp;L72&amp;L73</f>
        <v/>
      </c>
    </row>
    <row r="175" spans="2:2" hidden="1">
      <c r="B175" s="192" t="str">
        <f>+L74&amp;L75&amp;L76&amp;L77&amp;L78</f>
        <v/>
      </c>
    </row>
    <row r="176" spans="2:2" hidden="1">
      <c r="B176" s="192" t="str">
        <f>+L79&amp;L80&amp;L81&amp;L82&amp;L83</f>
        <v/>
      </c>
    </row>
    <row r="177" spans="2:5" hidden="1">
      <c r="B177" s="192" t="str">
        <f>+L84&amp;L85&amp;L86&amp;L87&amp;L88</f>
        <v/>
      </c>
    </row>
    <row r="178" spans="2:5" hidden="1">
      <c r="B178" s="192" t="str">
        <f>+L89&amp;L90&amp;L91&amp;L92&amp;L93</f>
        <v/>
      </c>
    </row>
    <row r="179" spans="2:5" hidden="1">
      <c r="B179" s="192" t="str">
        <f>+L94&amp;L95&amp;L96&amp;L97&amp;L98</f>
        <v/>
      </c>
    </row>
    <row r="180" spans="2:5" hidden="1">
      <c r="B180" s="192" t="str">
        <f>+L99&amp;L100&amp;L101&amp;L102&amp;L103</f>
        <v/>
      </c>
    </row>
    <row r="181" spans="2:5" hidden="1">
      <c r="B181" s="192" t="str">
        <f>+L104&amp;L105&amp;L106&amp;L107&amp;L108</f>
        <v/>
      </c>
    </row>
    <row r="182" spans="2:5">
      <c r="B182" s="61" t="s">
        <v>912</v>
      </c>
    </row>
    <row r="183" spans="2:5">
      <c r="B183" s="61" t="s">
        <v>96</v>
      </c>
    </row>
    <row r="184" spans="2:5">
      <c r="B184" s="12" t="s">
        <v>915</v>
      </c>
      <c r="E184" s="12" t="s">
        <v>916</v>
      </c>
    </row>
    <row r="185" spans="2:5">
      <c r="B185" s="12" t="s">
        <v>926</v>
      </c>
    </row>
    <row r="186" spans="2:5">
      <c r="B186" s="12" t="s">
        <v>922</v>
      </c>
    </row>
    <row r="187" spans="2:5">
      <c r="B187" s="12" t="s">
        <v>925</v>
      </c>
    </row>
    <row r="188" spans="2:5">
      <c r="B188" s="12" t="s">
        <v>921</v>
      </c>
    </row>
    <row r="189" spans="2:5">
      <c r="B189" s="12" t="s">
        <v>6</v>
      </c>
    </row>
    <row r="190" spans="2:5">
      <c r="B190" s="12" t="s">
        <v>893</v>
      </c>
    </row>
    <row r="191" spans="2:5">
      <c r="B191" s="12" t="s">
        <v>160</v>
      </c>
    </row>
    <row r="192" spans="2:5">
      <c r="B192" s="12" t="s">
        <v>917</v>
      </c>
    </row>
    <row r="193" spans="2:2">
      <c r="B193" s="12" t="s">
        <v>918</v>
      </c>
    </row>
    <row r="194" spans="2:2">
      <c r="B194" s="12" t="s">
        <v>919</v>
      </c>
    </row>
    <row r="195" spans="2:2">
      <c r="B195" s="12" t="s">
        <v>920</v>
      </c>
    </row>
    <row r="196" spans="2:2">
      <c r="B196" s="12" t="s">
        <v>884</v>
      </c>
    </row>
    <row r="197" spans="2:2">
      <c r="B197" s="12" t="s">
        <v>911</v>
      </c>
    </row>
    <row r="198" spans="2:2">
      <c r="B198" s="12" t="s">
        <v>96</v>
      </c>
    </row>
    <row r="199" spans="2:2">
      <c r="B199" s="12" t="s">
        <v>893</v>
      </c>
    </row>
    <row r="200" spans="2:2">
      <c r="B200" s="12" t="s">
        <v>160</v>
      </c>
    </row>
    <row r="201" spans="2:2">
      <c r="B201" s="12" t="s">
        <v>923</v>
      </c>
    </row>
    <row r="202" spans="2:2">
      <c r="B202" s="12" t="s">
        <v>924</v>
      </c>
    </row>
    <row r="203" spans="2:2">
      <c r="B203" s="12" t="s">
        <v>884</v>
      </c>
    </row>
    <row r="204" spans="2:2">
      <c r="B204" s="12" t="s">
        <v>911</v>
      </c>
    </row>
    <row r="205" spans="2:2">
      <c r="B205" s="12" t="s">
        <v>96</v>
      </c>
    </row>
  </sheetData>
  <autoFilter ref="B111:B205">
    <filterColumn colId="0">
      <customFilters>
        <customFilter operator="notEqual" val=" "/>
      </customFilters>
    </filterColumn>
  </autoFilter>
  <dataValidations count="1">
    <dataValidation type="list" allowBlank="1" showInputMessage="1" showErrorMessage="1" sqref="C9:C108">
      <formula1>$H$2:$H$3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 filterMode="1"/>
  <dimension ref="A1:AL1458"/>
  <sheetViews>
    <sheetView topLeftCell="A9" zoomScale="70" zoomScaleNormal="70" workbookViewId="0">
      <selection activeCell="B15" sqref="B15"/>
    </sheetView>
  </sheetViews>
  <sheetFormatPr baseColWidth="10" defaultRowHeight="15"/>
  <cols>
    <col min="1" max="1" width="15.140625" style="12" customWidth="1"/>
    <col min="2" max="2" width="8" style="12" customWidth="1"/>
    <col min="3" max="3" width="7.28515625" style="12" customWidth="1"/>
    <col min="4" max="4" width="11.42578125" style="12" customWidth="1"/>
    <col min="5" max="7" width="11.42578125" style="12"/>
    <col min="8" max="8" width="15.5703125" style="12" customWidth="1"/>
    <col min="9" max="9" width="16.140625" style="12" hidden="1" customWidth="1"/>
    <col min="10" max="10" width="0" style="12" hidden="1" customWidth="1"/>
    <col min="11" max="11" width="11.42578125" style="12"/>
    <col min="12" max="12" width="21.85546875" style="12" customWidth="1"/>
    <col min="13" max="14" width="13.7109375" style="12" customWidth="1"/>
    <col min="15" max="15" width="12.7109375" style="12" customWidth="1"/>
    <col min="16" max="19" width="11.42578125" style="12"/>
    <col min="20" max="20" width="27.140625" style="12" customWidth="1"/>
    <col min="21" max="22" width="11.42578125" style="12"/>
    <col min="23" max="25" width="0" style="12" hidden="1" customWidth="1"/>
    <col min="26" max="26" width="9.7109375" style="12" bestFit="1" customWidth="1"/>
    <col min="27" max="27" width="11.42578125" style="12"/>
    <col min="28" max="28" width="13.5703125" style="12" bestFit="1" customWidth="1"/>
    <col min="29" max="31" width="11.42578125" style="12"/>
    <col min="32" max="32" width="2.5703125" style="12" bestFit="1" customWidth="1"/>
    <col min="33" max="33" width="2.42578125" style="12" bestFit="1" customWidth="1"/>
    <col min="34" max="34" width="1.85546875" style="12" bestFit="1" customWidth="1"/>
    <col min="35" max="16384" width="11.42578125" style="12"/>
  </cols>
  <sheetData>
    <row r="1" spans="1:38" s="183" customFormat="1" hidden="1">
      <c r="A1" s="165" t="s">
        <v>1152</v>
      </c>
      <c r="B1" s="248" t="s">
        <v>1160</v>
      </c>
      <c r="C1" s="55" t="s">
        <v>1173</v>
      </c>
      <c r="D1" s="183" t="s">
        <v>1183</v>
      </c>
      <c r="E1" s="165" t="s">
        <v>1218</v>
      </c>
      <c r="F1" s="248" t="s">
        <v>1092</v>
      </c>
      <c r="G1" s="55" t="s">
        <v>1209</v>
      </c>
      <c r="H1" s="61" t="s">
        <v>318</v>
      </c>
      <c r="K1" s="55" t="s">
        <v>1093</v>
      </c>
      <c r="L1" s="122" t="s">
        <v>1224</v>
      </c>
      <c r="M1" s="248" t="s">
        <v>33</v>
      </c>
      <c r="N1" s="183" t="s">
        <v>1263</v>
      </c>
      <c r="P1" s="52" t="s">
        <v>798</v>
      </c>
    </row>
    <row r="2" spans="1:38" s="183" customFormat="1" hidden="1">
      <c r="A2" s="165" t="s">
        <v>950</v>
      </c>
      <c r="B2" s="55" t="s">
        <v>1161</v>
      </c>
      <c r="C2" s="165" t="s">
        <v>1217</v>
      </c>
      <c r="D2" s="55" t="s">
        <v>1180</v>
      </c>
      <c r="E2" s="165" t="s">
        <v>1215</v>
      </c>
      <c r="F2" s="55" t="s">
        <v>1193</v>
      </c>
      <c r="G2" s="248" t="s">
        <v>1210</v>
      </c>
      <c r="H2" s="61" t="s">
        <v>29</v>
      </c>
      <c r="K2" s="248" t="s">
        <v>1094</v>
      </c>
      <c r="L2" s="61" t="s">
        <v>318</v>
      </c>
      <c r="M2" s="248" t="s">
        <v>1253</v>
      </c>
      <c r="N2" s="165" t="s">
        <v>415</v>
      </c>
      <c r="P2" s="52" t="s">
        <v>1197</v>
      </c>
    </row>
    <row r="3" spans="1:38" s="183" customFormat="1" hidden="1">
      <c r="A3" s="55" t="s">
        <v>192</v>
      </c>
      <c r="B3" s="248" t="s">
        <v>1162</v>
      </c>
      <c r="C3" s="165" t="s">
        <v>1177</v>
      </c>
      <c r="D3" s="249" t="s">
        <v>1184</v>
      </c>
      <c r="E3" s="249" t="s">
        <v>1216</v>
      </c>
      <c r="F3" s="165" t="s">
        <v>644</v>
      </c>
      <c r="G3" s="248" t="s">
        <v>1211</v>
      </c>
      <c r="H3" s="61" t="s">
        <v>1225</v>
      </c>
      <c r="K3" s="248" t="s">
        <v>1233</v>
      </c>
      <c r="L3" s="122" t="s">
        <v>166</v>
      </c>
      <c r="M3" s="248" t="s">
        <v>1254</v>
      </c>
      <c r="N3" s="165" t="s">
        <v>527</v>
      </c>
      <c r="P3" s="52" t="s">
        <v>48</v>
      </c>
    </row>
    <row r="4" spans="1:38" s="183" customFormat="1" hidden="1">
      <c r="A4" s="55" t="s">
        <v>1155</v>
      </c>
      <c r="B4" s="165" t="s">
        <v>1166</v>
      </c>
      <c r="C4" s="249" t="s">
        <v>1178</v>
      </c>
      <c r="D4" s="165" t="s">
        <v>308</v>
      </c>
      <c r="E4" s="165" t="s">
        <v>642</v>
      </c>
      <c r="F4" s="55" t="s">
        <v>1196</v>
      </c>
      <c r="G4" s="61" t="s">
        <v>301</v>
      </c>
      <c r="H4" s="61" t="s">
        <v>1228</v>
      </c>
      <c r="K4" s="61" t="s">
        <v>314</v>
      </c>
      <c r="L4" s="61" t="s">
        <v>167</v>
      </c>
      <c r="M4" s="248" t="s">
        <v>904</v>
      </c>
      <c r="N4" s="165" t="s">
        <v>1333</v>
      </c>
    </row>
    <row r="5" spans="1:38" s="183" customFormat="1" hidden="1">
      <c r="A5" s="55" t="s">
        <v>1156</v>
      </c>
      <c r="B5" s="249" t="s">
        <v>1165</v>
      </c>
      <c r="C5" s="165" t="s">
        <v>43</v>
      </c>
      <c r="D5" s="165" t="s">
        <v>310</v>
      </c>
      <c r="E5" s="165" t="s">
        <v>1191</v>
      </c>
      <c r="F5" s="55" t="s">
        <v>1206</v>
      </c>
      <c r="G5" s="61" t="s">
        <v>1227</v>
      </c>
      <c r="H5" s="61"/>
      <c r="K5" s="61" t="s">
        <v>1241</v>
      </c>
      <c r="L5" s="61" t="s">
        <v>1246</v>
      </c>
      <c r="M5" s="55" t="s">
        <v>1260</v>
      </c>
    </row>
    <row r="6" spans="1:38" s="183" customFormat="1" hidden="1">
      <c r="A6" s="55" t="s">
        <v>503</v>
      </c>
      <c r="B6" s="165" t="s">
        <v>1171</v>
      </c>
      <c r="C6" s="55" t="s">
        <v>1180</v>
      </c>
      <c r="D6" s="165" t="s">
        <v>311</v>
      </c>
      <c r="E6" s="165" t="s">
        <v>643</v>
      </c>
      <c r="F6" s="249" t="s">
        <v>1207</v>
      </c>
      <c r="G6" s="61" t="s">
        <v>897</v>
      </c>
      <c r="H6" s="165" t="s">
        <v>1185</v>
      </c>
      <c r="K6" s="122" t="s">
        <v>906</v>
      </c>
      <c r="L6" s="61" t="s">
        <v>1247</v>
      </c>
      <c r="M6" s="55" t="s">
        <v>1261</v>
      </c>
    </row>
    <row r="7" spans="1:38" s="183" customFormat="1" hidden="1">
      <c r="A7" s="248" t="s">
        <v>1159</v>
      </c>
      <c r="B7" s="165" t="s">
        <v>1172</v>
      </c>
      <c r="C7" s="249" t="s">
        <v>1181</v>
      </c>
      <c r="D7" s="55" t="s">
        <v>1214</v>
      </c>
      <c r="E7" s="55" t="s">
        <v>1192</v>
      </c>
      <c r="F7" s="55" t="s">
        <v>503</v>
      </c>
      <c r="G7" s="122" t="s">
        <v>1224</v>
      </c>
      <c r="H7" s="248" t="s">
        <v>1092</v>
      </c>
      <c r="K7" s="61" t="s">
        <v>316</v>
      </c>
      <c r="L7" s="55" t="s">
        <v>1252</v>
      </c>
      <c r="M7" s="55" t="s">
        <v>1262</v>
      </c>
    </row>
    <row r="8" spans="1:38" hidden="1"/>
    <row r="10" spans="1:38">
      <c r="A10" s="13" t="s">
        <v>1151</v>
      </c>
      <c r="B10" s="13" t="s">
        <v>1203</v>
      </c>
      <c r="C10" s="13" t="s">
        <v>1202</v>
      </c>
      <c r="D10" s="13" t="s">
        <v>1157</v>
      </c>
      <c r="E10" s="13" t="s">
        <v>1003</v>
      </c>
      <c r="F10" s="13" t="s">
        <v>1158</v>
      </c>
      <c r="G10" s="247" t="s">
        <v>1213</v>
      </c>
      <c r="H10" s="13" t="s">
        <v>1164</v>
      </c>
      <c r="I10" s="250" t="s">
        <v>1176</v>
      </c>
      <c r="J10" s="13" t="s">
        <v>1179</v>
      </c>
      <c r="K10" s="13" t="s">
        <v>1182</v>
      </c>
      <c r="L10" s="13" t="s">
        <v>1187</v>
      </c>
      <c r="M10" s="13" t="s">
        <v>1194</v>
      </c>
      <c r="N10" s="13" t="s">
        <v>1195</v>
      </c>
      <c r="O10" s="13" t="s">
        <v>1188</v>
      </c>
      <c r="P10" s="13" t="s">
        <v>1189</v>
      </c>
      <c r="Q10" s="13" t="s">
        <v>1219</v>
      </c>
      <c r="R10" s="13" t="s">
        <v>1190</v>
      </c>
      <c r="S10" s="13" t="s">
        <v>1208</v>
      </c>
      <c r="T10" s="12" t="s">
        <v>1222</v>
      </c>
      <c r="U10" s="12" t="s">
        <v>1223</v>
      </c>
      <c r="V10" s="12" t="s">
        <v>1226</v>
      </c>
      <c r="W10" s="12" t="s">
        <v>1231</v>
      </c>
      <c r="Y10" s="12" t="s">
        <v>1232</v>
      </c>
      <c r="Z10" s="12" t="s">
        <v>1234</v>
      </c>
      <c r="AA10" s="12" t="s">
        <v>1235</v>
      </c>
      <c r="AB10" s="12" t="s">
        <v>1240</v>
      </c>
      <c r="AC10" s="12" t="s">
        <v>1242</v>
      </c>
      <c r="AD10" s="12" t="s">
        <v>1243</v>
      </c>
      <c r="AE10" s="12" t="s">
        <v>1244</v>
      </c>
      <c r="AI10" s="12" t="s">
        <v>1248</v>
      </c>
      <c r="AJ10" s="12" t="s">
        <v>1251</v>
      </c>
      <c r="AK10" s="12" t="s">
        <v>1264</v>
      </c>
      <c r="AL10" s="12" t="s">
        <v>1265</v>
      </c>
    </row>
    <row r="11" spans="1:38">
      <c r="A11" s="79" t="str">
        <f>IF(fieldcreatorv2!BX15&lt;&gt;"",fieldcreatorv2!BX15,"")</f>
        <v>user</v>
      </c>
      <c r="B11" s="183"/>
      <c r="C11" s="183"/>
      <c r="D11" s="183" t="str">
        <f>+IF(AND(B11="y",A11&lt;&gt;"",fieldcreatorv2!I15&lt;&gt;"si"),$A$1&amp;A11&amp;$A$2,"")</f>
        <v/>
      </c>
      <c r="E11" s="183" t="str">
        <f>+IF(AND(A11&lt;&gt;"",B11="y"),fieldcreatorv2!E15,"")</f>
        <v/>
      </c>
      <c r="F11" s="183" t="str">
        <f t="shared" ref="F11:F42" si="0">+IF(E11="check",$A$6&amp;A11&amp;$A$7&amp;A11&amp;$B$1&amp;A11&amp;$B$2&amp;A11&amp;$B$3,"")</f>
        <v/>
      </c>
      <c r="G11" s="183" t="str">
        <f>+IF(fieldcreatorv2!I15="si",$F$7&amp;fieldcreatorv2!BA14&amp;$F$1&amp;fieldcreatorv2!C14&amp;$G$1&amp;fieldcreatorv2!BA14&amp;$G$2&amp;A11&amp;$G$3,"")</f>
        <v/>
      </c>
      <c r="H11" s="183" t="str">
        <f>+IF(AND(A11&lt;&gt;"",B11="y",fieldcreatorv2!I15&lt;&gt;"si"),+$B$4&amp;A11&amp;$B$5,"")</f>
        <v/>
      </c>
      <c r="I11" s="251" t="str">
        <f>+IF(AND(fieldcreatorv2!E15="bigtext"),"&lt;br/&gt;"&amp;fieldcreatorv2!B15&amp;$C$2&amp;A11&amp;$C$3&amp;A11&amp;$C$4,"")</f>
        <v/>
      </c>
      <c r="J11" s="6" t="str">
        <f>+IF(fieldcreatorv2!E15="texto",fieldcreatorv2!B15&amp;": "&amp;$C$5&amp;A11&amp;$C$6&amp;A11&amp;$C$7,"")</f>
        <v/>
      </c>
      <c r="K11" s="6" t="str">
        <f>+IF(AND(fieldcreatorv2!E15="date",C11="yes"),fieldcreatorv2!B15&amp;": "&amp;$D$1&amp;A11&amp;$D$2&amp;A11&amp;$D$3,"")</f>
        <v/>
      </c>
      <c r="L11" s="6" t="str">
        <f>+IF(fieldcreatorv2!E15="radio",fieldcreatorv2!B15&amp;" &lt;br/&gt;"&amp;fieldcreatorv2!C15&amp;$D$4&amp;fieldcreatorv2!BA15&amp;$D$5&amp;fieldcreatorv2!C15&amp;$D$6&amp;fieldcreatorv2!C15&amp;$D$7&amp;fieldcreatorv2!BA15&amp;$F$1&amp;fieldcreatorv2!C15&amp;$F$4,"")</f>
        <v/>
      </c>
      <c r="M11" s="6" t="str">
        <f>+IF(AND(fieldcreatorv2!E15="selectlist",A11&lt;&gt;""),"&lt;br/&gt;"&amp;A11&amp;$E$4&amp;A11&amp;$D$5&amp;A11&amp;$E$5,"")</f>
        <v/>
      </c>
      <c r="N11" s="6" t="str">
        <f>+IF(AND(fieldcreatorv2!AU15&lt;&gt;fieldcreatorv2!AU16,fieldcreatorv2!E15="selectlist"),"&lt;/select&gt;","")</f>
        <v/>
      </c>
      <c r="O11" s="6" t="str">
        <f>+IF(fieldcreatorv2!E15="selectlist",M11&amp;$E$6&amp;fieldcreatorv2!C15&amp;$E$7&amp;fieldcreatorv2!AU15&amp;$F$1&amp;fieldcreatorv2!C15&amp;$F$2&amp;fieldcreatorv2!C15&amp;$F$3&amp;N11,"")</f>
        <v/>
      </c>
      <c r="P11" s="6" t="str">
        <f>+IF(fieldcreatorv2!E15="check",$E$1&amp;A11&amp;$D$5&amp;A11&amp;$E$2&amp;A11&amp;$E$3&amp;A11,"")</f>
        <v/>
      </c>
      <c r="Q11" s="6" t="str">
        <f>+IF(AND(R10&lt;&gt;"",fieldcreatorv2!I15="si"),fieldcreatorv2!CS15&amp;I11&amp;J11&amp;fieldcreatorv2!CT15,IF(AND(C11="yes",fieldcreatorv2!I15&lt;&gt;"si"),I11&amp;J11,""))</f>
        <v/>
      </c>
      <c r="R11" s="6" t="str">
        <f>IF(OR(C11=$P$1,AND(R10&lt;&gt;"",fieldcreatorv2!E15="radio",fieldcreatorv2!BA15=fieldcreatorv2!BA14),AND(R10&lt;&gt;"",fieldcreatorv2!E15="selectlist",fieldcreatorv2!AU15=fieldcreatorv2!AU14)),K11&amp;L11&amp;O11&amp;P11,"")&amp;Q11</f>
        <v/>
      </c>
      <c r="S11" s="17" t="str">
        <f>IF(AND(C11=$P$2,fieldcreatorv2!I15&lt;&gt;"si"),fieldcreatorv2!B15&amp;":  "&amp;$F$5&amp;A11&amp;$F$6,"")</f>
        <v/>
      </c>
      <c r="T11" s="253" t="str">
        <f>+IF(fieldcreatorv2!I15="si",$G$4&amp;A11&amp;$G$5,"")&amp;U11</f>
        <v/>
      </c>
      <c r="U11" s="61" t="str">
        <f>+IF(AND(fieldcreatorv2!I15="si",fieldcreatorv2!E14="radio"),+$G$6&amp;fieldcreatorv2!C14&amp;$G$7&amp;fieldcreatorv2!C14&amp;$H$1&amp;$H$2&amp;fieldcreatorv2!C14&amp;$H$3&amp;A11&amp;$H$4,"")</f>
        <v/>
      </c>
      <c r="V11" s="61" t="str">
        <f>+IF(R11&lt;&gt;"",fieldcreatorv2!CY15,"")</f>
        <v/>
      </c>
      <c r="W11" s="55" t="str">
        <f>+IF(OR(fieldcreatorv2!I16="si",AND(W12&lt;&gt;"",fieldcreatorv2!E15="radio")),1,"")</f>
        <v/>
      </c>
      <c r="X11" s="55" t="str">
        <f>+IF(AND(W11=1,W12=""),fieldcreatorv2!C15,IF(AND(W11=1,W12=1),X12,""))</f>
        <v/>
      </c>
      <c r="Y11" s="55" t="str">
        <f>+IF(AND(W10=1,fieldcreatorv2!I15="si"),A11,IF(W11=1,Y12,""))</f>
        <v/>
      </c>
      <c r="Z11" s="254" t="str">
        <f>+IF(AND(W11=1,A11&lt;&gt;""),$H$6&amp;A11&amp;": "&amp;"&lt;?"&amp;$A$6&amp;A11&amp;$H$7&amp;X11&amp;$K$1&amp;Y11&amp;$K$2&amp;A11&amp;$K$3,"")</f>
        <v/>
      </c>
      <c r="AA11" s="165" t="str">
        <f t="shared" ref="AA11:AA14" si="1">IF(AND(A11&lt;&gt;"",B11="y",C11&lt;&gt;"yes"),A11&amp;":"&amp;$F$5&amp;A11&amp;$K$3,IF(AND(Z11&lt;&gt;"",C11=$P$2),Z11,R11&amp;S11))</f>
        <v/>
      </c>
      <c r="AB11" s="238" t="str">
        <f>+IF(V11&lt;&gt;"",$K$4&amp;fieldcreatorv2!C15&amp;$K$5&amp;fieldcreatorv2!BX15&amp;$K$6&amp;fieldcreatorv2!C16&amp;$K$7,"")</f>
        <v/>
      </c>
      <c r="AC11" s="238" t="str">
        <f>IF(AND(C11="yes",fieldcreatorv2!E15="check"),A11&amp;$L$1&amp;A11&amp;$L$2,"")</f>
        <v/>
      </c>
      <c r="AD11" s="238" t="str">
        <f>+IF(AND(R11&lt;&gt;"",OR(fieldcreatorv2!E15="date",fieldcreatorv2!E15="bigtext",fieldcreatorv2!E15="texto",AND(fieldcreatorv2!E15="selectlist",A11&lt;&gt;""))),"var "&amp;A11&amp;$L$3&amp;A11&amp;$L$4,"")</f>
        <v/>
      </c>
      <c r="AE11" s="61" t="str">
        <f t="shared" ref="AE11:AE14" si="2">+AB11&amp;AC11&amp;AD11</f>
        <v/>
      </c>
      <c r="AF11" s="12">
        <f t="shared" ref="AF11:AF21" si="3">+IF(AND(R11&lt;&gt;"",A11&lt;&gt;""),1,0)</f>
        <v>0</v>
      </c>
      <c r="AG11" s="12">
        <f>+AF11+AG10</f>
        <v>0</v>
      </c>
      <c r="AH11" s="12" t="str">
        <f t="shared" ref="AH11:AH15" si="4">+IF(AND(AG11&gt;1,A11&lt;&gt;"",R11&lt;&gt;""),",","")</f>
        <v/>
      </c>
      <c r="AI11" s="61" t="str">
        <f t="shared" ref="AI11:AI74" si="5">IF(AND(A11&lt;&gt;"",R11&lt;&gt;""),AH11&amp;A11&amp;":"&amp;A11,"")</f>
        <v/>
      </c>
      <c r="AJ11" s="55" t="str">
        <f t="shared" ref="AJ11:AJ22" si="6">+IF(AND(A11&lt;&gt;"",R11&lt;&gt;""),$L$7&amp;A11&amp;$M$1&amp;A11&amp;$M$2&amp;A11&amp;$M$3&amp;A11&amp;$M$4,"")</f>
        <v/>
      </c>
      <c r="AK11" s="38" t="str">
        <f>+IF(AJ11&lt;&gt;"",AH11&amp;A11&amp;"='$"&amp;A11&amp;"'","")</f>
        <v/>
      </c>
      <c r="AL11" s="55" t="str">
        <f t="shared" ref="AL11:AL14" si="7">+IF(AJ11&lt;&gt;""," .' - "&amp;A11&amp;": '.$"&amp;A11,"")</f>
        <v/>
      </c>
    </row>
    <row r="12" spans="1:38">
      <c r="A12" s="79" t="str">
        <f>IF(fieldcreatorv2!BX16&lt;&gt;"",fieldcreatorv2!BX16,"")</f>
        <v>tipo_doc_id</v>
      </c>
      <c r="B12" s="183"/>
      <c r="C12" s="183"/>
      <c r="D12" s="183" t="str">
        <f>+IF(AND(B12="y",A12&lt;&gt;"",fieldcreatorv2!I16&lt;&gt;"si"),$A$1&amp;A12&amp;$A$2,"")</f>
        <v/>
      </c>
      <c r="E12" s="183" t="str">
        <f>+IF(AND(A12&lt;&gt;"",B12="y"),fieldcreatorv2!E16,"")</f>
        <v/>
      </c>
      <c r="F12" s="183" t="str">
        <f t="shared" si="0"/>
        <v/>
      </c>
      <c r="G12" s="183" t="str">
        <f>+IF(fieldcreatorv2!I16="si",$F$7&amp;fieldcreatorv2!BA15&amp;$F$1&amp;fieldcreatorv2!C15&amp;$G$1&amp;fieldcreatorv2!BA15&amp;$G$2&amp;A12&amp;$G$3,"")</f>
        <v/>
      </c>
      <c r="H12" s="183" t="str">
        <f>+IF(AND(A12&lt;&gt;"",B12="y",fieldcreatorv2!I16&lt;&gt;"si"),+$B$4&amp;A12&amp;$B$5,"")</f>
        <v/>
      </c>
      <c r="I12" s="251" t="str">
        <f>+IF(AND(fieldcreatorv2!E16="bigtext"),"&lt;br/&gt;"&amp;fieldcreatorv2!B16&amp;$C$2&amp;A12&amp;$C$3&amp;A12&amp;$C$4,"")</f>
        <v/>
      </c>
      <c r="J12" s="6" t="str">
        <f>+IF(fieldcreatorv2!E16="texto",fieldcreatorv2!B16&amp;": "&amp;$C$5&amp;A12&amp;$C$6&amp;A12&amp;$C$7,"")</f>
        <v/>
      </c>
      <c r="K12" s="6" t="str">
        <f>+IF(AND(fieldcreatorv2!E16="date",C12="yes"),fieldcreatorv2!B16&amp;": "&amp;$D$1&amp;A12&amp;$D$2&amp;A12&amp;$D$3,"")</f>
        <v/>
      </c>
      <c r="L12" s="6" t="str">
        <f>+IF(fieldcreatorv2!E16="radio",fieldcreatorv2!B16&amp;" &lt;br/&gt;"&amp;fieldcreatorv2!C16&amp;$D$4&amp;fieldcreatorv2!BA16&amp;$D$5&amp;fieldcreatorv2!C16&amp;$D$6&amp;fieldcreatorv2!C16&amp;$D$7&amp;fieldcreatorv2!BA16&amp;$F$1&amp;fieldcreatorv2!C16&amp;$F$4,"")</f>
        <v/>
      </c>
      <c r="M12" s="6" t="str">
        <f>+IF(AND(fieldcreatorv2!E16="selectlist",A12&lt;&gt;""),"&lt;br/&gt;"&amp;A12&amp;$E$4&amp;A12&amp;$D$5&amp;A12&amp;$E$5,"")</f>
        <v/>
      </c>
      <c r="N12" s="6" t="str">
        <f>+IF(AND(fieldcreatorv2!AU16&lt;&gt;fieldcreatorv2!AU17,fieldcreatorv2!E16="selectlist"),"&lt;/select&gt;","")</f>
        <v/>
      </c>
      <c r="O12" s="6" t="str">
        <f>+IF(fieldcreatorv2!E16="selectlist",M12&amp;$E$6&amp;fieldcreatorv2!C16&amp;$E$7&amp;fieldcreatorv2!AU16&amp;$F$1&amp;fieldcreatorv2!C16&amp;$F$2&amp;fieldcreatorv2!C16&amp;$F$3&amp;N12,"")</f>
        <v/>
      </c>
      <c r="P12" s="6" t="str">
        <f>+IF(fieldcreatorv2!E16="check",$E$1&amp;A12&amp;$D$5&amp;A12&amp;$E$2&amp;A12&amp;$E$3&amp;A12,"")</f>
        <v/>
      </c>
      <c r="Q12" s="6" t="str">
        <f>+IF(AND(R11&lt;&gt;"",fieldcreatorv2!I16="si"),fieldcreatorv2!CS16&amp;I12&amp;J12&amp;fieldcreatorv2!CT16,IF(AND(C12="yes",fieldcreatorv2!I16&lt;&gt;"si"),I12&amp;J12,""))</f>
        <v/>
      </c>
      <c r="R12" s="6" t="str">
        <f>IF(OR(C12=$P$1,AND(R11&lt;&gt;"",fieldcreatorv2!E16="radio",fieldcreatorv2!BA16=fieldcreatorv2!BA15),AND(R11&lt;&gt;"",fieldcreatorv2!E16="selectlist",fieldcreatorv2!AU16=fieldcreatorv2!AU15)),K12&amp;L12&amp;O12&amp;P12,"")&amp;Q12</f>
        <v/>
      </c>
      <c r="S12" s="17" t="str">
        <f>IF(AND(C12=$P$2,fieldcreatorv2!I16&lt;&gt;"si"),fieldcreatorv2!B16&amp;":  "&amp;$F$5&amp;A12&amp;$F$6,"")</f>
        <v/>
      </c>
      <c r="T12" s="253" t="str">
        <f>+IF(fieldcreatorv2!I16="si",$G$4&amp;A12&amp;$G$5,"")&amp;U12</f>
        <v/>
      </c>
      <c r="U12" s="61" t="str">
        <f>+IF(AND(fieldcreatorv2!I16="si",fieldcreatorv2!E15="radio"),+$G$6&amp;fieldcreatorv2!C15&amp;$G$7&amp;fieldcreatorv2!C15&amp;$H$1&amp;$H$2&amp;fieldcreatorv2!C15&amp;$H$3&amp;A12&amp;$H$4,"")</f>
        <v/>
      </c>
      <c r="V12" s="61" t="str">
        <f>+IF(R12&lt;&gt;"",fieldcreatorv2!CY16,"")</f>
        <v/>
      </c>
      <c r="W12" s="55" t="str">
        <f>+IF(OR(fieldcreatorv2!I17="si",AND(W13&lt;&gt;"",fieldcreatorv2!E16="radio")),1,"")</f>
        <v/>
      </c>
      <c r="X12" s="55" t="str">
        <f>+IF(AND(W12=1,W13=""),fieldcreatorv2!C16,IF(AND(W12=1,W13=1),X13,""))</f>
        <v/>
      </c>
      <c r="Y12" s="55" t="str">
        <f>+IF(AND(W11=1,fieldcreatorv2!I16="si"),A12,IF(W12=1,Y13,""))</f>
        <v/>
      </c>
      <c r="Z12" s="254" t="str">
        <f t="shared" ref="Z12:Z75" si="8">+IF(AND(W12=1,A12&lt;&gt;""),$H$6&amp;A12&amp;": "&amp;"&lt;?"&amp;$A$6&amp;A12&amp;$H$7&amp;X12&amp;$K$1&amp;Y12&amp;$K$2&amp;A12&amp;$K$3,"")</f>
        <v/>
      </c>
      <c r="AA12" s="165" t="str">
        <f t="shared" si="1"/>
        <v/>
      </c>
      <c r="AB12" s="238" t="str">
        <f>+IF(V12&lt;&gt;"",$K$4&amp;fieldcreatorv2!C16&amp;$K$5&amp;fieldcreatorv2!BX16&amp;$K$6&amp;fieldcreatorv2!C17&amp;$K$7,"")</f>
        <v/>
      </c>
      <c r="AC12" s="238" t="str">
        <f>IF(AND(C12="yes",fieldcreatorv2!E16="check"),A12&amp;$L$1&amp;A12&amp;$L$2,"")</f>
        <v/>
      </c>
      <c r="AD12" s="238" t="str">
        <f>+IF(AND(R12&lt;&gt;"",OR(fieldcreatorv2!E16="date",fieldcreatorv2!E16="bigtext",fieldcreatorv2!E16="texto",AND(fieldcreatorv2!E16="selectlist",A12&lt;&gt;""))),"var "&amp;A12&amp;$L$3&amp;A12&amp;$L$4,"")</f>
        <v/>
      </c>
      <c r="AE12" s="61" t="str">
        <f t="shared" si="2"/>
        <v/>
      </c>
      <c r="AF12" s="12">
        <f t="shared" si="3"/>
        <v>0</v>
      </c>
      <c r="AG12" s="12">
        <f t="shared" ref="AG12:AG75" si="9">+AF12+AG11</f>
        <v>0</v>
      </c>
      <c r="AH12" s="12" t="str">
        <f t="shared" si="4"/>
        <v/>
      </c>
      <c r="AI12" s="61" t="str">
        <f t="shared" si="5"/>
        <v/>
      </c>
      <c r="AJ12" s="55" t="str">
        <f t="shared" si="6"/>
        <v/>
      </c>
      <c r="AK12" s="38" t="str">
        <f t="shared" ref="AK12:AK75" si="10">+IF(AJ12&lt;&gt;"",AH12&amp;A12&amp;"='$"&amp;A12&amp;"'","")</f>
        <v/>
      </c>
      <c r="AL12" s="55" t="str">
        <f t="shared" si="7"/>
        <v/>
      </c>
    </row>
    <row r="13" spans="1:38">
      <c r="A13" s="79" t="str">
        <f>IF(fieldcreatorv2!BX17&lt;&gt;"",fieldcreatorv2!BX17,"")</f>
        <v>numd</v>
      </c>
      <c r="B13" s="183"/>
      <c r="C13" s="183"/>
      <c r="D13" s="183" t="str">
        <f>+IF(AND(B13="y",A13&lt;&gt;"",fieldcreatorv2!I17&lt;&gt;"si"),$A$1&amp;A13&amp;$A$2,"")</f>
        <v/>
      </c>
      <c r="E13" s="183" t="str">
        <f>+IF(AND(A13&lt;&gt;"",B13="y"),fieldcreatorv2!E17,"")</f>
        <v/>
      </c>
      <c r="F13" s="183" t="str">
        <f t="shared" si="0"/>
        <v/>
      </c>
      <c r="G13" s="183" t="str">
        <f>+IF(fieldcreatorv2!I17="si",$F$7&amp;fieldcreatorv2!BA16&amp;$F$1&amp;fieldcreatorv2!C16&amp;$G$1&amp;fieldcreatorv2!BA16&amp;$G$2&amp;A13&amp;$G$3,"")</f>
        <v/>
      </c>
      <c r="H13" s="183" t="str">
        <f>+IF(AND(A13&lt;&gt;"",B13="y",fieldcreatorv2!I17&lt;&gt;"si"),+$B$4&amp;A13&amp;$B$5,"")</f>
        <v/>
      </c>
      <c r="I13" s="251" t="str">
        <f>+IF(AND(fieldcreatorv2!E17="bigtext"),"&lt;br/&gt;"&amp;fieldcreatorv2!B17&amp;$C$2&amp;A13&amp;$C$3&amp;A13&amp;$C$4,"")</f>
        <v/>
      </c>
      <c r="J13" s="6" t="str">
        <f>+IF(fieldcreatorv2!E17="texto",fieldcreatorv2!B17&amp;": "&amp;$C$5&amp;A13&amp;$C$6&amp;A13&amp;$C$7,"")</f>
        <v/>
      </c>
      <c r="K13" s="6" t="str">
        <f>+IF(AND(fieldcreatorv2!E17="date",C13="yes"),fieldcreatorv2!B17&amp;": "&amp;$D$1&amp;A13&amp;$D$2&amp;A13&amp;$D$3,"")</f>
        <v/>
      </c>
      <c r="L13" s="6" t="str">
        <f>+IF(fieldcreatorv2!E17="radio",fieldcreatorv2!B17&amp;" &lt;br/&gt;"&amp;fieldcreatorv2!C17&amp;$D$4&amp;fieldcreatorv2!BA17&amp;$D$5&amp;fieldcreatorv2!C17&amp;$D$6&amp;fieldcreatorv2!C17&amp;$D$7&amp;fieldcreatorv2!BA17&amp;$F$1&amp;fieldcreatorv2!C17&amp;$F$4,"")</f>
        <v/>
      </c>
      <c r="M13" s="6" t="str">
        <f>+IF(AND(fieldcreatorv2!E17="selectlist",A13&lt;&gt;""),"&lt;br/&gt;"&amp;A13&amp;$E$4&amp;A13&amp;$D$5&amp;A13&amp;$E$5,"")</f>
        <v/>
      </c>
      <c r="N13" s="6" t="str">
        <f>+IF(AND(fieldcreatorv2!AU17&lt;&gt;fieldcreatorv2!AU18,fieldcreatorv2!E17="selectlist"),"&lt;/select&gt;","")</f>
        <v/>
      </c>
      <c r="O13" s="6" t="str">
        <f>+IF(fieldcreatorv2!E17="selectlist",M13&amp;$E$6&amp;fieldcreatorv2!C17&amp;$E$7&amp;fieldcreatorv2!AU17&amp;$F$1&amp;fieldcreatorv2!C17&amp;$F$2&amp;fieldcreatorv2!C17&amp;$F$3&amp;N13,"")</f>
        <v/>
      </c>
      <c r="P13" s="6" t="str">
        <f>+IF(fieldcreatorv2!E17="check",$E$1&amp;A13&amp;$D$5&amp;A13&amp;$E$2&amp;A13&amp;$E$3&amp;A13,"")</f>
        <v/>
      </c>
      <c r="Q13" s="6" t="str">
        <f>+IF(AND(R12&lt;&gt;"",fieldcreatorv2!I17="si"),fieldcreatorv2!CS17&amp;I13&amp;J13&amp;fieldcreatorv2!CT17,IF(AND(C13="yes",fieldcreatorv2!I17&lt;&gt;"si"),I13&amp;J13,""))</f>
        <v/>
      </c>
      <c r="R13" s="6" t="str">
        <f>IF(OR(C13=$P$1,AND(R12&lt;&gt;"",fieldcreatorv2!E17="radio",fieldcreatorv2!BA17=fieldcreatorv2!BA16),AND(R12&lt;&gt;"",fieldcreatorv2!E17="selectlist",fieldcreatorv2!AU17=fieldcreatorv2!AU16)),K13&amp;L13&amp;O13&amp;P13,"")&amp;Q13</f>
        <v/>
      </c>
      <c r="S13" s="17" t="str">
        <f>IF(AND(C13=$P$2,fieldcreatorv2!I17&lt;&gt;"si"),fieldcreatorv2!B17&amp;":  "&amp;$F$5&amp;A13&amp;$F$6,"")</f>
        <v/>
      </c>
      <c r="T13" s="253" t="str">
        <f>+IF(fieldcreatorv2!I17="si",$G$4&amp;A13&amp;$G$5,"")&amp;U13</f>
        <v/>
      </c>
      <c r="U13" s="61" t="str">
        <f>+IF(AND(fieldcreatorv2!I17="si",fieldcreatorv2!E16="radio"),+$G$6&amp;fieldcreatorv2!C16&amp;$G$7&amp;fieldcreatorv2!C16&amp;$H$1&amp;$H$2&amp;fieldcreatorv2!C16&amp;$H$3&amp;A13&amp;$H$4,"")</f>
        <v/>
      </c>
      <c r="V13" s="61" t="str">
        <f>+IF(R13&lt;&gt;"",fieldcreatorv2!CY17,"")</f>
        <v/>
      </c>
      <c r="W13" s="55" t="str">
        <f>+IF(OR(fieldcreatorv2!I18="si",AND(W14&lt;&gt;"",fieldcreatorv2!E17="radio")),1,"")</f>
        <v/>
      </c>
      <c r="X13" s="55" t="str">
        <f>+IF(AND(W13=1,W14=""),fieldcreatorv2!C17,IF(AND(W13=1,W14=1),X14,""))</f>
        <v/>
      </c>
      <c r="Y13" s="55" t="str">
        <f>+IF(AND(W12=1,fieldcreatorv2!I17="si"),A13,IF(W13=1,Y14,""))</f>
        <v/>
      </c>
      <c r="Z13" s="254" t="str">
        <f t="shared" si="8"/>
        <v/>
      </c>
      <c r="AA13" s="165" t="str">
        <f t="shared" si="1"/>
        <v/>
      </c>
      <c r="AB13" s="238" t="str">
        <f>+IF(V13&lt;&gt;"",$K$4&amp;fieldcreatorv2!C17&amp;$K$5&amp;fieldcreatorv2!BX17&amp;$K$6&amp;fieldcreatorv2!C18&amp;$K$7,"")</f>
        <v/>
      </c>
      <c r="AC13" s="238" t="str">
        <f>IF(AND(C13="yes",fieldcreatorv2!E17="check"),A13&amp;$L$1&amp;A13&amp;$L$2,"")</f>
        <v/>
      </c>
      <c r="AD13" s="238" t="str">
        <f>+IF(AND(R13&lt;&gt;"",OR(fieldcreatorv2!E17="date",fieldcreatorv2!E17="bigtext",fieldcreatorv2!E17="texto",AND(fieldcreatorv2!E17="selectlist",A13&lt;&gt;""))),"var "&amp;A13&amp;$L$3&amp;A13&amp;$L$4,"")</f>
        <v/>
      </c>
      <c r="AE13" s="61" t="str">
        <f t="shared" si="2"/>
        <v/>
      </c>
      <c r="AF13" s="12">
        <f t="shared" si="3"/>
        <v>0</v>
      </c>
      <c r="AG13" s="12">
        <f t="shared" si="9"/>
        <v>0</v>
      </c>
      <c r="AH13" s="12" t="str">
        <f t="shared" si="4"/>
        <v/>
      </c>
      <c r="AI13" s="61" t="str">
        <f t="shared" si="5"/>
        <v/>
      </c>
      <c r="AJ13" s="55" t="str">
        <f t="shared" si="6"/>
        <v/>
      </c>
      <c r="AK13" s="38" t="str">
        <f t="shared" si="10"/>
        <v/>
      </c>
      <c r="AL13" s="55" t="str">
        <f t="shared" si="7"/>
        <v/>
      </c>
    </row>
    <row r="14" spans="1:38">
      <c r="A14" s="79" t="str">
        <f>IF(fieldcreatorv2!BX18&lt;&gt;"",fieldcreatorv2!BX18,"")</f>
        <v>tms_1</v>
      </c>
      <c r="B14" s="183"/>
      <c r="C14" s="183"/>
      <c r="D14" s="183" t="str">
        <f>+IF(AND(B14="y",A14&lt;&gt;"",fieldcreatorv2!I18&lt;&gt;"si"),$A$1&amp;A14&amp;$A$2,"")</f>
        <v/>
      </c>
      <c r="E14" s="183" t="str">
        <f>+IF(AND(A14&lt;&gt;"",B14="y"),fieldcreatorv2!E18,"")</f>
        <v/>
      </c>
      <c r="F14" s="183" t="str">
        <f t="shared" si="0"/>
        <v/>
      </c>
      <c r="G14" s="183" t="str">
        <f>+IF(fieldcreatorv2!I18="si",$F$7&amp;fieldcreatorv2!BA17&amp;$F$1&amp;fieldcreatorv2!C17&amp;$G$1&amp;fieldcreatorv2!BA17&amp;$G$2&amp;A14&amp;$G$3,"")</f>
        <v/>
      </c>
      <c r="H14" s="183" t="str">
        <f>+IF(AND(A14&lt;&gt;"",B14="y",fieldcreatorv2!I18&lt;&gt;"si"),+$B$4&amp;A14&amp;$B$5,"")</f>
        <v/>
      </c>
      <c r="I14" s="251" t="str">
        <f>+IF(AND(fieldcreatorv2!E18="bigtext"),"&lt;br/&gt;"&amp;fieldcreatorv2!B18&amp;$C$2&amp;A14&amp;$C$3&amp;A14&amp;$C$4,"")</f>
        <v/>
      </c>
      <c r="J14" s="6" t="str">
        <f>+IF(fieldcreatorv2!E18="texto",fieldcreatorv2!B18&amp;": "&amp;$C$5&amp;A14&amp;$C$6&amp;A14&amp;$C$7,"")</f>
        <v/>
      </c>
      <c r="K14" s="6" t="str">
        <f>+IF(AND(fieldcreatorv2!E18="date",C14="yes"),fieldcreatorv2!B18&amp;": "&amp;$D$1&amp;A14&amp;$D$2&amp;A14&amp;$D$3,"")</f>
        <v/>
      </c>
      <c r="L14" s="6" t="str">
        <f>+IF(fieldcreatorv2!E18="radio",fieldcreatorv2!B18&amp;" &lt;br/&gt;"&amp;fieldcreatorv2!C18&amp;$D$4&amp;fieldcreatorv2!BA18&amp;$D$5&amp;fieldcreatorv2!C18&amp;$D$6&amp;fieldcreatorv2!C18&amp;$D$7&amp;fieldcreatorv2!BA18&amp;$F$1&amp;fieldcreatorv2!C18&amp;$F$4,"")</f>
        <v/>
      </c>
      <c r="M14" s="6" t="str">
        <f>+IF(AND(fieldcreatorv2!E18="selectlist",A14&lt;&gt;""),"&lt;br/&gt;"&amp;A14&amp;$E$4&amp;A14&amp;$D$5&amp;A14&amp;$E$5,"")</f>
        <v/>
      </c>
      <c r="N14" s="6" t="str">
        <f>+IF(AND(fieldcreatorv2!AU18&lt;&gt;fieldcreatorv2!AU19,fieldcreatorv2!E18="selectlist"),"&lt;/select&gt;","")</f>
        <v/>
      </c>
      <c r="O14" s="6" t="str">
        <f>+IF(fieldcreatorv2!E18="selectlist",M14&amp;$E$6&amp;fieldcreatorv2!C18&amp;$E$7&amp;fieldcreatorv2!AU18&amp;$F$1&amp;fieldcreatorv2!C18&amp;$F$2&amp;fieldcreatorv2!C18&amp;$F$3&amp;N14,"")</f>
        <v/>
      </c>
      <c r="P14" s="6" t="str">
        <f>+IF(fieldcreatorv2!E18="check",$E$1&amp;A14&amp;$D$5&amp;A14&amp;$E$2&amp;A14&amp;$E$3&amp;A14,"")</f>
        <v/>
      </c>
      <c r="Q14" s="6" t="str">
        <f>+IF(AND(R13&lt;&gt;"",fieldcreatorv2!I18="si"),fieldcreatorv2!CS18&amp;I14&amp;J14&amp;fieldcreatorv2!CT18,IF(AND(C14="yes",fieldcreatorv2!I18&lt;&gt;"si"),I14&amp;J14,""))</f>
        <v/>
      </c>
      <c r="R14" s="6" t="str">
        <f>IF(OR(C14=$P$1,AND(R13&lt;&gt;"",fieldcreatorv2!E18="radio",fieldcreatorv2!BA18=fieldcreatorv2!BA17),AND(R13&lt;&gt;"",fieldcreatorv2!E18="selectlist",fieldcreatorv2!AU18=fieldcreatorv2!AU17)),K14&amp;L14&amp;O14&amp;P14,"")&amp;Q14</f>
        <v/>
      </c>
      <c r="S14" s="17" t="str">
        <f>IF(AND(C14=$P$2,fieldcreatorv2!I18&lt;&gt;"si"),fieldcreatorv2!B18&amp;":  "&amp;$F$5&amp;A14&amp;$F$6,"")</f>
        <v/>
      </c>
      <c r="T14" s="253" t="str">
        <f>+IF(fieldcreatorv2!I18="si",$G$4&amp;A14&amp;$G$5,"")&amp;U14</f>
        <v/>
      </c>
      <c r="U14" s="61" t="str">
        <f>+IF(AND(fieldcreatorv2!I18="si",fieldcreatorv2!E17="radio"),+$G$6&amp;fieldcreatorv2!C17&amp;$G$7&amp;fieldcreatorv2!C17&amp;$H$1&amp;$H$2&amp;fieldcreatorv2!C17&amp;$H$3&amp;A14&amp;$H$4,"")</f>
        <v/>
      </c>
      <c r="V14" s="61" t="str">
        <f>+IF(R14&lt;&gt;"",fieldcreatorv2!CY18,"")</f>
        <v/>
      </c>
      <c r="W14" s="55" t="str">
        <f>+IF(OR(fieldcreatorv2!I19="si",AND(W15&lt;&gt;"",fieldcreatorv2!E18="radio")),1,"")</f>
        <v/>
      </c>
      <c r="X14" s="55" t="str">
        <f>+IF(AND(W14=1,W15=""),fieldcreatorv2!C18,IF(AND(W14=1,W15=1),X15,""))</f>
        <v/>
      </c>
      <c r="Y14" s="55" t="str">
        <f>+IF(AND(W13=1,fieldcreatorv2!I18="si"),A14,IF(W14=1,Y15,""))</f>
        <v/>
      </c>
      <c r="Z14" s="254" t="str">
        <f t="shared" si="8"/>
        <v/>
      </c>
      <c r="AA14" s="165" t="str">
        <f t="shared" si="1"/>
        <v/>
      </c>
      <c r="AB14" s="238" t="str">
        <f>+IF(V14&lt;&gt;"",$K$4&amp;fieldcreatorv2!C18&amp;$K$5&amp;fieldcreatorv2!BX18&amp;$K$6&amp;fieldcreatorv2!C19&amp;$K$7,"")</f>
        <v/>
      </c>
      <c r="AC14" s="238" t="str">
        <f>IF(AND(C14="yes",fieldcreatorv2!E18="check"),A14&amp;$L$1&amp;A14&amp;$L$2,"")</f>
        <v/>
      </c>
      <c r="AD14" s="238" t="str">
        <f>+IF(AND(R14&lt;&gt;"",OR(fieldcreatorv2!E18="date",fieldcreatorv2!E18="bigtext",fieldcreatorv2!E18="texto",AND(fieldcreatorv2!E18="selectlist",A14&lt;&gt;""))),"var "&amp;A14&amp;$L$3&amp;A14&amp;$L$4,"")</f>
        <v/>
      </c>
      <c r="AE14" s="61" t="str">
        <f t="shared" si="2"/>
        <v/>
      </c>
      <c r="AF14" s="12">
        <f t="shared" si="3"/>
        <v>0</v>
      </c>
      <c r="AG14" s="12">
        <f t="shared" si="9"/>
        <v>0</v>
      </c>
      <c r="AH14" s="12" t="str">
        <f t="shared" si="4"/>
        <v/>
      </c>
      <c r="AI14" s="61" t="str">
        <f t="shared" si="5"/>
        <v/>
      </c>
      <c r="AJ14" s="55" t="str">
        <f t="shared" si="6"/>
        <v/>
      </c>
      <c r="AK14" s="38" t="str">
        <f t="shared" si="10"/>
        <v/>
      </c>
      <c r="AL14" s="55" t="str">
        <f t="shared" si="7"/>
        <v/>
      </c>
    </row>
    <row r="15" spans="1:38">
      <c r="A15" s="216" t="str">
        <f>IF(fieldcreatorv2!BX19&lt;&gt;"",fieldcreatorv2!BX19,"")</f>
        <v/>
      </c>
      <c r="B15" s="255"/>
      <c r="C15" s="255"/>
      <c r="D15" s="165" t="str">
        <f>+IF(AND(B15="y",A15&lt;&gt;"",fieldcreatorv2!I19&lt;&gt;"si"),$A$1&amp;A15&amp;$A$2,"")</f>
        <v/>
      </c>
      <c r="E15" s="165" t="str">
        <f>+IF(AND(A15&lt;&gt;"",B15="y"),fieldcreatorv2!E19,"")</f>
        <v/>
      </c>
      <c r="F15" s="165" t="str">
        <f t="shared" si="0"/>
        <v/>
      </c>
      <c r="G15" s="55" t="str">
        <f>+IF(fieldcreatorv2!I19="si",$F$7&amp;fieldcreatorv2!BA18&amp;$F$1&amp;fieldcreatorv2!C18&amp;$G$1&amp;fieldcreatorv2!BA18&amp;$G$2&amp;A15&amp;$G$3,"")</f>
        <v/>
      </c>
      <c r="H15" s="145" t="str">
        <f>+IF(AND(A15&lt;&gt;"",B15="y",fieldcreatorv2!I19&lt;&gt;"si"),+$B$4&amp;A15&amp;$B$5,"")</f>
        <v/>
      </c>
      <c r="I15" s="252" t="str">
        <f>+IF(AND(fieldcreatorv2!E19="bigtext"),"&lt;br/&gt;"&amp;fieldcreatorv2!B19&amp;$C$2&amp;A15&amp;$C$3&amp;A15&amp;$C$4,"")</f>
        <v/>
      </c>
      <c r="J15" s="165" t="str">
        <f>+IF(fieldcreatorv2!E19="texto",fieldcreatorv2!B19&amp;": "&amp;$C$5&amp;A15&amp;$C$6&amp;A15&amp;$C$7,"")</f>
        <v/>
      </c>
      <c r="K15" s="165" t="str">
        <f>+IF(AND(fieldcreatorv2!E19="date",C15="yes"),fieldcreatorv2!B19&amp;": "&amp;$D$1&amp;A15&amp;$D$2&amp;A15&amp;$D$3,"")</f>
        <v/>
      </c>
      <c r="L15" s="165" t="str">
        <f>+IF(fieldcreatorv2!E19="radio",fieldcreatorv2!B19&amp;" &lt;br/&gt;"&amp;fieldcreatorv2!C19&amp;$D$4&amp;fieldcreatorv2!BA19&amp;$D$5&amp;fieldcreatorv2!C19&amp;$D$6&amp;fieldcreatorv2!C19&amp;$D$7&amp;fieldcreatorv2!BA19&amp;$F$1&amp;fieldcreatorv2!C19&amp;$F$4,"")</f>
        <v/>
      </c>
      <c r="M15" s="165" t="str">
        <f>+IF(AND(fieldcreatorv2!E19="selectlist",A15&lt;&gt;""),"&lt;br/&gt;"&amp;A15&amp;$E$4&amp;A15&amp;$D$5&amp;A15&amp;$E$5,"")</f>
        <v/>
      </c>
      <c r="N15" s="165" t="str">
        <f>+IF(AND(fieldcreatorv2!AU19&lt;&gt;fieldcreatorv2!AU20,fieldcreatorv2!E19="selectlist"),"&lt;/select&gt;","")</f>
        <v/>
      </c>
      <c r="O15" s="165" t="str">
        <f>+IF(fieldcreatorv2!E19="selectlist",M15&amp;$E$6&amp;fieldcreatorv2!C19&amp;$E$7&amp;fieldcreatorv2!AU19&amp;$F$1&amp;fieldcreatorv2!C19&amp;$F$2&amp;fieldcreatorv2!C19&amp;$F$3&amp;N15,"")</f>
        <v/>
      </c>
      <c r="P15" s="165" t="str">
        <f>+IF(fieldcreatorv2!E19="check",$E$1&amp;A15&amp;$D$5&amp;A15&amp;$E$2&amp;A15&amp;$E$3&amp;A15,"")</f>
        <v/>
      </c>
      <c r="Q15" s="165" t="str">
        <f>+IF(AND(R14&lt;&gt;"",fieldcreatorv2!I19="si"),fieldcreatorv2!CS19&amp;I15&amp;J15&amp;fieldcreatorv2!CT19,IF(AND(C15="yes",fieldcreatorv2!I19&lt;&gt;"si"),I15&amp;J15,""))</f>
        <v/>
      </c>
      <c r="R15" s="145" t="str">
        <f>IF(OR(C15=$P$1,AND(R14&lt;&gt;"",fieldcreatorv2!E19="radio",fieldcreatorv2!BA19=fieldcreatorv2!BA18),AND(R14&lt;&gt;"",fieldcreatorv2!E19="selectlist",fieldcreatorv2!AU19=fieldcreatorv2!AU18)),K15&amp;L15&amp;O15&amp;P15,"")&amp;Q15</f>
        <v/>
      </c>
      <c r="S15" s="55" t="str">
        <f>IF(AND(C15=$P$2,fieldcreatorv2!I19&lt;&gt;"si"),fieldcreatorv2!B19&amp;":  "&amp;$F$5&amp;A15&amp;$F$6,"")</f>
        <v/>
      </c>
      <c r="T15" s="253" t="str">
        <f>+IF(fieldcreatorv2!I19="si",$G$4&amp;A15&amp;$G$5,"")&amp;U15</f>
        <v/>
      </c>
      <c r="U15" s="61" t="str">
        <f>+IF(AND(fieldcreatorv2!I19="si",fieldcreatorv2!E18="radio"),+$G$6&amp;fieldcreatorv2!C18&amp;$G$7&amp;fieldcreatorv2!C18&amp;$H$1&amp;$H$2&amp;fieldcreatorv2!C18&amp;$H$3&amp;A15&amp;$H$4,"")</f>
        <v/>
      </c>
      <c r="V15" s="61" t="str">
        <f>+IF(R15&lt;&gt;"",fieldcreatorv2!CY19,"")</f>
        <v/>
      </c>
      <c r="W15" s="55" t="str">
        <f>+IF(OR(fieldcreatorv2!I20="si",AND(W16&lt;&gt;"",fieldcreatorv2!E19="radio")),1,"")</f>
        <v/>
      </c>
      <c r="X15" s="55" t="str">
        <f>+IF(AND(W15=1,W16=""),fieldcreatorv2!C19,IF(AND(W15=1,W16=1),X16,""))</f>
        <v/>
      </c>
      <c r="Y15" s="55" t="str">
        <f>+IF(AND(W14=1,fieldcreatorv2!I19="si"),A15,IF(W15=1,Y16,""))</f>
        <v/>
      </c>
      <c r="Z15" s="254" t="str">
        <f t="shared" si="8"/>
        <v/>
      </c>
      <c r="AA15" s="165" t="str">
        <f>IF(AND(A15&lt;&gt;"",B15="y",C15&lt;&gt;"yes"),A15&amp;":"&amp;$F$5&amp;A15&amp;$K$3,IF(AND(Z15&lt;&gt;"",C15=$P$2),Z15,R15&amp;S15))</f>
        <v/>
      </c>
      <c r="AB15" s="238" t="str">
        <f>+IF(V15&lt;&gt;"",$K$4&amp;fieldcreatorv2!C19&amp;$K$5&amp;fieldcreatorv2!BX19&amp;$K$6&amp;fieldcreatorv2!C20&amp;$K$7,"")</f>
        <v/>
      </c>
      <c r="AC15" s="238" t="str">
        <f>IF(AND(C15="yes",fieldcreatorv2!E19="check"),A15&amp;$L$1&amp;A15&amp;$L$2,"")</f>
        <v/>
      </c>
      <c r="AD15" s="238" t="str">
        <f>+IF(AND(R15&lt;&gt;"",OR(fieldcreatorv2!E19="date",fieldcreatorv2!E19="bigtext",fieldcreatorv2!E19="texto",AND(fieldcreatorv2!E19="selectlist",A15&lt;&gt;""))),"var "&amp;A15&amp;$L$3&amp;A15&amp;$L$4,"")</f>
        <v/>
      </c>
      <c r="AE15" s="61" t="str">
        <f>+AB15&amp;AC15&amp;AD15</f>
        <v/>
      </c>
      <c r="AF15" s="12">
        <f t="shared" si="3"/>
        <v>0</v>
      </c>
      <c r="AG15" s="12">
        <f t="shared" si="9"/>
        <v>0</v>
      </c>
      <c r="AH15" s="12" t="str">
        <f t="shared" si="4"/>
        <v/>
      </c>
      <c r="AI15" s="61" t="str">
        <f t="shared" si="5"/>
        <v/>
      </c>
      <c r="AJ15" s="55" t="str">
        <f t="shared" si="6"/>
        <v/>
      </c>
      <c r="AK15" s="38" t="str">
        <f t="shared" si="10"/>
        <v/>
      </c>
      <c r="AL15" s="55" t="str">
        <f>+IF(AJ15&lt;&gt;""," .' - "&amp;A15&amp;": '.$"&amp;A15,"")</f>
        <v/>
      </c>
    </row>
    <row r="16" spans="1:38">
      <c r="A16" s="216" t="str">
        <f>IF(fieldcreatorv2!BX20&lt;&gt;"",fieldcreatorv2!BX20,"")</f>
        <v/>
      </c>
      <c r="B16" s="255"/>
      <c r="C16" s="255"/>
      <c r="D16" s="165" t="str">
        <f>+IF(AND(B16="y",A16&lt;&gt;"",fieldcreatorv2!I20&lt;&gt;"si"),$A$1&amp;A16&amp;$A$2,"")</f>
        <v/>
      </c>
      <c r="E16" s="165" t="str">
        <f>+IF(AND(A16&lt;&gt;"",B16="y"),fieldcreatorv2!E20,"")</f>
        <v/>
      </c>
      <c r="F16" s="165" t="str">
        <f t="shared" si="0"/>
        <v/>
      </c>
      <c r="G16" s="55" t="str">
        <f>+IF(fieldcreatorv2!I20="si",$F$7&amp;fieldcreatorv2!BA19&amp;$F$1&amp;fieldcreatorv2!C19&amp;$G$1&amp;fieldcreatorv2!BA19&amp;$G$2&amp;A16&amp;$G$3,"")</f>
        <v/>
      </c>
      <c r="H16" s="145" t="str">
        <f>+IF(AND(A16&lt;&gt;"",B16="y",fieldcreatorv2!I20&lt;&gt;"si"),+$B$4&amp;A16&amp;$B$5,"")</f>
        <v/>
      </c>
      <c r="I16" s="252" t="str">
        <f>+IF(AND(fieldcreatorv2!E20="bigtext"),"&lt;br/&gt;"&amp;fieldcreatorv2!B20&amp;$C$2&amp;A16&amp;$C$3&amp;A16&amp;$C$4,"")</f>
        <v/>
      </c>
      <c r="J16" s="165" t="str">
        <f>+IF(fieldcreatorv2!E20="texto",fieldcreatorv2!B20&amp;": "&amp;$C$5&amp;A16&amp;$C$6&amp;A16&amp;$C$7,"")</f>
        <v/>
      </c>
      <c r="K16" s="165" t="str">
        <f>+IF(AND(fieldcreatorv2!E20="date",C16="yes"),fieldcreatorv2!B20&amp;": "&amp;$D$1&amp;A16&amp;$D$2&amp;A16&amp;$D$3,"")</f>
        <v/>
      </c>
      <c r="L16" s="165" t="str">
        <f>+IF(fieldcreatorv2!E20="radio",fieldcreatorv2!B20&amp;" &lt;br/&gt;"&amp;fieldcreatorv2!C20&amp;$D$4&amp;fieldcreatorv2!BA20&amp;$D$5&amp;fieldcreatorv2!C20&amp;$D$6&amp;fieldcreatorv2!C20&amp;$D$7&amp;fieldcreatorv2!BA20&amp;$F$1&amp;fieldcreatorv2!C20&amp;$F$4,"")</f>
        <v/>
      </c>
      <c r="M16" s="165" t="str">
        <f>+IF(AND(fieldcreatorv2!E20="selectlist",A16&lt;&gt;""),"&lt;br/&gt;"&amp;A16&amp;$E$4&amp;A16&amp;$D$5&amp;A16&amp;$E$5,"")</f>
        <v/>
      </c>
      <c r="N16" s="165" t="str">
        <f>+IF(AND(fieldcreatorv2!AU20&lt;&gt;fieldcreatorv2!AU21,fieldcreatorv2!E20="selectlist"),"&lt;/select&gt;","")</f>
        <v/>
      </c>
      <c r="O16" s="165" t="str">
        <f>+IF(fieldcreatorv2!E20="selectlist",M16&amp;$E$6&amp;fieldcreatorv2!C20&amp;$E$7&amp;fieldcreatorv2!AU20&amp;$F$1&amp;fieldcreatorv2!C20&amp;$F$2&amp;fieldcreatorv2!C20&amp;$F$3&amp;N16,"")</f>
        <v/>
      </c>
      <c r="P16" s="165" t="str">
        <f>+IF(fieldcreatorv2!E20="check",$E$1&amp;A16&amp;$D$5&amp;A16&amp;$E$2&amp;A16&amp;$E$3&amp;A16,"")</f>
        <v/>
      </c>
      <c r="Q16" s="165" t="str">
        <f>+IF(AND(R15&lt;&gt;"",fieldcreatorv2!I20="si"),fieldcreatorv2!CS20&amp;I16&amp;J16&amp;fieldcreatorv2!CT20,IF(AND(C16="yes",fieldcreatorv2!I20&lt;&gt;"si"),I16&amp;J16,""))</f>
        <v/>
      </c>
      <c r="R16" s="145" t="str">
        <f>IF(OR(C16=$P$1,AND(R15&lt;&gt;"",fieldcreatorv2!E20="radio",fieldcreatorv2!BA20=fieldcreatorv2!BA19),AND(R15&lt;&gt;"",fieldcreatorv2!E20="selectlist",fieldcreatorv2!AU20=fieldcreatorv2!AU19)),K16&amp;L16&amp;O16&amp;P16,"")&amp;Q16</f>
        <v/>
      </c>
      <c r="S16" s="55" t="str">
        <f>IF(AND(C16=$P$2,fieldcreatorv2!I20&lt;&gt;"si"),fieldcreatorv2!B20&amp;":  "&amp;$F$5&amp;A16&amp;$F$6,"")</f>
        <v/>
      </c>
      <c r="T16" s="253" t="str">
        <f>+IF(fieldcreatorv2!I20="si",$G$4&amp;A16&amp;$G$5,"")&amp;U16</f>
        <v/>
      </c>
      <c r="U16" s="61" t="str">
        <f>+IF(AND(fieldcreatorv2!I20="si",fieldcreatorv2!E19="radio"),+$G$6&amp;fieldcreatorv2!C19&amp;$G$7&amp;fieldcreatorv2!C19&amp;$H$1&amp;$H$2&amp;fieldcreatorv2!C19&amp;$H$3&amp;A16&amp;$H$4,"")</f>
        <v/>
      </c>
      <c r="V16" s="61" t="str">
        <f>+IF(R16&lt;&gt;"",fieldcreatorv2!CY20,"")</f>
        <v/>
      </c>
      <c r="W16" s="55" t="str">
        <f>+IF(OR(fieldcreatorv2!I21="si",AND(W17&lt;&gt;"",fieldcreatorv2!E20="radio")),1,"")</f>
        <v/>
      </c>
      <c r="X16" s="55" t="str">
        <f>+IF(AND(W16=1,W17=""),fieldcreatorv2!C20,IF(AND(W16=1,W17=1),X17,""))</f>
        <v/>
      </c>
      <c r="Y16" s="55" t="str">
        <f>+IF(AND(W15=1,fieldcreatorv2!I20="si"),A16,IF(W16=1,Y17,""))</f>
        <v/>
      </c>
      <c r="Z16" s="254" t="str">
        <f t="shared" si="8"/>
        <v/>
      </c>
      <c r="AA16" s="165" t="str">
        <f t="shared" ref="AA16:AA79" si="11">IF(AND(A16&lt;&gt;"",B16="y",C16&lt;&gt;"yes"),A16&amp;":"&amp;$F$5&amp;A16&amp;$K$3,IF(AND(Z16&lt;&gt;"",C16=$P$2),Z16,R16&amp;S16))</f>
        <v/>
      </c>
      <c r="AB16" s="238" t="str">
        <f>+IF(V16&lt;&gt;"",$K$4&amp;fieldcreatorv2!C20&amp;$K$5&amp;fieldcreatorv2!BX20&amp;$K$6&amp;fieldcreatorv2!C21&amp;$K$7,"")</f>
        <v/>
      </c>
      <c r="AC16" s="238" t="str">
        <f>IF(AND(C16="yes",fieldcreatorv2!E20="check"),A16&amp;$L$1&amp;A16&amp;$L$2,"")</f>
        <v/>
      </c>
      <c r="AD16" s="238" t="str">
        <f>+IF(AND(R16&lt;&gt;"",OR(fieldcreatorv2!E20="date",fieldcreatorv2!E20="bigtext",fieldcreatorv2!E20="texto",AND(fieldcreatorv2!E20="selectlist",A16&lt;&gt;""))),"var "&amp;A16&amp;$L$3&amp;A16&amp;$L$4,"")</f>
        <v/>
      </c>
      <c r="AE16" s="61" t="str">
        <f t="shared" ref="AE16:AE79" si="12">+AB16&amp;AC16&amp;AD16</f>
        <v/>
      </c>
      <c r="AF16" s="12">
        <f t="shared" si="3"/>
        <v>0</v>
      </c>
      <c r="AG16" s="12">
        <f t="shared" si="9"/>
        <v>0</v>
      </c>
      <c r="AH16" s="12" t="str">
        <f>+IF(AND(AG16&gt;1,A16&lt;&gt;"",R16&lt;&gt;""),",","")</f>
        <v/>
      </c>
      <c r="AI16" s="61" t="str">
        <f t="shared" si="5"/>
        <v/>
      </c>
      <c r="AJ16" s="55" t="str">
        <f t="shared" si="6"/>
        <v/>
      </c>
      <c r="AK16" s="38" t="str">
        <f t="shared" si="10"/>
        <v/>
      </c>
      <c r="AL16" s="55" t="str">
        <f t="shared" ref="AL16:AL79" si="13">+IF(AJ16&lt;&gt;""," .' - "&amp;A16&amp;": '.$"&amp;A16,"")</f>
        <v/>
      </c>
    </row>
    <row r="17" spans="1:38">
      <c r="A17" s="216" t="str">
        <f>IF(fieldcreatorv2!BX21&lt;&gt;"",fieldcreatorv2!BX21,"")</f>
        <v/>
      </c>
      <c r="B17" s="255"/>
      <c r="C17" s="255"/>
      <c r="D17" s="165" t="str">
        <f>+IF(AND(B17="y",A17&lt;&gt;"",fieldcreatorv2!I21&lt;&gt;"si"),$A$1&amp;A17&amp;$A$2,"")</f>
        <v/>
      </c>
      <c r="E17" s="165" t="str">
        <f>+IF(AND(A17&lt;&gt;"",B17="y"),fieldcreatorv2!E21,"")</f>
        <v/>
      </c>
      <c r="F17" s="165" t="str">
        <f t="shared" si="0"/>
        <v/>
      </c>
      <c r="G17" s="55" t="str">
        <f>+IF(fieldcreatorv2!I21="si",$F$7&amp;fieldcreatorv2!BA20&amp;$F$1&amp;fieldcreatorv2!C20&amp;$G$1&amp;fieldcreatorv2!BA20&amp;$G$2&amp;A17&amp;$G$3,"")</f>
        <v/>
      </c>
      <c r="H17" s="145" t="str">
        <f>+IF(AND(A17&lt;&gt;"",B17="y",fieldcreatorv2!I21&lt;&gt;"si"),+$B$4&amp;A17&amp;$B$5,"")</f>
        <v/>
      </c>
      <c r="I17" s="252" t="str">
        <f>+IF(AND(fieldcreatorv2!E21="bigtext"),"&lt;br/&gt;"&amp;fieldcreatorv2!B21&amp;$C$2&amp;A17&amp;$C$3&amp;A17&amp;$C$4,"")</f>
        <v/>
      </c>
      <c r="J17" s="165" t="str">
        <f>+IF(fieldcreatorv2!E21="texto",fieldcreatorv2!B21&amp;": "&amp;$C$5&amp;A17&amp;$C$6&amp;A17&amp;$C$7,"")</f>
        <v/>
      </c>
      <c r="K17" s="165" t="str">
        <f>+IF(AND(fieldcreatorv2!E21="date",C17="yes"),fieldcreatorv2!B21&amp;": "&amp;$D$1&amp;A17&amp;$D$2&amp;A17&amp;$D$3,"")</f>
        <v/>
      </c>
      <c r="L17" s="165" t="str">
        <f>+IF(fieldcreatorv2!E21="radio",fieldcreatorv2!B21&amp;" &lt;br/&gt;"&amp;fieldcreatorv2!C21&amp;$D$4&amp;fieldcreatorv2!BA21&amp;$D$5&amp;fieldcreatorv2!C21&amp;$D$6&amp;fieldcreatorv2!C21&amp;$D$7&amp;fieldcreatorv2!BA21&amp;$F$1&amp;fieldcreatorv2!C21&amp;$F$4,"")</f>
        <v/>
      </c>
      <c r="M17" s="165" t="str">
        <f>+IF(AND(fieldcreatorv2!E21="selectlist",A17&lt;&gt;""),"&lt;br/&gt;"&amp;A17&amp;$E$4&amp;A17&amp;$D$5&amp;A17&amp;$E$5,"")</f>
        <v/>
      </c>
      <c r="N17" s="165" t="str">
        <f>+IF(AND(fieldcreatorv2!AU21&lt;&gt;fieldcreatorv2!AU22,fieldcreatorv2!E21="selectlist"),"&lt;/select&gt;","")</f>
        <v/>
      </c>
      <c r="O17" s="165" t="str">
        <f>+IF(fieldcreatorv2!E21="selectlist",M17&amp;$E$6&amp;fieldcreatorv2!C21&amp;$E$7&amp;fieldcreatorv2!AU21&amp;$F$1&amp;fieldcreatorv2!C21&amp;$F$2&amp;fieldcreatorv2!C21&amp;$F$3&amp;N17,"")</f>
        <v/>
      </c>
      <c r="P17" s="165" t="str">
        <f>+IF(fieldcreatorv2!E21="check",$E$1&amp;A17&amp;$D$5&amp;A17&amp;$E$2&amp;A17&amp;$E$3&amp;A17,"")</f>
        <v/>
      </c>
      <c r="Q17" s="165" t="str">
        <f>+IF(AND(R16&lt;&gt;"",fieldcreatorv2!I21="si"),fieldcreatorv2!CS21&amp;I17&amp;J17&amp;fieldcreatorv2!CT21,IF(AND(C17="yes",fieldcreatorv2!I21&lt;&gt;"si"),I17&amp;J17,""))</f>
        <v/>
      </c>
      <c r="R17" s="145" t="str">
        <f>IF(OR(C17=$P$1,AND(R16&lt;&gt;"",fieldcreatorv2!E21="radio",fieldcreatorv2!BA21=fieldcreatorv2!BA20),AND(R16&lt;&gt;"",fieldcreatorv2!E21="selectlist",fieldcreatorv2!AU21=fieldcreatorv2!AU20)),K17&amp;L17&amp;O17&amp;P17,"")&amp;Q17</f>
        <v/>
      </c>
      <c r="S17" s="55" t="str">
        <f>IF(AND(C17=$P$2,fieldcreatorv2!I21&lt;&gt;"si"),fieldcreatorv2!B21&amp;":  "&amp;$F$5&amp;A17&amp;$F$6,"")</f>
        <v/>
      </c>
      <c r="T17" s="253" t="str">
        <f>+IF(fieldcreatorv2!I21="si",$G$4&amp;A17&amp;$G$5,"")&amp;U17</f>
        <v/>
      </c>
      <c r="U17" s="61" t="str">
        <f>+IF(AND(fieldcreatorv2!I21="si",fieldcreatorv2!E20="radio"),+$G$6&amp;fieldcreatorv2!C20&amp;$G$7&amp;fieldcreatorv2!C20&amp;$H$1&amp;$H$2&amp;fieldcreatorv2!C20&amp;$H$3&amp;A17&amp;$H$4,"")</f>
        <v/>
      </c>
      <c r="V17" s="61" t="str">
        <f>+IF(R17&lt;&gt;"",fieldcreatorv2!CY21,"")</f>
        <v/>
      </c>
      <c r="W17" s="55" t="str">
        <f>+IF(OR(fieldcreatorv2!I22="si",AND(W18&lt;&gt;"",fieldcreatorv2!E21="radio")),1,"")</f>
        <v/>
      </c>
      <c r="X17" s="55" t="str">
        <f>+IF(AND(W17=1,W18=""),fieldcreatorv2!C21,IF(AND(W17=1,W18=1),X18,""))</f>
        <v/>
      </c>
      <c r="Y17" s="55" t="str">
        <f>+IF(AND(W16=1,fieldcreatorv2!I21="si"),A17,IF(W17=1,Y18,""))</f>
        <v/>
      </c>
      <c r="Z17" s="254" t="str">
        <f t="shared" si="8"/>
        <v/>
      </c>
      <c r="AA17" s="165" t="str">
        <f t="shared" si="11"/>
        <v/>
      </c>
      <c r="AB17" s="238" t="str">
        <f>+IF(V17&lt;&gt;"",$K$4&amp;fieldcreatorv2!C21&amp;$K$5&amp;fieldcreatorv2!BX21&amp;$K$6&amp;fieldcreatorv2!C22&amp;$K$7,"")</f>
        <v/>
      </c>
      <c r="AC17" s="238" t="str">
        <f>IF(AND(C17="yes",fieldcreatorv2!E21="check"),A17&amp;$L$1&amp;A17&amp;$L$2,"")</f>
        <v/>
      </c>
      <c r="AD17" s="238" t="str">
        <f>+IF(AND(R17&lt;&gt;"",OR(fieldcreatorv2!E21="date",fieldcreatorv2!E21="bigtext",fieldcreatorv2!E21="texto",AND(fieldcreatorv2!E21="selectlist",A17&lt;&gt;""))),"var "&amp;A17&amp;$L$3&amp;A17&amp;$L$4,"")</f>
        <v/>
      </c>
      <c r="AE17" s="61" t="str">
        <f t="shared" si="12"/>
        <v/>
      </c>
      <c r="AF17" s="12">
        <f t="shared" si="3"/>
        <v>0</v>
      </c>
      <c r="AG17" s="12">
        <f t="shared" si="9"/>
        <v>0</v>
      </c>
      <c r="AH17" s="12" t="str">
        <f t="shared" ref="AH17:AH80" si="14">+IF(AND(AG17&gt;1,A17&lt;&gt;"",R17&lt;&gt;""),",","")</f>
        <v/>
      </c>
      <c r="AI17" s="61" t="str">
        <f t="shared" si="5"/>
        <v/>
      </c>
      <c r="AJ17" s="55" t="str">
        <f t="shared" si="6"/>
        <v/>
      </c>
      <c r="AK17" s="38" t="str">
        <f t="shared" si="10"/>
        <v/>
      </c>
      <c r="AL17" s="55" t="str">
        <f t="shared" si="13"/>
        <v/>
      </c>
    </row>
    <row r="18" spans="1:38">
      <c r="A18" s="216" t="str">
        <f>IF(fieldcreatorv2!BX22&lt;&gt;"",fieldcreatorv2!BX22,"")</f>
        <v/>
      </c>
      <c r="B18" s="255"/>
      <c r="C18" s="255"/>
      <c r="D18" s="165" t="str">
        <f>+IF(AND(B18="y",A18&lt;&gt;"",fieldcreatorv2!I22&lt;&gt;"si"),$A$1&amp;A18&amp;$A$2,"")</f>
        <v/>
      </c>
      <c r="E18" s="165" t="str">
        <f>+IF(AND(A18&lt;&gt;"",B18="y"),fieldcreatorv2!E22,"")</f>
        <v/>
      </c>
      <c r="F18" s="165" t="str">
        <f t="shared" si="0"/>
        <v/>
      </c>
      <c r="G18" s="55" t="str">
        <f>+IF(fieldcreatorv2!I22="si",$F$7&amp;fieldcreatorv2!BA21&amp;$F$1&amp;fieldcreatorv2!C21&amp;$G$1&amp;fieldcreatorv2!BA21&amp;$G$2&amp;A18&amp;$G$3,"")</f>
        <v/>
      </c>
      <c r="H18" s="145" t="str">
        <f>+IF(AND(A18&lt;&gt;"",B18="y",fieldcreatorv2!I22&lt;&gt;"si"),+$B$4&amp;A18&amp;$B$5,"")</f>
        <v/>
      </c>
      <c r="I18" s="252" t="str">
        <f>+IF(AND(fieldcreatorv2!E22="bigtext"),"&lt;br/&gt;"&amp;fieldcreatorv2!B22&amp;$C$2&amp;A18&amp;$C$3&amp;A18&amp;$C$4,"")</f>
        <v/>
      </c>
      <c r="J18" s="165" t="str">
        <f>+IF(fieldcreatorv2!E22="texto",fieldcreatorv2!B22&amp;": "&amp;$C$5&amp;A18&amp;$C$6&amp;A18&amp;$C$7,"")</f>
        <v/>
      </c>
      <c r="K18" s="165" t="str">
        <f>+IF(AND(fieldcreatorv2!E22="date",C18="yes"),fieldcreatorv2!B22&amp;": "&amp;$D$1&amp;A18&amp;$D$2&amp;A18&amp;$D$3,"")</f>
        <v/>
      </c>
      <c r="L18" s="165" t="str">
        <f>+IF(fieldcreatorv2!E22="radio",fieldcreatorv2!B22&amp;" &lt;br/&gt;"&amp;fieldcreatorv2!C22&amp;$D$4&amp;fieldcreatorv2!BA22&amp;$D$5&amp;fieldcreatorv2!C22&amp;$D$6&amp;fieldcreatorv2!C22&amp;$D$7&amp;fieldcreatorv2!BA22&amp;$F$1&amp;fieldcreatorv2!C22&amp;$F$4,"")</f>
        <v/>
      </c>
      <c r="M18" s="165" t="str">
        <f>+IF(AND(fieldcreatorv2!E22="selectlist",A18&lt;&gt;""),"&lt;br/&gt;"&amp;A18&amp;$E$4&amp;A18&amp;$D$5&amp;A18&amp;$E$5,"")</f>
        <v/>
      </c>
      <c r="N18" s="165" t="str">
        <f>+IF(AND(fieldcreatorv2!AU22&lt;&gt;fieldcreatorv2!AU23,fieldcreatorv2!E22="selectlist"),"&lt;/select&gt;","")</f>
        <v/>
      </c>
      <c r="O18" s="165" t="str">
        <f>+IF(fieldcreatorv2!E22="selectlist",M18&amp;$E$6&amp;fieldcreatorv2!C22&amp;$E$7&amp;fieldcreatorv2!AU22&amp;$F$1&amp;fieldcreatorv2!C22&amp;$F$2&amp;fieldcreatorv2!C22&amp;$F$3&amp;N18,"")</f>
        <v/>
      </c>
      <c r="P18" s="165" t="str">
        <f>+IF(fieldcreatorv2!E22="check",$E$1&amp;A18&amp;$D$5&amp;A18&amp;$E$2&amp;A18&amp;$E$3&amp;A18,"")</f>
        <v/>
      </c>
      <c r="Q18" s="165" t="str">
        <f>+IF(AND(R17&lt;&gt;"",fieldcreatorv2!I22="si"),fieldcreatorv2!CS22&amp;I18&amp;J18&amp;fieldcreatorv2!CT22,IF(AND(C18="yes",fieldcreatorv2!I22&lt;&gt;"si"),I18&amp;J18,""))</f>
        <v/>
      </c>
      <c r="R18" s="145" t="str">
        <f>IF(OR(C18=$P$1,AND(R17&lt;&gt;"",fieldcreatorv2!E22="radio",fieldcreatorv2!BA22=fieldcreatorv2!BA21),AND(R17&lt;&gt;"",fieldcreatorv2!E22="selectlist",fieldcreatorv2!AU22=fieldcreatorv2!AU21)),K18&amp;L18&amp;O18&amp;P18,"")&amp;Q18</f>
        <v/>
      </c>
      <c r="S18" s="55" t="str">
        <f>IF(AND(C18=$P$2,fieldcreatorv2!I22&lt;&gt;"si"),fieldcreatorv2!B22&amp;":  "&amp;$F$5&amp;A18&amp;$F$6,"")</f>
        <v/>
      </c>
      <c r="T18" s="253" t="str">
        <f>+IF(fieldcreatorv2!I22="si",$G$4&amp;A18&amp;$G$5,"")&amp;U18</f>
        <v/>
      </c>
      <c r="U18" s="61" t="str">
        <f>+IF(AND(fieldcreatorv2!I22="si",fieldcreatorv2!E21="radio"),+$G$6&amp;fieldcreatorv2!C21&amp;$G$7&amp;fieldcreatorv2!C21&amp;$H$1&amp;$H$2&amp;fieldcreatorv2!C21&amp;$H$3&amp;A18&amp;$H$4,"")</f>
        <v/>
      </c>
      <c r="V18" s="61" t="str">
        <f>+IF(R18&lt;&gt;"",fieldcreatorv2!CY22,"")</f>
        <v/>
      </c>
      <c r="W18" s="55" t="str">
        <f>+IF(OR(fieldcreatorv2!I23="si",AND(W19&lt;&gt;"",fieldcreatorv2!E22="radio")),1,"")</f>
        <v/>
      </c>
      <c r="X18" s="55" t="str">
        <f>+IF(AND(W18=1,W19=""),fieldcreatorv2!C22,IF(AND(W18=1,W19=1),X19,""))</f>
        <v/>
      </c>
      <c r="Y18" s="55" t="str">
        <f>+IF(AND(W17=1,fieldcreatorv2!I22="si"),A18,IF(W18=1,Y19,""))</f>
        <v/>
      </c>
      <c r="Z18" s="254" t="str">
        <f t="shared" si="8"/>
        <v/>
      </c>
      <c r="AA18" s="165" t="str">
        <f t="shared" si="11"/>
        <v/>
      </c>
      <c r="AB18" s="238" t="str">
        <f>+IF(V18&lt;&gt;"",$K$4&amp;fieldcreatorv2!C22&amp;$K$5&amp;fieldcreatorv2!BX22&amp;$K$6&amp;fieldcreatorv2!C23&amp;$K$7,"")</f>
        <v/>
      </c>
      <c r="AC18" s="238" t="str">
        <f>IF(AND(C18="yes",fieldcreatorv2!E22="check"),A18&amp;$L$1&amp;A18&amp;$L$2,"")</f>
        <v/>
      </c>
      <c r="AD18" s="238" t="str">
        <f>+IF(AND(R18&lt;&gt;"",OR(fieldcreatorv2!E22="date",fieldcreatorv2!E22="bigtext",fieldcreatorv2!E22="texto",AND(fieldcreatorv2!E22="selectlist",A18&lt;&gt;""))),"var "&amp;A18&amp;$L$3&amp;A18&amp;$L$4,"")</f>
        <v/>
      </c>
      <c r="AE18" s="61" t="str">
        <f t="shared" si="12"/>
        <v/>
      </c>
      <c r="AF18" s="12">
        <f t="shared" si="3"/>
        <v>0</v>
      </c>
      <c r="AG18" s="12">
        <f t="shared" si="9"/>
        <v>0</v>
      </c>
      <c r="AH18" s="12" t="str">
        <f t="shared" si="14"/>
        <v/>
      </c>
      <c r="AI18" s="61" t="str">
        <f t="shared" si="5"/>
        <v/>
      </c>
      <c r="AJ18" s="55" t="str">
        <f t="shared" si="6"/>
        <v/>
      </c>
      <c r="AK18" s="38" t="str">
        <f t="shared" si="10"/>
        <v/>
      </c>
      <c r="AL18" s="55" t="str">
        <f t="shared" si="13"/>
        <v/>
      </c>
    </row>
    <row r="19" spans="1:38">
      <c r="A19" s="216" t="str">
        <f>IF(fieldcreatorv2!BX23&lt;&gt;"",fieldcreatorv2!BX23,"")</f>
        <v/>
      </c>
      <c r="B19" s="255"/>
      <c r="C19" s="255"/>
      <c r="D19" s="165" t="str">
        <f>+IF(AND(B19="y",A19&lt;&gt;"",fieldcreatorv2!I23&lt;&gt;"si"),$A$1&amp;A19&amp;$A$2,"")</f>
        <v/>
      </c>
      <c r="E19" s="165" t="str">
        <f>+IF(AND(A19&lt;&gt;"",B19="y"),fieldcreatorv2!E23,"")</f>
        <v/>
      </c>
      <c r="F19" s="165" t="str">
        <f t="shared" si="0"/>
        <v/>
      </c>
      <c r="G19" s="55" t="str">
        <f>+IF(fieldcreatorv2!I23="si",$F$7&amp;fieldcreatorv2!BA22&amp;$F$1&amp;fieldcreatorv2!C22&amp;$G$1&amp;fieldcreatorv2!BA22&amp;$G$2&amp;A19&amp;$G$3,"")</f>
        <v/>
      </c>
      <c r="H19" s="145" t="str">
        <f>+IF(AND(A19&lt;&gt;"",B19="y",fieldcreatorv2!I23&lt;&gt;"si"),+$B$4&amp;A19&amp;$B$5,"")</f>
        <v/>
      </c>
      <c r="I19" s="252" t="str">
        <f>+IF(AND(fieldcreatorv2!E23="bigtext"),"&lt;br/&gt;"&amp;fieldcreatorv2!B23&amp;$C$2&amp;A19&amp;$C$3&amp;A19&amp;$C$4,"")</f>
        <v/>
      </c>
      <c r="J19" s="165" t="str">
        <f>+IF(fieldcreatorv2!E23="texto",fieldcreatorv2!B23&amp;": "&amp;$C$5&amp;A19&amp;$C$6&amp;A19&amp;$C$7,"")</f>
        <v/>
      </c>
      <c r="K19" s="165" t="str">
        <f>+IF(AND(fieldcreatorv2!E23="date",C19="yes"),fieldcreatorv2!B23&amp;": "&amp;$D$1&amp;A19&amp;$D$2&amp;A19&amp;$D$3,"")</f>
        <v/>
      </c>
      <c r="L19" s="165" t="str">
        <f>+IF(fieldcreatorv2!E23="radio",fieldcreatorv2!B23&amp;" &lt;br/&gt;"&amp;fieldcreatorv2!C23&amp;$D$4&amp;fieldcreatorv2!BA23&amp;$D$5&amp;fieldcreatorv2!C23&amp;$D$6&amp;fieldcreatorv2!C23&amp;$D$7&amp;fieldcreatorv2!BA23&amp;$F$1&amp;fieldcreatorv2!C23&amp;$F$4,"")</f>
        <v/>
      </c>
      <c r="M19" s="165" t="str">
        <f>+IF(AND(fieldcreatorv2!E23="selectlist",A19&lt;&gt;""),"&lt;br/&gt;"&amp;A19&amp;$E$4&amp;A19&amp;$D$5&amp;A19&amp;$E$5,"")</f>
        <v/>
      </c>
      <c r="N19" s="165" t="str">
        <f>+IF(AND(fieldcreatorv2!AU23&lt;&gt;fieldcreatorv2!AU24,fieldcreatorv2!E23="selectlist"),"&lt;/select&gt;","")</f>
        <v/>
      </c>
      <c r="O19" s="165" t="str">
        <f>+IF(fieldcreatorv2!E23="selectlist",M19&amp;$E$6&amp;fieldcreatorv2!C23&amp;$E$7&amp;fieldcreatorv2!AU23&amp;$F$1&amp;fieldcreatorv2!C23&amp;$F$2&amp;fieldcreatorv2!C23&amp;$F$3&amp;N19,"")</f>
        <v/>
      </c>
      <c r="P19" s="165" t="str">
        <f>+IF(fieldcreatorv2!E23="check",$E$1&amp;A19&amp;$D$5&amp;A19&amp;$E$2&amp;A19&amp;$E$3&amp;A19,"")</f>
        <v/>
      </c>
      <c r="Q19" s="165" t="str">
        <f>+IF(AND(R18&lt;&gt;"",fieldcreatorv2!I23="si"),fieldcreatorv2!CS23&amp;I19&amp;J19&amp;fieldcreatorv2!CT23,IF(AND(C19="yes",fieldcreatorv2!I23&lt;&gt;"si"),I19&amp;J19,""))</f>
        <v/>
      </c>
      <c r="R19" s="145" t="str">
        <f>IF(OR(C19=$P$1,AND(R18&lt;&gt;"",fieldcreatorv2!E23="radio",fieldcreatorv2!BA23=fieldcreatorv2!BA22),AND(R18&lt;&gt;"",fieldcreatorv2!E23="selectlist",fieldcreatorv2!AU23=fieldcreatorv2!AU22)),K19&amp;L19&amp;O19&amp;P19,"")&amp;Q19</f>
        <v/>
      </c>
      <c r="S19" s="55" t="str">
        <f>IF(AND(C19=$P$2,fieldcreatorv2!I23&lt;&gt;"si"),fieldcreatorv2!B23&amp;":  "&amp;$F$5&amp;A19&amp;$F$6,"")</f>
        <v/>
      </c>
      <c r="T19" s="253" t="str">
        <f>+IF(fieldcreatorv2!I23="si",$G$4&amp;A19&amp;$G$5,"")&amp;U19</f>
        <v/>
      </c>
      <c r="U19" s="61" t="str">
        <f>+IF(AND(fieldcreatorv2!I23="si",fieldcreatorv2!E22="radio"),+$G$6&amp;fieldcreatorv2!C22&amp;$G$7&amp;fieldcreatorv2!C22&amp;$H$1&amp;$H$2&amp;fieldcreatorv2!C22&amp;$H$3&amp;A19&amp;$H$4,"")</f>
        <v/>
      </c>
      <c r="V19" s="61" t="str">
        <f>+IF(R19&lt;&gt;"",fieldcreatorv2!CY23,"")</f>
        <v/>
      </c>
      <c r="W19" s="55" t="str">
        <f>+IF(OR(fieldcreatorv2!I24="si",AND(W20&lt;&gt;"",fieldcreatorv2!E23="radio")),1,"")</f>
        <v/>
      </c>
      <c r="X19" s="55" t="str">
        <f>+IF(AND(W19=1,W20=""),fieldcreatorv2!C23,IF(AND(W19=1,W20=1),X20,""))</f>
        <v/>
      </c>
      <c r="Y19" s="55" t="str">
        <f>+IF(AND(W18=1,fieldcreatorv2!I23="si"),A19,IF(W19=1,Y20,""))</f>
        <v/>
      </c>
      <c r="Z19" s="254" t="str">
        <f t="shared" si="8"/>
        <v/>
      </c>
      <c r="AA19" s="165" t="str">
        <f t="shared" si="11"/>
        <v/>
      </c>
      <c r="AB19" s="238" t="str">
        <f>+IF(V19&lt;&gt;"",$K$4&amp;fieldcreatorv2!C23&amp;$K$5&amp;fieldcreatorv2!BX23&amp;$K$6&amp;fieldcreatorv2!C24&amp;$K$7,"")</f>
        <v/>
      </c>
      <c r="AC19" s="238" t="str">
        <f>IF(AND(C19="yes",fieldcreatorv2!E23="check"),A19&amp;$L$1&amp;A19&amp;$L$2,"")</f>
        <v/>
      </c>
      <c r="AD19" s="238" t="str">
        <f>+IF(AND(R19&lt;&gt;"",OR(fieldcreatorv2!E23="date",fieldcreatorv2!E23="bigtext",fieldcreatorv2!E23="texto",AND(fieldcreatorv2!E23="selectlist",A19&lt;&gt;""))),"var "&amp;A19&amp;$L$3&amp;A19&amp;$L$4,"")</f>
        <v/>
      </c>
      <c r="AE19" s="61" t="str">
        <f t="shared" si="12"/>
        <v/>
      </c>
      <c r="AF19" s="12">
        <f t="shared" si="3"/>
        <v>0</v>
      </c>
      <c r="AG19" s="12">
        <f t="shared" si="9"/>
        <v>0</v>
      </c>
      <c r="AH19" s="12" t="str">
        <f t="shared" si="14"/>
        <v/>
      </c>
      <c r="AI19" s="61" t="str">
        <f t="shared" si="5"/>
        <v/>
      </c>
      <c r="AJ19" s="55" t="str">
        <f t="shared" si="6"/>
        <v/>
      </c>
      <c r="AK19" s="38" t="str">
        <f t="shared" si="10"/>
        <v/>
      </c>
      <c r="AL19" s="55" t="str">
        <f t="shared" si="13"/>
        <v/>
      </c>
    </row>
    <row r="20" spans="1:38">
      <c r="A20" s="216" t="str">
        <f>IF(fieldcreatorv2!BX24&lt;&gt;"",fieldcreatorv2!BX24,"")</f>
        <v/>
      </c>
      <c r="B20" s="255"/>
      <c r="C20" s="255"/>
      <c r="D20" s="165" t="str">
        <f>+IF(AND(B20="y",A20&lt;&gt;"",fieldcreatorv2!I24&lt;&gt;"si"),$A$1&amp;A20&amp;$A$2,"")</f>
        <v/>
      </c>
      <c r="E20" s="165" t="str">
        <f>+IF(AND(A20&lt;&gt;"",B20="y"),fieldcreatorv2!E24,"")</f>
        <v/>
      </c>
      <c r="F20" s="165" t="str">
        <f t="shared" si="0"/>
        <v/>
      </c>
      <c r="G20" s="55" t="str">
        <f>+IF(fieldcreatorv2!I24="si",$F$7&amp;fieldcreatorv2!BA23&amp;$F$1&amp;fieldcreatorv2!C23&amp;$G$1&amp;fieldcreatorv2!BA23&amp;$G$2&amp;A20&amp;$G$3,"")</f>
        <v/>
      </c>
      <c r="H20" s="145" t="str">
        <f>+IF(AND(A20&lt;&gt;"",B20="y",fieldcreatorv2!I24&lt;&gt;"si"),+$B$4&amp;A20&amp;$B$5,"")</f>
        <v/>
      </c>
      <c r="I20" s="252" t="str">
        <f>+IF(AND(fieldcreatorv2!E24="bigtext"),"&lt;br/&gt;"&amp;fieldcreatorv2!B24&amp;$C$2&amp;A20&amp;$C$3&amp;A20&amp;$C$4,"")</f>
        <v/>
      </c>
      <c r="J20" s="165" t="str">
        <f>+IF(fieldcreatorv2!E24="texto",fieldcreatorv2!B24&amp;": "&amp;$C$5&amp;A20&amp;$C$6&amp;A20&amp;$C$7,"")</f>
        <v/>
      </c>
      <c r="K20" s="165" t="str">
        <f>+IF(AND(fieldcreatorv2!E24="date",C20="yes"),fieldcreatorv2!B24&amp;": "&amp;$D$1&amp;A20&amp;$D$2&amp;A20&amp;$D$3,"")</f>
        <v/>
      </c>
      <c r="L20" s="165" t="str">
        <f>+IF(fieldcreatorv2!E24="radio",fieldcreatorv2!B24&amp;" &lt;br/&gt;"&amp;fieldcreatorv2!C24&amp;$D$4&amp;fieldcreatorv2!BA24&amp;$D$5&amp;fieldcreatorv2!C24&amp;$D$6&amp;fieldcreatorv2!C24&amp;$D$7&amp;fieldcreatorv2!BA24&amp;$F$1&amp;fieldcreatorv2!C24&amp;$F$4,"")</f>
        <v/>
      </c>
      <c r="M20" s="165" t="str">
        <f>+IF(AND(fieldcreatorv2!E24="selectlist",A20&lt;&gt;""),"&lt;br/&gt;"&amp;A20&amp;$E$4&amp;A20&amp;$D$5&amp;A20&amp;$E$5,"")</f>
        <v/>
      </c>
      <c r="N20" s="165" t="str">
        <f>+IF(AND(fieldcreatorv2!AU24&lt;&gt;fieldcreatorv2!AU25,fieldcreatorv2!E24="selectlist"),"&lt;/select&gt;","")</f>
        <v/>
      </c>
      <c r="O20" s="165" t="str">
        <f>+IF(fieldcreatorv2!E24="selectlist",M20&amp;$E$6&amp;fieldcreatorv2!C24&amp;$E$7&amp;fieldcreatorv2!AU24&amp;$F$1&amp;fieldcreatorv2!C24&amp;$F$2&amp;fieldcreatorv2!C24&amp;$F$3&amp;N20,"")</f>
        <v/>
      </c>
      <c r="P20" s="165" t="str">
        <f>+IF(fieldcreatorv2!E24="check",$E$1&amp;A20&amp;$D$5&amp;A20&amp;$E$2&amp;A20&amp;$E$3&amp;A20,"")</f>
        <v/>
      </c>
      <c r="Q20" s="165" t="str">
        <f>+IF(AND(R19&lt;&gt;"",fieldcreatorv2!I24="si"),fieldcreatorv2!CS24&amp;I20&amp;J20&amp;fieldcreatorv2!CT24,IF(AND(C20="yes",fieldcreatorv2!I24&lt;&gt;"si"),I20&amp;J20,""))</f>
        <v/>
      </c>
      <c r="R20" s="145" t="str">
        <f>IF(OR(C20=$P$1,AND(R19&lt;&gt;"",fieldcreatorv2!E24="radio",fieldcreatorv2!BA24=fieldcreatorv2!BA23),AND(R19&lt;&gt;"",fieldcreatorv2!E24="selectlist",fieldcreatorv2!AU24=fieldcreatorv2!AU23)),K20&amp;L20&amp;O20&amp;P20,"")&amp;Q20</f>
        <v/>
      </c>
      <c r="S20" s="55" t="str">
        <f>IF(AND(C20=$P$2,fieldcreatorv2!I24&lt;&gt;"si"),fieldcreatorv2!B24&amp;":  "&amp;$F$5&amp;A20&amp;$F$6,"")</f>
        <v/>
      </c>
      <c r="T20" s="253" t="str">
        <f>+IF(fieldcreatorv2!I24="si",$G$4&amp;A20&amp;$G$5,"")&amp;U20</f>
        <v/>
      </c>
      <c r="U20" s="61" t="str">
        <f>+IF(AND(fieldcreatorv2!I24="si",fieldcreatorv2!E23="radio"),+$G$6&amp;fieldcreatorv2!C23&amp;$G$7&amp;fieldcreatorv2!C23&amp;$H$1&amp;$H$2&amp;fieldcreatorv2!C23&amp;$H$3&amp;A20&amp;$H$4,"")</f>
        <v/>
      </c>
      <c r="V20" s="61" t="str">
        <f>+IF(R20&lt;&gt;"",fieldcreatorv2!CY24,"")</f>
        <v/>
      </c>
      <c r="W20" s="55" t="str">
        <f>+IF(OR(fieldcreatorv2!I25="si",AND(W21&lt;&gt;"",fieldcreatorv2!E24="radio")),1,"")</f>
        <v/>
      </c>
      <c r="X20" s="55" t="str">
        <f>+IF(AND(W20=1,W21=""),fieldcreatorv2!C24,IF(AND(W20=1,W21=1),X21,""))</f>
        <v/>
      </c>
      <c r="Y20" s="55" t="str">
        <f>+IF(AND(W19=1,fieldcreatorv2!I24="si"),A20,IF(W20=1,Y21,""))</f>
        <v/>
      </c>
      <c r="Z20" s="254" t="str">
        <f t="shared" si="8"/>
        <v/>
      </c>
      <c r="AA20" s="165" t="str">
        <f t="shared" si="11"/>
        <v/>
      </c>
      <c r="AB20" s="238" t="str">
        <f>+IF(V20&lt;&gt;"",$K$4&amp;fieldcreatorv2!C24&amp;$K$5&amp;fieldcreatorv2!BX24&amp;$K$6&amp;fieldcreatorv2!C25&amp;$K$7,"")</f>
        <v/>
      </c>
      <c r="AC20" s="238" t="str">
        <f>IF(AND(C20="yes",fieldcreatorv2!E24="check"),A20&amp;$L$1&amp;A20&amp;$L$2,"")</f>
        <v/>
      </c>
      <c r="AD20" s="238" t="str">
        <f>+IF(AND(R20&lt;&gt;"",OR(fieldcreatorv2!E24="date",fieldcreatorv2!E24="bigtext",fieldcreatorv2!E24="texto",AND(fieldcreatorv2!E24="selectlist",A20&lt;&gt;""))),"var "&amp;A20&amp;$L$3&amp;A20&amp;$L$4,"")</f>
        <v/>
      </c>
      <c r="AE20" s="61" t="str">
        <f t="shared" si="12"/>
        <v/>
      </c>
      <c r="AF20" s="12">
        <f t="shared" si="3"/>
        <v>0</v>
      </c>
      <c r="AG20" s="12">
        <f t="shared" si="9"/>
        <v>0</v>
      </c>
      <c r="AH20" s="12" t="str">
        <f t="shared" si="14"/>
        <v/>
      </c>
      <c r="AI20" s="61" t="str">
        <f t="shared" si="5"/>
        <v/>
      </c>
      <c r="AJ20" s="55" t="str">
        <f t="shared" si="6"/>
        <v/>
      </c>
      <c r="AK20" s="38" t="str">
        <f t="shared" si="10"/>
        <v/>
      </c>
      <c r="AL20" s="55" t="str">
        <f t="shared" si="13"/>
        <v/>
      </c>
    </row>
    <row r="21" spans="1:38">
      <c r="A21" s="216" t="str">
        <f>IF(fieldcreatorv2!BX25&lt;&gt;"",fieldcreatorv2!BX25,"")</f>
        <v/>
      </c>
      <c r="B21" s="255"/>
      <c r="C21" s="255"/>
      <c r="D21" s="165" t="str">
        <f>+IF(AND(B21="y",A21&lt;&gt;"",fieldcreatorv2!I25&lt;&gt;"si"),$A$1&amp;A21&amp;$A$2,"")</f>
        <v/>
      </c>
      <c r="E21" s="165" t="str">
        <f>+IF(AND(A21&lt;&gt;"",B21="y"),fieldcreatorv2!E25,"")</f>
        <v/>
      </c>
      <c r="F21" s="165" t="str">
        <f t="shared" si="0"/>
        <v/>
      </c>
      <c r="G21" s="55" t="str">
        <f>+IF(fieldcreatorv2!I25="si",$F$7&amp;fieldcreatorv2!BA24&amp;$F$1&amp;fieldcreatorv2!C24&amp;$G$1&amp;fieldcreatorv2!BA24&amp;$G$2&amp;A21&amp;$G$3,"")</f>
        <v/>
      </c>
      <c r="H21" s="145" t="str">
        <f>+IF(AND(A21&lt;&gt;"",B21="y",fieldcreatorv2!I25&lt;&gt;"si"),+$B$4&amp;A21&amp;$B$5,"")</f>
        <v/>
      </c>
      <c r="I21" s="252" t="str">
        <f>+IF(AND(fieldcreatorv2!E25="bigtext"),"&lt;br/&gt;"&amp;fieldcreatorv2!B25&amp;$C$2&amp;A21&amp;$C$3&amp;A21&amp;$C$4,"")</f>
        <v/>
      </c>
      <c r="J21" s="165" t="str">
        <f>+IF(fieldcreatorv2!E25="texto",fieldcreatorv2!B25&amp;": "&amp;$C$5&amp;A21&amp;$C$6&amp;A21&amp;$C$7,"")</f>
        <v/>
      </c>
      <c r="K21" s="165" t="str">
        <f>+IF(AND(fieldcreatorv2!E25="date",C21="yes"),fieldcreatorv2!B25&amp;": "&amp;$D$1&amp;A21&amp;$D$2&amp;A21&amp;$D$3,"")</f>
        <v/>
      </c>
      <c r="L21" s="165" t="str">
        <f>+IF(fieldcreatorv2!E25="radio",fieldcreatorv2!B25&amp;" &lt;br/&gt;"&amp;fieldcreatorv2!C25&amp;$D$4&amp;fieldcreatorv2!BA25&amp;$D$5&amp;fieldcreatorv2!C25&amp;$D$6&amp;fieldcreatorv2!C25&amp;$D$7&amp;fieldcreatorv2!BA25&amp;$F$1&amp;fieldcreatorv2!C25&amp;$F$4,"")</f>
        <v/>
      </c>
      <c r="M21" s="165" t="str">
        <f>+IF(AND(fieldcreatorv2!E25="selectlist",A21&lt;&gt;""),"&lt;br/&gt;"&amp;A21&amp;$E$4&amp;A21&amp;$D$5&amp;A21&amp;$E$5,"")</f>
        <v/>
      </c>
      <c r="N21" s="165" t="str">
        <f>+IF(AND(fieldcreatorv2!AU25&lt;&gt;fieldcreatorv2!AU26,fieldcreatorv2!E25="selectlist"),"&lt;/select&gt;","")</f>
        <v/>
      </c>
      <c r="O21" s="165" t="str">
        <f>+IF(fieldcreatorv2!E25="selectlist",M21&amp;$E$6&amp;fieldcreatorv2!C25&amp;$E$7&amp;fieldcreatorv2!AU25&amp;$F$1&amp;fieldcreatorv2!C25&amp;$F$2&amp;fieldcreatorv2!C25&amp;$F$3&amp;N21,"")</f>
        <v/>
      </c>
      <c r="P21" s="165" t="str">
        <f>+IF(fieldcreatorv2!E25="check",$E$1&amp;A21&amp;$D$5&amp;A21&amp;$E$2&amp;A21&amp;$E$3&amp;A21,"")</f>
        <v/>
      </c>
      <c r="Q21" s="165" t="str">
        <f>+IF(AND(R20&lt;&gt;"",fieldcreatorv2!I25="si"),fieldcreatorv2!CS25&amp;I21&amp;J21&amp;fieldcreatorv2!CT25,IF(AND(C21="yes",fieldcreatorv2!I25&lt;&gt;"si"),I21&amp;J21,""))</f>
        <v/>
      </c>
      <c r="R21" s="145" t="str">
        <f>IF(OR(C21=$P$1,AND(R20&lt;&gt;"",fieldcreatorv2!E25="radio",fieldcreatorv2!BA25=fieldcreatorv2!BA24),AND(R20&lt;&gt;"",fieldcreatorv2!E25="selectlist",fieldcreatorv2!AU25=fieldcreatorv2!AU24)),K21&amp;L21&amp;O21&amp;P21,"")&amp;Q21</f>
        <v/>
      </c>
      <c r="S21" s="55" t="str">
        <f>IF(AND(C21=$P$2,fieldcreatorv2!I25&lt;&gt;"si"),fieldcreatorv2!B25&amp;":  "&amp;$F$5&amp;A21&amp;$F$6,"")</f>
        <v/>
      </c>
      <c r="T21" s="253" t="str">
        <f>+IF(fieldcreatorv2!I25="si",$G$4&amp;A21&amp;$G$5,"")&amp;U21</f>
        <v/>
      </c>
      <c r="U21" s="61" t="str">
        <f>+IF(AND(fieldcreatorv2!I25="si",fieldcreatorv2!E24="radio"),+$G$6&amp;fieldcreatorv2!C24&amp;$G$7&amp;fieldcreatorv2!C24&amp;$H$1&amp;$H$2&amp;fieldcreatorv2!C24&amp;$H$3&amp;A21&amp;$H$4,"")</f>
        <v/>
      </c>
      <c r="V21" s="61" t="str">
        <f>+IF(R21&lt;&gt;"",fieldcreatorv2!CY25,"")</f>
        <v/>
      </c>
      <c r="W21" s="55" t="str">
        <f>+IF(OR(fieldcreatorv2!I26="si",AND(W22&lt;&gt;"",fieldcreatorv2!E25="radio")),1,"")</f>
        <v/>
      </c>
      <c r="X21" s="55" t="str">
        <f>+IF(AND(W21=1,W22=""),fieldcreatorv2!C25,IF(AND(W21=1,W22=1),X22,""))</f>
        <v/>
      </c>
      <c r="Y21" s="55" t="str">
        <f>+IF(AND(W20=1,fieldcreatorv2!I25="si"),A21,IF(W21=1,Y22,""))</f>
        <v/>
      </c>
      <c r="Z21" s="254" t="str">
        <f t="shared" si="8"/>
        <v/>
      </c>
      <c r="AA21" s="165" t="str">
        <f t="shared" si="11"/>
        <v/>
      </c>
      <c r="AB21" s="238" t="str">
        <f>+IF(V21&lt;&gt;"",$K$4&amp;fieldcreatorv2!C25&amp;$K$5&amp;fieldcreatorv2!BX25&amp;$K$6&amp;fieldcreatorv2!C26&amp;$K$7,"")</f>
        <v/>
      </c>
      <c r="AC21" s="238" t="str">
        <f>IF(AND(C21="yes",fieldcreatorv2!E25="check"),A21&amp;$L$1&amp;A21&amp;$L$2,"")</f>
        <v/>
      </c>
      <c r="AD21" s="238" t="str">
        <f>+IF(AND(R21&lt;&gt;"",OR(fieldcreatorv2!E25="date",fieldcreatorv2!E25="bigtext",fieldcreatorv2!E25="texto",AND(fieldcreatorv2!E25="selectlist",A21&lt;&gt;""))),"var "&amp;A21&amp;$L$3&amp;A21&amp;$L$4,"")</f>
        <v/>
      </c>
      <c r="AE21" s="61" t="str">
        <f t="shared" si="12"/>
        <v/>
      </c>
      <c r="AF21" s="12">
        <f t="shared" si="3"/>
        <v>0</v>
      </c>
      <c r="AG21" s="12">
        <f t="shared" si="9"/>
        <v>0</v>
      </c>
      <c r="AH21" s="12" t="str">
        <f t="shared" si="14"/>
        <v/>
      </c>
      <c r="AI21" s="61" t="str">
        <f t="shared" si="5"/>
        <v/>
      </c>
      <c r="AJ21" s="55" t="str">
        <f t="shared" si="6"/>
        <v/>
      </c>
      <c r="AK21" s="38" t="str">
        <f t="shared" si="10"/>
        <v/>
      </c>
      <c r="AL21" s="55" t="str">
        <f t="shared" si="13"/>
        <v/>
      </c>
    </row>
    <row r="22" spans="1:38">
      <c r="A22" s="216" t="str">
        <f>IF(fieldcreatorv2!BX26&lt;&gt;"",fieldcreatorv2!BX26,"")</f>
        <v/>
      </c>
      <c r="B22" s="255"/>
      <c r="C22" s="255"/>
      <c r="D22" s="165" t="str">
        <f>+IF(AND(B22="y",A22&lt;&gt;"",fieldcreatorv2!I26&lt;&gt;"si"),$A$1&amp;A22&amp;$A$2,"")</f>
        <v/>
      </c>
      <c r="E22" s="165" t="str">
        <f>+IF(AND(A22&lt;&gt;"",B22="y"),fieldcreatorv2!E26,"")</f>
        <v/>
      </c>
      <c r="F22" s="165" t="str">
        <f t="shared" si="0"/>
        <v/>
      </c>
      <c r="G22" s="55" t="str">
        <f>+IF(fieldcreatorv2!I26="si",$F$7&amp;fieldcreatorv2!BA25&amp;$F$1&amp;fieldcreatorv2!C25&amp;$G$1&amp;fieldcreatorv2!BA25&amp;$G$2&amp;A22&amp;$G$3,"")</f>
        <v/>
      </c>
      <c r="H22" s="145" t="str">
        <f>+IF(AND(A22&lt;&gt;"",B22="y",fieldcreatorv2!I26&lt;&gt;"si"),+$B$4&amp;A22&amp;$B$5,"")</f>
        <v/>
      </c>
      <c r="I22" s="252" t="str">
        <f>+IF(AND(fieldcreatorv2!E26="bigtext"),"&lt;br/&gt;"&amp;fieldcreatorv2!B26&amp;$C$2&amp;A22&amp;$C$3&amp;A22&amp;$C$4,"")</f>
        <v/>
      </c>
      <c r="J22" s="165" t="str">
        <f>+IF(fieldcreatorv2!E26="texto",fieldcreatorv2!B26&amp;": "&amp;$C$5&amp;A22&amp;$C$6&amp;A22&amp;$C$7,"")</f>
        <v/>
      </c>
      <c r="K22" s="165" t="str">
        <f>+IF(AND(fieldcreatorv2!E26="date",C22="yes"),fieldcreatorv2!B26&amp;": "&amp;$D$1&amp;A22&amp;$D$2&amp;A22&amp;$D$3,"")</f>
        <v/>
      </c>
      <c r="L22" s="165" t="str">
        <f>+IF(fieldcreatorv2!E26="radio",fieldcreatorv2!B26&amp;" &lt;br/&gt;"&amp;fieldcreatorv2!C26&amp;$D$4&amp;fieldcreatorv2!BA26&amp;$D$5&amp;fieldcreatorv2!C26&amp;$D$6&amp;fieldcreatorv2!C26&amp;$D$7&amp;fieldcreatorv2!BA26&amp;$F$1&amp;fieldcreatorv2!C26&amp;$F$4,"")</f>
        <v/>
      </c>
      <c r="M22" s="165" t="str">
        <f>+IF(AND(fieldcreatorv2!E26="selectlist",A22&lt;&gt;""),"&lt;br/&gt;"&amp;A22&amp;$E$4&amp;A22&amp;$D$5&amp;A22&amp;$E$5,"")</f>
        <v/>
      </c>
      <c r="N22" s="165" t="str">
        <f>+IF(AND(fieldcreatorv2!AU26&lt;&gt;fieldcreatorv2!AU27,fieldcreatorv2!E26="selectlist"),"&lt;/select&gt;","")</f>
        <v/>
      </c>
      <c r="O22" s="165" t="str">
        <f>+IF(fieldcreatorv2!E26="selectlist",M22&amp;$E$6&amp;fieldcreatorv2!C26&amp;$E$7&amp;fieldcreatorv2!AU26&amp;$F$1&amp;fieldcreatorv2!C26&amp;$F$2&amp;fieldcreatorv2!C26&amp;$F$3&amp;N22,"")</f>
        <v/>
      </c>
      <c r="P22" s="165" t="str">
        <f>+IF(fieldcreatorv2!E26="check",$E$1&amp;A22&amp;$D$5&amp;A22&amp;$E$2&amp;A22&amp;$E$3&amp;A22,"")</f>
        <v/>
      </c>
      <c r="Q22" s="165" t="str">
        <f>+IF(AND(R21&lt;&gt;"",fieldcreatorv2!I26="si"),fieldcreatorv2!CS26&amp;I22&amp;J22&amp;fieldcreatorv2!CT26,IF(AND(C22="yes",fieldcreatorv2!I26&lt;&gt;"si"),I22&amp;J22,""))</f>
        <v/>
      </c>
      <c r="R22" s="145" t="str">
        <f>IF(OR(C22=$P$1,AND(R21&lt;&gt;"",fieldcreatorv2!E26="radio",fieldcreatorv2!BA26=fieldcreatorv2!BA25),AND(R21&lt;&gt;"",fieldcreatorv2!E26="selectlist",fieldcreatorv2!AU26=fieldcreatorv2!AU25)),K22&amp;L22&amp;O22&amp;P22,"")&amp;Q22</f>
        <v/>
      </c>
      <c r="S22" s="55" t="str">
        <f>IF(AND(C22=$P$2,fieldcreatorv2!I26&lt;&gt;"si"),fieldcreatorv2!B26&amp;":  "&amp;$F$5&amp;A22&amp;$F$6,"")</f>
        <v/>
      </c>
      <c r="T22" s="253" t="str">
        <f>+IF(fieldcreatorv2!I26="si",$G$4&amp;A22&amp;$G$5,"")&amp;U22</f>
        <v/>
      </c>
      <c r="U22" s="61" t="str">
        <f>+IF(AND(fieldcreatorv2!I26="si",fieldcreatorv2!E25="radio"),+$G$6&amp;fieldcreatorv2!C25&amp;$G$7&amp;fieldcreatorv2!C25&amp;$H$1&amp;$H$2&amp;fieldcreatorv2!C25&amp;$H$3&amp;A22&amp;$H$4,"")</f>
        <v/>
      </c>
      <c r="V22" s="61" t="str">
        <f>+IF(R22&lt;&gt;"",fieldcreatorv2!CY26,"")</f>
        <v/>
      </c>
      <c r="W22" s="55" t="str">
        <f>+IF(OR(fieldcreatorv2!I27="si",AND(W23&lt;&gt;"",fieldcreatorv2!E26="radio")),1,"")</f>
        <v/>
      </c>
      <c r="X22" s="55" t="str">
        <f>+IF(AND(W22=1,W23=""),fieldcreatorv2!C26,IF(AND(W22=1,W23=1),X23,""))</f>
        <v/>
      </c>
      <c r="Y22" s="55" t="str">
        <f>+IF(AND(W21=1,fieldcreatorv2!I26="si"),A22,IF(W22=1,Y23,""))</f>
        <v/>
      </c>
      <c r="Z22" s="254" t="str">
        <f t="shared" si="8"/>
        <v/>
      </c>
      <c r="AA22" s="165" t="str">
        <f t="shared" si="11"/>
        <v/>
      </c>
      <c r="AB22" s="238" t="str">
        <f>+IF(V22&lt;&gt;"",$K$4&amp;fieldcreatorv2!C26&amp;$K$5&amp;fieldcreatorv2!BX26&amp;$K$6&amp;fieldcreatorv2!C27&amp;$K$7,"")</f>
        <v/>
      </c>
      <c r="AC22" s="238" t="str">
        <f>IF(AND(C22="yes",fieldcreatorv2!E26="check"),A22&amp;$L$1&amp;A22&amp;$L$2,"")</f>
        <v/>
      </c>
      <c r="AD22" s="238" t="str">
        <f>+IF(AND(R22&lt;&gt;"",OR(fieldcreatorv2!E26="date",fieldcreatorv2!E26="bigtext",fieldcreatorv2!E26="texto",AND(fieldcreatorv2!E26="selectlist",A22&lt;&gt;""))),"var "&amp;A22&amp;$L$3&amp;A22&amp;$L$4,"")</f>
        <v/>
      </c>
      <c r="AE22" s="61" t="str">
        <f t="shared" si="12"/>
        <v/>
      </c>
      <c r="AF22" s="12">
        <f>+IF(AND(R22&lt;&gt;"",A22&lt;&gt;""),1,0)</f>
        <v>0</v>
      </c>
      <c r="AG22" s="12">
        <f t="shared" si="9"/>
        <v>0</v>
      </c>
      <c r="AH22" s="12" t="str">
        <f t="shared" si="14"/>
        <v/>
      </c>
      <c r="AI22" s="61" t="str">
        <f t="shared" si="5"/>
        <v/>
      </c>
      <c r="AJ22" s="55" t="str">
        <f t="shared" si="6"/>
        <v/>
      </c>
      <c r="AK22" s="38" t="str">
        <f t="shared" si="10"/>
        <v/>
      </c>
      <c r="AL22" s="55" t="str">
        <f t="shared" si="13"/>
        <v/>
      </c>
    </row>
    <row r="23" spans="1:38">
      <c r="A23" s="216" t="str">
        <f>IF(fieldcreatorv2!BX27&lt;&gt;"",fieldcreatorv2!BX27,"")</f>
        <v/>
      </c>
      <c r="B23" s="255"/>
      <c r="C23" s="255"/>
      <c r="D23" s="165" t="str">
        <f>+IF(AND(B23="y",A23&lt;&gt;"",fieldcreatorv2!I27&lt;&gt;"si"),$A$1&amp;A23&amp;$A$2,"")</f>
        <v/>
      </c>
      <c r="E23" s="165" t="str">
        <f>+IF(AND(A23&lt;&gt;"",B23="y"),fieldcreatorv2!E27,"")</f>
        <v/>
      </c>
      <c r="F23" s="165" t="str">
        <f t="shared" si="0"/>
        <v/>
      </c>
      <c r="G23" s="55" t="str">
        <f>+IF(fieldcreatorv2!I27="si",$F$7&amp;fieldcreatorv2!BA26&amp;$F$1&amp;fieldcreatorv2!C26&amp;$G$1&amp;fieldcreatorv2!BA26&amp;$G$2&amp;A23&amp;$G$3,"")</f>
        <v/>
      </c>
      <c r="H23" s="145" t="str">
        <f>+IF(AND(A23&lt;&gt;"",B23="y",fieldcreatorv2!I27&lt;&gt;"si"),+$B$4&amp;A23&amp;$B$5,"")</f>
        <v/>
      </c>
      <c r="I23" s="252" t="str">
        <f>+IF(AND(fieldcreatorv2!E27="bigtext"),"&lt;br/&gt;"&amp;fieldcreatorv2!B27&amp;$C$2&amp;A23&amp;$C$3&amp;A23&amp;$C$4,"")</f>
        <v/>
      </c>
      <c r="J23" s="165" t="str">
        <f>+IF(fieldcreatorv2!E27="texto",fieldcreatorv2!B27&amp;": "&amp;$C$5&amp;A23&amp;$C$6&amp;A23&amp;$C$7,"")</f>
        <v/>
      </c>
      <c r="K23" s="165" t="str">
        <f>+IF(AND(fieldcreatorv2!E27="date",C23="yes"),fieldcreatorv2!B27&amp;": "&amp;$D$1&amp;A23&amp;$D$2&amp;A23&amp;$D$3,"")</f>
        <v/>
      </c>
      <c r="L23" s="165" t="str">
        <f>+IF(fieldcreatorv2!E27="radio",fieldcreatorv2!B27&amp;" &lt;br/&gt;"&amp;fieldcreatorv2!C27&amp;$D$4&amp;fieldcreatorv2!BA27&amp;$D$5&amp;fieldcreatorv2!C27&amp;$D$6&amp;fieldcreatorv2!C27&amp;$D$7&amp;fieldcreatorv2!BA27&amp;$F$1&amp;fieldcreatorv2!C27&amp;$F$4,"")</f>
        <v/>
      </c>
      <c r="M23" s="165" t="str">
        <f>+IF(AND(fieldcreatorv2!E27="selectlist",A23&lt;&gt;""),"&lt;br/&gt;"&amp;A23&amp;$E$4&amp;A23&amp;$D$5&amp;A23&amp;$E$5,"")</f>
        <v/>
      </c>
      <c r="N23" s="165" t="str">
        <f>+IF(AND(fieldcreatorv2!AU27&lt;&gt;fieldcreatorv2!AU28,fieldcreatorv2!E27="selectlist"),"&lt;/select&gt;","")</f>
        <v/>
      </c>
      <c r="O23" s="165" t="str">
        <f>+IF(fieldcreatorv2!E27="selectlist",M23&amp;$E$6&amp;fieldcreatorv2!C27&amp;$E$7&amp;fieldcreatorv2!AU27&amp;$F$1&amp;fieldcreatorv2!C27&amp;$F$2&amp;fieldcreatorv2!C27&amp;$F$3&amp;N23,"")</f>
        <v/>
      </c>
      <c r="P23" s="165" t="str">
        <f>+IF(fieldcreatorv2!E27="check",$E$1&amp;A23&amp;$D$5&amp;A23&amp;$E$2&amp;A23&amp;$E$3&amp;A23,"")</f>
        <v/>
      </c>
      <c r="Q23" s="165" t="str">
        <f>+IF(AND(R22&lt;&gt;"",fieldcreatorv2!I27="si"),fieldcreatorv2!CS27&amp;I23&amp;J23&amp;fieldcreatorv2!CT27,IF(AND(C23="yes",fieldcreatorv2!I27&lt;&gt;"si"),I23&amp;J23,""))</f>
        <v/>
      </c>
      <c r="R23" s="145" t="str">
        <f>IF(OR(C23=$P$1,AND(R22&lt;&gt;"",fieldcreatorv2!E27="radio",fieldcreatorv2!BA27=fieldcreatorv2!BA26),AND(R22&lt;&gt;"",fieldcreatorv2!E27="selectlist",fieldcreatorv2!AU27=fieldcreatorv2!AU26)),K23&amp;L23&amp;O23&amp;P23,"")&amp;Q23</f>
        <v/>
      </c>
      <c r="S23" s="55" t="str">
        <f>IF(AND(C23=$P$2,fieldcreatorv2!I27&lt;&gt;"si"),fieldcreatorv2!B27&amp;":  "&amp;$F$5&amp;A23&amp;$F$6,"")</f>
        <v/>
      </c>
      <c r="T23" s="253" t="str">
        <f>+IF(fieldcreatorv2!I27="si",$G$4&amp;A23&amp;$G$5,"")&amp;U23</f>
        <v/>
      </c>
      <c r="U23" s="61" t="str">
        <f>+IF(AND(fieldcreatorv2!I27="si",fieldcreatorv2!E26="radio"),+$G$6&amp;fieldcreatorv2!C26&amp;$G$7&amp;fieldcreatorv2!C26&amp;$H$1&amp;$H$2&amp;fieldcreatorv2!C26&amp;$H$3&amp;A23&amp;$H$4,"")</f>
        <v/>
      </c>
      <c r="V23" s="61" t="str">
        <f>+IF(R23&lt;&gt;"",fieldcreatorv2!CY27,"")</f>
        <v/>
      </c>
      <c r="W23" s="55" t="str">
        <f>+IF(OR(fieldcreatorv2!I28="si",AND(W24&lt;&gt;"",fieldcreatorv2!E27="radio")),1,"")</f>
        <v/>
      </c>
      <c r="X23" s="55" t="str">
        <f>+IF(AND(W23=1,W24=""),fieldcreatorv2!C27,IF(AND(W23=1,W24=1),X24,""))</f>
        <v/>
      </c>
      <c r="Y23" s="55" t="str">
        <f>+IF(AND(W22=1,fieldcreatorv2!I27="si"),A23,IF(W23=1,Y24,""))</f>
        <v/>
      </c>
      <c r="Z23" s="254" t="str">
        <f t="shared" si="8"/>
        <v/>
      </c>
      <c r="AA23" s="165" t="str">
        <f t="shared" si="11"/>
        <v/>
      </c>
      <c r="AB23" s="238" t="str">
        <f>+IF(V23&lt;&gt;"",$K$4&amp;fieldcreatorv2!C27&amp;$K$5&amp;fieldcreatorv2!BX27&amp;$K$6&amp;fieldcreatorv2!C28&amp;$K$7,"")</f>
        <v/>
      </c>
      <c r="AC23" s="238" t="str">
        <f>IF(AND(C23="yes",fieldcreatorv2!E27="check"),A23&amp;$L$1&amp;A23&amp;$L$2,"")</f>
        <v/>
      </c>
      <c r="AD23" s="238" t="str">
        <f>+IF(AND(R23&lt;&gt;"",OR(fieldcreatorv2!E27="date",fieldcreatorv2!E27="bigtext",fieldcreatorv2!E27="texto",AND(fieldcreatorv2!E27="selectlist",A23&lt;&gt;""))),"var "&amp;A23&amp;$L$3&amp;A23&amp;$L$4,"")</f>
        <v/>
      </c>
      <c r="AE23" s="61" t="str">
        <f t="shared" si="12"/>
        <v/>
      </c>
      <c r="AF23" s="12">
        <f t="shared" ref="AF23:AF45" si="15">+IF(AND(R23&lt;&gt;"",A23&lt;&gt;""),1,0)</f>
        <v>0</v>
      </c>
      <c r="AG23" s="12">
        <f t="shared" si="9"/>
        <v>0</v>
      </c>
      <c r="AH23" s="12" t="str">
        <f t="shared" si="14"/>
        <v/>
      </c>
      <c r="AI23" s="61" t="str">
        <f t="shared" si="5"/>
        <v/>
      </c>
      <c r="AJ23" s="55" t="str">
        <f>+IF(AND(A23&lt;&gt;"",R23&lt;&gt;""),$L$7&amp;A23&amp;$M$1&amp;A23&amp;$M$2&amp;A23&amp;$M$3&amp;A23&amp;$M$4,"")</f>
        <v/>
      </c>
      <c r="AK23" s="38" t="str">
        <f t="shared" si="10"/>
        <v/>
      </c>
      <c r="AL23" s="55" t="str">
        <f t="shared" si="13"/>
        <v/>
      </c>
    </row>
    <row r="24" spans="1:38">
      <c r="A24" s="216" t="str">
        <f>IF(fieldcreatorv2!BX28&lt;&gt;"",fieldcreatorv2!BX28,"")</f>
        <v/>
      </c>
      <c r="B24" s="255"/>
      <c r="C24" s="255"/>
      <c r="D24" s="165" t="str">
        <f>+IF(AND(B24="y",A24&lt;&gt;"",fieldcreatorv2!I28&lt;&gt;"si"),$A$1&amp;A24&amp;$A$2,"")</f>
        <v/>
      </c>
      <c r="E24" s="165" t="str">
        <f>+IF(AND(A24&lt;&gt;"",B24="y"),fieldcreatorv2!E28,"")</f>
        <v/>
      </c>
      <c r="F24" s="165" t="str">
        <f t="shared" si="0"/>
        <v/>
      </c>
      <c r="G24" s="55" t="str">
        <f>+IF(fieldcreatorv2!I28="si",$F$7&amp;fieldcreatorv2!BA27&amp;$F$1&amp;fieldcreatorv2!C27&amp;$G$1&amp;fieldcreatorv2!BA27&amp;$G$2&amp;A24&amp;$G$3,"")</f>
        <v/>
      </c>
      <c r="H24" s="145" t="str">
        <f>+IF(AND(A24&lt;&gt;"",B24="y",fieldcreatorv2!I28&lt;&gt;"si"),+$B$4&amp;A24&amp;$B$5,"")</f>
        <v/>
      </c>
      <c r="I24" s="252" t="str">
        <f>+IF(AND(fieldcreatorv2!E28="bigtext"),"&lt;br/&gt;"&amp;fieldcreatorv2!B28&amp;$C$2&amp;A24&amp;$C$3&amp;A24&amp;$C$4,"")</f>
        <v/>
      </c>
      <c r="J24" s="165" t="str">
        <f>+IF(fieldcreatorv2!E28="texto",fieldcreatorv2!B28&amp;": "&amp;$C$5&amp;A24&amp;$C$6&amp;A24&amp;$C$7,"")</f>
        <v/>
      </c>
      <c r="K24" s="165" t="str">
        <f>+IF(AND(fieldcreatorv2!E28="date",C24="yes"),fieldcreatorv2!B28&amp;": "&amp;$D$1&amp;A24&amp;$D$2&amp;A24&amp;$D$3,"")</f>
        <v/>
      </c>
      <c r="L24" s="165" t="str">
        <f>+IF(fieldcreatorv2!E28="radio",fieldcreatorv2!B28&amp;" &lt;br/&gt;"&amp;fieldcreatorv2!C28&amp;$D$4&amp;fieldcreatorv2!BA28&amp;$D$5&amp;fieldcreatorv2!C28&amp;$D$6&amp;fieldcreatorv2!C28&amp;$D$7&amp;fieldcreatorv2!BA28&amp;$F$1&amp;fieldcreatorv2!C28&amp;$F$4,"")</f>
        <v/>
      </c>
      <c r="M24" s="165" t="str">
        <f>+IF(AND(fieldcreatorv2!E28="selectlist",A24&lt;&gt;""),"&lt;br/&gt;"&amp;A24&amp;$E$4&amp;A24&amp;$D$5&amp;A24&amp;$E$5,"")</f>
        <v/>
      </c>
      <c r="N24" s="165" t="str">
        <f>+IF(AND(fieldcreatorv2!AU28&lt;&gt;fieldcreatorv2!AU29,fieldcreatorv2!E28="selectlist"),"&lt;/select&gt;","")</f>
        <v/>
      </c>
      <c r="O24" s="165" t="str">
        <f>+IF(fieldcreatorv2!E28="selectlist",M24&amp;$E$6&amp;fieldcreatorv2!C28&amp;$E$7&amp;fieldcreatorv2!AU28&amp;$F$1&amp;fieldcreatorv2!C28&amp;$F$2&amp;fieldcreatorv2!C28&amp;$F$3&amp;N24,"")</f>
        <v/>
      </c>
      <c r="P24" s="165" t="str">
        <f>+IF(fieldcreatorv2!E28="check",$E$1&amp;A24&amp;$D$5&amp;A24&amp;$E$2&amp;A24&amp;$E$3&amp;A24,"")</f>
        <v/>
      </c>
      <c r="Q24" s="165" t="str">
        <f>+IF(AND(R23&lt;&gt;"",fieldcreatorv2!I28="si"),fieldcreatorv2!CS28&amp;I24&amp;J24&amp;fieldcreatorv2!CT28,IF(AND(C24="yes",fieldcreatorv2!I28&lt;&gt;"si"),I24&amp;J24,""))</f>
        <v/>
      </c>
      <c r="R24" s="145" t="str">
        <f>IF(OR(C24=$P$1,AND(R23&lt;&gt;"",fieldcreatorv2!E28="radio",fieldcreatorv2!BA28=fieldcreatorv2!BA27),AND(R23&lt;&gt;"",fieldcreatorv2!E28="selectlist",fieldcreatorv2!AU28=fieldcreatorv2!AU27)),K24&amp;L24&amp;O24&amp;P24,"")&amp;Q24</f>
        <v/>
      </c>
      <c r="S24" s="55" t="str">
        <f>IF(AND(C24=$P$2,fieldcreatorv2!I28&lt;&gt;"si"),fieldcreatorv2!B28&amp;":  "&amp;$F$5&amp;A24&amp;$F$6,"")</f>
        <v/>
      </c>
      <c r="T24" s="253" t="str">
        <f>+IF(fieldcreatorv2!I28="si",$G$4&amp;A24&amp;$G$5,"")&amp;U24</f>
        <v/>
      </c>
      <c r="U24" s="61" t="str">
        <f>+IF(AND(fieldcreatorv2!I28="si",fieldcreatorv2!E27="radio"),+$G$6&amp;fieldcreatorv2!C27&amp;$G$7&amp;fieldcreatorv2!C27&amp;$H$1&amp;$H$2&amp;fieldcreatorv2!C27&amp;$H$3&amp;A24&amp;$H$4,"")</f>
        <v/>
      </c>
      <c r="V24" s="61" t="str">
        <f>+IF(R24&lt;&gt;"",fieldcreatorv2!CY28,"")</f>
        <v/>
      </c>
      <c r="W24" s="55" t="str">
        <f>+IF(OR(fieldcreatorv2!I29="si",AND(W25&lt;&gt;"",fieldcreatorv2!E28="radio")),1,"")</f>
        <v/>
      </c>
      <c r="X24" s="55" t="str">
        <f>+IF(AND(W24=1,W25=""),fieldcreatorv2!C28,IF(AND(W24=1,W25=1),X25,""))</f>
        <v/>
      </c>
      <c r="Y24" s="55" t="str">
        <f>+IF(AND(W23=1,fieldcreatorv2!I28="si"),A24,IF(W24=1,Y25,""))</f>
        <v/>
      </c>
      <c r="Z24" s="254" t="str">
        <f t="shared" si="8"/>
        <v/>
      </c>
      <c r="AA24" s="165" t="str">
        <f t="shared" si="11"/>
        <v/>
      </c>
      <c r="AB24" s="238" t="str">
        <f>+IF(V24&lt;&gt;"",$K$4&amp;fieldcreatorv2!C28&amp;$K$5&amp;fieldcreatorv2!BX28&amp;$K$6&amp;fieldcreatorv2!C29&amp;$K$7,"")</f>
        <v/>
      </c>
      <c r="AC24" s="238" t="str">
        <f>IF(AND(C24="yes",fieldcreatorv2!E28="check"),A24&amp;$L$1&amp;A24&amp;$L$2,"")</f>
        <v/>
      </c>
      <c r="AD24" s="238" t="str">
        <f>+IF(AND(R24&lt;&gt;"",OR(fieldcreatorv2!E28="date",fieldcreatorv2!E28="bigtext",fieldcreatorv2!E28="texto",AND(fieldcreatorv2!E28="selectlist",A24&lt;&gt;""))),"var "&amp;A24&amp;$L$3&amp;A24&amp;$L$4,"")</f>
        <v/>
      </c>
      <c r="AE24" s="61" t="str">
        <f t="shared" si="12"/>
        <v/>
      </c>
      <c r="AF24" s="12">
        <f t="shared" si="15"/>
        <v>0</v>
      </c>
      <c r="AG24" s="12">
        <f t="shared" si="9"/>
        <v>0</v>
      </c>
      <c r="AH24" s="12" t="str">
        <f t="shared" si="14"/>
        <v/>
      </c>
      <c r="AI24" s="61" t="str">
        <f t="shared" si="5"/>
        <v/>
      </c>
      <c r="AJ24" s="55" t="str">
        <f t="shared" ref="AJ24:AJ87" si="16">+IF(AND(A24&lt;&gt;"",R24&lt;&gt;""),$L$7&amp;A24&amp;$M$1&amp;A24&amp;$M$2&amp;A24&amp;$M$3&amp;A24&amp;$M$4,"")</f>
        <v/>
      </c>
      <c r="AK24" s="38" t="str">
        <f t="shared" si="10"/>
        <v/>
      </c>
      <c r="AL24" s="55" t="str">
        <f t="shared" si="13"/>
        <v/>
      </c>
    </row>
    <row r="25" spans="1:38">
      <c r="A25" s="216" t="str">
        <f>IF(fieldcreatorv2!BX29&lt;&gt;"",fieldcreatorv2!BX29,"")</f>
        <v/>
      </c>
      <c r="B25" s="255"/>
      <c r="C25" s="255"/>
      <c r="D25" s="165" t="str">
        <f>+IF(AND(B25="y",A25&lt;&gt;"",fieldcreatorv2!I29&lt;&gt;"si"),$A$1&amp;A25&amp;$A$2,"")</f>
        <v/>
      </c>
      <c r="E25" s="165" t="str">
        <f>+IF(AND(A25&lt;&gt;"",B25="y"),fieldcreatorv2!E29,"")</f>
        <v/>
      </c>
      <c r="F25" s="165" t="str">
        <f t="shared" si="0"/>
        <v/>
      </c>
      <c r="G25" s="55" t="str">
        <f>+IF(fieldcreatorv2!I29="si",$F$7&amp;fieldcreatorv2!BA28&amp;$F$1&amp;fieldcreatorv2!C28&amp;$G$1&amp;fieldcreatorv2!BA28&amp;$G$2&amp;A25&amp;$G$3,"")</f>
        <v/>
      </c>
      <c r="H25" s="145" t="str">
        <f>+IF(AND(A25&lt;&gt;"",B25="y",fieldcreatorv2!I29&lt;&gt;"si"),+$B$4&amp;A25&amp;$B$5,"")</f>
        <v/>
      </c>
      <c r="I25" s="252" t="str">
        <f>+IF(AND(fieldcreatorv2!E29="bigtext"),"&lt;br/&gt;"&amp;fieldcreatorv2!B29&amp;$C$2&amp;A25&amp;$C$3&amp;A25&amp;$C$4,"")</f>
        <v/>
      </c>
      <c r="J25" s="165" t="str">
        <f>+IF(fieldcreatorv2!E29="texto",fieldcreatorv2!B29&amp;": "&amp;$C$5&amp;A25&amp;$C$6&amp;A25&amp;$C$7,"")</f>
        <v/>
      </c>
      <c r="K25" s="165" t="str">
        <f>+IF(AND(fieldcreatorv2!E29="date",C25="yes"),fieldcreatorv2!B29&amp;": "&amp;$D$1&amp;A25&amp;$D$2&amp;A25&amp;$D$3,"")</f>
        <v/>
      </c>
      <c r="L25" s="165" t="str">
        <f>+IF(fieldcreatorv2!E29="radio",fieldcreatorv2!B29&amp;" &lt;br/&gt;"&amp;fieldcreatorv2!C29&amp;$D$4&amp;fieldcreatorv2!BA29&amp;$D$5&amp;fieldcreatorv2!C29&amp;$D$6&amp;fieldcreatorv2!C29&amp;$D$7&amp;fieldcreatorv2!BA29&amp;$F$1&amp;fieldcreatorv2!C29&amp;$F$4,"")</f>
        <v/>
      </c>
      <c r="M25" s="165" t="str">
        <f>+IF(AND(fieldcreatorv2!E29="selectlist",A25&lt;&gt;""),"&lt;br/&gt;"&amp;A25&amp;$E$4&amp;A25&amp;$D$5&amp;A25&amp;$E$5,"")</f>
        <v/>
      </c>
      <c r="N25" s="165" t="str">
        <f>+IF(AND(fieldcreatorv2!AU29&lt;&gt;fieldcreatorv2!AU30,fieldcreatorv2!E29="selectlist"),"&lt;/select&gt;","")</f>
        <v/>
      </c>
      <c r="O25" s="165" t="str">
        <f>+IF(fieldcreatorv2!E29="selectlist",M25&amp;$E$6&amp;fieldcreatorv2!C29&amp;$E$7&amp;fieldcreatorv2!AU29&amp;$F$1&amp;fieldcreatorv2!C29&amp;$F$2&amp;fieldcreatorv2!C29&amp;$F$3&amp;N25,"")</f>
        <v/>
      </c>
      <c r="P25" s="165" t="str">
        <f>+IF(fieldcreatorv2!E29="check",$E$1&amp;A25&amp;$D$5&amp;A25&amp;$E$2&amp;A25&amp;$E$3&amp;A25,"")</f>
        <v/>
      </c>
      <c r="Q25" s="165" t="str">
        <f>+IF(AND(R24&lt;&gt;"",fieldcreatorv2!I29="si"),fieldcreatorv2!CS29&amp;I25&amp;J25&amp;fieldcreatorv2!CT29,IF(AND(C25="yes",fieldcreatorv2!I29&lt;&gt;"si"),I25&amp;J25,""))</f>
        <v/>
      </c>
      <c r="R25" s="145" t="str">
        <f>IF(OR(C25=$P$1,AND(R24&lt;&gt;"",fieldcreatorv2!E29="radio",fieldcreatorv2!BA29=fieldcreatorv2!BA28),AND(R24&lt;&gt;"",fieldcreatorv2!E29="selectlist",fieldcreatorv2!AU29=fieldcreatorv2!AU28)),K25&amp;L25&amp;O25&amp;P25,"")&amp;Q25</f>
        <v/>
      </c>
      <c r="S25" s="55" t="str">
        <f>IF(AND(C25=$P$2,fieldcreatorv2!I29&lt;&gt;"si"),fieldcreatorv2!B29&amp;":  "&amp;$F$5&amp;A25&amp;$F$6,"")</f>
        <v/>
      </c>
      <c r="T25" s="253" t="str">
        <f>+IF(fieldcreatorv2!I29="si",$G$4&amp;A25&amp;$G$5,"")&amp;U25</f>
        <v/>
      </c>
      <c r="U25" s="61" t="str">
        <f>+IF(AND(fieldcreatorv2!I29="si",fieldcreatorv2!E28="radio"),+$G$6&amp;fieldcreatorv2!C28&amp;$G$7&amp;fieldcreatorv2!C28&amp;$H$1&amp;$H$2&amp;fieldcreatorv2!C28&amp;$H$3&amp;A25&amp;$H$4,"")</f>
        <v/>
      </c>
      <c r="V25" s="61" t="str">
        <f>+IF(R25&lt;&gt;"",fieldcreatorv2!CY29,"")</f>
        <v/>
      </c>
      <c r="W25" s="55" t="str">
        <f>+IF(OR(fieldcreatorv2!I30="si",AND(W26&lt;&gt;"",fieldcreatorv2!E29="radio")),1,"")</f>
        <v/>
      </c>
      <c r="X25" s="55" t="str">
        <f>+IF(AND(W25=1,W26=""),fieldcreatorv2!C29,IF(AND(W25=1,W26=1),X26,""))</f>
        <v/>
      </c>
      <c r="Y25" s="55" t="str">
        <f>+IF(AND(W24=1,fieldcreatorv2!I29="si"),A25,IF(W25=1,Y26,""))</f>
        <v/>
      </c>
      <c r="Z25" s="254" t="str">
        <f t="shared" si="8"/>
        <v/>
      </c>
      <c r="AA25" s="165" t="str">
        <f t="shared" si="11"/>
        <v/>
      </c>
      <c r="AB25" s="238" t="str">
        <f>+IF(V25&lt;&gt;"",$K$4&amp;fieldcreatorv2!C29&amp;$K$5&amp;fieldcreatorv2!BX29&amp;$K$6&amp;fieldcreatorv2!C30&amp;$K$7,"")</f>
        <v/>
      </c>
      <c r="AC25" s="238" t="str">
        <f>IF(AND(C25="yes",fieldcreatorv2!E29="check"),A25&amp;$L$1&amp;A25&amp;$L$2,"")</f>
        <v/>
      </c>
      <c r="AD25" s="238" t="str">
        <f>+IF(AND(R25&lt;&gt;"",OR(fieldcreatorv2!E29="date",fieldcreatorv2!E29="bigtext",fieldcreatorv2!E29="texto",AND(fieldcreatorv2!E29="selectlist",A25&lt;&gt;""))),"var "&amp;A25&amp;$L$3&amp;A25&amp;$L$4,"")</f>
        <v/>
      </c>
      <c r="AE25" s="61" t="str">
        <f t="shared" si="12"/>
        <v/>
      </c>
      <c r="AF25" s="12">
        <f t="shared" si="15"/>
        <v>0</v>
      </c>
      <c r="AG25" s="12">
        <f t="shared" si="9"/>
        <v>0</v>
      </c>
      <c r="AH25" s="12" t="str">
        <f t="shared" si="14"/>
        <v/>
      </c>
      <c r="AI25" s="61" t="str">
        <f t="shared" si="5"/>
        <v/>
      </c>
      <c r="AJ25" s="55" t="str">
        <f t="shared" si="16"/>
        <v/>
      </c>
      <c r="AK25" s="38" t="str">
        <f t="shared" si="10"/>
        <v/>
      </c>
      <c r="AL25" s="55" t="str">
        <f t="shared" si="13"/>
        <v/>
      </c>
    </row>
    <row r="26" spans="1:38">
      <c r="A26" s="216" t="str">
        <f>IF(fieldcreatorv2!BX30&lt;&gt;"",fieldcreatorv2!BX30,"")</f>
        <v/>
      </c>
      <c r="B26" s="255"/>
      <c r="C26" s="255"/>
      <c r="D26" s="165" t="str">
        <f>+IF(AND(B26="y",A26&lt;&gt;"",fieldcreatorv2!I30&lt;&gt;"si"),$A$1&amp;A26&amp;$A$2,"")</f>
        <v/>
      </c>
      <c r="E26" s="165" t="str">
        <f>+IF(AND(A26&lt;&gt;"",B26="y"),fieldcreatorv2!E30,"")</f>
        <v/>
      </c>
      <c r="F26" s="165" t="str">
        <f t="shared" si="0"/>
        <v/>
      </c>
      <c r="G26" s="55" t="str">
        <f>+IF(fieldcreatorv2!I30="si",$F$7&amp;fieldcreatorv2!BA29&amp;$F$1&amp;fieldcreatorv2!C29&amp;$G$1&amp;fieldcreatorv2!BA29&amp;$G$2&amp;A26&amp;$G$3,"")</f>
        <v/>
      </c>
      <c r="H26" s="145" t="str">
        <f>+IF(AND(A26&lt;&gt;"",B26="y",fieldcreatorv2!I30&lt;&gt;"si"),+$B$4&amp;A26&amp;$B$5,"")</f>
        <v/>
      </c>
      <c r="I26" s="252" t="str">
        <f>+IF(AND(fieldcreatorv2!E30="bigtext"),"&lt;br/&gt;"&amp;fieldcreatorv2!B30&amp;$C$2&amp;A26&amp;$C$3&amp;A26&amp;$C$4,"")</f>
        <v/>
      </c>
      <c r="J26" s="165" t="str">
        <f>+IF(fieldcreatorv2!E30="texto",fieldcreatorv2!B30&amp;": "&amp;$C$5&amp;A26&amp;$C$6&amp;A26&amp;$C$7,"")</f>
        <v/>
      </c>
      <c r="K26" s="165" t="str">
        <f>+IF(AND(fieldcreatorv2!E30="date",C26="yes"),fieldcreatorv2!B30&amp;": "&amp;$D$1&amp;A26&amp;$D$2&amp;A26&amp;$D$3,"")</f>
        <v/>
      </c>
      <c r="L26" s="165" t="str">
        <f>+IF(fieldcreatorv2!E30="radio",fieldcreatorv2!B30&amp;" &lt;br/&gt;"&amp;fieldcreatorv2!C30&amp;$D$4&amp;fieldcreatorv2!BA30&amp;$D$5&amp;fieldcreatorv2!C30&amp;$D$6&amp;fieldcreatorv2!C30&amp;$D$7&amp;fieldcreatorv2!BA30&amp;$F$1&amp;fieldcreatorv2!C30&amp;$F$4,"")</f>
        <v/>
      </c>
      <c r="M26" s="165" t="str">
        <f>+IF(AND(fieldcreatorv2!E30="selectlist",A26&lt;&gt;""),"&lt;br/&gt;"&amp;A26&amp;$E$4&amp;A26&amp;$D$5&amp;A26&amp;$E$5,"")</f>
        <v/>
      </c>
      <c r="N26" s="165" t="str">
        <f>+IF(AND(fieldcreatorv2!AU30&lt;&gt;fieldcreatorv2!AU31,fieldcreatorv2!E30="selectlist"),"&lt;/select&gt;","")</f>
        <v/>
      </c>
      <c r="O26" s="165" t="str">
        <f>+IF(fieldcreatorv2!E30="selectlist",M26&amp;$E$6&amp;fieldcreatorv2!C30&amp;$E$7&amp;fieldcreatorv2!AU30&amp;$F$1&amp;fieldcreatorv2!C30&amp;$F$2&amp;fieldcreatorv2!C30&amp;$F$3&amp;N26,"")</f>
        <v/>
      </c>
      <c r="P26" s="165" t="str">
        <f>+IF(fieldcreatorv2!E30="check",$E$1&amp;A26&amp;$D$5&amp;A26&amp;$E$2&amp;A26&amp;$E$3&amp;A26,"")</f>
        <v/>
      </c>
      <c r="Q26" s="165" t="str">
        <f>+IF(AND(R25&lt;&gt;"",fieldcreatorv2!I30="si"),fieldcreatorv2!CS30&amp;I26&amp;J26&amp;fieldcreatorv2!CT30,IF(AND(C26="yes",fieldcreatorv2!I30&lt;&gt;"si"),I26&amp;J26,""))</f>
        <v/>
      </c>
      <c r="R26" s="145" t="str">
        <f>IF(OR(C26=$P$1,AND(R25&lt;&gt;"",fieldcreatorv2!E30="radio",fieldcreatorv2!BA30=fieldcreatorv2!BA29),AND(R25&lt;&gt;"",fieldcreatorv2!E30="selectlist",fieldcreatorv2!AU30=fieldcreatorv2!AU29)),K26&amp;L26&amp;O26&amp;P26,"")&amp;Q26</f>
        <v/>
      </c>
      <c r="S26" s="55" t="str">
        <f>IF(AND(C26=$P$2,fieldcreatorv2!I30&lt;&gt;"si"),fieldcreatorv2!B30&amp;":  "&amp;$F$5&amp;A26&amp;$F$6,"")</f>
        <v/>
      </c>
      <c r="T26" s="253" t="str">
        <f>+IF(fieldcreatorv2!I30="si",$G$4&amp;A26&amp;$G$5,"")&amp;U26</f>
        <v/>
      </c>
      <c r="U26" s="61" t="str">
        <f>+IF(AND(fieldcreatorv2!I30="si",fieldcreatorv2!E29="radio"),+$G$6&amp;fieldcreatorv2!C29&amp;$G$7&amp;fieldcreatorv2!C29&amp;$H$1&amp;$H$2&amp;fieldcreatorv2!C29&amp;$H$3&amp;A26&amp;$H$4,"")</f>
        <v/>
      </c>
      <c r="V26" s="61" t="str">
        <f>+IF(R26&lt;&gt;"",fieldcreatorv2!CY30,"")</f>
        <v/>
      </c>
      <c r="W26" s="55" t="str">
        <f>+IF(OR(fieldcreatorv2!I31="si",AND(W27&lt;&gt;"",fieldcreatorv2!E30="radio")),1,"")</f>
        <v/>
      </c>
      <c r="X26" s="55" t="str">
        <f>+IF(AND(W26=1,W27=""),fieldcreatorv2!C30,IF(AND(W26=1,W27=1),X27,""))</f>
        <v/>
      </c>
      <c r="Y26" s="55" t="str">
        <f>+IF(AND(W25=1,fieldcreatorv2!I30="si"),A26,IF(W26=1,Y27,""))</f>
        <v/>
      </c>
      <c r="Z26" s="254" t="str">
        <f t="shared" si="8"/>
        <v/>
      </c>
      <c r="AA26" s="165" t="str">
        <f t="shared" si="11"/>
        <v/>
      </c>
      <c r="AB26" s="238" t="str">
        <f>+IF(V26&lt;&gt;"",$K$4&amp;fieldcreatorv2!C30&amp;$K$5&amp;fieldcreatorv2!BX30&amp;$K$6&amp;fieldcreatorv2!C31&amp;$K$7,"")</f>
        <v/>
      </c>
      <c r="AC26" s="238" t="str">
        <f>IF(AND(C26="yes",fieldcreatorv2!E30="check"),A26&amp;$L$1&amp;A26&amp;$L$2,"")</f>
        <v/>
      </c>
      <c r="AD26" s="238" t="str">
        <f>+IF(AND(R26&lt;&gt;"",OR(fieldcreatorv2!E30="date",fieldcreatorv2!E30="bigtext",fieldcreatorv2!E30="texto",AND(fieldcreatorv2!E30="selectlist",A26&lt;&gt;""))),"var "&amp;A26&amp;$L$3&amp;A26&amp;$L$4,"")</f>
        <v/>
      </c>
      <c r="AE26" s="61" t="str">
        <f t="shared" si="12"/>
        <v/>
      </c>
      <c r="AF26" s="12">
        <f t="shared" si="15"/>
        <v>0</v>
      </c>
      <c r="AG26" s="12">
        <f t="shared" si="9"/>
        <v>0</v>
      </c>
      <c r="AH26" s="12" t="str">
        <f t="shared" si="14"/>
        <v/>
      </c>
      <c r="AI26" s="61" t="str">
        <f t="shared" si="5"/>
        <v/>
      </c>
      <c r="AJ26" s="55" t="str">
        <f t="shared" si="16"/>
        <v/>
      </c>
      <c r="AK26" s="38" t="str">
        <f t="shared" si="10"/>
        <v/>
      </c>
      <c r="AL26" s="55" t="str">
        <f t="shared" si="13"/>
        <v/>
      </c>
    </row>
    <row r="27" spans="1:38">
      <c r="A27" s="216" t="str">
        <f>IF(fieldcreatorv2!BX31&lt;&gt;"",fieldcreatorv2!BX31,"")</f>
        <v/>
      </c>
      <c r="B27" s="255"/>
      <c r="C27" s="255"/>
      <c r="D27" s="165" t="str">
        <f>+IF(AND(B27="y",A27&lt;&gt;"",fieldcreatorv2!I31&lt;&gt;"si"),$A$1&amp;A27&amp;$A$2,"")</f>
        <v/>
      </c>
      <c r="E27" s="165" t="str">
        <f>+IF(AND(A27&lt;&gt;"",B27="y"),fieldcreatorv2!E31,"")</f>
        <v/>
      </c>
      <c r="F27" s="165" t="str">
        <f t="shared" si="0"/>
        <v/>
      </c>
      <c r="G27" s="55" t="str">
        <f>+IF(fieldcreatorv2!I31="si",$F$7&amp;fieldcreatorv2!BA30&amp;$F$1&amp;fieldcreatorv2!C30&amp;$G$1&amp;fieldcreatorv2!BA30&amp;$G$2&amp;A27&amp;$G$3,"")</f>
        <v/>
      </c>
      <c r="H27" s="145" t="str">
        <f>+IF(AND(A27&lt;&gt;"",B27="y",fieldcreatorv2!I31&lt;&gt;"si"),+$B$4&amp;A27&amp;$B$5,"")</f>
        <v/>
      </c>
      <c r="I27" s="252" t="str">
        <f>+IF(AND(fieldcreatorv2!E31="bigtext"),"&lt;br/&gt;"&amp;fieldcreatorv2!B31&amp;$C$2&amp;A27&amp;$C$3&amp;A27&amp;$C$4,"")</f>
        <v/>
      </c>
      <c r="J27" s="165" t="str">
        <f>+IF(fieldcreatorv2!E31="texto",fieldcreatorv2!B31&amp;": "&amp;$C$5&amp;A27&amp;$C$6&amp;A27&amp;$C$7,"")</f>
        <v/>
      </c>
      <c r="K27" s="165" t="str">
        <f>+IF(AND(fieldcreatorv2!E31="date",C27="yes"),fieldcreatorv2!B31&amp;": "&amp;$D$1&amp;A27&amp;$D$2&amp;A27&amp;$D$3,"")</f>
        <v/>
      </c>
      <c r="L27" s="165" t="str">
        <f>+IF(fieldcreatorv2!E31="radio",fieldcreatorv2!B31&amp;" &lt;br/&gt;"&amp;fieldcreatorv2!C31&amp;$D$4&amp;fieldcreatorv2!BA31&amp;$D$5&amp;fieldcreatorv2!C31&amp;$D$6&amp;fieldcreatorv2!C31&amp;$D$7&amp;fieldcreatorv2!BA31&amp;$F$1&amp;fieldcreatorv2!C31&amp;$F$4,"")</f>
        <v/>
      </c>
      <c r="M27" s="165" t="str">
        <f>+IF(AND(fieldcreatorv2!E31="selectlist",A27&lt;&gt;""),"&lt;br/&gt;"&amp;A27&amp;$E$4&amp;A27&amp;$D$5&amp;A27&amp;$E$5,"")</f>
        <v/>
      </c>
      <c r="N27" s="165" t="str">
        <f>+IF(AND(fieldcreatorv2!AU31&lt;&gt;fieldcreatorv2!AU32,fieldcreatorv2!E31="selectlist"),"&lt;/select&gt;","")</f>
        <v/>
      </c>
      <c r="O27" s="165" t="str">
        <f>+IF(fieldcreatorv2!E31="selectlist",M27&amp;$E$6&amp;fieldcreatorv2!C31&amp;$E$7&amp;fieldcreatorv2!AU31&amp;$F$1&amp;fieldcreatorv2!C31&amp;$F$2&amp;fieldcreatorv2!C31&amp;$F$3&amp;N27,"")</f>
        <v/>
      </c>
      <c r="P27" s="165" t="str">
        <f>+IF(fieldcreatorv2!E31="check",$E$1&amp;A27&amp;$D$5&amp;A27&amp;$E$2&amp;A27&amp;$E$3&amp;A27,"")</f>
        <v/>
      </c>
      <c r="Q27" s="165" t="str">
        <f>+IF(AND(R26&lt;&gt;"",fieldcreatorv2!I31="si"),fieldcreatorv2!CS31&amp;I27&amp;J27&amp;fieldcreatorv2!CT31,IF(AND(C27="yes",fieldcreatorv2!I31&lt;&gt;"si"),I27&amp;J27,""))</f>
        <v/>
      </c>
      <c r="R27" s="145" t="str">
        <f>IF(OR(C27=$P$1,AND(R26&lt;&gt;"",fieldcreatorv2!E31="radio",fieldcreatorv2!BA31=fieldcreatorv2!BA30),AND(R26&lt;&gt;"",fieldcreatorv2!E31="selectlist",fieldcreatorv2!AU31=fieldcreatorv2!AU30)),K27&amp;L27&amp;O27&amp;P27,"")&amp;Q27</f>
        <v/>
      </c>
      <c r="S27" s="55" t="str">
        <f>IF(AND(C27=$P$2,fieldcreatorv2!I31&lt;&gt;"si"),fieldcreatorv2!B31&amp;":  "&amp;$F$5&amp;A27&amp;$F$6,"")</f>
        <v/>
      </c>
      <c r="T27" s="253" t="str">
        <f>+IF(fieldcreatorv2!I31="si",$G$4&amp;A27&amp;$G$5,"")&amp;U27</f>
        <v/>
      </c>
      <c r="U27" s="61" t="str">
        <f>+IF(AND(fieldcreatorv2!I31="si",fieldcreatorv2!E30="radio"),+$G$6&amp;fieldcreatorv2!C30&amp;$G$7&amp;fieldcreatorv2!C30&amp;$H$1&amp;$H$2&amp;fieldcreatorv2!C30&amp;$H$3&amp;A27&amp;$H$4,"")</f>
        <v/>
      </c>
      <c r="V27" s="61" t="str">
        <f>+IF(R27&lt;&gt;"",fieldcreatorv2!CY31,"")</f>
        <v/>
      </c>
      <c r="W27" s="55" t="str">
        <f>+IF(OR(fieldcreatorv2!I32="si",AND(W28&lt;&gt;"",fieldcreatorv2!E31="radio")),1,"")</f>
        <v/>
      </c>
      <c r="X27" s="55" t="str">
        <f>+IF(AND(W27=1,W28=""),fieldcreatorv2!C31,IF(AND(W27=1,W28=1),X28,""))</f>
        <v/>
      </c>
      <c r="Y27" s="55" t="str">
        <f>+IF(AND(W26=1,fieldcreatorv2!I31="si"),A27,IF(W27=1,Y28,""))</f>
        <v/>
      </c>
      <c r="Z27" s="254" t="str">
        <f t="shared" si="8"/>
        <v/>
      </c>
      <c r="AA27" s="165" t="str">
        <f t="shared" si="11"/>
        <v/>
      </c>
      <c r="AB27" s="238" t="str">
        <f>+IF(V27&lt;&gt;"",$K$4&amp;fieldcreatorv2!C31&amp;$K$5&amp;fieldcreatorv2!BX31&amp;$K$6&amp;fieldcreatorv2!C32&amp;$K$7,"")</f>
        <v/>
      </c>
      <c r="AC27" s="238" t="str">
        <f>IF(AND(C27="yes",fieldcreatorv2!E31="check"),A27&amp;$L$1&amp;A27&amp;$L$2,"")</f>
        <v/>
      </c>
      <c r="AD27" s="238" t="str">
        <f>+IF(AND(R27&lt;&gt;"",OR(fieldcreatorv2!E31="date",fieldcreatorv2!E31="bigtext",fieldcreatorv2!E31="texto",AND(fieldcreatorv2!E31="selectlist",A27&lt;&gt;""))),"var "&amp;A27&amp;$L$3&amp;A27&amp;$L$4,"")</f>
        <v/>
      </c>
      <c r="AE27" s="61" t="str">
        <f t="shared" si="12"/>
        <v/>
      </c>
      <c r="AF27" s="12">
        <f t="shared" si="15"/>
        <v>0</v>
      </c>
      <c r="AG27" s="12">
        <f t="shared" si="9"/>
        <v>0</v>
      </c>
      <c r="AH27" s="12" t="str">
        <f t="shared" si="14"/>
        <v/>
      </c>
      <c r="AI27" s="61" t="str">
        <f t="shared" si="5"/>
        <v/>
      </c>
      <c r="AJ27" s="55" t="str">
        <f t="shared" si="16"/>
        <v/>
      </c>
      <c r="AK27" s="38" t="str">
        <f t="shared" si="10"/>
        <v/>
      </c>
      <c r="AL27" s="55" t="str">
        <f t="shared" si="13"/>
        <v/>
      </c>
    </row>
    <row r="28" spans="1:38">
      <c r="A28" s="216" t="str">
        <f>IF(fieldcreatorv2!BX32&lt;&gt;"",fieldcreatorv2!BX32,"")</f>
        <v/>
      </c>
      <c r="B28" s="255"/>
      <c r="C28" s="255"/>
      <c r="D28" s="165" t="str">
        <f>+IF(AND(B28="y",A28&lt;&gt;"",fieldcreatorv2!I32&lt;&gt;"si"),$A$1&amp;A28&amp;$A$2,"")</f>
        <v/>
      </c>
      <c r="E28" s="165" t="str">
        <f>+IF(AND(A28&lt;&gt;"",B28="y"),fieldcreatorv2!E32,"")</f>
        <v/>
      </c>
      <c r="F28" s="165" t="str">
        <f t="shared" si="0"/>
        <v/>
      </c>
      <c r="G28" s="55" t="str">
        <f>+IF(fieldcreatorv2!I32="si",$F$7&amp;fieldcreatorv2!BA31&amp;$F$1&amp;fieldcreatorv2!C31&amp;$G$1&amp;fieldcreatorv2!BA31&amp;$G$2&amp;A28&amp;$G$3,"")</f>
        <v/>
      </c>
      <c r="H28" s="145" t="str">
        <f>+IF(AND(A28&lt;&gt;"",B28="y",fieldcreatorv2!I32&lt;&gt;"si"),+$B$4&amp;A28&amp;$B$5,"")</f>
        <v/>
      </c>
      <c r="I28" s="252" t="str">
        <f>+IF(AND(fieldcreatorv2!E32="bigtext"),"&lt;br/&gt;"&amp;fieldcreatorv2!B32&amp;$C$2&amp;A28&amp;$C$3&amp;A28&amp;$C$4,"")</f>
        <v/>
      </c>
      <c r="J28" s="165" t="str">
        <f>+IF(fieldcreatorv2!E32="texto",fieldcreatorv2!B32&amp;": "&amp;$C$5&amp;A28&amp;$C$6&amp;A28&amp;$C$7,"")</f>
        <v/>
      </c>
      <c r="K28" s="165" t="str">
        <f>+IF(AND(fieldcreatorv2!E32="date",C28="yes"),fieldcreatorv2!B32&amp;": "&amp;$D$1&amp;A28&amp;$D$2&amp;A28&amp;$D$3,"")</f>
        <v/>
      </c>
      <c r="L28" s="165" t="str">
        <f>+IF(fieldcreatorv2!E32="radio",fieldcreatorv2!B32&amp;" &lt;br/&gt;"&amp;fieldcreatorv2!C32&amp;$D$4&amp;fieldcreatorv2!BA32&amp;$D$5&amp;fieldcreatorv2!C32&amp;$D$6&amp;fieldcreatorv2!C32&amp;$D$7&amp;fieldcreatorv2!BA32&amp;$F$1&amp;fieldcreatorv2!C32&amp;$F$4,"")</f>
        <v/>
      </c>
      <c r="M28" s="165" t="str">
        <f>+IF(AND(fieldcreatorv2!E32="selectlist",A28&lt;&gt;""),"&lt;br/&gt;"&amp;A28&amp;$E$4&amp;A28&amp;$D$5&amp;A28&amp;$E$5,"")</f>
        <v/>
      </c>
      <c r="N28" s="165" t="str">
        <f>+IF(AND(fieldcreatorv2!AU32&lt;&gt;fieldcreatorv2!AU33,fieldcreatorv2!E32="selectlist"),"&lt;/select&gt;","")</f>
        <v/>
      </c>
      <c r="O28" s="165" t="str">
        <f>+IF(fieldcreatorv2!E32="selectlist",M28&amp;$E$6&amp;fieldcreatorv2!C32&amp;$E$7&amp;fieldcreatorv2!AU32&amp;$F$1&amp;fieldcreatorv2!C32&amp;$F$2&amp;fieldcreatorv2!C32&amp;$F$3&amp;N28,"")</f>
        <v/>
      </c>
      <c r="P28" s="165" t="str">
        <f>+IF(fieldcreatorv2!E32="check",$E$1&amp;A28&amp;$D$5&amp;A28&amp;$E$2&amp;A28&amp;$E$3&amp;A28,"")</f>
        <v/>
      </c>
      <c r="Q28" s="165" t="str">
        <f>+IF(AND(R27&lt;&gt;"",fieldcreatorv2!I32="si"),fieldcreatorv2!CS32&amp;I28&amp;J28&amp;fieldcreatorv2!CT32,IF(AND(C28="yes",fieldcreatorv2!I32&lt;&gt;"si"),I28&amp;J28,""))</f>
        <v/>
      </c>
      <c r="R28" s="145" t="str">
        <f>IF(OR(C28=$P$1,AND(R27&lt;&gt;"",fieldcreatorv2!E32="radio",fieldcreatorv2!BA32=fieldcreatorv2!BA31),AND(R27&lt;&gt;"",fieldcreatorv2!E32="selectlist",fieldcreatorv2!AU32=fieldcreatorv2!AU31)),K28&amp;L28&amp;O28&amp;P28,"")&amp;Q28</f>
        <v/>
      </c>
      <c r="S28" s="55" t="str">
        <f>IF(AND(C28=$P$2,fieldcreatorv2!I32&lt;&gt;"si"),fieldcreatorv2!B32&amp;":  "&amp;$F$5&amp;A28&amp;$F$6,"")</f>
        <v/>
      </c>
      <c r="T28" s="253" t="str">
        <f>+IF(fieldcreatorv2!I32="si",$G$4&amp;A28&amp;$G$5,"")&amp;U28</f>
        <v/>
      </c>
      <c r="U28" s="61" t="str">
        <f>+IF(AND(fieldcreatorv2!I32="si",fieldcreatorv2!E31="radio"),+$G$6&amp;fieldcreatorv2!C31&amp;$G$7&amp;fieldcreatorv2!C31&amp;$H$1&amp;$H$2&amp;fieldcreatorv2!C31&amp;$H$3&amp;A28&amp;$H$4,"")</f>
        <v/>
      </c>
      <c r="V28" s="61" t="str">
        <f>+IF(R28&lt;&gt;"",fieldcreatorv2!CY32,"")</f>
        <v/>
      </c>
      <c r="W28" s="55" t="str">
        <f>+IF(OR(fieldcreatorv2!I33="si",AND(W29&lt;&gt;"",fieldcreatorv2!E32="radio")),1,"")</f>
        <v/>
      </c>
      <c r="X28" s="55" t="str">
        <f>+IF(AND(W28=1,W29=""),fieldcreatorv2!C32,IF(AND(W28=1,W29=1),X29,""))</f>
        <v/>
      </c>
      <c r="Y28" s="55" t="str">
        <f>+IF(AND(W27=1,fieldcreatorv2!I32="si"),A28,IF(W28=1,Y29,""))</f>
        <v/>
      </c>
      <c r="Z28" s="254" t="str">
        <f t="shared" si="8"/>
        <v/>
      </c>
      <c r="AA28" s="165" t="str">
        <f t="shared" si="11"/>
        <v/>
      </c>
      <c r="AB28" s="238" t="str">
        <f>+IF(V28&lt;&gt;"",$K$4&amp;fieldcreatorv2!C32&amp;$K$5&amp;fieldcreatorv2!BX32&amp;$K$6&amp;fieldcreatorv2!C33&amp;$K$7,"")</f>
        <v/>
      </c>
      <c r="AC28" s="238" t="str">
        <f>IF(AND(C28="yes",fieldcreatorv2!E32="check"),A28&amp;$L$1&amp;A28&amp;$L$2,"")</f>
        <v/>
      </c>
      <c r="AD28" s="238" t="str">
        <f>+IF(AND(R28&lt;&gt;"",OR(fieldcreatorv2!E32="date",fieldcreatorv2!E32="bigtext",fieldcreatorv2!E32="texto",AND(fieldcreatorv2!E32="selectlist",A28&lt;&gt;""))),"var "&amp;A28&amp;$L$3&amp;A28&amp;$L$4,"")</f>
        <v/>
      </c>
      <c r="AE28" s="61" t="str">
        <f t="shared" si="12"/>
        <v/>
      </c>
      <c r="AF28" s="12">
        <f t="shared" si="15"/>
        <v>0</v>
      </c>
      <c r="AG28" s="12">
        <f t="shared" si="9"/>
        <v>0</v>
      </c>
      <c r="AH28" s="12" t="str">
        <f t="shared" si="14"/>
        <v/>
      </c>
      <c r="AI28" s="61" t="str">
        <f t="shared" si="5"/>
        <v/>
      </c>
      <c r="AJ28" s="55" t="str">
        <f t="shared" si="16"/>
        <v/>
      </c>
      <c r="AK28" s="38" t="str">
        <f t="shared" si="10"/>
        <v/>
      </c>
      <c r="AL28" s="55" t="str">
        <f t="shared" si="13"/>
        <v/>
      </c>
    </row>
    <row r="29" spans="1:38">
      <c r="A29" s="216" t="str">
        <f>IF(fieldcreatorv2!BX33&lt;&gt;"",fieldcreatorv2!BX33,"")</f>
        <v/>
      </c>
      <c r="B29" s="255"/>
      <c r="C29" s="255"/>
      <c r="D29" s="165" t="str">
        <f>+IF(AND(B29="y",A29&lt;&gt;"",fieldcreatorv2!I33&lt;&gt;"si"),$A$1&amp;A29&amp;$A$2,"")</f>
        <v/>
      </c>
      <c r="E29" s="165" t="str">
        <f>+IF(AND(A29&lt;&gt;"",B29="y"),fieldcreatorv2!E33,"")</f>
        <v/>
      </c>
      <c r="F29" s="165" t="str">
        <f t="shared" si="0"/>
        <v/>
      </c>
      <c r="G29" s="55" t="str">
        <f>+IF(fieldcreatorv2!I33="si",$F$7&amp;fieldcreatorv2!BA32&amp;$F$1&amp;fieldcreatorv2!C32&amp;$G$1&amp;fieldcreatorv2!BA32&amp;$G$2&amp;A29&amp;$G$3,"")</f>
        <v/>
      </c>
      <c r="H29" s="145" t="str">
        <f>+IF(AND(A29&lt;&gt;"",B29="y",fieldcreatorv2!I33&lt;&gt;"si"),+$B$4&amp;A29&amp;$B$5,"")</f>
        <v/>
      </c>
      <c r="I29" s="252" t="str">
        <f>+IF(AND(fieldcreatorv2!E33="bigtext"),"&lt;br/&gt;"&amp;fieldcreatorv2!B33&amp;$C$2&amp;A29&amp;$C$3&amp;A29&amp;$C$4,"")</f>
        <v/>
      </c>
      <c r="J29" s="165" t="str">
        <f>+IF(fieldcreatorv2!E33="texto",fieldcreatorv2!B33&amp;": "&amp;$C$5&amp;A29&amp;$C$6&amp;A29&amp;$C$7,"")</f>
        <v/>
      </c>
      <c r="K29" s="165" t="str">
        <f>+IF(AND(fieldcreatorv2!E33="date",C29="yes"),fieldcreatorv2!B33&amp;": "&amp;$D$1&amp;A29&amp;$D$2&amp;A29&amp;$D$3,"")</f>
        <v/>
      </c>
      <c r="L29" s="165" t="str">
        <f>+IF(fieldcreatorv2!E33="radio",fieldcreatorv2!B33&amp;" &lt;br/&gt;"&amp;fieldcreatorv2!C33&amp;$D$4&amp;fieldcreatorv2!BA33&amp;$D$5&amp;fieldcreatorv2!C33&amp;$D$6&amp;fieldcreatorv2!C33&amp;$D$7&amp;fieldcreatorv2!BA33&amp;$F$1&amp;fieldcreatorv2!C33&amp;$F$4,"")</f>
        <v/>
      </c>
      <c r="M29" s="165" t="str">
        <f>+IF(AND(fieldcreatorv2!E33="selectlist",A29&lt;&gt;""),"&lt;br/&gt;"&amp;A29&amp;$E$4&amp;A29&amp;$D$5&amp;A29&amp;$E$5,"")</f>
        <v/>
      </c>
      <c r="N29" s="165" t="str">
        <f>+IF(AND(fieldcreatorv2!AU33&lt;&gt;fieldcreatorv2!AU34,fieldcreatorv2!E33="selectlist"),"&lt;/select&gt;","")</f>
        <v/>
      </c>
      <c r="O29" s="165" t="str">
        <f>+IF(fieldcreatorv2!E33="selectlist",M29&amp;$E$6&amp;fieldcreatorv2!C33&amp;$E$7&amp;fieldcreatorv2!AU33&amp;$F$1&amp;fieldcreatorv2!C33&amp;$F$2&amp;fieldcreatorv2!C33&amp;$F$3&amp;N29,"")</f>
        <v/>
      </c>
      <c r="P29" s="165" t="str">
        <f>+IF(fieldcreatorv2!E33="check",$E$1&amp;A29&amp;$D$5&amp;A29&amp;$E$2&amp;A29&amp;$E$3&amp;A29,"")</f>
        <v/>
      </c>
      <c r="Q29" s="165" t="str">
        <f>+IF(AND(R28&lt;&gt;"",fieldcreatorv2!I33="si"),fieldcreatorv2!CS33&amp;I29&amp;J29&amp;fieldcreatorv2!CT33,IF(AND(C29="yes",fieldcreatorv2!I33&lt;&gt;"si"),I29&amp;J29,""))</f>
        <v/>
      </c>
      <c r="R29" s="145" t="str">
        <f>IF(OR(C29=$P$1,AND(R28&lt;&gt;"",fieldcreatorv2!E33="radio",fieldcreatorv2!BA33=fieldcreatorv2!BA32),AND(R28&lt;&gt;"",fieldcreatorv2!E33="selectlist",fieldcreatorv2!AU33=fieldcreatorv2!AU32)),K29&amp;L29&amp;O29&amp;P29,"")&amp;Q29</f>
        <v/>
      </c>
      <c r="S29" s="55" t="str">
        <f>IF(AND(C29=$P$2,fieldcreatorv2!I33&lt;&gt;"si"),fieldcreatorv2!B33&amp;":  "&amp;$F$5&amp;A29&amp;$F$6,"")</f>
        <v/>
      </c>
      <c r="T29" s="253" t="str">
        <f>+IF(fieldcreatorv2!I33="si",$G$4&amp;A29&amp;$G$5,"")&amp;U29</f>
        <v/>
      </c>
      <c r="U29" s="61" t="str">
        <f>+IF(AND(fieldcreatorv2!I33="si",fieldcreatorv2!E32="radio"),+$G$6&amp;fieldcreatorv2!C32&amp;$G$7&amp;fieldcreatorv2!C32&amp;$H$1&amp;$H$2&amp;fieldcreatorv2!C32&amp;$H$3&amp;A29&amp;$H$4,"")</f>
        <v/>
      </c>
      <c r="V29" s="61" t="str">
        <f>+IF(R29&lt;&gt;"",fieldcreatorv2!CY33,"")</f>
        <v/>
      </c>
      <c r="W29" s="55" t="str">
        <f>+IF(OR(fieldcreatorv2!I34="si",AND(W30&lt;&gt;"",fieldcreatorv2!E33="radio")),1,"")</f>
        <v/>
      </c>
      <c r="X29" s="55" t="str">
        <f>+IF(AND(W29=1,W30=""),fieldcreatorv2!C33,IF(AND(W29=1,W30=1),X30,""))</f>
        <v/>
      </c>
      <c r="Y29" s="55" t="str">
        <f>+IF(AND(W28=1,fieldcreatorv2!I33="si"),A29,IF(W29=1,Y30,""))</f>
        <v/>
      </c>
      <c r="Z29" s="254" t="str">
        <f t="shared" si="8"/>
        <v/>
      </c>
      <c r="AA29" s="165" t="str">
        <f t="shared" si="11"/>
        <v/>
      </c>
      <c r="AB29" s="238" t="str">
        <f>+IF(V29&lt;&gt;"",$K$4&amp;fieldcreatorv2!C33&amp;$K$5&amp;fieldcreatorv2!BX33&amp;$K$6&amp;fieldcreatorv2!C34&amp;$K$7,"")</f>
        <v/>
      </c>
      <c r="AC29" s="238" t="str">
        <f>IF(AND(C29="yes",fieldcreatorv2!E33="check"),A29&amp;$L$1&amp;A29&amp;$L$2,"")</f>
        <v/>
      </c>
      <c r="AD29" s="238" t="str">
        <f>+IF(AND(R29&lt;&gt;"",OR(fieldcreatorv2!E33="date",fieldcreatorv2!E33="bigtext",fieldcreatorv2!E33="texto",AND(fieldcreatorv2!E33="selectlist",A29&lt;&gt;""))),"var "&amp;A29&amp;$L$3&amp;A29&amp;$L$4,"")</f>
        <v/>
      </c>
      <c r="AE29" s="61" t="str">
        <f t="shared" si="12"/>
        <v/>
      </c>
      <c r="AF29" s="12">
        <f t="shared" si="15"/>
        <v>0</v>
      </c>
      <c r="AG29" s="12">
        <f t="shared" si="9"/>
        <v>0</v>
      </c>
      <c r="AH29" s="12" t="str">
        <f t="shared" si="14"/>
        <v/>
      </c>
      <c r="AI29" s="61" t="str">
        <f t="shared" si="5"/>
        <v/>
      </c>
      <c r="AJ29" s="55" t="str">
        <f t="shared" si="16"/>
        <v/>
      </c>
      <c r="AK29" s="38" t="str">
        <f t="shared" si="10"/>
        <v/>
      </c>
      <c r="AL29" s="55" t="str">
        <f t="shared" si="13"/>
        <v/>
      </c>
    </row>
    <row r="30" spans="1:38">
      <c r="A30" s="216" t="str">
        <f>IF(fieldcreatorv2!BX34&lt;&gt;"",fieldcreatorv2!BX34,"")</f>
        <v/>
      </c>
      <c r="B30" s="255"/>
      <c r="C30" s="255"/>
      <c r="D30" s="165" t="str">
        <f>+IF(AND(B30="y",A30&lt;&gt;"",fieldcreatorv2!I34&lt;&gt;"si"),$A$1&amp;A30&amp;$A$2,"")</f>
        <v/>
      </c>
      <c r="E30" s="165" t="str">
        <f>+IF(AND(A30&lt;&gt;"",B30="y"),fieldcreatorv2!E34,"")</f>
        <v/>
      </c>
      <c r="F30" s="165" t="str">
        <f t="shared" si="0"/>
        <v/>
      </c>
      <c r="G30" s="55" t="str">
        <f>+IF(fieldcreatorv2!I34="si",$F$7&amp;fieldcreatorv2!BA33&amp;$F$1&amp;fieldcreatorv2!C33&amp;$G$1&amp;fieldcreatorv2!BA33&amp;$G$2&amp;A30&amp;$G$3,"")</f>
        <v/>
      </c>
      <c r="H30" s="145" t="str">
        <f>+IF(AND(A30&lt;&gt;"",B30="y",fieldcreatorv2!I34&lt;&gt;"si"),+$B$4&amp;A30&amp;$B$5,"")</f>
        <v/>
      </c>
      <c r="I30" s="252" t="str">
        <f>+IF(AND(fieldcreatorv2!E34="bigtext"),"&lt;br/&gt;"&amp;fieldcreatorv2!B34&amp;$C$2&amp;A30&amp;$C$3&amp;A30&amp;$C$4,"")</f>
        <v/>
      </c>
      <c r="J30" s="165" t="str">
        <f>+IF(fieldcreatorv2!E34="texto",fieldcreatorv2!B34&amp;": "&amp;$C$5&amp;A30&amp;$C$6&amp;A30&amp;$C$7,"")</f>
        <v/>
      </c>
      <c r="K30" s="165" t="str">
        <f>+IF(AND(fieldcreatorv2!E34="date",C30="yes"),fieldcreatorv2!B34&amp;": "&amp;$D$1&amp;A30&amp;$D$2&amp;A30&amp;$D$3,"")</f>
        <v/>
      </c>
      <c r="L30" s="165" t="str">
        <f>+IF(fieldcreatorv2!E34="radio",fieldcreatorv2!B34&amp;" &lt;br/&gt;"&amp;fieldcreatorv2!C34&amp;$D$4&amp;fieldcreatorv2!BA34&amp;$D$5&amp;fieldcreatorv2!C34&amp;$D$6&amp;fieldcreatorv2!C34&amp;$D$7&amp;fieldcreatorv2!BA34&amp;$F$1&amp;fieldcreatorv2!C34&amp;$F$4,"")</f>
        <v/>
      </c>
      <c r="M30" s="165" t="str">
        <f>+IF(AND(fieldcreatorv2!E34="selectlist",A30&lt;&gt;""),"&lt;br/&gt;"&amp;A30&amp;$E$4&amp;A30&amp;$D$5&amp;A30&amp;$E$5,"")</f>
        <v/>
      </c>
      <c r="N30" s="165" t="str">
        <f>+IF(AND(fieldcreatorv2!AU34&lt;&gt;fieldcreatorv2!AU35,fieldcreatorv2!E34="selectlist"),"&lt;/select&gt;","")</f>
        <v/>
      </c>
      <c r="O30" s="165" t="str">
        <f>+IF(fieldcreatorv2!E34="selectlist",M30&amp;$E$6&amp;fieldcreatorv2!C34&amp;$E$7&amp;fieldcreatorv2!AU34&amp;$F$1&amp;fieldcreatorv2!C34&amp;$F$2&amp;fieldcreatorv2!C34&amp;$F$3&amp;N30,"")</f>
        <v/>
      </c>
      <c r="P30" s="165" t="str">
        <f>+IF(fieldcreatorv2!E34="check",$E$1&amp;A30&amp;$D$5&amp;A30&amp;$E$2&amp;A30&amp;$E$3&amp;A30,"")</f>
        <v/>
      </c>
      <c r="Q30" s="165" t="str">
        <f>+IF(AND(R29&lt;&gt;"",fieldcreatorv2!I34="si"),fieldcreatorv2!CS34&amp;I30&amp;J30&amp;fieldcreatorv2!CT34,IF(AND(C30="yes",fieldcreatorv2!I34&lt;&gt;"si"),I30&amp;J30,""))</f>
        <v/>
      </c>
      <c r="R30" s="145" t="str">
        <f>IF(OR(C30=$P$1,AND(R29&lt;&gt;"",fieldcreatorv2!E34="radio",fieldcreatorv2!BA34=fieldcreatorv2!BA33),AND(R29&lt;&gt;"",fieldcreatorv2!E34="selectlist",fieldcreatorv2!AU34=fieldcreatorv2!AU33)),K30&amp;L30&amp;O30&amp;P30,"")&amp;Q30</f>
        <v/>
      </c>
      <c r="S30" s="55" t="str">
        <f>IF(AND(C30=$P$2,fieldcreatorv2!I34&lt;&gt;"si"),fieldcreatorv2!B34&amp;":  "&amp;$F$5&amp;A30&amp;$F$6,"")</f>
        <v/>
      </c>
      <c r="T30" s="253" t="str">
        <f>+IF(fieldcreatorv2!I34="si",$G$4&amp;A30&amp;$G$5,"")&amp;U30</f>
        <v/>
      </c>
      <c r="U30" s="61" t="str">
        <f>+IF(AND(fieldcreatorv2!I34="si",fieldcreatorv2!E33="radio"),+$G$6&amp;fieldcreatorv2!C33&amp;$G$7&amp;fieldcreatorv2!C33&amp;$H$1&amp;$H$2&amp;fieldcreatorv2!C33&amp;$H$3&amp;A30&amp;$H$4,"")</f>
        <v/>
      </c>
      <c r="V30" s="61" t="str">
        <f>+IF(R30&lt;&gt;"",fieldcreatorv2!CY34,"")</f>
        <v/>
      </c>
      <c r="W30" s="55" t="str">
        <f>+IF(OR(fieldcreatorv2!I35="si",AND(W31&lt;&gt;"",fieldcreatorv2!E34="radio")),1,"")</f>
        <v/>
      </c>
      <c r="X30" s="55" t="str">
        <f>+IF(AND(W30=1,W31=""),fieldcreatorv2!C34,IF(AND(W30=1,W31=1),X31,""))</f>
        <v/>
      </c>
      <c r="Y30" s="55" t="str">
        <f>+IF(AND(W29=1,fieldcreatorv2!I34="si"),A30,IF(W30=1,Y31,""))</f>
        <v/>
      </c>
      <c r="Z30" s="254" t="str">
        <f t="shared" si="8"/>
        <v/>
      </c>
      <c r="AA30" s="165" t="str">
        <f t="shared" si="11"/>
        <v/>
      </c>
      <c r="AB30" s="238" t="str">
        <f>+IF(V30&lt;&gt;"",$K$4&amp;fieldcreatorv2!C34&amp;$K$5&amp;fieldcreatorv2!BX34&amp;$K$6&amp;fieldcreatorv2!C35&amp;$K$7,"")</f>
        <v/>
      </c>
      <c r="AC30" s="238" t="str">
        <f>IF(AND(C30="yes",fieldcreatorv2!E34="check"),A30&amp;$L$1&amp;A30&amp;$L$2,"")</f>
        <v/>
      </c>
      <c r="AD30" s="238" t="str">
        <f>+IF(AND(R30&lt;&gt;"",OR(fieldcreatorv2!E34="date",fieldcreatorv2!E34="bigtext",fieldcreatorv2!E34="texto",AND(fieldcreatorv2!E34="selectlist",A30&lt;&gt;""))),"var "&amp;A30&amp;$L$3&amp;A30&amp;$L$4,"")</f>
        <v/>
      </c>
      <c r="AE30" s="61" t="str">
        <f t="shared" si="12"/>
        <v/>
      </c>
      <c r="AF30" s="12">
        <f t="shared" si="15"/>
        <v>0</v>
      </c>
      <c r="AG30" s="12">
        <f t="shared" si="9"/>
        <v>0</v>
      </c>
      <c r="AH30" s="12" t="str">
        <f t="shared" si="14"/>
        <v/>
      </c>
      <c r="AI30" s="61" t="str">
        <f t="shared" si="5"/>
        <v/>
      </c>
      <c r="AJ30" s="55" t="str">
        <f t="shared" si="16"/>
        <v/>
      </c>
      <c r="AK30" s="38" t="str">
        <f t="shared" si="10"/>
        <v/>
      </c>
      <c r="AL30" s="55" t="str">
        <f t="shared" si="13"/>
        <v/>
      </c>
    </row>
    <row r="31" spans="1:38">
      <c r="A31" s="216" t="str">
        <f>IF(fieldcreatorv2!BX35&lt;&gt;"",fieldcreatorv2!BX35,"")</f>
        <v/>
      </c>
      <c r="B31" s="255"/>
      <c r="C31" s="255"/>
      <c r="D31" s="165" t="str">
        <f>+IF(AND(B31="y",A31&lt;&gt;"",fieldcreatorv2!I35&lt;&gt;"si"),$A$1&amp;A31&amp;$A$2,"")</f>
        <v/>
      </c>
      <c r="E31" s="165" t="str">
        <f>+IF(AND(A31&lt;&gt;"",B31="y"),fieldcreatorv2!E35,"")</f>
        <v/>
      </c>
      <c r="F31" s="165" t="str">
        <f t="shared" si="0"/>
        <v/>
      </c>
      <c r="G31" s="55" t="str">
        <f>+IF(fieldcreatorv2!I35="si",$F$7&amp;fieldcreatorv2!BA34&amp;$F$1&amp;fieldcreatorv2!C34&amp;$G$1&amp;fieldcreatorv2!BA34&amp;$G$2&amp;A31&amp;$G$3,"")</f>
        <v/>
      </c>
      <c r="H31" s="145" t="str">
        <f>+IF(AND(A31&lt;&gt;"",B31="y",fieldcreatorv2!I35&lt;&gt;"si"),+$B$4&amp;A31&amp;$B$5,"")</f>
        <v/>
      </c>
      <c r="I31" s="252" t="str">
        <f>+IF(AND(fieldcreatorv2!E35="bigtext"),"&lt;br/&gt;"&amp;fieldcreatorv2!B35&amp;$C$2&amp;A31&amp;$C$3&amp;A31&amp;$C$4,"")</f>
        <v/>
      </c>
      <c r="J31" s="165" t="str">
        <f>+IF(fieldcreatorv2!E35="texto",fieldcreatorv2!B35&amp;": "&amp;$C$5&amp;A31&amp;$C$6&amp;A31&amp;$C$7,"")</f>
        <v/>
      </c>
      <c r="K31" s="165" t="str">
        <f>+IF(AND(fieldcreatorv2!E35="date",C31="yes"),fieldcreatorv2!B35&amp;": "&amp;$D$1&amp;A31&amp;$D$2&amp;A31&amp;$D$3,"")</f>
        <v/>
      </c>
      <c r="L31" s="165" t="str">
        <f>+IF(fieldcreatorv2!E35="radio",fieldcreatorv2!B35&amp;" &lt;br/&gt;"&amp;fieldcreatorv2!C35&amp;$D$4&amp;fieldcreatorv2!BA35&amp;$D$5&amp;fieldcreatorv2!C35&amp;$D$6&amp;fieldcreatorv2!C35&amp;$D$7&amp;fieldcreatorv2!BA35&amp;$F$1&amp;fieldcreatorv2!C35&amp;$F$4,"")</f>
        <v/>
      </c>
      <c r="M31" s="165" t="str">
        <f>+IF(AND(fieldcreatorv2!E35="selectlist",A31&lt;&gt;""),"&lt;br/&gt;"&amp;A31&amp;$E$4&amp;A31&amp;$D$5&amp;A31&amp;$E$5,"")</f>
        <v/>
      </c>
      <c r="N31" s="165" t="str">
        <f>+IF(AND(fieldcreatorv2!AU35&lt;&gt;fieldcreatorv2!AU36,fieldcreatorv2!E35="selectlist"),"&lt;/select&gt;","")</f>
        <v/>
      </c>
      <c r="O31" s="165" t="str">
        <f>+IF(fieldcreatorv2!E35="selectlist",M31&amp;$E$6&amp;fieldcreatorv2!C35&amp;$E$7&amp;fieldcreatorv2!AU35&amp;$F$1&amp;fieldcreatorv2!C35&amp;$F$2&amp;fieldcreatorv2!C35&amp;$F$3&amp;N31,"")</f>
        <v/>
      </c>
      <c r="P31" s="165" t="str">
        <f>+IF(fieldcreatorv2!E35="check",$E$1&amp;A31&amp;$D$5&amp;A31&amp;$E$2&amp;A31&amp;$E$3&amp;A31,"")</f>
        <v/>
      </c>
      <c r="Q31" s="165" t="str">
        <f>+IF(AND(R30&lt;&gt;"",fieldcreatorv2!I35="si"),fieldcreatorv2!CS35&amp;I31&amp;J31&amp;fieldcreatorv2!CT35,IF(AND(C31="yes",fieldcreatorv2!I35&lt;&gt;"si"),I31&amp;J31,""))</f>
        <v/>
      </c>
      <c r="R31" s="145" t="str">
        <f>IF(OR(C31=$P$1,AND(R30&lt;&gt;"",fieldcreatorv2!E35="radio",fieldcreatorv2!BA35=fieldcreatorv2!BA34),AND(R30&lt;&gt;"",fieldcreatorv2!E35="selectlist",fieldcreatorv2!AU35=fieldcreatorv2!AU34)),K31&amp;L31&amp;O31&amp;P31,"")&amp;Q31</f>
        <v/>
      </c>
      <c r="S31" s="55" t="str">
        <f>IF(AND(C31=$P$2,fieldcreatorv2!I35&lt;&gt;"si"),fieldcreatorv2!B35&amp;":  "&amp;$F$5&amp;A31&amp;$F$6,"")</f>
        <v/>
      </c>
      <c r="T31" s="253" t="str">
        <f>+IF(fieldcreatorv2!I35="si",$G$4&amp;A31&amp;$G$5,"")&amp;U31</f>
        <v/>
      </c>
      <c r="U31" s="61" t="str">
        <f>+IF(AND(fieldcreatorv2!I35="si",fieldcreatorv2!E34="radio"),+$G$6&amp;fieldcreatorv2!C34&amp;$G$7&amp;fieldcreatorv2!C34&amp;$H$1&amp;$H$2&amp;fieldcreatorv2!C34&amp;$H$3&amp;A31&amp;$H$4,"")</f>
        <v/>
      </c>
      <c r="V31" s="61" t="str">
        <f>+IF(R31&lt;&gt;"",fieldcreatorv2!CY35,"")</f>
        <v/>
      </c>
      <c r="W31" s="55" t="str">
        <f>+IF(OR(fieldcreatorv2!I36="si",AND(W32&lt;&gt;"",fieldcreatorv2!E35="radio")),1,"")</f>
        <v/>
      </c>
      <c r="X31" s="55" t="str">
        <f>+IF(AND(W31=1,W32=""),fieldcreatorv2!C35,IF(AND(W31=1,W32=1),X32,""))</f>
        <v/>
      </c>
      <c r="Y31" s="55" t="str">
        <f>+IF(AND(W30=1,fieldcreatorv2!I35="si"),A31,IF(W31=1,Y32,""))</f>
        <v/>
      </c>
      <c r="Z31" s="254" t="str">
        <f t="shared" si="8"/>
        <v/>
      </c>
      <c r="AA31" s="165" t="str">
        <f t="shared" si="11"/>
        <v/>
      </c>
      <c r="AB31" s="238" t="str">
        <f>+IF(V31&lt;&gt;"",$K$4&amp;fieldcreatorv2!C35&amp;$K$5&amp;fieldcreatorv2!BX35&amp;$K$6&amp;fieldcreatorv2!C36&amp;$K$7,"")</f>
        <v/>
      </c>
      <c r="AC31" s="238" t="str">
        <f>IF(AND(C31="yes",fieldcreatorv2!E35="check"),A31&amp;$L$1&amp;A31&amp;$L$2,"")</f>
        <v/>
      </c>
      <c r="AD31" s="238" t="str">
        <f>+IF(AND(R31&lt;&gt;"",OR(fieldcreatorv2!E35="date",fieldcreatorv2!E35="bigtext",fieldcreatorv2!E35="texto",AND(fieldcreatorv2!E35="selectlist",A31&lt;&gt;""))),"var "&amp;A31&amp;$L$3&amp;A31&amp;$L$4,"")</f>
        <v/>
      </c>
      <c r="AE31" s="61" t="str">
        <f t="shared" si="12"/>
        <v/>
      </c>
      <c r="AF31" s="12">
        <f t="shared" si="15"/>
        <v>0</v>
      </c>
      <c r="AG31" s="12">
        <f t="shared" si="9"/>
        <v>0</v>
      </c>
      <c r="AH31" s="12" t="str">
        <f t="shared" si="14"/>
        <v/>
      </c>
      <c r="AI31" s="61" t="str">
        <f t="shared" si="5"/>
        <v/>
      </c>
      <c r="AJ31" s="55" t="str">
        <f t="shared" si="16"/>
        <v/>
      </c>
      <c r="AK31" s="38" t="str">
        <f t="shared" si="10"/>
        <v/>
      </c>
      <c r="AL31" s="55" t="str">
        <f t="shared" si="13"/>
        <v/>
      </c>
    </row>
    <row r="32" spans="1:38">
      <c r="A32" s="216" t="str">
        <f>IF(fieldcreatorv2!BX36&lt;&gt;"",fieldcreatorv2!BX36,"")</f>
        <v/>
      </c>
      <c r="B32" s="255"/>
      <c r="C32" s="255"/>
      <c r="D32" s="165" t="str">
        <f>+IF(AND(B32="y",A32&lt;&gt;"",fieldcreatorv2!I36&lt;&gt;"si"),$A$1&amp;A32&amp;$A$2,"")</f>
        <v/>
      </c>
      <c r="E32" s="165" t="str">
        <f>+IF(AND(A32&lt;&gt;"",B32="y"),fieldcreatorv2!E36,"")</f>
        <v/>
      </c>
      <c r="F32" s="165" t="str">
        <f t="shared" si="0"/>
        <v/>
      </c>
      <c r="G32" s="55" t="str">
        <f>+IF(fieldcreatorv2!I36="si",$F$7&amp;fieldcreatorv2!BA35&amp;$F$1&amp;fieldcreatorv2!C35&amp;$G$1&amp;fieldcreatorv2!BA35&amp;$G$2&amp;A32&amp;$G$3,"")</f>
        <v/>
      </c>
      <c r="H32" s="145" t="str">
        <f>+IF(AND(A32&lt;&gt;"",B32="y",fieldcreatorv2!I36&lt;&gt;"si"),+$B$4&amp;A32&amp;$B$5,"")</f>
        <v/>
      </c>
      <c r="I32" s="252" t="str">
        <f>+IF(AND(fieldcreatorv2!E36="bigtext"),"&lt;br/&gt;"&amp;fieldcreatorv2!B36&amp;$C$2&amp;A32&amp;$C$3&amp;A32&amp;$C$4,"")</f>
        <v/>
      </c>
      <c r="J32" s="165" t="str">
        <f>+IF(fieldcreatorv2!E36="texto",fieldcreatorv2!B36&amp;": "&amp;$C$5&amp;A32&amp;$C$6&amp;A32&amp;$C$7,"")</f>
        <v/>
      </c>
      <c r="K32" s="165" t="str">
        <f>+IF(AND(fieldcreatorv2!E36="date",C32="yes"),fieldcreatorv2!B36&amp;": "&amp;$D$1&amp;A32&amp;$D$2&amp;A32&amp;$D$3,"")</f>
        <v/>
      </c>
      <c r="L32" s="165" t="str">
        <f>+IF(fieldcreatorv2!E36="radio",fieldcreatorv2!B36&amp;" &lt;br/&gt;"&amp;fieldcreatorv2!C36&amp;$D$4&amp;fieldcreatorv2!BA36&amp;$D$5&amp;fieldcreatorv2!C36&amp;$D$6&amp;fieldcreatorv2!C36&amp;$D$7&amp;fieldcreatorv2!BA36&amp;$F$1&amp;fieldcreatorv2!C36&amp;$F$4,"")</f>
        <v/>
      </c>
      <c r="M32" s="165" t="str">
        <f>+IF(AND(fieldcreatorv2!E36="selectlist",A32&lt;&gt;""),"&lt;br/&gt;"&amp;A32&amp;$E$4&amp;A32&amp;$D$5&amp;A32&amp;$E$5,"")</f>
        <v/>
      </c>
      <c r="N32" s="165" t="str">
        <f>+IF(AND(fieldcreatorv2!AU36&lt;&gt;fieldcreatorv2!AU37,fieldcreatorv2!E36="selectlist"),"&lt;/select&gt;","")</f>
        <v/>
      </c>
      <c r="O32" s="165" t="str">
        <f>+IF(fieldcreatorv2!E36="selectlist",M32&amp;$E$6&amp;fieldcreatorv2!C36&amp;$E$7&amp;fieldcreatorv2!AU36&amp;$F$1&amp;fieldcreatorv2!C36&amp;$F$2&amp;fieldcreatorv2!C36&amp;$F$3&amp;N32,"")</f>
        <v/>
      </c>
      <c r="P32" s="165" t="str">
        <f>+IF(fieldcreatorv2!E36="check",$E$1&amp;A32&amp;$D$5&amp;A32&amp;$E$2&amp;A32&amp;$E$3&amp;A32,"")</f>
        <v/>
      </c>
      <c r="Q32" s="165" t="str">
        <f>+IF(AND(R31&lt;&gt;"",fieldcreatorv2!I36="si"),fieldcreatorv2!CS36&amp;I32&amp;J32&amp;fieldcreatorv2!CT36,IF(AND(C32="yes",fieldcreatorv2!I36&lt;&gt;"si"),I32&amp;J32,""))</f>
        <v/>
      </c>
      <c r="R32" s="145" t="str">
        <f>IF(OR(C32=$P$1,AND(R31&lt;&gt;"",fieldcreatorv2!E36="radio",fieldcreatorv2!BA36=fieldcreatorv2!BA35),AND(R31&lt;&gt;"",fieldcreatorv2!E36="selectlist",fieldcreatorv2!AU36=fieldcreatorv2!AU35)),K32&amp;L32&amp;O32&amp;P32,"")&amp;Q32</f>
        <v/>
      </c>
      <c r="S32" s="55" t="str">
        <f>IF(AND(C32=$P$2,fieldcreatorv2!I36&lt;&gt;"si"),fieldcreatorv2!B36&amp;":  "&amp;$F$5&amp;A32&amp;$F$6,"")</f>
        <v/>
      </c>
      <c r="T32" s="253" t="str">
        <f>+IF(fieldcreatorv2!I36="si",$G$4&amp;A32&amp;$G$5,"")&amp;U32</f>
        <v/>
      </c>
      <c r="U32" s="61" t="str">
        <f>+IF(AND(fieldcreatorv2!I36="si",fieldcreatorv2!E35="radio"),+$G$6&amp;fieldcreatorv2!C35&amp;$G$7&amp;fieldcreatorv2!C35&amp;$H$1&amp;$H$2&amp;fieldcreatorv2!C35&amp;$H$3&amp;A32&amp;$H$4,"")</f>
        <v/>
      </c>
      <c r="V32" s="61" t="str">
        <f>+IF(R32&lt;&gt;"",fieldcreatorv2!CY36,"")</f>
        <v/>
      </c>
      <c r="W32" s="55" t="str">
        <f>+IF(OR(fieldcreatorv2!I37="si",AND(W33&lt;&gt;"",fieldcreatorv2!E36="radio")),1,"")</f>
        <v/>
      </c>
      <c r="X32" s="55" t="str">
        <f>+IF(AND(W32=1,W33=""),fieldcreatorv2!C36,IF(AND(W32=1,W33=1),X33,""))</f>
        <v/>
      </c>
      <c r="Y32" s="55" t="str">
        <f>+IF(AND(W31=1,fieldcreatorv2!I36="si"),A32,IF(W32=1,Y33,""))</f>
        <v/>
      </c>
      <c r="Z32" s="254" t="str">
        <f t="shared" si="8"/>
        <v/>
      </c>
      <c r="AA32" s="165" t="str">
        <f t="shared" si="11"/>
        <v/>
      </c>
      <c r="AB32" s="238" t="str">
        <f>+IF(V32&lt;&gt;"",$K$4&amp;fieldcreatorv2!C36&amp;$K$5&amp;fieldcreatorv2!BX36&amp;$K$6&amp;fieldcreatorv2!C37&amp;$K$7,"")</f>
        <v/>
      </c>
      <c r="AC32" s="238" t="str">
        <f>IF(AND(C32="yes",fieldcreatorv2!E36="check"),A32&amp;$L$1&amp;A32&amp;$L$2,"")</f>
        <v/>
      </c>
      <c r="AD32" s="238" t="str">
        <f>+IF(AND(R32&lt;&gt;"",OR(fieldcreatorv2!E36="date",fieldcreatorv2!E36="bigtext",fieldcreatorv2!E36="texto",AND(fieldcreatorv2!E36="selectlist",A32&lt;&gt;""))),"var "&amp;A32&amp;$L$3&amp;A32&amp;$L$4,"")</f>
        <v/>
      </c>
      <c r="AE32" s="61" t="str">
        <f t="shared" si="12"/>
        <v/>
      </c>
      <c r="AF32" s="12">
        <f t="shared" si="15"/>
        <v>0</v>
      </c>
      <c r="AG32" s="12">
        <f t="shared" si="9"/>
        <v>0</v>
      </c>
      <c r="AH32" s="12" t="str">
        <f t="shared" si="14"/>
        <v/>
      </c>
      <c r="AI32" s="61" t="str">
        <f t="shared" si="5"/>
        <v/>
      </c>
      <c r="AJ32" s="55" t="str">
        <f t="shared" si="16"/>
        <v/>
      </c>
      <c r="AK32" s="38" t="str">
        <f t="shared" si="10"/>
        <v/>
      </c>
      <c r="AL32" s="55" t="str">
        <f t="shared" si="13"/>
        <v/>
      </c>
    </row>
    <row r="33" spans="1:38">
      <c r="A33" s="216" t="str">
        <f>IF(fieldcreatorv2!BX37&lt;&gt;"",fieldcreatorv2!BX37,"")</f>
        <v/>
      </c>
      <c r="B33" s="255"/>
      <c r="C33" s="255"/>
      <c r="D33" s="165" t="str">
        <f>+IF(AND(B33="y",A33&lt;&gt;"",fieldcreatorv2!I37&lt;&gt;"si"),$A$1&amp;A33&amp;$A$2,"")</f>
        <v/>
      </c>
      <c r="E33" s="165" t="str">
        <f>+IF(AND(A33&lt;&gt;"",B33="y"),fieldcreatorv2!E37,"")</f>
        <v/>
      </c>
      <c r="F33" s="165" t="str">
        <f t="shared" si="0"/>
        <v/>
      </c>
      <c r="G33" s="55" t="str">
        <f>+IF(fieldcreatorv2!I37="si",$F$7&amp;fieldcreatorv2!BA36&amp;$F$1&amp;fieldcreatorv2!C36&amp;$G$1&amp;fieldcreatorv2!BA36&amp;$G$2&amp;A33&amp;$G$3,"")</f>
        <v/>
      </c>
      <c r="H33" s="145" t="str">
        <f>+IF(AND(A33&lt;&gt;"",B33="y",fieldcreatorv2!I37&lt;&gt;"si"),+$B$4&amp;A33&amp;$B$5,"")</f>
        <v/>
      </c>
      <c r="I33" s="252" t="str">
        <f>+IF(AND(fieldcreatorv2!E37="bigtext"),"&lt;br/&gt;"&amp;fieldcreatorv2!B37&amp;$C$2&amp;A33&amp;$C$3&amp;A33&amp;$C$4,"")</f>
        <v/>
      </c>
      <c r="J33" s="165" t="str">
        <f>+IF(fieldcreatorv2!E37="texto",fieldcreatorv2!B37&amp;": "&amp;$C$5&amp;A33&amp;$C$6&amp;A33&amp;$C$7,"")</f>
        <v/>
      </c>
      <c r="K33" s="165" t="str">
        <f>+IF(AND(fieldcreatorv2!E37="date",C33="yes"),fieldcreatorv2!B37&amp;": "&amp;$D$1&amp;A33&amp;$D$2&amp;A33&amp;$D$3,"")</f>
        <v/>
      </c>
      <c r="L33" s="165" t="str">
        <f>+IF(fieldcreatorv2!E37="radio",fieldcreatorv2!B37&amp;" &lt;br/&gt;"&amp;fieldcreatorv2!C37&amp;$D$4&amp;fieldcreatorv2!BA37&amp;$D$5&amp;fieldcreatorv2!C37&amp;$D$6&amp;fieldcreatorv2!C37&amp;$D$7&amp;fieldcreatorv2!BA37&amp;$F$1&amp;fieldcreatorv2!C37&amp;$F$4,"")</f>
        <v/>
      </c>
      <c r="M33" s="165" t="str">
        <f>+IF(AND(fieldcreatorv2!E37="selectlist",A33&lt;&gt;""),"&lt;br/&gt;"&amp;A33&amp;$E$4&amp;A33&amp;$D$5&amp;A33&amp;$E$5,"")</f>
        <v/>
      </c>
      <c r="N33" s="165" t="str">
        <f>+IF(AND(fieldcreatorv2!AU37&lt;&gt;fieldcreatorv2!AU38,fieldcreatorv2!E37="selectlist"),"&lt;/select&gt;","")</f>
        <v/>
      </c>
      <c r="O33" s="165" t="str">
        <f>+IF(fieldcreatorv2!E37="selectlist",M33&amp;$E$6&amp;fieldcreatorv2!C37&amp;$E$7&amp;fieldcreatorv2!AU37&amp;$F$1&amp;fieldcreatorv2!C37&amp;$F$2&amp;fieldcreatorv2!C37&amp;$F$3&amp;N33,"")</f>
        <v/>
      </c>
      <c r="P33" s="165" t="str">
        <f>+IF(fieldcreatorv2!E37="check",$E$1&amp;A33&amp;$D$5&amp;A33&amp;$E$2&amp;A33&amp;$E$3&amp;A33,"")</f>
        <v/>
      </c>
      <c r="Q33" s="165" t="str">
        <f>+IF(AND(R32&lt;&gt;"",fieldcreatorv2!I37="si"),fieldcreatorv2!CS37&amp;I33&amp;J33&amp;fieldcreatorv2!CT37,IF(AND(C33="yes",fieldcreatorv2!I37&lt;&gt;"si"),I33&amp;J33,""))</f>
        <v/>
      </c>
      <c r="R33" s="145" t="str">
        <f>IF(OR(C33=$P$1,AND(R32&lt;&gt;"",fieldcreatorv2!E37="radio",fieldcreatorv2!BA37=fieldcreatorv2!BA36),AND(R32&lt;&gt;"",fieldcreatorv2!E37="selectlist",fieldcreatorv2!AU37=fieldcreatorv2!AU36)),K33&amp;L33&amp;O33&amp;P33,"")&amp;Q33</f>
        <v/>
      </c>
      <c r="S33" s="55" t="str">
        <f>IF(AND(C33=$P$2,fieldcreatorv2!I37&lt;&gt;"si"),fieldcreatorv2!B37&amp;":  "&amp;$F$5&amp;A33&amp;$F$6,"")</f>
        <v/>
      </c>
      <c r="T33" s="253" t="str">
        <f>+IF(fieldcreatorv2!I37="si",$G$4&amp;A33&amp;$G$5,"")&amp;U33</f>
        <v/>
      </c>
      <c r="U33" s="61" t="str">
        <f>+IF(AND(fieldcreatorv2!I37="si",fieldcreatorv2!E36="radio"),+$G$6&amp;fieldcreatorv2!C36&amp;$G$7&amp;fieldcreatorv2!C36&amp;$H$1&amp;$H$2&amp;fieldcreatorv2!C36&amp;$H$3&amp;A33&amp;$H$4,"")</f>
        <v/>
      </c>
      <c r="V33" s="61" t="str">
        <f>+IF(R33&lt;&gt;"",fieldcreatorv2!CY37,"")</f>
        <v/>
      </c>
      <c r="W33" s="55" t="str">
        <f>+IF(OR(fieldcreatorv2!I38="si",AND(W34&lt;&gt;"",fieldcreatorv2!E37="radio")),1,"")</f>
        <v/>
      </c>
      <c r="X33" s="55" t="str">
        <f>+IF(AND(W33=1,W34=""),fieldcreatorv2!C37,IF(AND(W33=1,W34=1),X34,""))</f>
        <v/>
      </c>
      <c r="Y33" s="55" t="str">
        <f>+IF(AND(W32=1,fieldcreatorv2!I37="si"),A33,IF(W33=1,Y34,""))</f>
        <v/>
      </c>
      <c r="Z33" s="254" t="str">
        <f t="shared" si="8"/>
        <v/>
      </c>
      <c r="AA33" s="165" t="str">
        <f t="shared" si="11"/>
        <v/>
      </c>
      <c r="AB33" s="238" t="str">
        <f>+IF(V33&lt;&gt;"",$K$4&amp;fieldcreatorv2!C37&amp;$K$5&amp;fieldcreatorv2!BX37&amp;$K$6&amp;fieldcreatorv2!C38&amp;$K$7,"")</f>
        <v/>
      </c>
      <c r="AC33" s="238" t="str">
        <f>IF(AND(C33="yes",fieldcreatorv2!E37="check"),A33&amp;$L$1&amp;A33&amp;$L$2,"")</f>
        <v/>
      </c>
      <c r="AD33" s="238" t="str">
        <f>+IF(AND(R33&lt;&gt;"",OR(fieldcreatorv2!E37="date",fieldcreatorv2!E37="bigtext",fieldcreatorv2!E37="texto",AND(fieldcreatorv2!E37="selectlist",A33&lt;&gt;""))),"var "&amp;A33&amp;$L$3&amp;A33&amp;$L$4,"")</f>
        <v/>
      </c>
      <c r="AE33" s="61" t="str">
        <f t="shared" si="12"/>
        <v/>
      </c>
      <c r="AF33" s="12">
        <f t="shared" si="15"/>
        <v>0</v>
      </c>
      <c r="AG33" s="12">
        <f t="shared" si="9"/>
        <v>0</v>
      </c>
      <c r="AH33" s="12" t="str">
        <f t="shared" si="14"/>
        <v/>
      </c>
      <c r="AI33" s="61" t="str">
        <f t="shared" si="5"/>
        <v/>
      </c>
      <c r="AJ33" s="55" t="str">
        <f t="shared" si="16"/>
        <v/>
      </c>
      <c r="AK33" s="38" t="str">
        <f t="shared" si="10"/>
        <v/>
      </c>
      <c r="AL33" s="55" t="str">
        <f t="shared" si="13"/>
        <v/>
      </c>
    </row>
    <row r="34" spans="1:38">
      <c r="A34" s="216" t="str">
        <f>IF(fieldcreatorv2!BX38&lt;&gt;"",fieldcreatorv2!BX38,"")</f>
        <v/>
      </c>
      <c r="B34" s="255"/>
      <c r="C34" s="255"/>
      <c r="D34" s="165" t="str">
        <f>+IF(AND(B34="y",A34&lt;&gt;"",fieldcreatorv2!I38&lt;&gt;"si"),$A$1&amp;A34&amp;$A$2,"")</f>
        <v/>
      </c>
      <c r="E34" s="165" t="str">
        <f>+IF(AND(A34&lt;&gt;"",B34="y"),fieldcreatorv2!E38,"")</f>
        <v/>
      </c>
      <c r="F34" s="165" t="str">
        <f t="shared" si="0"/>
        <v/>
      </c>
      <c r="G34" s="55" t="str">
        <f>+IF(fieldcreatorv2!I38="si",$F$7&amp;fieldcreatorv2!BA37&amp;$F$1&amp;fieldcreatorv2!C37&amp;$G$1&amp;fieldcreatorv2!BA37&amp;$G$2&amp;A34&amp;$G$3,"")</f>
        <v/>
      </c>
      <c r="H34" s="145" t="str">
        <f>+IF(AND(A34&lt;&gt;"",B34="y",fieldcreatorv2!I38&lt;&gt;"si"),+$B$4&amp;A34&amp;$B$5,"")</f>
        <v/>
      </c>
      <c r="I34" s="252" t="str">
        <f>+IF(AND(fieldcreatorv2!E38="bigtext"),"&lt;br/&gt;"&amp;fieldcreatorv2!B38&amp;$C$2&amp;A34&amp;$C$3&amp;A34&amp;$C$4,"")</f>
        <v/>
      </c>
      <c r="J34" s="165" t="str">
        <f>+IF(fieldcreatorv2!E38="texto",fieldcreatorv2!B38&amp;": "&amp;$C$5&amp;A34&amp;$C$6&amp;A34&amp;$C$7,"")</f>
        <v/>
      </c>
      <c r="K34" s="165" t="str">
        <f>+IF(AND(fieldcreatorv2!E38="date",C34="yes"),fieldcreatorv2!B38&amp;": "&amp;$D$1&amp;A34&amp;$D$2&amp;A34&amp;$D$3,"")</f>
        <v/>
      </c>
      <c r="L34" s="165" t="str">
        <f>+IF(fieldcreatorv2!E38="radio",fieldcreatorv2!B38&amp;" &lt;br/&gt;"&amp;fieldcreatorv2!C38&amp;$D$4&amp;fieldcreatorv2!BA38&amp;$D$5&amp;fieldcreatorv2!C38&amp;$D$6&amp;fieldcreatorv2!C38&amp;$D$7&amp;fieldcreatorv2!BA38&amp;$F$1&amp;fieldcreatorv2!C38&amp;$F$4,"")</f>
        <v/>
      </c>
      <c r="M34" s="165" t="str">
        <f>+IF(AND(fieldcreatorv2!E38="selectlist",A34&lt;&gt;""),"&lt;br/&gt;"&amp;A34&amp;$E$4&amp;A34&amp;$D$5&amp;A34&amp;$E$5,"")</f>
        <v/>
      </c>
      <c r="N34" s="165" t="str">
        <f>+IF(AND(fieldcreatorv2!AU38&lt;&gt;fieldcreatorv2!AU39,fieldcreatorv2!E38="selectlist"),"&lt;/select&gt;","")</f>
        <v/>
      </c>
      <c r="O34" s="165" t="str">
        <f>+IF(fieldcreatorv2!E38="selectlist",M34&amp;$E$6&amp;fieldcreatorv2!C38&amp;$E$7&amp;fieldcreatorv2!AU38&amp;$F$1&amp;fieldcreatorv2!C38&amp;$F$2&amp;fieldcreatorv2!C38&amp;$F$3&amp;N34,"")</f>
        <v/>
      </c>
      <c r="P34" s="165" t="str">
        <f>+IF(fieldcreatorv2!E38="check",$E$1&amp;A34&amp;$D$5&amp;A34&amp;$E$2&amp;A34&amp;$E$3&amp;A34,"")</f>
        <v/>
      </c>
      <c r="Q34" s="165" t="str">
        <f>+IF(AND(R33&lt;&gt;"",fieldcreatorv2!I38="si"),fieldcreatorv2!CS38&amp;I34&amp;J34&amp;fieldcreatorv2!CT38,IF(AND(C34="yes",fieldcreatorv2!I38&lt;&gt;"si"),I34&amp;J34,""))</f>
        <v/>
      </c>
      <c r="R34" s="145" t="str">
        <f>IF(OR(C34=$P$1,AND(R33&lt;&gt;"",fieldcreatorv2!E38="radio",fieldcreatorv2!BA38=fieldcreatorv2!BA37),AND(R33&lt;&gt;"",fieldcreatorv2!E38="selectlist",fieldcreatorv2!AU38=fieldcreatorv2!AU37)),K34&amp;L34&amp;O34&amp;P34,"")&amp;Q34</f>
        <v/>
      </c>
      <c r="S34" s="55" t="str">
        <f>IF(AND(C34=$P$2,fieldcreatorv2!I38&lt;&gt;"si"),fieldcreatorv2!B38&amp;":  "&amp;$F$5&amp;A34&amp;$F$6,"")</f>
        <v/>
      </c>
      <c r="T34" s="253" t="str">
        <f>+IF(fieldcreatorv2!I38="si",$G$4&amp;A34&amp;$G$5,"")&amp;U34</f>
        <v/>
      </c>
      <c r="U34" s="61" t="str">
        <f>+IF(AND(fieldcreatorv2!I38="si",fieldcreatorv2!E37="radio"),+$G$6&amp;fieldcreatorv2!C37&amp;$G$7&amp;fieldcreatorv2!C37&amp;$H$1&amp;$H$2&amp;fieldcreatorv2!C37&amp;$H$3&amp;A34&amp;$H$4,"")</f>
        <v/>
      </c>
      <c r="V34" s="61" t="str">
        <f>+IF(R34&lt;&gt;"",fieldcreatorv2!CY38,"")</f>
        <v/>
      </c>
      <c r="W34" s="55" t="str">
        <f>+IF(OR(fieldcreatorv2!I39="si",AND(W35&lt;&gt;"",fieldcreatorv2!E38="radio")),1,"")</f>
        <v/>
      </c>
      <c r="X34" s="55" t="str">
        <f>+IF(AND(W34=1,W35=""),fieldcreatorv2!C38,IF(AND(W34=1,W35=1),X35,""))</f>
        <v/>
      </c>
      <c r="Y34" s="55" t="str">
        <f>+IF(AND(W33=1,fieldcreatorv2!I38="si"),A34,IF(W34=1,Y35,""))</f>
        <v/>
      </c>
      <c r="Z34" s="254" t="str">
        <f t="shared" si="8"/>
        <v/>
      </c>
      <c r="AA34" s="165" t="str">
        <f t="shared" si="11"/>
        <v/>
      </c>
      <c r="AB34" s="238" t="str">
        <f>+IF(V34&lt;&gt;"",$K$4&amp;fieldcreatorv2!C38&amp;$K$5&amp;fieldcreatorv2!BX38&amp;$K$6&amp;fieldcreatorv2!C39&amp;$K$7,"")</f>
        <v/>
      </c>
      <c r="AC34" s="238" t="str">
        <f>IF(AND(C34="yes",fieldcreatorv2!E38="check"),A34&amp;$L$1&amp;A34&amp;$L$2,"")</f>
        <v/>
      </c>
      <c r="AD34" s="238" t="str">
        <f>+IF(AND(R34&lt;&gt;"",OR(fieldcreatorv2!E38="date",fieldcreatorv2!E38="bigtext",fieldcreatorv2!E38="texto",AND(fieldcreatorv2!E38="selectlist",A34&lt;&gt;""))),"var "&amp;A34&amp;$L$3&amp;A34&amp;$L$4,"")</f>
        <v/>
      </c>
      <c r="AE34" s="61" t="str">
        <f t="shared" si="12"/>
        <v/>
      </c>
      <c r="AF34" s="12">
        <f t="shared" si="15"/>
        <v>0</v>
      </c>
      <c r="AG34" s="12">
        <f t="shared" si="9"/>
        <v>0</v>
      </c>
      <c r="AH34" s="12" t="str">
        <f t="shared" si="14"/>
        <v/>
      </c>
      <c r="AI34" s="61" t="str">
        <f t="shared" si="5"/>
        <v/>
      </c>
      <c r="AJ34" s="55" t="str">
        <f t="shared" si="16"/>
        <v/>
      </c>
      <c r="AK34" s="38" t="str">
        <f t="shared" si="10"/>
        <v/>
      </c>
      <c r="AL34" s="55" t="str">
        <f t="shared" si="13"/>
        <v/>
      </c>
    </row>
    <row r="35" spans="1:38">
      <c r="A35" s="216" t="str">
        <f>IF(fieldcreatorv2!BX39&lt;&gt;"",fieldcreatorv2!BX39,"")</f>
        <v/>
      </c>
      <c r="B35" s="255"/>
      <c r="C35" s="255"/>
      <c r="D35" s="165" t="str">
        <f>+IF(AND(B35="y",A35&lt;&gt;"",fieldcreatorv2!I39&lt;&gt;"si"),$A$1&amp;A35&amp;$A$2,"")</f>
        <v/>
      </c>
      <c r="E35" s="165" t="str">
        <f>+IF(AND(A35&lt;&gt;"",B35="y"),fieldcreatorv2!E39,"")</f>
        <v/>
      </c>
      <c r="F35" s="165" t="str">
        <f t="shared" si="0"/>
        <v/>
      </c>
      <c r="G35" s="55" t="str">
        <f>+IF(fieldcreatorv2!I39="si",$F$7&amp;fieldcreatorv2!BA38&amp;$F$1&amp;fieldcreatorv2!C38&amp;$G$1&amp;fieldcreatorv2!BA38&amp;$G$2&amp;A35&amp;$G$3,"")</f>
        <v/>
      </c>
      <c r="H35" s="145" t="str">
        <f>+IF(AND(A35&lt;&gt;"",B35="y",fieldcreatorv2!I39&lt;&gt;"si"),+$B$4&amp;A35&amp;$B$5,"")</f>
        <v/>
      </c>
      <c r="I35" s="252" t="str">
        <f>+IF(AND(fieldcreatorv2!E39="bigtext"),"&lt;br/&gt;"&amp;fieldcreatorv2!B39&amp;$C$2&amp;A35&amp;$C$3&amp;A35&amp;$C$4,"")</f>
        <v/>
      </c>
      <c r="J35" s="165" t="str">
        <f>+IF(fieldcreatorv2!E39="texto",fieldcreatorv2!B39&amp;": "&amp;$C$5&amp;A35&amp;$C$6&amp;A35&amp;$C$7,"")</f>
        <v/>
      </c>
      <c r="K35" s="165" t="str">
        <f>+IF(AND(fieldcreatorv2!E39="date",C35="yes"),fieldcreatorv2!B39&amp;": "&amp;$D$1&amp;A35&amp;$D$2&amp;A35&amp;$D$3,"")</f>
        <v/>
      </c>
      <c r="L35" s="165" t="str">
        <f>+IF(fieldcreatorv2!E39="radio",fieldcreatorv2!B39&amp;" &lt;br/&gt;"&amp;fieldcreatorv2!C39&amp;$D$4&amp;fieldcreatorv2!BA39&amp;$D$5&amp;fieldcreatorv2!C39&amp;$D$6&amp;fieldcreatorv2!C39&amp;$D$7&amp;fieldcreatorv2!BA39&amp;$F$1&amp;fieldcreatorv2!C39&amp;$F$4,"")</f>
        <v/>
      </c>
      <c r="M35" s="165" t="str">
        <f>+IF(AND(fieldcreatorv2!E39="selectlist",A35&lt;&gt;""),"&lt;br/&gt;"&amp;A35&amp;$E$4&amp;A35&amp;$D$5&amp;A35&amp;$E$5,"")</f>
        <v/>
      </c>
      <c r="N35" s="165" t="str">
        <f>+IF(AND(fieldcreatorv2!AU39&lt;&gt;fieldcreatorv2!AU40,fieldcreatorv2!E39="selectlist"),"&lt;/select&gt;","")</f>
        <v/>
      </c>
      <c r="O35" s="165" t="str">
        <f>+IF(fieldcreatorv2!E39="selectlist",M35&amp;$E$6&amp;fieldcreatorv2!C39&amp;$E$7&amp;fieldcreatorv2!AU39&amp;$F$1&amp;fieldcreatorv2!C39&amp;$F$2&amp;fieldcreatorv2!C39&amp;$F$3&amp;N35,"")</f>
        <v/>
      </c>
      <c r="P35" s="165" t="str">
        <f>+IF(fieldcreatorv2!E39="check",$E$1&amp;A35&amp;$D$5&amp;A35&amp;$E$2&amp;A35&amp;$E$3&amp;A35,"")</f>
        <v/>
      </c>
      <c r="Q35" s="165" t="str">
        <f>+IF(AND(R34&lt;&gt;"",fieldcreatorv2!I39="si"),fieldcreatorv2!CS39&amp;I35&amp;J35&amp;fieldcreatorv2!CT39,IF(AND(C35="yes",fieldcreatorv2!I39&lt;&gt;"si"),I35&amp;J35,""))</f>
        <v/>
      </c>
      <c r="R35" s="145" t="str">
        <f>IF(OR(C35=$P$1,AND(R34&lt;&gt;"",fieldcreatorv2!E39="radio",fieldcreatorv2!BA39=fieldcreatorv2!BA38),AND(R34&lt;&gt;"",fieldcreatorv2!E39="selectlist",fieldcreatorv2!AU39=fieldcreatorv2!AU38)),K35&amp;L35&amp;O35&amp;P35,"")&amp;Q35</f>
        <v/>
      </c>
      <c r="S35" s="55" t="str">
        <f>IF(AND(C35=$P$2,fieldcreatorv2!I39&lt;&gt;"si"),fieldcreatorv2!B39&amp;":  "&amp;$F$5&amp;A35&amp;$F$6,"")</f>
        <v/>
      </c>
      <c r="T35" s="253" t="str">
        <f>+IF(fieldcreatorv2!I39="si",$G$4&amp;A35&amp;$G$5,"")&amp;U35</f>
        <v/>
      </c>
      <c r="U35" s="61" t="str">
        <f>+IF(AND(fieldcreatorv2!I39="si",fieldcreatorv2!E38="radio"),+$G$6&amp;fieldcreatorv2!C38&amp;$G$7&amp;fieldcreatorv2!C38&amp;$H$1&amp;$H$2&amp;fieldcreatorv2!C38&amp;$H$3&amp;A35&amp;$H$4,"")</f>
        <v/>
      </c>
      <c r="V35" s="61" t="str">
        <f>+IF(R35&lt;&gt;"",fieldcreatorv2!CY39,"")</f>
        <v/>
      </c>
      <c r="W35" s="55" t="str">
        <f>+IF(OR(fieldcreatorv2!I40="si",AND(W36&lt;&gt;"",fieldcreatorv2!E39="radio")),1,"")</f>
        <v/>
      </c>
      <c r="X35" s="55" t="str">
        <f>+IF(AND(W35=1,W36=""),fieldcreatorv2!C39,IF(AND(W35=1,W36=1),X36,""))</f>
        <v/>
      </c>
      <c r="Y35" s="55" t="str">
        <f>+IF(AND(W34=1,fieldcreatorv2!I39="si"),A35,IF(W35=1,Y36,""))</f>
        <v/>
      </c>
      <c r="Z35" s="254" t="str">
        <f t="shared" si="8"/>
        <v/>
      </c>
      <c r="AA35" s="165" t="str">
        <f t="shared" si="11"/>
        <v/>
      </c>
      <c r="AB35" s="238" t="str">
        <f>+IF(V35&lt;&gt;"",$K$4&amp;fieldcreatorv2!C39&amp;$K$5&amp;fieldcreatorv2!BX39&amp;$K$6&amp;fieldcreatorv2!C40&amp;$K$7,"")</f>
        <v/>
      </c>
      <c r="AC35" s="238" t="str">
        <f>IF(AND(C35="yes",fieldcreatorv2!E39="check"),A35&amp;$L$1&amp;A35&amp;$L$2,"")</f>
        <v/>
      </c>
      <c r="AD35" s="238" t="str">
        <f>+IF(AND(R35&lt;&gt;"",OR(fieldcreatorv2!E39="date",fieldcreatorv2!E39="bigtext",fieldcreatorv2!E39="texto",AND(fieldcreatorv2!E39="selectlist",A35&lt;&gt;""))),"var "&amp;A35&amp;$L$3&amp;A35&amp;$L$4,"")</f>
        <v/>
      </c>
      <c r="AE35" s="61" t="str">
        <f t="shared" si="12"/>
        <v/>
      </c>
      <c r="AF35" s="12">
        <f t="shared" si="15"/>
        <v>0</v>
      </c>
      <c r="AG35" s="12">
        <f t="shared" si="9"/>
        <v>0</v>
      </c>
      <c r="AH35" s="12" t="str">
        <f t="shared" si="14"/>
        <v/>
      </c>
      <c r="AI35" s="61" t="str">
        <f t="shared" si="5"/>
        <v/>
      </c>
      <c r="AJ35" s="55" t="str">
        <f t="shared" si="16"/>
        <v/>
      </c>
      <c r="AK35" s="38" t="str">
        <f t="shared" si="10"/>
        <v/>
      </c>
      <c r="AL35" s="55" t="str">
        <f t="shared" si="13"/>
        <v/>
      </c>
    </row>
    <row r="36" spans="1:38">
      <c r="A36" s="216" t="str">
        <f>IF(fieldcreatorv2!BX40&lt;&gt;"",fieldcreatorv2!BX40,"")</f>
        <v/>
      </c>
      <c r="B36" s="255"/>
      <c r="C36" s="255"/>
      <c r="D36" s="165" t="str">
        <f>+IF(AND(B36="y",A36&lt;&gt;"",fieldcreatorv2!I40&lt;&gt;"si"),$A$1&amp;A36&amp;$A$2,"")</f>
        <v/>
      </c>
      <c r="E36" s="165" t="str">
        <f>+IF(AND(A36&lt;&gt;"",B36="y"),fieldcreatorv2!E40,"")</f>
        <v/>
      </c>
      <c r="F36" s="165" t="str">
        <f t="shared" si="0"/>
        <v/>
      </c>
      <c r="G36" s="55" t="str">
        <f>+IF(fieldcreatorv2!I40="si",$F$7&amp;fieldcreatorv2!BA39&amp;$F$1&amp;fieldcreatorv2!C39&amp;$G$1&amp;fieldcreatorv2!BA39&amp;$G$2&amp;A36&amp;$G$3,"")</f>
        <v/>
      </c>
      <c r="H36" s="145" t="str">
        <f>+IF(AND(A36&lt;&gt;"",B36="y",fieldcreatorv2!I40&lt;&gt;"si"),+$B$4&amp;A36&amp;$B$5,"")</f>
        <v/>
      </c>
      <c r="I36" s="252" t="str">
        <f>+IF(AND(fieldcreatorv2!E40="bigtext"),"&lt;br/&gt;"&amp;fieldcreatorv2!B40&amp;$C$2&amp;A36&amp;$C$3&amp;A36&amp;$C$4,"")</f>
        <v/>
      </c>
      <c r="J36" s="165" t="str">
        <f>+IF(fieldcreatorv2!E40="texto",fieldcreatorv2!B40&amp;": "&amp;$C$5&amp;A36&amp;$C$6&amp;A36&amp;$C$7,"")</f>
        <v/>
      </c>
      <c r="K36" s="165" t="str">
        <f>+IF(AND(fieldcreatorv2!E40="date",C36="yes"),fieldcreatorv2!B40&amp;": "&amp;$D$1&amp;A36&amp;$D$2&amp;A36&amp;$D$3,"")</f>
        <v/>
      </c>
      <c r="L36" s="165" t="str">
        <f>+IF(fieldcreatorv2!E40="radio",fieldcreatorv2!B40&amp;" &lt;br/&gt;"&amp;fieldcreatorv2!C40&amp;$D$4&amp;fieldcreatorv2!BA40&amp;$D$5&amp;fieldcreatorv2!C40&amp;$D$6&amp;fieldcreatorv2!C40&amp;$D$7&amp;fieldcreatorv2!BA40&amp;$F$1&amp;fieldcreatorv2!C40&amp;$F$4,"")</f>
        <v/>
      </c>
      <c r="M36" s="165" t="str">
        <f>+IF(AND(fieldcreatorv2!E40="selectlist",A36&lt;&gt;""),"&lt;br/&gt;"&amp;A36&amp;$E$4&amp;A36&amp;$D$5&amp;A36&amp;$E$5,"")</f>
        <v/>
      </c>
      <c r="N36" s="165" t="str">
        <f>+IF(AND(fieldcreatorv2!AU40&lt;&gt;fieldcreatorv2!AU41,fieldcreatorv2!E40="selectlist"),"&lt;/select&gt;","")</f>
        <v/>
      </c>
      <c r="O36" s="165" t="str">
        <f>+IF(fieldcreatorv2!E40="selectlist",M36&amp;$E$6&amp;fieldcreatorv2!C40&amp;$E$7&amp;fieldcreatorv2!AU40&amp;$F$1&amp;fieldcreatorv2!C40&amp;$F$2&amp;fieldcreatorv2!C40&amp;$F$3&amp;N36,"")</f>
        <v/>
      </c>
      <c r="P36" s="165" t="str">
        <f>+IF(fieldcreatorv2!E40="check",$E$1&amp;A36&amp;$D$5&amp;A36&amp;$E$2&amp;A36&amp;$E$3&amp;A36,"")</f>
        <v/>
      </c>
      <c r="Q36" s="165" t="str">
        <f>+IF(AND(R35&lt;&gt;"",fieldcreatorv2!I40="si"),fieldcreatorv2!CS40&amp;I36&amp;J36&amp;fieldcreatorv2!CT40,IF(AND(C36="yes",fieldcreatorv2!I40&lt;&gt;"si"),I36&amp;J36,""))</f>
        <v/>
      </c>
      <c r="R36" s="145" t="str">
        <f>IF(OR(C36=$P$1,AND(R35&lt;&gt;"",fieldcreatorv2!E40="radio",fieldcreatorv2!BA40=fieldcreatorv2!BA39),AND(R35&lt;&gt;"",fieldcreatorv2!E40="selectlist",fieldcreatorv2!AU40=fieldcreatorv2!AU39)),K36&amp;L36&amp;O36&amp;P36,"")&amp;Q36</f>
        <v/>
      </c>
      <c r="S36" s="55" t="str">
        <f>IF(AND(C36=$P$2,fieldcreatorv2!I40&lt;&gt;"si"),fieldcreatorv2!B40&amp;":  "&amp;$F$5&amp;A36&amp;$F$6,"")</f>
        <v/>
      </c>
      <c r="T36" s="253" t="str">
        <f>+IF(fieldcreatorv2!I40="si",$G$4&amp;A36&amp;$G$5,"")&amp;U36</f>
        <v/>
      </c>
      <c r="U36" s="61" t="str">
        <f>+IF(AND(fieldcreatorv2!I40="si",fieldcreatorv2!E39="radio"),+$G$6&amp;fieldcreatorv2!C39&amp;$G$7&amp;fieldcreatorv2!C39&amp;$H$1&amp;$H$2&amp;fieldcreatorv2!C39&amp;$H$3&amp;A36&amp;$H$4,"")</f>
        <v/>
      </c>
      <c r="V36" s="61" t="str">
        <f>+IF(R36&lt;&gt;"",fieldcreatorv2!CY40,"")</f>
        <v/>
      </c>
      <c r="W36" s="55" t="str">
        <f>+IF(OR(fieldcreatorv2!I41="si",AND(W37&lt;&gt;"",fieldcreatorv2!E40="radio")),1,"")</f>
        <v/>
      </c>
      <c r="X36" s="55" t="str">
        <f>+IF(AND(W36=1,W37=""),fieldcreatorv2!C40,IF(AND(W36=1,W37=1),X37,""))</f>
        <v/>
      </c>
      <c r="Y36" s="55" t="str">
        <f>+IF(AND(W35=1,fieldcreatorv2!I40="si"),A36,IF(W36=1,Y37,""))</f>
        <v/>
      </c>
      <c r="Z36" s="254" t="str">
        <f t="shared" si="8"/>
        <v/>
      </c>
      <c r="AA36" s="165" t="str">
        <f t="shared" si="11"/>
        <v/>
      </c>
      <c r="AB36" s="238" t="str">
        <f>+IF(V36&lt;&gt;"",$K$4&amp;fieldcreatorv2!C40&amp;$K$5&amp;fieldcreatorv2!BX40&amp;$K$6&amp;fieldcreatorv2!C41&amp;$K$7,"")</f>
        <v/>
      </c>
      <c r="AC36" s="238" t="str">
        <f>IF(AND(C36="yes",fieldcreatorv2!E40="check"),A36&amp;$L$1&amp;A36&amp;$L$2,"")</f>
        <v/>
      </c>
      <c r="AD36" s="238" t="str">
        <f>+IF(AND(R36&lt;&gt;"",OR(fieldcreatorv2!E40="date",fieldcreatorv2!E40="bigtext",fieldcreatorv2!E40="texto",AND(fieldcreatorv2!E40="selectlist",A36&lt;&gt;""))),"var "&amp;A36&amp;$L$3&amp;A36&amp;$L$4,"")</f>
        <v/>
      </c>
      <c r="AE36" s="61" t="str">
        <f t="shared" si="12"/>
        <v/>
      </c>
      <c r="AF36" s="12">
        <f t="shared" si="15"/>
        <v>0</v>
      </c>
      <c r="AG36" s="12">
        <f t="shared" si="9"/>
        <v>0</v>
      </c>
      <c r="AH36" s="12" t="str">
        <f t="shared" si="14"/>
        <v/>
      </c>
      <c r="AI36" s="61" t="str">
        <f t="shared" si="5"/>
        <v/>
      </c>
      <c r="AJ36" s="55" t="str">
        <f t="shared" si="16"/>
        <v/>
      </c>
      <c r="AK36" s="38" t="str">
        <f t="shared" si="10"/>
        <v/>
      </c>
      <c r="AL36" s="55" t="str">
        <f t="shared" si="13"/>
        <v/>
      </c>
    </row>
    <row r="37" spans="1:38">
      <c r="A37" s="216" t="str">
        <f>IF(fieldcreatorv2!BX41&lt;&gt;"",fieldcreatorv2!BX41,"")</f>
        <v/>
      </c>
      <c r="B37" s="255"/>
      <c r="C37" s="255"/>
      <c r="D37" s="165" t="str">
        <f>+IF(AND(B37="y",A37&lt;&gt;"",fieldcreatorv2!I41&lt;&gt;"si"),$A$1&amp;A37&amp;$A$2,"")</f>
        <v/>
      </c>
      <c r="E37" s="165" t="str">
        <f>+IF(AND(A37&lt;&gt;"",B37="y"),fieldcreatorv2!E41,"")</f>
        <v/>
      </c>
      <c r="F37" s="165" t="str">
        <f t="shared" si="0"/>
        <v/>
      </c>
      <c r="G37" s="55" t="str">
        <f>+IF(fieldcreatorv2!I41="si",$F$7&amp;fieldcreatorv2!BA40&amp;$F$1&amp;fieldcreatorv2!C40&amp;$G$1&amp;fieldcreatorv2!BA40&amp;$G$2&amp;A37&amp;$G$3,"")</f>
        <v/>
      </c>
      <c r="H37" s="145" t="str">
        <f>+IF(AND(A37&lt;&gt;"",B37="y",fieldcreatorv2!I41&lt;&gt;"si"),+$B$4&amp;A37&amp;$B$5,"")</f>
        <v/>
      </c>
      <c r="I37" s="252" t="str">
        <f>+IF(AND(fieldcreatorv2!E41="bigtext"),"&lt;br/&gt;"&amp;fieldcreatorv2!B41&amp;$C$2&amp;A37&amp;$C$3&amp;A37&amp;$C$4,"")</f>
        <v/>
      </c>
      <c r="J37" s="165" t="str">
        <f>+IF(fieldcreatorv2!E41="texto",fieldcreatorv2!B41&amp;": "&amp;$C$5&amp;A37&amp;$C$6&amp;A37&amp;$C$7,"")</f>
        <v/>
      </c>
      <c r="K37" s="165" t="str">
        <f>+IF(AND(fieldcreatorv2!E41="date",C37="yes"),fieldcreatorv2!B41&amp;": "&amp;$D$1&amp;A37&amp;$D$2&amp;A37&amp;$D$3,"")</f>
        <v/>
      </c>
      <c r="L37" s="165" t="str">
        <f>+IF(fieldcreatorv2!E41="radio",fieldcreatorv2!B41&amp;" &lt;br/&gt;"&amp;fieldcreatorv2!C41&amp;$D$4&amp;fieldcreatorv2!BA41&amp;$D$5&amp;fieldcreatorv2!C41&amp;$D$6&amp;fieldcreatorv2!C41&amp;$D$7&amp;fieldcreatorv2!BA41&amp;$F$1&amp;fieldcreatorv2!C41&amp;$F$4,"")</f>
        <v/>
      </c>
      <c r="M37" s="165" t="str">
        <f>+IF(AND(fieldcreatorv2!E41="selectlist",A37&lt;&gt;""),"&lt;br/&gt;"&amp;A37&amp;$E$4&amp;A37&amp;$D$5&amp;A37&amp;$E$5,"")</f>
        <v/>
      </c>
      <c r="N37" s="165" t="str">
        <f>+IF(AND(fieldcreatorv2!AU41&lt;&gt;fieldcreatorv2!AU42,fieldcreatorv2!E41="selectlist"),"&lt;/select&gt;","")</f>
        <v/>
      </c>
      <c r="O37" s="165" t="str">
        <f>+IF(fieldcreatorv2!E41="selectlist",M37&amp;$E$6&amp;fieldcreatorv2!C41&amp;$E$7&amp;fieldcreatorv2!AU41&amp;$F$1&amp;fieldcreatorv2!C41&amp;$F$2&amp;fieldcreatorv2!C41&amp;$F$3&amp;N37,"")</f>
        <v/>
      </c>
      <c r="P37" s="165" t="str">
        <f>+IF(fieldcreatorv2!E41="check",$E$1&amp;A37&amp;$D$5&amp;A37&amp;$E$2&amp;A37&amp;$E$3&amp;A37,"")</f>
        <v/>
      </c>
      <c r="Q37" s="165" t="str">
        <f>+IF(AND(R36&lt;&gt;"",fieldcreatorv2!I41="si"),fieldcreatorv2!CS41&amp;I37&amp;J37&amp;fieldcreatorv2!CT41,IF(AND(C37="yes",fieldcreatorv2!I41&lt;&gt;"si"),I37&amp;J37,""))</f>
        <v/>
      </c>
      <c r="R37" s="145" t="str">
        <f>IF(OR(C37=$P$1,AND(R36&lt;&gt;"",fieldcreatorv2!E41="radio",fieldcreatorv2!BA41=fieldcreatorv2!BA40),AND(R36&lt;&gt;"",fieldcreatorv2!E41="selectlist",fieldcreatorv2!AU41=fieldcreatorv2!AU40)),K37&amp;L37&amp;O37&amp;P37,"")&amp;Q37</f>
        <v/>
      </c>
      <c r="S37" s="55" t="str">
        <f>IF(AND(C37=$P$2,fieldcreatorv2!I41&lt;&gt;"si"),fieldcreatorv2!B41&amp;":  "&amp;$F$5&amp;A37&amp;$F$6,"")</f>
        <v/>
      </c>
      <c r="T37" s="253" t="str">
        <f>+IF(fieldcreatorv2!I41="si",$G$4&amp;A37&amp;$G$5,"")&amp;U37</f>
        <v/>
      </c>
      <c r="U37" s="61" t="str">
        <f>+IF(AND(fieldcreatorv2!I41="si",fieldcreatorv2!E40="radio"),+$G$6&amp;fieldcreatorv2!C40&amp;$G$7&amp;fieldcreatorv2!C40&amp;$H$1&amp;$H$2&amp;fieldcreatorv2!C40&amp;$H$3&amp;A37&amp;$H$4,"")</f>
        <v/>
      </c>
      <c r="V37" s="61" t="str">
        <f>+IF(R37&lt;&gt;"",fieldcreatorv2!CY41,"")</f>
        <v/>
      </c>
      <c r="W37" s="55" t="str">
        <f>+IF(OR(fieldcreatorv2!I42="si",AND(W38&lt;&gt;"",fieldcreatorv2!E41="radio")),1,"")</f>
        <v/>
      </c>
      <c r="X37" s="55" t="str">
        <f>+IF(AND(W37=1,W38=""),fieldcreatorv2!C41,IF(AND(W37=1,W38=1),X38,""))</f>
        <v/>
      </c>
      <c r="Y37" s="55" t="str">
        <f>+IF(AND(W36=1,fieldcreatorv2!I41="si"),A37,IF(W37=1,Y38,""))</f>
        <v/>
      </c>
      <c r="Z37" s="254" t="str">
        <f t="shared" si="8"/>
        <v/>
      </c>
      <c r="AA37" s="165" t="str">
        <f t="shared" si="11"/>
        <v/>
      </c>
      <c r="AB37" s="238" t="str">
        <f>+IF(V37&lt;&gt;"",$K$4&amp;fieldcreatorv2!C41&amp;$K$5&amp;fieldcreatorv2!BX41&amp;$K$6&amp;fieldcreatorv2!C42&amp;$K$7,"")</f>
        <v/>
      </c>
      <c r="AC37" s="238" t="str">
        <f>IF(AND(C37="yes",fieldcreatorv2!E41="check"),A37&amp;$L$1&amp;A37&amp;$L$2,"")</f>
        <v/>
      </c>
      <c r="AD37" s="238" t="str">
        <f>+IF(AND(R37&lt;&gt;"",OR(fieldcreatorv2!E41="date",fieldcreatorv2!E41="bigtext",fieldcreatorv2!E41="texto",AND(fieldcreatorv2!E41="selectlist",A37&lt;&gt;""))),"var "&amp;A37&amp;$L$3&amp;A37&amp;$L$4,"")</f>
        <v/>
      </c>
      <c r="AE37" s="61" t="str">
        <f t="shared" si="12"/>
        <v/>
      </c>
      <c r="AF37" s="12">
        <f t="shared" si="15"/>
        <v>0</v>
      </c>
      <c r="AG37" s="12">
        <f t="shared" si="9"/>
        <v>0</v>
      </c>
      <c r="AH37" s="12" t="str">
        <f t="shared" si="14"/>
        <v/>
      </c>
      <c r="AI37" s="61" t="str">
        <f t="shared" si="5"/>
        <v/>
      </c>
      <c r="AJ37" s="55" t="str">
        <f t="shared" si="16"/>
        <v/>
      </c>
      <c r="AK37" s="38" t="str">
        <f t="shared" si="10"/>
        <v/>
      </c>
      <c r="AL37" s="55" t="str">
        <f t="shared" si="13"/>
        <v/>
      </c>
    </row>
    <row r="38" spans="1:38">
      <c r="A38" s="216" t="str">
        <f>IF(fieldcreatorv2!BX42&lt;&gt;"",fieldcreatorv2!BX42,"")</f>
        <v/>
      </c>
      <c r="B38" s="255"/>
      <c r="C38" s="255"/>
      <c r="D38" s="165" t="str">
        <f>+IF(AND(B38="y",A38&lt;&gt;"",fieldcreatorv2!I42&lt;&gt;"si"),$A$1&amp;A38&amp;$A$2,"")</f>
        <v/>
      </c>
      <c r="E38" s="165" t="str">
        <f>+IF(AND(A38&lt;&gt;"",B38="y"),fieldcreatorv2!E42,"")</f>
        <v/>
      </c>
      <c r="F38" s="165" t="str">
        <f t="shared" si="0"/>
        <v/>
      </c>
      <c r="G38" s="55" t="str">
        <f>+IF(fieldcreatorv2!I42="si",$F$7&amp;fieldcreatorv2!BA41&amp;$F$1&amp;fieldcreatorv2!C41&amp;$G$1&amp;fieldcreatorv2!BA41&amp;$G$2&amp;A38&amp;$G$3,"")</f>
        <v/>
      </c>
      <c r="H38" s="145" t="str">
        <f>+IF(AND(A38&lt;&gt;"",B38="y",fieldcreatorv2!I42&lt;&gt;"si"),+$B$4&amp;A38&amp;$B$5,"")</f>
        <v/>
      </c>
      <c r="I38" s="252" t="str">
        <f>+IF(AND(fieldcreatorv2!E42="bigtext"),"&lt;br/&gt;"&amp;fieldcreatorv2!B42&amp;$C$2&amp;A38&amp;$C$3&amp;A38&amp;$C$4,"")</f>
        <v/>
      </c>
      <c r="J38" s="165" t="str">
        <f>+IF(fieldcreatorv2!E42="texto",fieldcreatorv2!B42&amp;": "&amp;$C$5&amp;A38&amp;$C$6&amp;A38&amp;$C$7,"")</f>
        <v/>
      </c>
      <c r="K38" s="165" t="str">
        <f>+IF(AND(fieldcreatorv2!E42="date",C38="yes"),fieldcreatorv2!B42&amp;": "&amp;$D$1&amp;A38&amp;$D$2&amp;A38&amp;$D$3,"")</f>
        <v/>
      </c>
      <c r="L38" s="165" t="str">
        <f>+IF(fieldcreatorv2!E42="radio",fieldcreatorv2!B42&amp;" &lt;br/&gt;"&amp;fieldcreatorv2!C42&amp;$D$4&amp;fieldcreatorv2!BA42&amp;$D$5&amp;fieldcreatorv2!C42&amp;$D$6&amp;fieldcreatorv2!C42&amp;$D$7&amp;fieldcreatorv2!BA42&amp;$F$1&amp;fieldcreatorv2!C42&amp;$F$4,"")</f>
        <v/>
      </c>
      <c r="M38" s="165" t="str">
        <f>+IF(AND(fieldcreatorv2!E42="selectlist",A38&lt;&gt;""),"&lt;br/&gt;"&amp;A38&amp;$E$4&amp;A38&amp;$D$5&amp;A38&amp;$E$5,"")</f>
        <v/>
      </c>
      <c r="N38" s="165" t="str">
        <f>+IF(AND(fieldcreatorv2!AU42&lt;&gt;fieldcreatorv2!AU43,fieldcreatorv2!E42="selectlist"),"&lt;/select&gt;","")</f>
        <v/>
      </c>
      <c r="O38" s="165" t="str">
        <f>+IF(fieldcreatorv2!E42="selectlist",M38&amp;$E$6&amp;fieldcreatorv2!C42&amp;$E$7&amp;fieldcreatorv2!AU42&amp;$F$1&amp;fieldcreatorv2!C42&amp;$F$2&amp;fieldcreatorv2!C42&amp;$F$3&amp;N38,"")</f>
        <v/>
      </c>
      <c r="P38" s="165" t="str">
        <f>+IF(fieldcreatorv2!E42="check",$E$1&amp;A38&amp;$D$5&amp;A38&amp;$E$2&amp;A38&amp;$E$3&amp;A38,"")</f>
        <v/>
      </c>
      <c r="Q38" s="165" t="str">
        <f>+IF(AND(R37&lt;&gt;"",fieldcreatorv2!I42="si"),fieldcreatorv2!CS42&amp;I38&amp;J38&amp;fieldcreatorv2!CT42,IF(AND(C38="yes",fieldcreatorv2!I42&lt;&gt;"si"),I38&amp;J38,""))</f>
        <v/>
      </c>
      <c r="R38" s="145" t="str">
        <f>IF(OR(C38=$P$1,AND(R37&lt;&gt;"",fieldcreatorv2!E42="radio",fieldcreatorv2!BA42=fieldcreatorv2!BA41),AND(R37&lt;&gt;"",fieldcreatorv2!E42="selectlist",fieldcreatorv2!AU42=fieldcreatorv2!AU41)),K38&amp;L38&amp;O38&amp;P38,"")&amp;Q38</f>
        <v/>
      </c>
      <c r="S38" s="55" t="str">
        <f>IF(AND(C38=$P$2,fieldcreatorv2!I42&lt;&gt;"si"),fieldcreatorv2!B42&amp;":  "&amp;$F$5&amp;A38&amp;$F$6,"")</f>
        <v/>
      </c>
      <c r="T38" s="253" t="str">
        <f>+IF(fieldcreatorv2!I42="si",$G$4&amp;A38&amp;$G$5,"")&amp;U38</f>
        <v/>
      </c>
      <c r="U38" s="61" t="str">
        <f>+IF(AND(fieldcreatorv2!I42="si",fieldcreatorv2!E41="radio"),+$G$6&amp;fieldcreatorv2!C41&amp;$G$7&amp;fieldcreatorv2!C41&amp;$H$1&amp;$H$2&amp;fieldcreatorv2!C41&amp;$H$3&amp;A38&amp;$H$4,"")</f>
        <v/>
      </c>
      <c r="V38" s="61" t="str">
        <f>+IF(R38&lt;&gt;"",fieldcreatorv2!CY42,"")</f>
        <v/>
      </c>
      <c r="W38" s="55" t="str">
        <f>+IF(OR(fieldcreatorv2!I43="si",AND(W39&lt;&gt;"",fieldcreatorv2!E42="radio")),1,"")</f>
        <v/>
      </c>
      <c r="X38" s="55" t="str">
        <f>+IF(AND(W38=1,W39=""),fieldcreatorv2!C42,IF(AND(W38=1,W39=1),X39,""))</f>
        <v/>
      </c>
      <c r="Y38" s="55" t="str">
        <f>+IF(AND(W37=1,fieldcreatorv2!I42="si"),A38,IF(W38=1,Y39,""))</f>
        <v/>
      </c>
      <c r="Z38" s="254" t="str">
        <f t="shared" si="8"/>
        <v/>
      </c>
      <c r="AA38" s="165" t="str">
        <f t="shared" si="11"/>
        <v/>
      </c>
      <c r="AB38" s="238" t="str">
        <f>+IF(V38&lt;&gt;"",$K$4&amp;fieldcreatorv2!C42&amp;$K$5&amp;fieldcreatorv2!BX42&amp;$K$6&amp;fieldcreatorv2!C43&amp;$K$7,"")</f>
        <v/>
      </c>
      <c r="AC38" s="238" t="str">
        <f>IF(AND(C38="yes",fieldcreatorv2!E42="check"),A38&amp;$L$1&amp;A38&amp;$L$2,"")</f>
        <v/>
      </c>
      <c r="AD38" s="238" t="str">
        <f>+IF(AND(R38&lt;&gt;"",OR(fieldcreatorv2!E42="date",fieldcreatorv2!E42="bigtext",fieldcreatorv2!E42="texto",AND(fieldcreatorv2!E42="selectlist",A38&lt;&gt;""))),"var "&amp;A38&amp;$L$3&amp;A38&amp;$L$4,"")</f>
        <v/>
      </c>
      <c r="AE38" s="61" t="str">
        <f t="shared" si="12"/>
        <v/>
      </c>
      <c r="AF38" s="12">
        <f t="shared" si="15"/>
        <v>0</v>
      </c>
      <c r="AG38" s="12">
        <f t="shared" si="9"/>
        <v>0</v>
      </c>
      <c r="AH38" s="12" t="str">
        <f t="shared" si="14"/>
        <v/>
      </c>
      <c r="AI38" s="61" t="str">
        <f t="shared" si="5"/>
        <v/>
      </c>
      <c r="AJ38" s="55" t="str">
        <f t="shared" si="16"/>
        <v/>
      </c>
      <c r="AK38" s="38" t="str">
        <f t="shared" si="10"/>
        <v/>
      </c>
      <c r="AL38" s="55" t="str">
        <f t="shared" si="13"/>
        <v/>
      </c>
    </row>
    <row r="39" spans="1:38">
      <c r="A39" s="216" t="str">
        <f>IF(fieldcreatorv2!BX43&lt;&gt;"",fieldcreatorv2!BX43,"")</f>
        <v/>
      </c>
      <c r="B39" s="255"/>
      <c r="C39" s="255"/>
      <c r="D39" s="165" t="str">
        <f>+IF(AND(B39="y",A39&lt;&gt;"",fieldcreatorv2!I43&lt;&gt;"si"),$A$1&amp;A39&amp;$A$2,"")</f>
        <v/>
      </c>
      <c r="E39" s="165" t="str">
        <f>+IF(AND(A39&lt;&gt;"",B39="y"),fieldcreatorv2!E43,"")</f>
        <v/>
      </c>
      <c r="F39" s="165" t="str">
        <f t="shared" si="0"/>
        <v/>
      </c>
      <c r="G39" s="55" t="str">
        <f>+IF(fieldcreatorv2!I43="si",$F$7&amp;fieldcreatorv2!BA42&amp;$F$1&amp;fieldcreatorv2!C42&amp;$G$1&amp;fieldcreatorv2!BA42&amp;$G$2&amp;A39&amp;$G$3,"")</f>
        <v/>
      </c>
      <c r="H39" s="145" t="str">
        <f>+IF(AND(A39&lt;&gt;"",B39="y",fieldcreatorv2!I43&lt;&gt;"si"),+$B$4&amp;A39&amp;$B$5,"")</f>
        <v/>
      </c>
      <c r="I39" s="252" t="str">
        <f>+IF(AND(fieldcreatorv2!E43="bigtext"),"&lt;br/&gt;"&amp;fieldcreatorv2!B43&amp;$C$2&amp;A39&amp;$C$3&amp;A39&amp;$C$4,"")</f>
        <v/>
      </c>
      <c r="J39" s="165" t="str">
        <f>+IF(fieldcreatorv2!E43="texto",fieldcreatorv2!B43&amp;": "&amp;$C$5&amp;A39&amp;$C$6&amp;A39&amp;$C$7,"")</f>
        <v/>
      </c>
      <c r="K39" s="165" t="str">
        <f>+IF(AND(fieldcreatorv2!E43="date",C39="yes"),fieldcreatorv2!B43&amp;": "&amp;$D$1&amp;A39&amp;$D$2&amp;A39&amp;$D$3,"")</f>
        <v/>
      </c>
      <c r="L39" s="165" t="str">
        <f>+IF(fieldcreatorv2!E43="radio",fieldcreatorv2!B43&amp;" &lt;br/&gt;"&amp;fieldcreatorv2!C43&amp;$D$4&amp;fieldcreatorv2!BA43&amp;$D$5&amp;fieldcreatorv2!C43&amp;$D$6&amp;fieldcreatorv2!C43&amp;$D$7&amp;fieldcreatorv2!BA43&amp;$F$1&amp;fieldcreatorv2!C43&amp;$F$4,"")</f>
        <v/>
      </c>
      <c r="M39" s="165" t="str">
        <f>+IF(AND(fieldcreatorv2!E43="selectlist",A39&lt;&gt;""),"&lt;br/&gt;"&amp;A39&amp;$E$4&amp;A39&amp;$D$5&amp;A39&amp;$E$5,"")</f>
        <v/>
      </c>
      <c r="N39" s="165" t="str">
        <f>+IF(AND(fieldcreatorv2!AU43&lt;&gt;fieldcreatorv2!AU44,fieldcreatorv2!E43="selectlist"),"&lt;/select&gt;","")</f>
        <v/>
      </c>
      <c r="O39" s="165" t="str">
        <f>+IF(fieldcreatorv2!E43="selectlist",M39&amp;$E$6&amp;fieldcreatorv2!C43&amp;$E$7&amp;fieldcreatorv2!AU43&amp;$F$1&amp;fieldcreatorv2!C43&amp;$F$2&amp;fieldcreatorv2!C43&amp;$F$3&amp;N39,"")</f>
        <v/>
      </c>
      <c r="P39" s="165" t="str">
        <f>+IF(fieldcreatorv2!E43="check",$E$1&amp;A39&amp;$D$5&amp;A39&amp;$E$2&amp;A39&amp;$E$3&amp;A39,"")</f>
        <v/>
      </c>
      <c r="Q39" s="165" t="str">
        <f>+IF(AND(R38&lt;&gt;"",fieldcreatorv2!I43="si"),fieldcreatorv2!CS43&amp;I39&amp;J39&amp;fieldcreatorv2!CT43,IF(AND(C39="yes",fieldcreatorv2!I43&lt;&gt;"si"),I39&amp;J39,""))</f>
        <v/>
      </c>
      <c r="R39" s="145" t="str">
        <f>IF(OR(C39=$P$1,AND(R38&lt;&gt;"",fieldcreatorv2!E43="radio",fieldcreatorv2!BA43=fieldcreatorv2!BA42),AND(R38&lt;&gt;"",fieldcreatorv2!E43="selectlist",fieldcreatorv2!AU43=fieldcreatorv2!AU42)),K39&amp;L39&amp;O39&amp;P39,"")&amp;Q39</f>
        <v/>
      </c>
      <c r="S39" s="55" t="str">
        <f>IF(AND(C39=$P$2,fieldcreatorv2!I43&lt;&gt;"si"),fieldcreatorv2!B43&amp;":  "&amp;$F$5&amp;A39&amp;$F$6,"")</f>
        <v/>
      </c>
      <c r="T39" s="253" t="str">
        <f>+IF(fieldcreatorv2!I43="si",$G$4&amp;A39&amp;$G$5,"")&amp;U39</f>
        <v/>
      </c>
      <c r="U39" s="61" t="str">
        <f>+IF(AND(fieldcreatorv2!I43="si",fieldcreatorv2!E42="radio"),+$G$6&amp;fieldcreatorv2!C42&amp;$G$7&amp;fieldcreatorv2!C42&amp;$H$1&amp;$H$2&amp;fieldcreatorv2!C42&amp;$H$3&amp;A39&amp;$H$4,"")</f>
        <v/>
      </c>
      <c r="V39" s="61" t="str">
        <f>+IF(R39&lt;&gt;"",fieldcreatorv2!CY43,"")</f>
        <v/>
      </c>
      <c r="W39" s="55" t="str">
        <f>+IF(OR(fieldcreatorv2!I44="si",AND(W40&lt;&gt;"",fieldcreatorv2!E43="radio")),1,"")</f>
        <v/>
      </c>
      <c r="X39" s="55" t="str">
        <f>+IF(AND(W39=1,W40=""),fieldcreatorv2!C43,IF(AND(W39=1,W40=1),X40,""))</f>
        <v/>
      </c>
      <c r="Y39" s="55" t="str">
        <f>+IF(AND(W38=1,fieldcreatorv2!I43="si"),A39,IF(W39=1,Y40,""))</f>
        <v/>
      </c>
      <c r="Z39" s="254" t="str">
        <f t="shared" si="8"/>
        <v/>
      </c>
      <c r="AA39" s="165" t="str">
        <f t="shared" si="11"/>
        <v/>
      </c>
      <c r="AB39" s="238" t="str">
        <f>+IF(V39&lt;&gt;"",$K$4&amp;fieldcreatorv2!C43&amp;$K$5&amp;fieldcreatorv2!BX43&amp;$K$6&amp;fieldcreatorv2!C44&amp;$K$7,"")</f>
        <v/>
      </c>
      <c r="AC39" s="238" t="str">
        <f>IF(AND(C39="yes",fieldcreatorv2!E43="check"),A39&amp;$L$1&amp;A39&amp;$L$2,"")</f>
        <v/>
      </c>
      <c r="AD39" s="238" t="str">
        <f>+IF(AND(R39&lt;&gt;"",OR(fieldcreatorv2!E43="date",fieldcreatorv2!E43="bigtext",fieldcreatorv2!E43="texto",AND(fieldcreatorv2!E43="selectlist",A39&lt;&gt;""))),"var "&amp;A39&amp;$L$3&amp;A39&amp;$L$4,"")</f>
        <v/>
      </c>
      <c r="AE39" s="61" t="str">
        <f t="shared" si="12"/>
        <v/>
      </c>
      <c r="AF39" s="12">
        <f t="shared" si="15"/>
        <v>0</v>
      </c>
      <c r="AG39" s="12">
        <f t="shared" si="9"/>
        <v>0</v>
      </c>
      <c r="AH39" s="12" t="str">
        <f t="shared" si="14"/>
        <v/>
      </c>
      <c r="AI39" s="61" t="str">
        <f t="shared" si="5"/>
        <v/>
      </c>
      <c r="AJ39" s="55" t="str">
        <f t="shared" si="16"/>
        <v/>
      </c>
      <c r="AK39" s="38" t="str">
        <f t="shared" si="10"/>
        <v/>
      </c>
      <c r="AL39" s="55" t="str">
        <f t="shared" si="13"/>
        <v/>
      </c>
    </row>
    <row r="40" spans="1:38">
      <c r="A40" s="216" t="str">
        <f>IF(fieldcreatorv2!BX44&lt;&gt;"",fieldcreatorv2!BX44,"")</f>
        <v/>
      </c>
      <c r="B40" s="255"/>
      <c r="C40" s="255"/>
      <c r="D40" s="165" t="str">
        <f>+IF(AND(B40="y",A40&lt;&gt;"",fieldcreatorv2!I44&lt;&gt;"si"),$A$1&amp;A40&amp;$A$2,"")</f>
        <v/>
      </c>
      <c r="E40" s="165" t="str">
        <f>+IF(AND(A40&lt;&gt;"",B40="y"),fieldcreatorv2!E44,"")</f>
        <v/>
      </c>
      <c r="F40" s="165" t="str">
        <f t="shared" si="0"/>
        <v/>
      </c>
      <c r="G40" s="55" t="str">
        <f>+IF(fieldcreatorv2!I44="si",$F$7&amp;fieldcreatorv2!BA43&amp;$F$1&amp;fieldcreatorv2!C43&amp;$G$1&amp;fieldcreatorv2!BA43&amp;$G$2&amp;A40&amp;$G$3,"")</f>
        <v/>
      </c>
      <c r="H40" s="145" t="str">
        <f>+IF(AND(A40&lt;&gt;"",B40="y",fieldcreatorv2!I44&lt;&gt;"si"),+$B$4&amp;A40&amp;$B$5,"")</f>
        <v/>
      </c>
      <c r="I40" s="252" t="str">
        <f>+IF(AND(fieldcreatorv2!E44="bigtext"),"&lt;br/&gt;"&amp;fieldcreatorv2!B44&amp;$C$2&amp;A40&amp;$C$3&amp;A40&amp;$C$4,"")</f>
        <v/>
      </c>
      <c r="J40" s="165" t="str">
        <f>+IF(fieldcreatorv2!E44="texto",fieldcreatorv2!B44&amp;": "&amp;$C$5&amp;A40&amp;$C$6&amp;A40&amp;$C$7,"")</f>
        <v/>
      </c>
      <c r="K40" s="165" t="str">
        <f>+IF(AND(fieldcreatorv2!E44="date",C40="yes"),fieldcreatorv2!B44&amp;": "&amp;$D$1&amp;A40&amp;$D$2&amp;A40&amp;$D$3,"")</f>
        <v/>
      </c>
      <c r="L40" s="165" t="str">
        <f>+IF(fieldcreatorv2!E44="radio",fieldcreatorv2!B44&amp;" &lt;br/&gt;"&amp;fieldcreatorv2!C44&amp;$D$4&amp;fieldcreatorv2!BA44&amp;$D$5&amp;fieldcreatorv2!C44&amp;$D$6&amp;fieldcreatorv2!C44&amp;$D$7&amp;fieldcreatorv2!BA44&amp;$F$1&amp;fieldcreatorv2!C44&amp;$F$4,"")</f>
        <v/>
      </c>
      <c r="M40" s="165" t="str">
        <f>+IF(AND(fieldcreatorv2!E44="selectlist",A40&lt;&gt;""),"&lt;br/&gt;"&amp;A40&amp;$E$4&amp;A40&amp;$D$5&amp;A40&amp;$E$5,"")</f>
        <v/>
      </c>
      <c r="N40" s="165" t="str">
        <f>+IF(AND(fieldcreatorv2!AU44&lt;&gt;fieldcreatorv2!AU45,fieldcreatorv2!E44="selectlist"),"&lt;/select&gt;","")</f>
        <v/>
      </c>
      <c r="O40" s="165" t="str">
        <f>+IF(fieldcreatorv2!E44="selectlist",M40&amp;$E$6&amp;fieldcreatorv2!C44&amp;$E$7&amp;fieldcreatorv2!AU44&amp;$F$1&amp;fieldcreatorv2!C44&amp;$F$2&amp;fieldcreatorv2!C44&amp;$F$3&amp;N40,"")</f>
        <v/>
      </c>
      <c r="P40" s="165" t="str">
        <f>+IF(fieldcreatorv2!E44="check",$E$1&amp;A40&amp;$D$5&amp;A40&amp;$E$2&amp;A40&amp;$E$3&amp;A40,"")</f>
        <v/>
      </c>
      <c r="Q40" s="165" t="str">
        <f>+IF(AND(R39&lt;&gt;"",fieldcreatorv2!I44="si"),fieldcreatorv2!CS44&amp;I40&amp;J40&amp;fieldcreatorv2!CT44,IF(AND(C40="yes",fieldcreatorv2!I44&lt;&gt;"si"),I40&amp;J40,""))</f>
        <v/>
      </c>
      <c r="R40" s="145" t="str">
        <f>IF(OR(C40=$P$1,AND(R39&lt;&gt;"",fieldcreatorv2!E44="radio",fieldcreatorv2!BA44=fieldcreatorv2!BA43),AND(R39&lt;&gt;"",fieldcreatorv2!E44="selectlist",fieldcreatorv2!AU44=fieldcreatorv2!AU43)),K40&amp;L40&amp;O40&amp;P40,"")&amp;Q40</f>
        <v/>
      </c>
      <c r="S40" s="55" t="str">
        <f>IF(AND(C40=$P$2,fieldcreatorv2!I44&lt;&gt;"si"),fieldcreatorv2!B44&amp;":  "&amp;$F$5&amp;A40&amp;$F$6,"")</f>
        <v/>
      </c>
      <c r="T40" s="253" t="str">
        <f>+IF(fieldcreatorv2!I44="si",$G$4&amp;A40&amp;$G$5,"")&amp;U40</f>
        <v/>
      </c>
      <c r="U40" s="61" t="str">
        <f>+IF(AND(fieldcreatorv2!I44="si",fieldcreatorv2!E43="radio"),+$G$6&amp;fieldcreatorv2!C43&amp;$G$7&amp;fieldcreatorv2!C43&amp;$H$1&amp;$H$2&amp;fieldcreatorv2!C43&amp;$H$3&amp;A40&amp;$H$4,"")</f>
        <v/>
      </c>
      <c r="V40" s="61" t="str">
        <f>+IF(R40&lt;&gt;"",fieldcreatorv2!CY44,"")</f>
        <v/>
      </c>
      <c r="W40" s="55" t="str">
        <f>+IF(OR(fieldcreatorv2!I45="si",AND(W41&lt;&gt;"",fieldcreatorv2!E44="radio")),1,"")</f>
        <v/>
      </c>
      <c r="X40" s="55" t="str">
        <f>+IF(AND(W40=1,W41=""),fieldcreatorv2!C44,IF(AND(W40=1,W41=1),X41,""))</f>
        <v/>
      </c>
      <c r="Y40" s="55" t="str">
        <f>+IF(AND(W39=1,fieldcreatorv2!I44="si"),A40,IF(W40=1,Y41,""))</f>
        <v/>
      </c>
      <c r="Z40" s="254" t="str">
        <f t="shared" si="8"/>
        <v/>
      </c>
      <c r="AA40" s="165" t="str">
        <f t="shared" si="11"/>
        <v/>
      </c>
      <c r="AB40" s="238" t="str">
        <f>+IF(V40&lt;&gt;"",$K$4&amp;fieldcreatorv2!C44&amp;$K$5&amp;fieldcreatorv2!BX44&amp;$K$6&amp;fieldcreatorv2!C45&amp;$K$7,"")</f>
        <v/>
      </c>
      <c r="AC40" s="238" t="str">
        <f>IF(AND(C40="yes",fieldcreatorv2!E44="check"),A40&amp;$L$1&amp;A40&amp;$L$2,"")</f>
        <v/>
      </c>
      <c r="AD40" s="238" t="str">
        <f>+IF(AND(R40&lt;&gt;"",OR(fieldcreatorv2!E44="date",fieldcreatorv2!E44="bigtext",fieldcreatorv2!E44="texto",AND(fieldcreatorv2!E44="selectlist",A40&lt;&gt;""))),"var "&amp;A40&amp;$L$3&amp;A40&amp;$L$4,"")</f>
        <v/>
      </c>
      <c r="AE40" s="61" t="str">
        <f t="shared" si="12"/>
        <v/>
      </c>
      <c r="AF40" s="12">
        <f t="shared" si="15"/>
        <v>0</v>
      </c>
      <c r="AG40" s="12">
        <f t="shared" si="9"/>
        <v>0</v>
      </c>
      <c r="AH40" s="12" t="str">
        <f t="shared" si="14"/>
        <v/>
      </c>
      <c r="AI40" s="61" t="str">
        <f t="shared" si="5"/>
        <v/>
      </c>
      <c r="AJ40" s="55" t="str">
        <f t="shared" si="16"/>
        <v/>
      </c>
      <c r="AK40" s="38" t="str">
        <f t="shared" si="10"/>
        <v/>
      </c>
      <c r="AL40" s="55" t="str">
        <f t="shared" si="13"/>
        <v/>
      </c>
    </row>
    <row r="41" spans="1:38">
      <c r="A41" s="216" t="str">
        <f>IF(fieldcreatorv2!BX45&lt;&gt;"",fieldcreatorv2!BX45,"")</f>
        <v/>
      </c>
      <c r="B41" s="255"/>
      <c r="C41" s="255"/>
      <c r="D41" s="165" t="str">
        <f>+IF(AND(B41="y",A41&lt;&gt;"",fieldcreatorv2!I45&lt;&gt;"si"),$A$1&amp;A41&amp;$A$2,"")</f>
        <v/>
      </c>
      <c r="E41" s="165" t="str">
        <f>+IF(AND(A41&lt;&gt;"",B41="y"),fieldcreatorv2!E45,"")</f>
        <v/>
      </c>
      <c r="F41" s="165" t="str">
        <f t="shared" si="0"/>
        <v/>
      </c>
      <c r="G41" s="55" t="str">
        <f>+IF(fieldcreatorv2!I45="si",$F$7&amp;fieldcreatorv2!BA44&amp;$F$1&amp;fieldcreatorv2!C44&amp;$G$1&amp;fieldcreatorv2!BA44&amp;$G$2&amp;A41&amp;$G$3,"")</f>
        <v/>
      </c>
      <c r="H41" s="145" t="str">
        <f>+IF(AND(A41&lt;&gt;"",B41="y",fieldcreatorv2!I45&lt;&gt;"si"),+$B$4&amp;A41&amp;$B$5,"")</f>
        <v/>
      </c>
      <c r="I41" s="252" t="str">
        <f>+IF(AND(fieldcreatorv2!E45="bigtext"),"&lt;br/&gt;"&amp;fieldcreatorv2!B45&amp;$C$2&amp;A41&amp;$C$3&amp;A41&amp;$C$4,"")</f>
        <v/>
      </c>
      <c r="J41" s="165" t="str">
        <f>+IF(fieldcreatorv2!E45="texto",fieldcreatorv2!B45&amp;": "&amp;$C$5&amp;A41&amp;$C$6&amp;A41&amp;$C$7,"")</f>
        <v/>
      </c>
      <c r="K41" s="165" t="str">
        <f>+IF(AND(fieldcreatorv2!E45="date",C41="yes"),fieldcreatorv2!B45&amp;": "&amp;$D$1&amp;A41&amp;$D$2&amp;A41&amp;$D$3,"")</f>
        <v/>
      </c>
      <c r="L41" s="165" t="str">
        <f>+IF(fieldcreatorv2!E45="radio",fieldcreatorv2!B45&amp;" &lt;br/&gt;"&amp;fieldcreatorv2!C45&amp;$D$4&amp;fieldcreatorv2!BA45&amp;$D$5&amp;fieldcreatorv2!C45&amp;$D$6&amp;fieldcreatorv2!C45&amp;$D$7&amp;fieldcreatorv2!BA45&amp;$F$1&amp;fieldcreatorv2!C45&amp;$F$4,"")</f>
        <v/>
      </c>
      <c r="M41" s="165" t="str">
        <f>+IF(AND(fieldcreatorv2!E45="selectlist",A41&lt;&gt;""),"&lt;br/&gt;"&amp;A41&amp;$E$4&amp;A41&amp;$D$5&amp;A41&amp;$E$5,"")</f>
        <v/>
      </c>
      <c r="N41" s="165" t="str">
        <f>+IF(AND(fieldcreatorv2!AU45&lt;&gt;fieldcreatorv2!AU46,fieldcreatorv2!E45="selectlist"),"&lt;/select&gt;","")</f>
        <v/>
      </c>
      <c r="O41" s="165" t="str">
        <f>+IF(fieldcreatorv2!E45="selectlist",M41&amp;$E$6&amp;fieldcreatorv2!C45&amp;$E$7&amp;fieldcreatorv2!AU45&amp;$F$1&amp;fieldcreatorv2!C45&amp;$F$2&amp;fieldcreatorv2!C45&amp;$F$3&amp;N41,"")</f>
        <v/>
      </c>
      <c r="P41" s="165" t="str">
        <f>+IF(fieldcreatorv2!E45="check",$E$1&amp;A41&amp;$D$5&amp;A41&amp;$E$2&amp;A41&amp;$E$3&amp;A41,"")</f>
        <v/>
      </c>
      <c r="Q41" s="165" t="str">
        <f>+IF(AND(R40&lt;&gt;"",fieldcreatorv2!I45="si"),fieldcreatorv2!CS45&amp;I41&amp;J41&amp;fieldcreatorv2!CT45,IF(AND(C41="yes",fieldcreatorv2!I45&lt;&gt;"si"),I41&amp;J41,""))</f>
        <v/>
      </c>
      <c r="R41" s="145" t="str">
        <f>IF(OR(C41=$P$1,AND(R40&lt;&gt;"",fieldcreatorv2!E45="radio",fieldcreatorv2!BA45=fieldcreatorv2!BA44),AND(R40&lt;&gt;"",fieldcreatorv2!E45="selectlist",fieldcreatorv2!AU45=fieldcreatorv2!AU44)),K41&amp;L41&amp;O41&amp;P41,"")&amp;Q41</f>
        <v/>
      </c>
      <c r="S41" s="55" t="str">
        <f>IF(AND(C41=$P$2,fieldcreatorv2!I45&lt;&gt;"si"),fieldcreatorv2!B45&amp;":  "&amp;$F$5&amp;A41&amp;$F$6,"")</f>
        <v/>
      </c>
      <c r="T41" s="253" t="str">
        <f>+IF(fieldcreatorv2!I45="si",$G$4&amp;A41&amp;$G$5,"")&amp;U41</f>
        <v/>
      </c>
      <c r="U41" s="61" t="str">
        <f>+IF(AND(fieldcreatorv2!I45="si",fieldcreatorv2!E44="radio"),+$G$6&amp;fieldcreatorv2!C44&amp;$G$7&amp;fieldcreatorv2!C44&amp;$H$1&amp;$H$2&amp;fieldcreatorv2!C44&amp;$H$3&amp;A41&amp;$H$4,"")</f>
        <v/>
      </c>
      <c r="V41" s="61" t="str">
        <f>+IF(R41&lt;&gt;"",fieldcreatorv2!CY45,"")</f>
        <v/>
      </c>
      <c r="W41" s="55" t="str">
        <f>+IF(OR(fieldcreatorv2!I46="si",AND(W42&lt;&gt;"",fieldcreatorv2!E45="radio")),1,"")</f>
        <v/>
      </c>
      <c r="X41" s="55" t="str">
        <f>+IF(AND(W41=1,W42=""),fieldcreatorv2!C45,IF(AND(W41=1,W42=1),X42,""))</f>
        <v/>
      </c>
      <c r="Y41" s="55" t="str">
        <f>+IF(AND(W40=1,fieldcreatorv2!I45="si"),A41,IF(W41=1,Y42,""))</f>
        <v/>
      </c>
      <c r="Z41" s="254" t="str">
        <f t="shared" si="8"/>
        <v/>
      </c>
      <c r="AA41" s="165" t="str">
        <f t="shared" si="11"/>
        <v/>
      </c>
      <c r="AB41" s="238" t="str">
        <f>+IF(V41&lt;&gt;"",$K$4&amp;fieldcreatorv2!C45&amp;$K$5&amp;fieldcreatorv2!BX45&amp;$K$6&amp;fieldcreatorv2!C46&amp;$K$7,"")</f>
        <v/>
      </c>
      <c r="AC41" s="238" t="str">
        <f>IF(AND(C41="yes",fieldcreatorv2!E45="check"),A41&amp;$L$1&amp;A41&amp;$L$2,"")</f>
        <v/>
      </c>
      <c r="AD41" s="238" t="str">
        <f>+IF(AND(R41&lt;&gt;"",OR(fieldcreatorv2!E45="date",fieldcreatorv2!E45="bigtext",fieldcreatorv2!E45="texto",AND(fieldcreatorv2!E45="selectlist",A41&lt;&gt;""))),"var "&amp;A41&amp;$L$3&amp;A41&amp;$L$4,"")</f>
        <v/>
      </c>
      <c r="AE41" s="61" t="str">
        <f t="shared" si="12"/>
        <v/>
      </c>
      <c r="AF41" s="12">
        <f t="shared" si="15"/>
        <v>0</v>
      </c>
      <c r="AG41" s="12">
        <f t="shared" si="9"/>
        <v>0</v>
      </c>
      <c r="AH41" s="12" t="str">
        <f t="shared" si="14"/>
        <v/>
      </c>
      <c r="AI41" s="61" t="str">
        <f t="shared" si="5"/>
        <v/>
      </c>
      <c r="AJ41" s="55" t="str">
        <f t="shared" si="16"/>
        <v/>
      </c>
      <c r="AK41" s="38" t="str">
        <f t="shared" si="10"/>
        <v/>
      </c>
      <c r="AL41" s="55" t="str">
        <f t="shared" si="13"/>
        <v/>
      </c>
    </row>
    <row r="42" spans="1:38">
      <c r="A42" s="216" t="str">
        <f>IF(fieldcreatorv2!BX46&lt;&gt;"",fieldcreatorv2!BX46,"")</f>
        <v/>
      </c>
      <c r="B42" s="255"/>
      <c r="C42" s="255"/>
      <c r="D42" s="165" t="str">
        <f>+IF(AND(B42="y",A42&lt;&gt;"",fieldcreatorv2!I46&lt;&gt;"si"),$A$1&amp;A42&amp;$A$2,"")</f>
        <v/>
      </c>
      <c r="E42" s="165" t="str">
        <f>+IF(AND(A42&lt;&gt;"",B42="y"),fieldcreatorv2!E46,"")</f>
        <v/>
      </c>
      <c r="F42" s="165" t="str">
        <f t="shared" si="0"/>
        <v/>
      </c>
      <c r="G42" s="55" t="str">
        <f>+IF(fieldcreatorv2!I46="si",$F$7&amp;fieldcreatorv2!BA45&amp;$F$1&amp;fieldcreatorv2!C45&amp;$G$1&amp;fieldcreatorv2!BA45&amp;$G$2&amp;A42&amp;$G$3,"")</f>
        <v/>
      </c>
      <c r="H42" s="145" t="str">
        <f>+IF(AND(A42&lt;&gt;"",B42="y",fieldcreatorv2!I46&lt;&gt;"si"),+$B$4&amp;A42&amp;$B$5,"")</f>
        <v/>
      </c>
      <c r="I42" s="252" t="str">
        <f>+IF(AND(fieldcreatorv2!E46="bigtext"),"&lt;br/&gt;"&amp;fieldcreatorv2!B46&amp;$C$2&amp;A42&amp;$C$3&amp;A42&amp;$C$4,"")</f>
        <v/>
      </c>
      <c r="J42" s="165" t="str">
        <f>+IF(fieldcreatorv2!E46="texto",fieldcreatorv2!B46&amp;": "&amp;$C$5&amp;A42&amp;$C$6&amp;A42&amp;$C$7,"")</f>
        <v/>
      </c>
      <c r="K42" s="165" t="str">
        <f>+IF(AND(fieldcreatorv2!E46="date",C42="yes"),fieldcreatorv2!B46&amp;": "&amp;$D$1&amp;A42&amp;$D$2&amp;A42&amp;$D$3,"")</f>
        <v/>
      </c>
      <c r="L42" s="165" t="str">
        <f>+IF(fieldcreatorv2!E46="radio",fieldcreatorv2!B46&amp;" &lt;br/&gt;"&amp;fieldcreatorv2!C46&amp;$D$4&amp;fieldcreatorv2!BA46&amp;$D$5&amp;fieldcreatorv2!C46&amp;$D$6&amp;fieldcreatorv2!C46&amp;$D$7&amp;fieldcreatorv2!BA46&amp;$F$1&amp;fieldcreatorv2!C46&amp;$F$4,"")</f>
        <v/>
      </c>
      <c r="M42" s="165" t="str">
        <f>+IF(AND(fieldcreatorv2!E46="selectlist",A42&lt;&gt;""),"&lt;br/&gt;"&amp;A42&amp;$E$4&amp;A42&amp;$D$5&amp;A42&amp;$E$5,"")</f>
        <v/>
      </c>
      <c r="N42" s="165" t="str">
        <f>+IF(AND(fieldcreatorv2!AU46&lt;&gt;fieldcreatorv2!AU47,fieldcreatorv2!E46="selectlist"),"&lt;/select&gt;","")</f>
        <v/>
      </c>
      <c r="O42" s="165" t="str">
        <f>+IF(fieldcreatorv2!E46="selectlist",M42&amp;$E$6&amp;fieldcreatorv2!C46&amp;$E$7&amp;fieldcreatorv2!AU46&amp;$F$1&amp;fieldcreatorv2!C46&amp;$F$2&amp;fieldcreatorv2!C46&amp;$F$3&amp;N42,"")</f>
        <v/>
      </c>
      <c r="P42" s="165" t="str">
        <f>+IF(fieldcreatorv2!E46="check",$E$1&amp;A42&amp;$D$5&amp;A42&amp;$E$2&amp;A42&amp;$E$3&amp;A42,"")</f>
        <v/>
      </c>
      <c r="Q42" s="165" t="str">
        <f>+IF(AND(R41&lt;&gt;"",fieldcreatorv2!I46="si"),fieldcreatorv2!CS46&amp;I42&amp;J42&amp;fieldcreatorv2!CT46,IF(AND(C42="yes",fieldcreatorv2!I46&lt;&gt;"si"),I42&amp;J42,""))</f>
        <v/>
      </c>
      <c r="R42" s="145" t="str">
        <f>IF(OR(C42=$P$1,AND(R41&lt;&gt;"",fieldcreatorv2!E46="radio",fieldcreatorv2!BA46=fieldcreatorv2!BA45),AND(R41&lt;&gt;"",fieldcreatorv2!E46="selectlist",fieldcreatorv2!AU46=fieldcreatorv2!AU45)),K42&amp;L42&amp;O42&amp;P42,"")&amp;Q42</f>
        <v/>
      </c>
      <c r="S42" s="55" t="str">
        <f>IF(AND(C42=$P$2,fieldcreatorv2!I46&lt;&gt;"si"),fieldcreatorv2!B46&amp;":  "&amp;$F$5&amp;A42&amp;$F$6,"")</f>
        <v/>
      </c>
      <c r="T42" s="253" t="str">
        <f>+IF(fieldcreatorv2!I46="si",$G$4&amp;A42&amp;$G$5,"")&amp;U42</f>
        <v/>
      </c>
      <c r="U42" s="61" t="str">
        <f>+IF(AND(fieldcreatorv2!I46="si",fieldcreatorv2!E45="radio"),+$G$6&amp;fieldcreatorv2!C45&amp;$G$7&amp;fieldcreatorv2!C45&amp;$H$1&amp;$H$2&amp;fieldcreatorv2!C45&amp;$H$3&amp;A42&amp;$H$4,"")</f>
        <v/>
      </c>
      <c r="V42" s="61" t="str">
        <f>+IF(R42&lt;&gt;"",fieldcreatorv2!CY46,"")</f>
        <v/>
      </c>
      <c r="W42" s="55" t="str">
        <f>+IF(OR(fieldcreatorv2!I47="si",AND(W43&lt;&gt;"",fieldcreatorv2!E46="radio")),1,"")</f>
        <v/>
      </c>
      <c r="X42" s="55" t="str">
        <f>+IF(AND(W42=1,W43=""),fieldcreatorv2!C46,IF(AND(W42=1,W43=1),X43,""))</f>
        <v/>
      </c>
      <c r="Y42" s="55" t="str">
        <f>+IF(AND(W41=1,fieldcreatorv2!I46="si"),A42,IF(W42=1,Y43,""))</f>
        <v/>
      </c>
      <c r="Z42" s="254" t="str">
        <f t="shared" si="8"/>
        <v/>
      </c>
      <c r="AA42" s="165" t="str">
        <f t="shared" si="11"/>
        <v/>
      </c>
      <c r="AB42" s="238" t="str">
        <f>+IF(V42&lt;&gt;"",$K$4&amp;fieldcreatorv2!C46&amp;$K$5&amp;fieldcreatorv2!BX46&amp;$K$6&amp;fieldcreatorv2!C47&amp;$K$7,"")</f>
        <v/>
      </c>
      <c r="AC42" s="238" t="str">
        <f>IF(AND(C42="yes",fieldcreatorv2!E46="check"),A42&amp;$L$1&amp;A42&amp;$L$2,"")</f>
        <v/>
      </c>
      <c r="AD42" s="238" t="str">
        <f>+IF(AND(R42&lt;&gt;"",OR(fieldcreatorv2!E46="date",fieldcreatorv2!E46="bigtext",fieldcreatorv2!E46="texto",AND(fieldcreatorv2!E46="selectlist",A42&lt;&gt;""))),"var "&amp;A42&amp;$L$3&amp;A42&amp;$L$4,"")</f>
        <v/>
      </c>
      <c r="AE42" s="61" t="str">
        <f t="shared" si="12"/>
        <v/>
      </c>
      <c r="AF42" s="12">
        <f t="shared" si="15"/>
        <v>0</v>
      </c>
      <c r="AG42" s="12">
        <f t="shared" si="9"/>
        <v>0</v>
      </c>
      <c r="AH42" s="12" t="str">
        <f t="shared" si="14"/>
        <v/>
      </c>
      <c r="AI42" s="61" t="str">
        <f t="shared" si="5"/>
        <v/>
      </c>
      <c r="AJ42" s="55" t="str">
        <f t="shared" si="16"/>
        <v/>
      </c>
      <c r="AK42" s="38" t="str">
        <f t="shared" si="10"/>
        <v/>
      </c>
      <c r="AL42" s="55" t="str">
        <f t="shared" si="13"/>
        <v/>
      </c>
    </row>
    <row r="43" spans="1:38">
      <c r="A43" s="216" t="str">
        <f>IF(fieldcreatorv2!BX47&lt;&gt;"",fieldcreatorv2!BX47,"")</f>
        <v/>
      </c>
      <c r="B43" s="255"/>
      <c r="C43" s="255"/>
      <c r="D43" s="165" t="str">
        <f>+IF(AND(B43="y",A43&lt;&gt;"",fieldcreatorv2!I47&lt;&gt;"si"),$A$1&amp;A43&amp;$A$2,"")</f>
        <v/>
      </c>
      <c r="E43" s="165" t="str">
        <f>+IF(AND(A43&lt;&gt;"",B43="y"),fieldcreatorv2!E47,"")</f>
        <v/>
      </c>
      <c r="F43" s="165" t="str">
        <f t="shared" ref="F43:F74" si="17">+IF(E43="check",$A$6&amp;A43&amp;$A$7&amp;A43&amp;$B$1&amp;A43&amp;$B$2&amp;A43&amp;$B$3,"")</f>
        <v/>
      </c>
      <c r="G43" s="55" t="str">
        <f>+IF(fieldcreatorv2!I47="si",$F$7&amp;fieldcreatorv2!BA46&amp;$F$1&amp;fieldcreatorv2!C46&amp;$G$1&amp;fieldcreatorv2!BA46&amp;$G$2&amp;A43&amp;$G$3,"")</f>
        <v/>
      </c>
      <c r="H43" s="145" t="str">
        <f>+IF(AND(A43&lt;&gt;"",B43="y",fieldcreatorv2!I47&lt;&gt;"si"),+$B$4&amp;A43&amp;$B$5,"")</f>
        <v/>
      </c>
      <c r="I43" s="252" t="str">
        <f>+IF(AND(fieldcreatorv2!E47="bigtext"),"&lt;br/&gt;"&amp;fieldcreatorv2!B47&amp;$C$2&amp;A43&amp;$C$3&amp;A43&amp;$C$4,"")</f>
        <v/>
      </c>
      <c r="J43" s="165" t="str">
        <f>+IF(fieldcreatorv2!E47="texto",fieldcreatorv2!B47&amp;": "&amp;$C$5&amp;A43&amp;$C$6&amp;A43&amp;$C$7,"")</f>
        <v/>
      </c>
      <c r="K43" s="165" t="str">
        <f>+IF(AND(fieldcreatorv2!E47="date",C43="yes"),fieldcreatorv2!B47&amp;": "&amp;$D$1&amp;A43&amp;$D$2&amp;A43&amp;$D$3,"")</f>
        <v/>
      </c>
      <c r="L43" s="165" t="str">
        <f>+IF(fieldcreatorv2!E47="radio",fieldcreatorv2!B47&amp;" &lt;br/&gt;"&amp;fieldcreatorv2!C47&amp;$D$4&amp;fieldcreatorv2!BA47&amp;$D$5&amp;fieldcreatorv2!C47&amp;$D$6&amp;fieldcreatorv2!C47&amp;$D$7&amp;fieldcreatorv2!BA47&amp;$F$1&amp;fieldcreatorv2!C47&amp;$F$4,"")</f>
        <v/>
      </c>
      <c r="M43" s="165" t="str">
        <f>+IF(AND(fieldcreatorv2!E47="selectlist",A43&lt;&gt;""),"&lt;br/&gt;"&amp;A43&amp;$E$4&amp;A43&amp;$D$5&amp;A43&amp;$E$5,"")</f>
        <v/>
      </c>
      <c r="N43" s="165" t="str">
        <f>+IF(AND(fieldcreatorv2!AU47&lt;&gt;fieldcreatorv2!AU48,fieldcreatorv2!E47="selectlist"),"&lt;/select&gt;","")</f>
        <v/>
      </c>
      <c r="O43" s="165" t="str">
        <f>+IF(fieldcreatorv2!E47="selectlist",M43&amp;$E$6&amp;fieldcreatorv2!C47&amp;$E$7&amp;fieldcreatorv2!AU47&amp;$F$1&amp;fieldcreatorv2!C47&amp;$F$2&amp;fieldcreatorv2!C47&amp;$F$3&amp;N43,"")</f>
        <v/>
      </c>
      <c r="P43" s="165" t="str">
        <f>+IF(fieldcreatorv2!E47="check",$E$1&amp;A43&amp;$D$5&amp;A43&amp;$E$2&amp;A43&amp;$E$3&amp;A43,"")</f>
        <v/>
      </c>
      <c r="Q43" s="165" t="str">
        <f>+IF(AND(R42&lt;&gt;"",fieldcreatorv2!I47="si"),fieldcreatorv2!CS47&amp;I43&amp;J43&amp;fieldcreatorv2!CT47,IF(AND(C43="yes",fieldcreatorv2!I47&lt;&gt;"si"),I43&amp;J43,""))</f>
        <v/>
      </c>
      <c r="R43" s="145" t="str">
        <f>IF(OR(C43=$P$1,AND(R42&lt;&gt;"",fieldcreatorv2!E47="radio",fieldcreatorv2!BA47=fieldcreatorv2!BA46),AND(R42&lt;&gt;"",fieldcreatorv2!E47="selectlist",fieldcreatorv2!AU47=fieldcreatorv2!AU46)),K43&amp;L43&amp;O43&amp;P43,"")&amp;Q43</f>
        <v/>
      </c>
      <c r="S43" s="55" t="str">
        <f>IF(AND(C43=$P$2,fieldcreatorv2!I47&lt;&gt;"si"),fieldcreatorv2!B47&amp;":  "&amp;$F$5&amp;A43&amp;$F$6,"")</f>
        <v/>
      </c>
      <c r="T43" s="253" t="str">
        <f>+IF(fieldcreatorv2!I47="si",$G$4&amp;A43&amp;$G$5,"")&amp;U43</f>
        <v/>
      </c>
      <c r="U43" s="61" t="str">
        <f>+IF(AND(fieldcreatorv2!I47="si",fieldcreatorv2!E46="radio"),+$G$6&amp;fieldcreatorv2!C46&amp;$G$7&amp;fieldcreatorv2!C46&amp;$H$1&amp;$H$2&amp;fieldcreatorv2!C46&amp;$H$3&amp;A43&amp;$H$4,"")</f>
        <v/>
      </c>
      <c r="V43" s="61" t="str">
        <f>+IF(R43&lt;&gt;"",fieldcreatorv2!CY47,"")</f>
        <v/>
      </c>
      <c r="W43" s="55" t="str">
        <f>+IF(OR(fieldcreatorv2!I48="si",AND(W44&lt;&gt;"",fieldcreatorv2!E47="radio")),1,"")</f>
        <v/>
      </c>
      <c r="X43" s="55" t="str">
        <f>+IF(AND(W43=1,W44=""),fieldcreatorv2!C47,IF(AND(W43=1,W44=1),X44,""))</f>
        <v/>
      </c>
      <c r="Y43" s="55" t="str">
        <f>+IF(AND(W42=1,fieldcreatorv2!I47="si"),A43,IF(W43=1,Y44,""))</f>
        <v/>
      </c>
      <c r="Z43" s="254" t="str">
        <f t="shared" si="8"/>
        <v/>
      </c>
      <c r="AA43" s="165" t="str">
        <f t="shared" si="11"/>
        <v/>
      </c>
      <c r="AB43" s="238" t="str">
        <f>+IF(V43&lt;&gt;"",$K$4&amp;fieldcreatorv2!C47&amp;$K$5&amp;fieldcreatorv2!BX47&amp;$K$6&amp;fieldcreatorv2!C48&amp;$K$7,"")</f>
        <v/>
      </c>
      <c r="AC43" s="238" t="str">
        <f>IF(AND(C43="yes",fieldcreatorv2!E47="check"),A43&amp;$L$1&amp;A43&amp;$L$2,"")</f>
        <v/>
      </c>
      <c r="AD43" s="238" t="str">
        <f>+IF(AND(R43&lt;&gt;"",OR(fieldcreatorv2!E47="date",fieldcreatorv2!E47="bigtext",fieldcreatorv2!E47="texto",AND(fieldcreatorv2!E47="selectlist",A43&lt;&gt;""))),"var "&amp;A43&amp;$L$3&amp;A43&amp;$L$4,"")</f>
        <v/>
      </c>
      <c r="AE43" s="61" t="str">
        <f t="shared" si="12"/>
        <v/>
      </c>
      <c r="AF43" s="12">
        <f t="shared" si="15"/>
        <v>0</v>
      </c>
      <c r="AG43" s="12">
        <f t="shared" si="9"/>
        <v>0</v>
      </c>
      <c r="AH43" s="12" t="str">
        <f t="shared" si="14"/>
        <v/>
      </c>
      <c r="AI43" s="61" t="str">
        <f t="shared" si="5"/>
        <v/>
      </c>
      <c r="AJ43" s="55" t="str">
        <f t="shared" si="16"/>
        <v/>
      </c>
      <c r="AK43" s="38" t="str">
        <f t="shared" si="10"/>
        <v/>
      </c>
      <c r="AL43" s="55" t="str">
        <f t="shared" si="13"/>
        <v/>
      </c>
    </row>
    <row r="44" spans="1:38">
      <c r="A44" s="216" t="str">
        <f>IF(fieldcreatorv2!BX48&lt;&gt;"",fieldcreatorv2!BX48,"")</f>
        <v/>
      </c>
      <c r="B44" s="255"/>
      <c r="C44" s="255"/>
      <c r="D44" s="165" t="str">
        <f>+IF(AND(B44="y",A44&lt;&gt;"",fieldcreatorv2!I48&lt;&gt;"si"),$A$1&amp;A44&amp;$A$2,"")</f>
        <v/>
      </c>
      <c r="E44" s="165" t="str">
        <f>+IF(AND(A44&lt;&gt;"",B44="y"),fieldcreatorv2!E48,"")</f>
        <v/>
      </c>
      <c r="F44" s="165" t="str">
        <f t="shared" si="17"/>
        <v/>
      </c>
      <c r="G44" s="55" t="str">
        <f>+IF(fieldcreatorv2!I48="si",$F$7&amp;fieldcreatorv2!BA47&amp;$F$1&amp;fieldcreatorv2!C47&amp;$G$1&amp;fieldcreatorv2!BA47&amp;$G$2&amp;A44&amp;$G$3,"")</f>
        <v/>
      </c>
      <c r="H44" s="145" t="str">
        <f>+IF(AND(A44&lt;&gt;"",B44="y",fieldcreatorv2!I48&lt;&gt;"si"),+$B$4&amp;A44&amp;$B$5,"")</f>
        <v/>
      </c>
      <c r="I44" s="252" t="str">
        <f>+IF(AND(fieldcreatorv2!E48="bigtext"),"&lt;br/&gt;"&amp;fieldcreatorv2!B48&amp;$C$2&amp;A44&amp;$C$3&amp;A44&amp;$C$4,"")</f>
        <v/>
      </c>
      <c r="J44" s="165" t="str">
        <f>+IF(fieldcreatorv2!E48="texto",fieldcreatorv2!B48&amp;": "&amp;$C$5&amp;A44&amp;$C$6&amp;A44&amp;$C$7,"")</f>
        <v/>
      </c>
      <c r="K44" s="165" t="str">
        <f>+IF(AND(fieldcreatorv2!E48="date",C44="yes"),fieldcreatorv2!B48&amp;": "&amp;$D$1&amp;A44&amp;$D$2&amp;A44&amp;$D$3,"")</f>
        <v/>
      </c>
      <c r="L44" s="165" t="str">
        <f>+IF(fieldcreatorv2!E48="radio",fieldcreatorv2!B48&amp;" &lt;br/&gt;"&amp;fieldcreatorv2!C48&amp;$D$4&amp;fieldcreatorv2!BA48&amp;$D$5&amp;fieldcreatorv2!C48&amp;$D$6&amp;fieldcreatorv2!C48&amp;$D$7&amp;fieldcreatorv2!BA48&amp;$F$1&amp;fieldcreatorv2!C48&amp;$F$4,"")</f>
        <v/>
      </c>
      <c r="M44" s="165" t="str">
        <f>+IF(AND(fieldcreatorv2!E48="selectlist",A44&lt;&gt;""),"&lt;br/&gt;"&amp;A44&amp;$E$4&amp;A44&amp;$D$5&amp;A44&amp;$E$5,"")</f>
        <v/>
      </c>
      <c r="N44" s="165" t="str">
        <f>+IF(AND(fieldcreatorv2!AU48&lt;&gt;fieldcreatorv2!AU49,fieldcreatorv2!E48="selectlist"),"&lt;/select&gt;","")</f>
        <v/>
      </c>
      <c r="O44" s="165" t="str">
        <f>+IF(fieldcreatorv2!E48="selectlist",M44&amp;$E$6&amp;fieldcreatorv2!C48&amp;$E$7&amp;fieldcreatorv2!AU48&amp;$F$1&amp;fieldcreatorv2!C48&amp;$F$2&amp;fieldcreatorv2!C48&amp;$F$3&amp;N44,"")</f>
        <v/>
      </c>
      <c r="P44" s="165" t="str">
        <f>+IF(fieldcreatorv2!E48="check",$E$1&amp;A44&amp;$D$5&amp;A44&amp;$E$2&amp;A44&amp;$E$3&amp;A44,"")</f>
        <v/>
      </c>
      <c r="Q44" s="165" t="str">
        <f>+IF(AND(R43&lt;&gt;"",fieldcreatorv2!I48="si"),fieldcreatorv2!CS48&amp;I44&amp;J44&amp;fieldcreatorv2!CT48,IF(AND(C44="yes",fieldcreatorv2!I48&lt;&gt;"si"),I44&amp;J44,""))</f>
        <v/>
      </c>
      <c r="R44" s="145" t="str">
        <f>IF(OR(C44=$P$1,AND(R43&lt;&gt;"",fieldcreatorv2!E48="radio",fieldcreatorv2!BA48=fieldcreatorv2!BA47),AND(R43&lt;&gt;"",fieldcreatorv2!E48="selectlist",fieldcreatorv2!AU48=fieldcreatorv2!AU47)),K44&amp;L44&amp;O44&amp;P44,"")&amp;Q44</f>
        <v/>
      </c>
      <c r="S44" s="55" t="str">
        <f>IF(AND(C44=$P$2,fieldcreatorv2!I48&lt;&gt;"si"),fieldcreatorv2!B48&amp;":  "&amp;$F$5&amp;A44&amp;$F$6,"")</f>
        <v/>
      </c>
      <c r="T44" s="253" t="str">
        <f>+IF(fieldcreatorv2!I48="si",$G$4&amp;A44&amp;$G$5,"")&amp;U44</f>
        <v/>
      </c>
      <c r="U44" s="61" t="str">
        <f>+IF(AND(fieldcreatorv2!I48="si",fieldcreatorv2!E47="radio"),+$G$6&amp;fieldcreatorv2!C47&amp;$G$7&amp;fieldcreatorv2!C47&amp;$H$1&amp;$H$2&amp;fieldcreatorv2!C47&amp;$H$3&amp;A44&amp;$H$4,"")</f>
        <v/>
      </c>
      <c r="V44" s="61" t="str">
        <f>+IF(R44&lt;&gt;"",fieldcreatorv2!CY48,"")</f>
        <v/>
      </c>
      <c r="W44" s="55" t="str">
        <f>+IF(OR(fieldcreatorv2!I49="si",AND(W45&lt;&gt;"",fieldcreatorv2!E48="radio")),1,"")</f>
        <v/>
      </c>
      <c r="X44" s="55" t="str">
        <f>+IF(AND(W44=1,W45=""),fieldcreatorv2!C48,IF(AND(W44=1,W45=1),X45,""))</f>
        <v/>
      </c>
      <c r="Y44" s="55" t="str">
        <f>+IF(AND(W43=1,fieldcreatorv2!I48="si"),A44,IF(W44=1,Y45,""))</f>
        <v/>
      </c>
      <c r="Z44" s="254" t="str">
        <f t="shared" si="8"/>
        <v/>
      </c>
      <c r="AA44" s="165" t="str">
        <f t="shared" si="11"/>
        <v/>
      </c>
      <c r="AB44" s="238" t="str">
        <f>+IF(V44&lt;&gt;"",$K$4&amp;fieldcreatorv2!C48&amp;$K$5&amp;fieldcreatorv2!BX48&amp;$K$6&amp;fieldcreatorv2!C49&amp;$K$7,"")</f>
        <v/>
      </c>
      <c r="AC44" s="238" t="str">
        <f>IF(AND(C44="yes",fieldcreatorv2!E48="check"),A44&amp;$L$1&amp;A44&amp;$L$2,"")</f>
        <v/>
      </c>
      <c r="AD44" s="238" t="str">
        <f>+IF(AND(R44&lt;&gt;"",OR(fieldcreatorv2!E48="date",fieldcreatorv2!E48="bigtext",fieldcreatorv2!E48="texto",AND(fieldcreatorv2!E48="selectlist",A44&lt;&gt;""))),"var "&amp;A44&amp;$L$3&amp;A44&amp;$L$4,"")</f>
        <v/>
      </c>
      <c r="AE44" s="61" t="str">
        <f t="shared" si="12"/>
        <v/>
      </c>
      <c r="AF44" s="12">
        <f t="shared" si="15"/>
        <v>0</v>
      </c>
      <c r="AG44" s="12">
        <f t="shared" si="9"/>
        <v>0</v>
      </c>
      <c r="AH44" s="12" t="str">
        <f t="shared" si="14"/>
        <v/>
      </c>
      <c r="AI44" s="61" t="str">
        <f t="shared" si="5"/>
        <v/>
      </c>
      <c r="AJ44" s="55" t="str">
        <f t="shared" si="16"/>
        <v/>
      </c>
      <c r="AK44" s="38" t="str">
        <f t="shared" si="10"/>
        <v/>
      </c>
      <c r="AL44" s="55" t="str">
        <f t="shared" si="13"/>
        <v/>
      </c>
    </row>
    <row r="45" spans="1:38">
      <c r="A45" s="216" t="str">
        <f>IF(fieldcreatorv2!BX49&lt;&gt;"",fieldcreatorv2!BX49,"")</f>
        <v/>
      </c>
      <c r="B45" s="255"/>
      <c r="C45" s="255"/>
      <c r="D45" s="165" t="str">
        <f>+IF(AND(B45="y",A45&lt;&gt;"",fieldcreatorv2!I49&lt;&gt;"si"),$A$1&amp;A45&amp;$A$2,"")</f>
        <v/>
      </c>
      <c r="E45" s="165" t="str">
        <f>+IF(AND(A45&lt;&gt;"",B45="y"),fieldcreatorv2!E49,"")</f>
        <v/>
      </c>
      <c r="F45" s="165" t="str">
        <f t="shared" si="17"/>
        <v/>
      </c>
      <c r="G45" s="55" t="str">
        <f>+IF(fieldcreatorv2!I49="si",$F$7&amp;fieldcreatorv2!BA48&amp;$F$1&amp;fieldcreatorv2!C48&amp;$G$1&amp;fieldcreatorv2!BA48&amp;$G$2&amp;A45&amp;$G$3,"")</f>
        <v/>
      </c>
      <c r="H45" s="145" t="str">
        <f>+IF(AND(A45&lt;&gt;"",B45="y",fieldcreatorv2!I49&lt;&gt;"si"),+$B$4&amp;A45&amp;$B$5,"")</f>
        <v/>
      </c>
      <c r="I45" s="252" t="str">
        <f>+IF(AND(fieldcreatorv2!E49="bigtext"),"&lt;br/&gt;"&amp;fieldcreatorv2!B49&amp;$C$2&amp;A45&amp;$C$3&amp;A45&amp;$C$4,"")</f>
        <v/>
      </c>
      <c r="J45" s="165" t="str">
        <f>+IF(fieldcreatorv2!E49="texto",fieldcreatorv2!B49&amp;": "&amp;$C$5&amp;A45&amp;$C$6&amp;A45&amp;$C$7,"")</f>
        <v/>
      </c>
      <c r="K45" s="165" t="str">
        <f>+IF(AND(fieldcreatorv2!E49="date",C45="yes"),fieldcreatorv2!B49&amp;": "&amp;$D$1&amp;A45&amp;$D$2&amp;A45&amp;$D$3,"")</f>
        <v/>
      </c>
      <c r="L45" s="165" t="str">
        <f>+IF(fieldcreatorv2!E49="radio",fieldcreatorv2!B49&amp;" &lt;br/&gt;"&amp;fieldcreatorv2!C49&amp;$D$4&amp;fieldcreatorv2!BA49&amp;$D$5&amp;fieldcreatorv2!C49&amp;$D$6&amp;fieldcreatorv2!C49&amp;$D$7&amp;fieldcreatorv2!BA49&amp;$F$1&amp;fieldcreatorv2!C49&amp;$F$4,"")</f>
        <v/>
      </c>
      <c r="M45" s="165" t="str">
        <f>+IF(AND(fieldcreatorv2!E49="selectlist",A45&lt;&gt;""),"&lt;br/&gt;"&amp;A45&amp;$E$4&amp;A45&amp;$D$5&amp;A45&amp;$E$5,"")</f>
        <v/>
      </c>
      <c r="N45" s="165" t="str">
        <f>+IF(AND(fieldcreatorv2!AU49&lt;&gt;fieldcreatorv2!AU50,fieldcreatorv2!E49="selectlist"),"&lt;/select&gt;","")</f>
        <v/>
      </c>
      <c r="O45" s="165" t="str">
        <f>+IF(fieldcreatorv2!E49="selectlist",M45&amp;$E$6&amp;fieldcreatorv2!C49&amp;$E$7&amp;fieldcreatorv2!AU49&amp;$F$1&amp;fieldcreatorv2!C49&amp;$F$2&amp;fieldcreatorv2!C49&amp;$F$3&amp;N45,"")</f>
        <v/>
      </c>
      <c r="P45" s="165" t="str">
        <f>+IF(fieldcreatorv2!E49="check",$E$1&amp;A45&amp;$D$5&amp;A45&amp;$E$2&amp;A45&amp;$E$3&amp;A45,"")</f>
        <v/>
      </c>
      <c r="Q45" s="165" t="str">
        <f>+IF(AND(R44&lt;&gt;"",fieldcreatorv2!I49="si"),fieldcreatorv2!CS49&amp;I45&amp;J45&amp;fieldcreatorv2!CT49,IF(AND(C45="yes",fieldcreatorv2!I49&lt;&gt;"si"),I45&amp;J45,""))</f>
        <v/>
      </c>
      <c r="R45" s="145" t="str">
        <f>IF(OR(C45=$P$1,AND(R44&lt;&gt;"",fieldcreatorv2!E49="radio",fieldcreatorv2!BA49=fieldcreatorv2!BA48),AND(R44&lt;&gt;"",fieldcreatorv2!E49="selectlist",fieldcreatorv2!AU49=fieldcreatorv2!AU48)),K45&amp;L45&amp;O45&amp;P45,"")&amp;Q45</f>
        <v/>
      </c>
      <c r="S45" s="55" t="str">
        <f>IF(AND(C45=$P$2,fieldcreatorv2!I49&lt;&gt;"si"),fieldcreatorv2!B49&amp;":  "&amp;$F$5&amp;A45&amp;$F$6,"")</f>
        <v/>
      </c>
      <c r="T45" s="253" t="str">
        <f>+IF(fieldcreatorv2!I49="si",$G$4&amp;A45&amp;$G$5,"")&amp;U45</f>
        <v/>
      </c>
      <c r="U45" s="61" t="str">
        <f>+IF(AND(fieldcreatorv2!I49="si",fieldcreatorv2!E48="radio"),+$G$6&amp;fieldcreatorv2!C48&amp;$G$7&amp;fieldcreatorv2!C48&amp;$H$1&amp;$H$2&amp;fieldcreatorv2!C48&amp;$H$3&amp;A45&amp;$H$4,"")</f>
        <v/>
      </c>
      <c r="V45" s="61" t="str">
        <f>+IF(R45&lt;&gt;"",fieldcreatorv2!CY49,"")</f>
        <v/>
      </c>
      <c r="W45" s="55" t="str">
        <f>+IF(OR(fieldcreatorv2!I50="si",AND(W46&lt;&gt;"",fieldcreatorv2!E49="radio")),1,"")</f>
        <v/>
      </c>
      <c r="X45" s="55" t="str">
        <f>+IF(AND(W45=1,W46=""),fieldcreatorv2!C49,IF(AND(W45=1,W46=1),X46,""))</f>
        <v/>
      </c>
      <c r="Y45" s="55" t="str">
        <f>+IF(AND(W44=1,fieldcreatorv2!I49="si"),A45,IF(W45=1,Y46,""))</f>
        <v/>
      </c>
      <c r="Z45" s="254" t="str">
        <f t="shared" si="8"/>
        <v/>
      </c>
      <c r="AA45" s="165" t="str">
        <f t="shared" si="11"/>
        <v/>
      </c>
      <c r="AB45" s="238" t="str">
        <f>+IF(V45&lt;&gt;"",$K$4&amp;fieldcreatorv2!C49&amp;$K$5&amp;fieldcreatorv2!BX49&amp;$K$6&amp;fieldcreatorv2!C50&amp;$K$7,"")</f>
        <v/>
      </c>
      <c r="AC45" s="238" t="str">
        <f>IF(AND(C45="yes",fieldcreatorv2!E49="check"),A45&amp;$L$1&amp;A45&amp;$L$2,"")</f>
        <v/>
      </c>
      <c r="AD45" s="238" t="str">
        <f>+IF(AND(R45&lt;&gt;"",OR(fieldcreatorv2!E49="date",fieldcreatorv2!E49="bigtext",fieldcreatorv2!E49="texto",AND(fieldcreatorv2!E49="selectlist",A45&lt;&gt;""))),"var "&amp;A45&amp;$L$3&amp;A45&amp;$L$4,"")</f>
        <v/>
      </c>
      <c r="AE45" s="61" t="str">
        <f t="shared" si="12"/>
        <v/>
      </c>
      <c r="AF45" s="12">
        <f t="shared" si="15"/>
        <v>0</v>
      </c>
      <c r="AG45" s="12">
        <f t="shared" si="9"/>
        <v>0</v>
      </c>
      <c r="AH45" s="12" t="str">
        <f t="shared" si="14"/>
        <v/>
      </c>
      <c r="AI45" s="61" t="str">
        <f t="shared" si="5"/>
        <v/>
      </c>
      <c r="AJ45" s="55" t="str">
        <f t="shared" si="16"/>
        <v/>
      </c>
      <c r="AK45" s="38" t="str">
        <f t="shared" si="10"/>
        <v/>
      </c>
      <c r="AL45" s="55" t="str">
        <f t="shared" si="13"/>
        <v/>
      </c>
    </row>
    <row r="46" spans="1:38">
      <c r="A46" s="216" t="str">
        <f>IF(fieldcreatorv2!BX50&lt;&gt;"",fieldcreatorv2!BX50,"")</f>
        <v/>
      </c>
      <c r="B46" s="255"/>
      <c r="C46" s="255"/>
      <c r="D46" s="165" t="str">
        <f>+IF(AND(B46="y",A46&lt;&gt;"",fieldcreatorv2!I50&lt;&gt;"si"),$A$1&amp;A46&amp;$A$2,"")</f>
        <v/>
      </c>
      <c r="E46" s="165" t="str">
        <f>+IF(AND(A46&lt;&gt;"",B46="y"),fieldcreatorv2!E50,"")</f>
        <v/>
      </c>
      <c r="F46" s="165" t="str">
        <f t="shared" si="17"/>
        <v/>
      </c>
      <c r="G46" s="55" t="str">
        <f>+IF(fieldcreatorv2!I50="si",$F$7&amp;fieldcreatorv2!BA49&amp;$F$1&amp;fieldcreatorv2!C49&amp;$G$1&amp;fieldcreatorv2!BA49&amp;$G$2&amp;A46&amp;$G$3,"")</f>
        <v/>
      </c>
      <c r="H46" s="145" t="str">
        <f>+IF(AND(A46&lt;&gt;"",B46="y",fieldcreatorv2!I50&lt;&gt;"si"),+$B$4&amp;A46&amp;$B$5,"")</f>
        <v/>
      </c>
      <c r="I46" s="252" t="str">
        <f>+IF(AND(fieldcreatorv2!E50="bigtext"),"&lt;br/&gt;"&amp;fieldcreatorv2!B50&amp;$C$2&amp;A46&amp;$C$3&amp;A46&amp;$C$4,"")</f>
        <v/>
      </c>
      <c r="J46" s="165" t="str">
        <f>+IF(fieldcreatorv2!E50="texto",fieldcreatorv2!B50&amp;": "&amp;$C$5&amp;A46&amp;$C$6&amp;A46&amp;$C$7,"")</f>
        <v/>
      </c>
      <c r="K46" s="165" t="str">
        <f>+IF(AND(fieldcreatorv2!E50="date",C46="yes"),fieldcreatorv2!B50&amp;": "&amp;$D$1&amp;A46&amp;$D$2&amp;A46&amp;$D$3,"")</f>
        <v/>
      </c>
      <c r="L46" s="165" t="str">
        <f>+IF(fieldcreatorv2!E50="radio",fieldcreatorv2!B50&amp;" &lt;br/&gt;"&amp;fieldcreatorv2!C50&amp;$D$4&amp;fieldcreatorv2!BA50&amp;$D$5&amp;fieldcreatorv2!C50&amp;$D$6&amp;fieldcreatorv2!C50&amp;$D$7&amp;fieldcreatorv2!BA50&amp;$F$1&amp;fieldcreatorv2!C50&amp;$F$4,"")</f>
        <v/>
      </c>
      <c r="M46" s="165" t="str">
        <f>+IF(AND(fieldcreatorv2!E50="selectlist",A46&lt;&gt;""),"&lt;br/&gt;"&amp;A46&amp;$E$4&amp;A46&amp;$D$5&amp;A46&amp;$E$5,"")</f>
        <v/>
      </c>
      <c r="N46" s="165" t="str">
        <f>+IF(AND(fieldcreatorv2!AU50&lt;&gt;fieldcreatorv2!AU51,fieldcreatorv2!E50="selectlist"),"&lt;/select&gt;","")</f>
        <v/>
      </c>
      <c r="O46" s="165" t="str">
        <f>+IF(fieldcreatorv2!E50="selectlist",M46&amp;$E$6&amp;fieldcreatorv2!C50&amp;$E$7&amp;fieldcreatorv2!AU50&amp;$F$1&amp;fieldcreatorv2!C50&amp;$F$2&amp;fieldcreatorv2!C50&amp;$F$3&amp;N46,"")</f>
        <v/>
      </c>
      <c r="P46" s="165" t="str">
        <f>+IF(fieldcreatorv2!E50="check",$E$1&amp;A46&amp;$D$5&amp;A46&amp;$E$2&amp;A46&amp;$E$3&amp;A46,"")</f>
        <v/>
      </c>
      <c r="Q46" s="165" t="str">
        <f>+IF(AND(R45&lt;&gt;"",fieldcreatorv2!I50="si"),fieldcreatorv2!CS50&amp;I46&amp;J46&amp;fieldcreatorv2!CT50,IF(AND(C46="yes",fieldcreatorv2!I50&lt;&gt;"si"),I46&amp;J46,""))</f>
        <v/>
      </c>
      <c r="R46" s="145" t="str">
        <f>IF(OR(C46=$P$1,AND(R45&lt;&gt;"",fieldcreatorv2!E50="radio",fieldcreatorv2!BA50=fieldcreatorv2!BA49),AND(R45&lt;&gt;"",fieldcreatorv2!E50="selectlist",fieldcreatorv2!AU50=fieldcreatorv2!AU49)),K46&amp;L46&amp;O46&amp;P46,"")&amp;Q46</f>
        <v/>
      </c>
      <c r="S46" s="55" t="str">
        <f>IF(AND(C46=$P$2,fieldcreatorv2!I50&lt;&gt;"si"),fieldcreatorv2!B50&amp;":  "&amp;$F$5&amp;A46&amp;$F$6,"")</f>
        <v/>
      </c>
      <c r="T46" s="253" t="str">
        <f>+IF(fieldcreatorv2!I50="si",$G$4&amp;A46&amp;$G$5,"")&amp;U46</f>
        <v/>
      </c>
      <c r="U46" s="61" t="str">
        <f>+IF(AND(fieldcreatorv2!I50="si",fieldcreatorv2!E49="radio"),+$G$6&amp;fieldcreatorv2!C49&amp;$G$7&amp;fieldcreatorv2!C49&amp;$H$1&amp;$H$2&amp;fieldcreatorv2!C49&amp;$H$3&amp;A46&amp;$H$4,"")</f>
        <v/>
      </c>
      <c r="V46" s="61" t="str">
        <f>+IF(R46&lt;&gt;"",fieldcreatorv2!CY50,"")</f>
        <v/>
      </c>
      <c r="W46" s="55" t="str">
        <f>+IF(OR(fieldcreatorv2!I51="si",AND(W47&lt;&gt;"",fieldcreatorv2!E50="radio")),1,"")</f>
        <v/>
      </c>
      <c r="X46" s="55" t="str">
        <f>+IF(AND(W46=1,W47=""),fieldcreatorv2!C50,IF(AND(W46=1,W47=1),X47,""))</f>
        <v/>
      </c>
      <c r="Y46" s="55" t="str">
        <f>+IF(AND(W45=1,fieldcreatorv2!I50="si"),A46,IF(W46=1,Y47,""))</f>
        <v/>
      </c>
      <c r="Z46" s="254" t="str">
        <f t="shared" si="8"/>
        <v/>
      </c>
      <c r="AA46" s="165" t="str">
        <f t="shared" si="11"/>
        <v/>
      </c>
      <c r="AB46" s="238" t="str">
        <f>+IF(V46&lt;&gt;"",$K$4&amp;fieldcreatorv2!C50&amp;$K$5&amp;fieldcreatorv2!BX50&amp;$K$6&amp;fieldcreatorv2!C51&amp;$K$7,"")</f>
        <v/>
      </c>
      <c r="AC46" s="238" t="str">
        <f>IF(AND(C46="yes",fieldcreatorv2!E50="check"),A46&amp;$L$1&amp;A46&amp;$L$2,"")</f>
        <v/>
      </c>
      <c r="AD46" s="238" t="str">
        <f>+IF(AND(R46&lt;&gt;"",OR(fieldcreatorv2!E50="date",fieldcreatorv2!E50="bigtext",fieldcreatorv2!E50="texto",AND(fieldcreatorv2!E50="selectlist",A46&lt;&gt;""))),"var "&amp;A46&amp;$L$3&amp;A46&amp;$L$4,"")</f>
        <v/>
      </c>
      <c r="AE46" s="61" t="str">
        <f t="shared" si="12"/>
        <v/>
      </c>
      <c r="AF46" s="12">
        <f t="shared" ref="AF46:AF79" si="18">+IF(C46="yes",1,0)</f>
        <v>0</v>
      </c>
      <c r="AG46" s="12">
        <f t="shared" si="9"/>
        <v>0</v>
      </c>
      <c r="AH46" s="12" t="str">
        <f t="shared" si="14"/>
        <v/>
      </c>
      <c r="AI46" s="61" t="str">
        <f t="shared" si="5"/>
        <v/>
      </c>
      <c r="AJ46" s="55" t="str">
        <f t="shared" si="16"/>
        <v/>
      </c>
      <c r="AK46" s="38" t="str">
        <f t="shared" si="10"/>
        <v/>
      </c>
      <c r="AL46" s="55" t="str">
        <f t="shared" si="13"/>
        <v/>
      </c>
    </row>
    <row r="47" spans="1:38">
      <c r="A47" s="216" t="str">
        <f>IF(fieldcreatorv2!BX51&lt;&gt;"",fieldcreatorv2!BX51,"")</f>
        <v/>
      </c>
      <c r="B47" s="255"/>
      <c r="C47" s="255"/>
      <c r="D47" s="165" t="str">
        <f>+IF(AND(B47="y",A47&lt;&gt;"",fieldcreatorv2!I51&lt;&gt;"si"),$A$1&amp;A47&amp;$A$2,"")</f>
        <v/>
      </c>
      <c r="E47" s="165" t="str">
        <f>+IF(AND(A47&lt;&gt;"",B47="y"),fieldcreatorv2!E51,"")</f>
        <v/>
      </c>
      <c r="F47" s="165" t="str">
        <f t="shared" si="17"/>
        <v/>
      </c>
      <c r="G47" s="55" t="str">
        <f>+IF(fieldcreatorv2!I51="si",$F$7&amp;fieldcreatorv2!BA50&amp;$F$1&amp;fieldcreatorv2!C50&amp;$G$1&amp;fieldcreatorv2!BA50&amp;$G$2&amp;A47&amp;$G$3,"")</f>
        <v/>
      </c>
      <c r="H47" s="145" t="str">
        <f>+IF(AND(A47&lt;&gt;"",B47="y",fieldcreatorv2!I51&lt;&gt;"si"),+$B$4&amp;A47&amp;$B$5,"")</f>
        <v/>
      </c>
      <c r="I47" s="252" t="str">
        <f>+IF(AND(fieldcreatorv2!E51="bigtext"),"&lt;br/&gt;"&amp;fieldcreatorv2!B51&amp;$C$2&amp;A47&amp;$C$3&amp;A47&amp;$C$4,"")</f>
        <v/>
      </c>
      <c r="J47" s="165" t="str">
        <f>+IF(fieldcreatorv2!E51="texto",fieldcreatorv2!B51&amp;": "&amp;$C$5&amp;A47&amp;$C$6&amp;A47&amp;$C$7,"")</f>
        <v/>
      </c>
      <c r="K47" s="165" t="str">
        <f>+IF(AND(fieldcreatorv2!E51="date",C47="yes"),fieldcreatorv2!B51&amp;": "&amp;$D$1&amp;A47&amp;$D$2&amp;A47&amp;$D$3,"")</f>
        <v/>
      </c>
      <c r="L47" s="165" t="str">
        <f>+IF(fieldcreatorv2!E51="radio",fieldcreatorv2!B51&amp;" &lt;br/&gt;"&amp;fieldcreatorv2!C51&amp;$D$4&amp;fieldcreatorv2!BA51&amp;$D$5&amp;fieldcreatorv2!C51&amp;$D$6&amp;fieldcreatorv2!C51&amp;$D$7&amp;fieldcreatorv2!BA51&amp;$F$1&amp;fieldcreatorv2!C51&amp;$F$4,"")</f>
        <v/>
      </c>
      <c r="M47" s="165" t="str">
        <f>+IF(AND(fieldcreatorv2!E51="selectlist",A47&lt;&gt;""),"&lt;br/&gt;"&amp;A47&amp;$E$4&amp;A47&amp;$D$5&amp;A47&amp;$E$5,"")</f>
        <v/>
      </c>
      <c r="N47" s="165" t="str">
        <f>+IF(AND(fieldcreatorv2!AU51&lt;&gt;fieldcreatorv2!AU52,fieldcreatorv2!E51="selectlist"),"&lt;/select&gt;","")</f>
        <v/>
      </c>
      <c r="O47" s="165" t="str">
        <f>+IF(fieldcreatorv2!E51="selectlist",M47&amp;$E$6&amp;fieldcreatorv2!C51&amp;$E$7&amp;fieldcreatorv2!AU51&amp;$F$1&amp;fieldcreatorv2!C51&amp;$F$2&amp;fieldcreatorv2!C51&amp;$F$3&amp;N47,"")</f>
        <v/>
      </c>
      <c r="P47" s="165" t="str">
        <f>+IF(fieldcreatorv2!E51="check",$E$1&amp;A47&amp;$D$5&amp;A47&amp;$E$2&amp;A47&amp;$E$3&amp;A47,"")</f>
        <v/>
      </c>
      <c r="Q47" s="165" t="str">
        <f>+IF(AND(R46&lt;&gt;"",fieldcreatorv2!I51="si"),fieldcreatorv2!CS51&amp;I47&amp;J47&amp;fieldcreatorv2!CT51,IF(AND(C47="yes",fieldcreatorv2!I51&lt;&gt;"si"),I47&amp;J47,""))</f>
        <v/>
      </c>
      <c r="R47" s="145" t="str">
        <f>IF(OR(C47=$P$1,AND(R46&lt;&gt;"",fieldcreatorv2!E51="radio",fieldcreatorv2!BA51=fieldcreatorv2!BA50),AND(R46&lt;&gt;"",fieldcreatorv2!E51="selectlist",fieldcreatorv2!AU51=fieldcreatorv2!AU50)),K47&amp;L47&amp;O47&amp;P47,"")&amp;Q47</f>
        <v/>
      </c>
      <c r="S47" s="55" t="str">
        <f>IF(AND(C47=$P$2,fieldcreatorv2!I51&lt;&gt;"si"),fieldcreatorv2!B51&amp;":  "&amp;$F$5&amp;A47&amp;$F$6,"")</f>
        <v/>
      </c>
      <c r="T47" s="253" t="str">
        <f>+IF(fieldcreatorv2!I51="si",$G$4&amp;A47&amp;$G$5,"")&amp;U47</f>
        <v/>
      </c>
      <c r="U47" s="61" t="str">
        <f>+IF(AND(fieldcreatorv2!I51="si",fieldcreatorv2!E50="radio"),+$G$6&amp;fieldcreatorv2!C50&amp;$G$7&amp;fieldcreatorv2!C50&amp;$H$1&amp;$H$2&amp;fieldcreatorv2!C50&amp;$H$3&amp;A47&amp;$H$4,"")</f>
        <v/>
      </c>
      <c r="V47" s="61" t="str">
        <f>+IF(R47&lt;&gt;"",fieldcreatorv2!CY51,"")</f>
        <v/>
      </c>
      <c r="W47" s="55" t="str">
        <f>+IF(OR(fieldcreatorv2!I52="si",AND(W48&lt;&gt;"",fieldcreatorv2!E51="radio")),1,"")</f>
        <v/>
      </c>
      <c r="X47" s="55" t="str">
        <f>+IF(AND(W47=1,W48=""),fieldcreatorv2!C51,IF(AND(W47=1,W48=1),X48,""))</f>
        <v/>
      </c>
      <c r="Y47" s="55" t="str">
        <f>+IF(AND(W46=1,fieldcreatorv2!I51="si"),A47,IF(W47=1,Y48,""))</f>
        <v/>
      </c>
      <c r="Z47" s="254" t="str">
        <f t="shared" si="8"/>
        <v/>
      </c>
      <c r="AA47" s="165" t="str">
        <f t="shared" si="11"/>
        <v/>
      </c>
      <c r="AB47" s="238" t="str">
        <f>+IF(V47&lt;&gt;"",$K$4&amp;fieldcreatorv2!C51&amp;$K$5&amp;fieldcreatorv2!BX51&amp;$K$6&amp;fieldcreatorv2!C52&amp;$K$7,"")</f>
        <v/>
      </c>
      <c r="AC47" s="238" t="str">
        <f>IF(AND(C47="yes",fieldcreatorv2!E51="check"),A47&amp;$L$1&amp;A47&amp;$L$2,"")</f>
        <v/>
      </c>
      <c r="AD47" s="238" t="str">
        <f>+IF(AND(R47&lt;&gt;"",OR(fieldcreatorv2!E51="date",fieldcreatorv2!E51="bigtext",fieldcreatorv2!E51="texto",AND(fieldcreatorv2!E51="selectlist",A47&lt;&gt;""))),"var "&amp;A47&amp;$L$3&amp;A47&amp;$L$4,"")</f>
        <v/>
      </c>
      <c r="AE47" s="61" t="str">
        <f t="shared" si="12"/>
        <v/>
      </c>
      <c r="AF47" s="12">
        <f t="shared" si="18"/>
        <v>0</v>
      </c>
      <c r="AG47" s="12">
        <f t="shared" si="9"/>
        <v>0</v>
      </c>
      <c r="AH47" s="12" t="str">
        <f t="shared" si="14"/>
        <v/>
      </c>
      <c r="AI47" s="61" t="str">
        <f t="shared" si="5"/>
        <v/>
      </c>
      <c r="AJ47" s="55" t="str">
        <f t="shared" si="16"/>
        <v/>
      </c>
      <c r="AK47" s="38" t="str">
        <f t="shared" si="10"/>
        <v/>
      </c>
      <c r="AL47" s="55" t="str">
        <f t="shared" si="13"/>
        <v/>
      </c>
    </row>
    <row r="48" spans="1:38">
      <c r="A48" s="216" t="str">
        <f>IF(fieldcreatorv2!BX52&lt;&gt;"",fieldcreatorv2!BX52,"")</f>
        <v/>
      </c>
      <c r="B48" s="255"/>
      <c r="C48" s="255"/>
      <c r="D48" s="165" t="str">
        <f>+IF(AND(B48="y",A48&lt;&gt;"",fieldcreatorv2!I52&lt;&gt;"si"),$A$1&amp;A48&amp;$A$2,"")</f>
        <v/>
      </c>
      <c r="E48" s="165" t="str">
        <f>+IF(AND(A48&lt;&gt;"",B48="y"),fieldcreatorv2!E52,"")</f>
        <v/>
      </c>
      <c r="F48" s="165" t="str">
        <f t="shared" si="17"/>
        <v/>
      </c>
      <c r="G48" s="55" t="str">
        <f>+IF(fieldcreatorv2!I52="si",$F$7&amp;fieldcreatorv2!BA51&amp;$F$1&amp;fieldcreatorv2!C51&amp;$G$1&amp;fieldcreatorv2!BA51&amp;$G$2&amp;A48&amp;$G$3,"")</f>
        <v/>
      </c>
      <c r="H48" s="145" t="str">
        <f>+IF(AND(A48&lt;&gt;"",B48="y",fieldcreatorv2!I52&lt;&gt;"si"),+$B$4&amp;A48&amp;$B$5,"")</f>
        <v/>
      </c>
      <c r="I48" s="252" t="str">
        <f>+IF(AND(fieldcreatorv2!E52="bigtext"),"&lt;br/&gt;"&amp;fieldcreatorv2!B52&amp;$C$2&amp;A48&amp;$C$3&amp;A48&amp;$C$4,"")</f>
        <v/>
      </c>
      <c r="J48" s="165" t="str">
        <f>+IF(fieldcreatorv2!E52="texto",fieldcreatorv2!B52&amp;": "&amp;$C$5&amp;A48&amp;$C$6&amp;A48&amp;$C$7,"")</f>
        <v/>
      </c>
      <c r="K48" s="165" t="str">
        <f>+IF(AND(fieldcreatorv2!E52="date",C48="yes"),fieldcreatorv2!B52&amp;": "&amp;$D$1&amp;A48&amp;$D$2&amp;A48&amp;$D$3,"")</f>
        <v/>
      </c>
      <c r="L48" s="165" t="str">
        <f>+IF(fieldcreatorv2!E52="radio",fieldcreatorv2!B52&amp;" &lt;br/&gt;"&amp;fieldcreatorv2!C52&amp;$D$4&amp;fieldcreatorv2!BA52&amp;$D$5&amp;fieldcreatorv2!C52&amp;$D$6&amp;fieldcreatorv2!C52&amp;$D$7&amp;fieldcreatorv2!BA52&amp;$F$1&amp;fieldcreatorv2!C52&amp;$F$4,"")</f>
        <v/>
      </c>
      <c r="M48" s="165" t="str">
        <f>+IF(AND(fieldcreatorv2!E52="selectlist",A48&lt;&gt;""),"&lt;br/&gt;"&amp;A48&amp;$E$4&amp;A48&amp;$D$5&amp;A48&amp;$E$5,"")</f>
        <v/>
      </c>
      <c r="N48" s="165" t="str">
        <f>+IF(AND(fieldcreatorv2!AU52&lt;&gt;fieldcreatorv2!AU53,fieldcreatorv2!E52="selectlist"),"&lt;/select&gt;","")</f>
        <v/>
      </c>
      <c r="O48" s="165" t="str">
        <f>+IF(fieldcreatorv2!E52="selectlist",M48&amp;$E$6&amp;fieldcreatorv2!C52&amp;$E$7&amp;fieldcreatorv2!AU52&amp;$F$1&amp;fieldcreatorv2!C52&amp;$F$2&amp;fieldcreatorv2!C52&amp;$F$3&amp;N48,"")</f>
        <v/>
      </c>
      <c r="P48" s="165" t="str">
        <f>+IF(fieldcreatorv2!E52="check",$E$1&amp;A48&amp;$D$5&amp;A48&amp;$E$2&amp;A48&amp;$E$3&amp;A48,"")</f>
        <v/>
      </c>
      <c r="Q48" s="165" t="str">
        <f>+IF(AND(R47&lt;&gt;"",fieldcreatorv2!I52="si"),fieldcreatorv2!CS52&amp;I48&amp;J48&amp;fieldcreatorv2!CT52,IF(AND(C48="yes",fieldcreatorv2!I52&lt;&gt;"si"),I48&amp;J48,""))</f>
        <v/>
      </c>
      <c r="R48" s="145" t="str">
        <f>IF(OR(C48=$P$1,AND(R47&lt;&gt;"",fieldcreatorv2!E52="radio",fieldcreatorv2!BA52=fieldcreatorv2!BA51),AND(R47&lt;&gt;"",fieldcreatorv2!E52="selectlist",fieldcreatorv2!AU52=fieldcreatorv2!AU51)),K48&amp;L48&amp;O48&amp;P48,"")&amp;Q48</f>
        <v/>
      </c>
      <c r="S48" s="55" t="str">
        <f>IF(AND(C48=$P$2,fieldcreatorv2!I52&lt;&gt;"si"),fieldcreatorv2!B52&amp;":  "&amp;$F$5&amp;A48&amp;$F$6,"")</f>
        <v/>
      </c>
      <c r="T48" s="253" t="str">
        <f>+IF(fieldcreatorv2!I52="si",$G$4&amp;A48&amp;$G$5,"")&amp;U48</f>
        <v/>
      </c>
      <c r="U48" s="61" t="str">
        <f>+IF(AND(fieldcreatorv2!I52="si",fieldcreatorv2!E51="radio"),+$G$6&amp;fieldcreatorv2!C51&amp;$G$7&amp;fieldcreatorv2!C51&amp;$H$1&amp;$H$2&amp;fieldcreatorv2!C51&amp;$H$3&amp;A48&amp;$H$4,"")</f>
        <v/>
      </c>
      <c r="V48" s="61" t="str">
        <f>+IF(R48&lt;&gt;"",fieldcreatorv2!CY52,"")</f>
        <v/>
      </c>
      <c r="W48" s="55" t="str">
        <f>+IF(OR(fieldcreatorv2!I53="si",AND(W49&lt;&gt;"",fieldcreatorv2!E52="radio")),1,"")</f>
        <v/>
      </c>
      <c r="X48" s="55" t="str">
        <f>+IF(AND(W48=1,W49=""),fieldcreatorv2!C52,IF(AND(W48=1,W49=1),X49,""))</f>
        <v/>
      </c>
      <c r="Y48" s="55" t="str">
        <f>+IF(AND(W47=1,fieldcreatorv2!I52="si"),A48,IF(W48=1,Y49,""))</f>
        <v/>
      </c>
      <c r="Z48" s="254" t="str">
        <f t="shared" si="8"/>
        <v/>
      </c>
      <c r="AA48" s="165" t="str">
        <f t="shared" si="11"/>
        <v/>
      </c>
      <c r="AB48" s="238" t="str">
        <f>+IF(V48&lt;&gt;"",$K$4&amp;fieldcreatorv2!C52&amp;$K$5&amp;fieldcreatorv2!BX52&amp;$K$6&amp;fieldcreatorv2!C53&amp;$K$7,"")</f>
        <v/>
      </c>
      <c r="AC48" s="238" t="str">
        <f>IF(AND(C48="yes",fieldcreatorv2!E52="check"),A48&amp;$L$1&amp;A48&amp;$L$2,"")</f>
        <v/>
      </c>
      <c r="AD48" s="238" t="str">
        <f>+IF(AND(R48&lt;&gt;"",OR(fieldcreatorv2!E52="date",fieldcreatorv2!E52="bigtext",fieldcreatorv2!E52="texto",AND(fieldcreatorv2!E52="selectlist",A48&lt;&gt;""))),"var "&amp;A48&amp;$L$3&amp;A48&amp;$L$4,"")</f>
        <v/>
      </c>
      <c r="AE48" s="61" t="str">
        <f t="shared" si="12"/>
        <v/>
      </c>
      <c r="AF48" s="12">
        <f t="shared" si="18"/>
        <v>0</v>
      </c>
      <c r="AG48" s="12">
        <f t="shared" si="9"/>
        <v>0</v>
      </c>
      <c r="AH48" s="12" t="str">
        <f t="shared" si="14"/>
        <v/>
      </c>
      <c r="AI48" s="61" t="str">
        <f t="shared" si="5"/>
        <v/>
      </c>
      <c r="AJ48" s="55" t="str">
        <f t="shared" si="16"/>
        <v/>
      </c>
      <c r="AK48" s="38" t="str">
        <f t="shared" si="10"/>
        <v/>
      </c>
      <c r="AL48" s="55" t="str">
        <f t="shared" si="13"/>
        <v/>
      </c>
    </row>
    <row r="49" spans="1:38">
      <c r="A49" s="216" t="str">
        <f>IF(fieldcreatorv2!BX53&lt;&gt;"",fieldcreatorv2!BX53,"")</f>
        <v/>
      </c>
      <c r="B49" s="255"/>
      <c r="C49" s="255"/>
      <c r="D49" s="165" t="str">
        <f>+IF(AND(B49="y",A49&lt;&gt;"",fieldcreatorv2!I53&lt;&gt;"si"),$A$1&amp;A49&amp;$A$2,"")</f>
        <v/>
      </c>
      <c r="E49" s="165" t="str">
        <f>+IF(AND(A49&lt;&gt;"",B49="y"),fieldcreatorv2!E53,"")</f>
        <v/>
      </c>
      <c r="F49" s="165" t="str">
        <f t="shared" si="17"/>
        <v/>
      </c>
      <c r="G49" s="55" t="str">
        <f>+IF(fieldcreatorv2!I53="si",$F$7&amp;fieldcreatorv2!BA52&amp;$F$1&amp;fieldcreatorv2!C52&amp;$G$1&amp;fieldcreatorv2!BA52&amp;$G$2&amp;A49&amp;$G$3,"")</f>
        <v/>
      </c>
      <c r="H49" s="145" t="str">
        <f>+IF(AND(A49&lt;&gt;"",B49="y",fieldcreatorv2!I53&lt;&gt;"si"),+$B$4&amp;A49&amp;$B$5,"")</f>
        <v/>
      </c>
      <c r="I49" s="252" t="str">
        <f>+IF(AND(fieldcreatorv2!E53="bigtext"),"&lt;br/&gt;"&amp;fieldcreatorv2!B53&amp;$C$2&amp;A49&amp;$C$3&amp;A49&amp;$C$4,"")</f>
        <v/>
      </c>
      <c r="J49" s="165" t="str">
        <f>+IF(fieldcreatorv2!E53="texto",fieldcreatorv2!B53&amp;": "&amp;$C$5&amp;A49&amp;$C$6&amp;A49&amp;$C$7,"")</f>
        <v/>
      </c>
      <c r="K49" s="165" t="str">
        <f>+IF(AND(fieldcreatorv2!E53="date",C49="yes"),fieldcreatorv2!B53&amp;": "&amp;$D$1&amp;A49&amp;$D$2&amp;A49&amp;$D$3,"")</f>
        <v/>
      </c>
      <c r="L49" s="165" t="str">
        <f>+IF(fieldcreatorv2!E53="radio",fieldcreatorv2!B53&amp;" &lt;br/&gt;"&amp;fieldcreatorv2!C53&amp;$D$4&amp;fieldcreatorv2!BA53&amp;$D$5&amp;fieldcreatorv2!C53&amp;$D$6&amp;fieldcreatorv2!C53&amp;$D$7&amp;fieldcreatorv2!BA53&amp;$F$1&amp;fieldcreatorv2!C53&amp;$F$4,"")</f>
        <v/>
      </c>
      <c r="M49" s="165" t="str">
        <f>+IF(AND(fieldcreatorv2!E53="selectlist",A49&lt;&gt;""),"&lt;br/&gt;"&amp;A49&amp;$E$4&amp;A49&amp;$D$5&amp;A49&amp;$E$5,"")</f>
        <v/>
      </c>
      <c r="N49" s="165" t="str">
        <f>+IF(AND(fieldcreatorv2!AU53&lt;&gt;fieldcreatorv2!AU54,fieldcreatorv2!E53="selectlist"),"&lt;/select&gt;","")</f>
        <v/>
      </c>
      <c r="O49" s="165" t="str">
        <f>+IF(fieldcreatorv2!E53="selectlist",M49&amp;$E$6&amp;fieldcreatorv2!C53&amp;$E$7&amp;fieldcreatorv2!AU53&amp;$F$1&amp;fieldcreatorv2!C53&amp;$F$2&amp;fieldcreatorv2!C53&amp;$F$3&amp;N49,"")</f>
        <v/>
      </c>
      <c r="P49" s="165" t="str">
        <f>+IF(fieldcreatorv2!E53="check",$E$1&amp;A49&amp;$D$5&amp;A49&amp;$E$2&amp;A49&amp;$E$3&amp;A49,"")</f>
        <v/>
      </c>
      <c r="Q49" s="165" t="str">
        <f>+IF(AND(R48&lt;&gt;"",fieldcreatorv2!I53="si"),fieldcreatorv2!CS53&amp;I49&amp;J49&amp;fieldcreatorv2!CT53,IF(AND(C49="yes",fieldcreatorv2!I53&lt;&gt;"si"),I49&amp;J49,""))</f>
        <v/>
      </c>
      <c r="R49" s="145" t="str">
        <f>IF(OR(C49=$P$1,AND(R48&lt;&gt;"",fieldcreatorv2!E53="radio",fieldcreatorv2!BA53=fieldcreatorv2!BA52),AND(R48&lt;&gt;"",fieldcreatorv2!E53="selectlist",fieldcreatorv2!AU53=fieldcreatorv2!AU52)),K49&amp;L49&amp;O49&amp;P49,"")&amp;Q49</f>
        <v/>
      </c>
      <c r="S49" s="55" t="str">
        <f>IF(AND(C49=$P$2,fieldcreatorv2!I53&lt;&gt;"si"),fieldcreatorv2!B53&amp;":  "&amp;$F$5&amp;A49&amp;$F$6,"")</f>
        <v/>
      </c>
      <c r="T49" s="253" t="str">
        <f>+IF(fieldcreatorv2!I53="si",$G$4&amp;A49&amp;$G$5,"")&amp;U49</f>
        <v/>
      </c>
      <c r="U49" s="61" t="str">
        <f>+IF(AND(fieldcreatorv2!I53="si",fieldcreatorv2!E52="radio"),+$G$6&amp;fieldcreatorv2!C52&amp;$G$7&amp;fieldcreatorv2!C52&amp;$H$1&amp;$H$2&amp;fieldcreatorv2!C52&amp;$H$3&amp;A49&amp;$H$4,"")</f>
        <v/>
      </c>
      <c r="V49" s="61" t="str">
        <f>+IF(R49&lt;&gt;"",fieldcreatorv2!CY53,"")</f>
        <v/>
      </c>
      <c r="W49" s="55" t="str">
        <f>+IF(OR(fieldcreatorv2!I54="si",AND(W50&lt;&gt;"",fieldcreatorv2!E53="radio")),1,"")</f>
        <v/>
      </c>
      <c r="X49" s="55" t="str">
        <f>+IF(AND(W49=1,W50=""),fieldcreatorv2!C53,IF(AND(W49=1,W50=1),X50,""))</f>
        <v/>
      </c>
      <c r="Y49" s="55" t="str">
        <f>+IF(AND(W48=1,fieldcreatorv2!I53="si"),A49,IF(W49=1,Y50,""))</f>
        <v/>
      </c>
      <c r="Z49" s="254" t="str">
        <f t="shared" si="8"/>
        <v/>
      </c>
      <c r="AA49" s="165" t="str">
        <f t="shared" si="11"/>
        <v/>
      </c>
      <c r="AB49" s="238" t="str">
        <f>+IF(V49&lt;&gt;"",$K$4&amp;fieldcreatorv2!C53&amp;$K$5&amp;fieldcreatorv2!BX53&amp;$K$6&amp;fieldcreatorv2!C54&amp;$K$7,"")</f>
        <v/>
      </c>
      <c r="AC49" s="238" t="str">
        <f>IF(AND(C49="yes",fieldcreatorv2!E53="check"),A49&amp;$L$1&amp;A49&amp;$L$2,"")</f>
        <v/>
      </c>
      <c r="AD49" s="238" t="str">
        <f>+IF(AND(R49&lt;&gt;"",OR(fieldcreatorv2!E53="date",fieldcreatorv2!E53="bigtext",fieldcreatorv2!E53="texto",AND(fieldcreatorv2!E53="selectlist",A49&lt;&gt;""))),"var "&amp;A49&amp;$L$3&amp;A49&amp;$L$4,"")</f>
        <v/>
      </c>
      <c r="AE49" s="61" t="str">
        <f t="shared" si="12"/>
        <v/>
      </c>
      <c r="AF49" s="12">
        <f t="shared" si="18"/>
        <v>0</v>
      </c>
      <c r="AG49" s="12">
        <f t="shared" si="9"/>
        <v>0</v>
      </c>
      <c r="AH49" s="12" t="str">
        <f t="shared" si="14"/>
        <v/>
      </c>
      <c r="AI49" s="61" t="str">
        <f t="shared" si="5"/>
        <v/>
      </c>
      <c r="AJ49" s="55" t="str">
        <f t="shared" si="16"/>
        <v/>
      </c>
      <c r="AK49" s="38" t="str">
        <f t="shared" si="10"/>
        <v/>
      </c>
      <c r="AL49" s="55" t="str">
        <f t="shared" si="13"/>
        <v/>
      </c>
    </row>
    <row r="50" spans="1:38">
      <c r="A50" s="216" t="str">
        <f>IF(fieldcreatorv2!BX54&lt;&gt;"",fieldcreatorv2!BX54,"")</f>
        <v/>
      </c>
      <c r="B50" s="255"/>
      <c r="C50" s="255"/>
      <c r="D50" s="165" t="str">
        <f>+IF(AND(B50="y",A50&lt;&gt;"",fieldcreatorv2!I54&lt;&gt;"si"),$A$1&amp;A50&amp;$A$2,"")</f>
        <v/>
      </c>
      <c r="E50" s="165" t="str">
        <f>+IF(AND(A50&lt;&gt;"",B50="y"),fieldcreatorv2!E54,"")</f>
        <v/>
      </c>
      <c r="F50" s="165" t="str">
        <f t="shared" si="17"/>
        <v/>
      </c>
      <c r="G50" s="55" t="str">
        <f>+IF(fieldcreatorv2!I54="si",$F$7&amp;fieldcreatorv2!BA53&amp;$F$1&amp;fieldcreatorv2!C53&amp;$G$1&amp;fieldcreatorv2!BA53&amp;$G$2&amp;A50&amp;$G$3,"")</f>
        <v/>
      </c>
      <c r="H50" s="145" t="str">
        <f>+IF(AND(A50&lt;&gt;"",B50="y",fieldcreatorv2!I54&lt;&gt;"si"),+$B$4&amp;A50&amp;$B$5,"")</f>
        <v/>
      </c>
      <c r="I50" s="252" t="str">
        <f>+IF(AND(fieldcreatorv2!E54="bigtext"),"&lt;br/&gt;"&amp;fieldcreatorv2!B54&amp;$C$2&amp;A50&amp;$C$3&amp;A50&amp;$C$4,"")</f>
        <v/>
      </c>
      <c r="J50" s="165" t="str">
        <f>+IF(fieldcreatorv2!E54="texto",fieldcreatorv2!B54&amp;": "&amp;$C$5&amp;A50&amp;$C$6&amp;A50&amp;$C$7,"")</f>
        <v/>
      </c>
      <c r="K50" s="165" t="str">
        <f>+IF(AND(fieldcreatorv2!E54="date",C50="yes"),fieldcreatorv2!B54&amp;": "&amp;$D$1&amp;A50&amp;$D$2&amp;A50&amp;$D$3,"")</f>
        <v/>
      </c>
      <c r="L50" s="165" t="str">
        <f>+IF(fieldcreatorv2!E54="radio",fieldcreatorv2!B54&amp;" &lt;br/&gt;"&amp;fieldcreatorv2!C54&amp;$D$4&amp;fieldcreatorv2!BA54&amp;$D$5&amp;fieldcreatorv2!C54&amp;$D$6&amp;fieldcreatorv2!C54&amp;$D$7&amp;fieldcreatorv2!BA54&amp;$F$1&amp;fieldcreatorv2!C54&amp;$F$4,"")</f>
        <v/>
      </c>
      <c r="M50" s="165" t="str">
        <f>+IF(AND(fieldcreatorv2!E54="selectlist",A50&lt;&gt;""),"&lt;br/&gt;"&amp;A50&amp;$E$4&amp;A50&amp;$D$5&amp;A50&amp;$E$5,"")</f>
        <v/>
      </c>
      <c r="N50" s="165" t="str">
        <f>+IF(AND(fieldcreatorv2!AU54&lt;&gt;fieldcreatorv2!AU55,fieldcreatorv2!E54="selectlist"),"&lt;/select&gt;","")</f>
        <v/>
      </c>
      <c r="O50" s="165" t="str">
        <f>+IF(fieldcreatorv2!E54="selectlist",M50&amp;$E$6&amp;fieldcreatorv2!C54&amp;$E$7&amp;fieldcreatorv2!AU54&amp;$F$1&amp;fieldcreatorv2!C54&amp;$F$2&amp;fieldcreatorv2!C54&amp;$F$3&amp;N50,"")</f>
        <v/>
      </c>
      <c r="P50" s="165" t="str">
        <f>+IF(fieldcreatorv2!E54="check",$E$1&amp;A50&amp;$D$5&amp;A50&amp;$E$2&amp;A50&amp;$E$3&amp;A50,"")</f>
        <v/>
      </c>
      <c r="Q50" s="165" t="str">
        <f>+IF(AND(R49&lt;&gt;"",fieldcreatorv2!I54="si"),fieldcreatorv2!CS54&amp;I50&amp;J50&amp;fieldcreatorv2!CT54,IF(AND(C50="yes",fieldcreatorv2!I54&lt;&gt;"si"),I50&amp;J50,""))</f>
        <v/>
      </c>
      <c r="R50" s="145" t="str">
        <f>IF(OR(C50=$P$1,AND(R49&lt;&gt;"",fieldcreatorv2!E54="radio",fieldcreatorv2!BA54=fieldcreatorv2!BA53),AND(R49&lt;&gt;"",fieldcreatorv2!E54="selectlist",fieldcreatorv2!AU54=fieldcreatorv2!AU53)),K50&amp;L50&amp;O50&amp;P50,"")&amp;Q50</f>
        <v/>
      </c>
      <c r="S50" s="55" t="str">
        <f>IF(AND(C50=$P$2,fieldcreatorv2!I54&lt;&gt;"si"),fieldcreatorv2!B54&amp;":  "&amp;$F$5&amp;A50&amp;$F$6,"")</f>
        <v/>
      </c>
      <c r="T50" s="253" t="str">
        <f>+IF(fieldcreatorv2!I54="si",$G$4&amp;A50&amp;$G$5,"")&amp;U50</f>
        <v/>
      </c>
      <c r="U50" s="61" t="str">
        <f>+IF(AND(fieldcreatorv2!I54="si",fieldcreatorv2!E53="radio"),+$G$6&amp;fieldcreatorv2!C53&amp;$G$7&amp;fieldcreatorv2!C53&amp;$H$1&amp;$H$2&amp;fieldcreatorv2!C53&amp;$H$3&amp;A50&amp;$H$4,"")</f>
        <v/>
      </c>
      <c r="V50" s="61" t="str">
        <f>+IF(R50&lt;&gt;"",fieldcreatorv2!CY54,"")</f>
        <v/>
      </c>
      <c r="W50" s="55" t="str">
        <f>+IF(OR(fieldcreatorv2!I55="si",AND(W51&lt;&gt;"",fieldcreatorv2!E54="radio")),1,"")</f>
        <v/>
      </c>
      <c r="X50" s="55" t="str">
        <f>+IF(AND(W50=1,W51=""),fieldcreatorv2!C54,IF(AND(W50=1,W51=1),X51,""))</f>
        <v/>
      </c>
      <c r="Y50" s="55" t="str">
        <f>+IF(AND(W49=1,fieldcreatorv2!I54="si"),A50,IF(W50=1,Y51,""))</f>
        <v/>
      </c>
      <c r="Z50" s="254" t="str">
        <f t="shared" si="8"/>
        <v/>
      </c>
      <c r="AA50" s="165" t="str">
        <f t="shared" si="11"/>
        <v/>
      </c>
      <c r="AB50" s="238" t="str">
        <f>+IF(V50&lt;&gt;"",$K$4&amp;fieldcreatorv2!C54&amp;$K$5&amp;fieldcreatorv2!BX54&amp;$K$6&amp;fieldcreatorv2!C55&amp;$K$7,"")</f>
        <v/>
      </c>
      <c r="AC50" s="238" t="str">
        <f>IF(AND(C50="yes",fieldcreatorv2!E54="check"),A50&amp;$L$1&amp;A50&amp;$L$2,"")</f>
        <v/>
      </c>
      <c r="AD50" s="238" t="str">
        <f>+IF(AND(R50&lt;&gt;"",OR(fieldcreatorv2!E54="date",fieldcreatorv2!E54="bigtext",fieldcreatorv2!E54="texto",AND(fieldcreatorv2!E54="selectlist",A50&lt;&gt;""))),"var "&amp;A50&amp;$L$3&amp;A50&amp;$L$4,"")</f>
        <v/>
      </c>
      <c r="AE50" s="61" t="str">
        <f t="shared" si="12"/>
        <v/>
      </c>
      <c r="AF50" s="12">
        <f t="shared" si="18"/>
        <v>0</v>
      </c>
      <c r="AG50" s="12">
        <f t="shared" si="9"/>
        <v>0</v>
      </c>
      <c r="AH50" s="12" t="str">
        <f t="shared" si="14"/>
        <v/>
      </c>
      <c r="AI50" s="61" t="str">
        <f t="shared" si="5"/>
        <v/>
      </c>
      <c r="AJ50" s="55" t="str">
        <f t="shared" si="16"/>
        <v/>
      </c>
      <c r="AK50" s="38" t="str">
        <f t="shared" si="10"/>
        <v/>
      </c>
      <c r="AL50" s="55" t="str">
        <f t="shared" si="13"/>
        <v/>
      </c>
    </row>
    <row r="51" spans="1:38">
      <c r="A51" s="216" t="str">
        <f>IF(fieldcreatorv2!BX55&lt;&gt;"",fieldcreatorv2!BX55,"")</f>
        <v/>
      </c>
      <c r="B51" s="255"/>
      <c r="C51" s="255"/>
      <c r="D51" s="165" t="str">
        <f>+IF(AND(B51="y",A51&lt;&gt;"",fieldcreatorv2!I55&lt;&gt;"si"),$A$1&amp;A51&amp;$A$2,"")</f>
        <v/>
      </c>
      <c r="E51" s="165" t="str">
        <f>+IF(AND(A51&lt;&gt;"",B51="y"),fieldcreatorv2!E55,"")</f>
        <v/>
      </c>
      <c r="F51" s="165" t="str">
        <f t="shared" si="17"/>
        <v/>
      </c>
      <c r="G51" s="55" t="str">
        <f>+IF(fieldcreatorv2!I55="si",$F$7&amp;fieldcreatorv2!BA54&amp;$F$1&amp;fieldcreatorv2!C54&amp;$G$1&amp;fieldcreatorv2!BA54&amp;$G$2&amp;A51&amp;$G$3,"")</f>
        <v/>
      </c>
      <c r="H51" s="145" t="str">
        <f>+IF(AND(A51&lt;&gt;"",B51="y",fieldcreatorv2!I55&lt;&gt;"si"),+$B$4&amp;A51&amp;$B$5,"")</f>
        <v/>
      </c>
      <c r="I51" s="252" t="str">
        <f>+IF(AND(fieldcreatorv2!E55="bigtext"),"&lt;br/&gt;"&amp;fieldcreatorv2!B55&amp;$C$2&amp;A51&amp;$C$3&amp;A51&amp;$C$4,"")</f>
        <v/>
      </c>
      <c r="J51" s="165" t="str">
        <f>+IF(fieldcreatorv2!E55="texto",fieldcreatorv2!B55&amp;": "&amp;$C$5&amp;A51&amp;$C$6&amp;A51&amp;$C$7,"")</f>
        <v/>
      </c>
      <c r="K51" s="165" t="str">
        <f>+IF(AND(fieldcreatorv2!E55="date",C51="yes"),fieldcreatorv2!B55&amp;": "&amp;$D$1&amp;A51&amp;$D$2&amp;A51&amp;$D$3,"")</f>
        <v/>
      </c>
      <c r="L51" s="165" t="str">
        <f>+IF(fieldcreatorv2!E55="radio",fieldcreatorv2!B55&amp;" &lt;br/&gt;"&amp;fieldcreatorv2!C55&amp;$D$4&amp;fieldcreatorv2!BA55&amp;$D$5&amp;fieldcreatorv2!C55&amp;$D$6&amp;fieldcreatorv2!C55&amp;$D$7&amp;fieldcreatorv2!BA55&amp;$F$1&amp;fieldcreatorv2!C55&amp;$F$4,"")</f>
        <v/>
      </c>
      <c r="M51" s="165" t="str">
        <f>+IF(AND(fieldcreatorv2!E55="selectlist",A51&lt;&gt;""),"&lt;br/&gt;"&amp;A51&amp;$E$4&amp;A51&amp;$D$5&amp;A51&amp;$E$5,"")</f>
        <v/>
      </c>
      <c r="N51" s="165" t="str">
        <f>+IF(AND(fieldcreatorv2!AU55&lt;&gt;fieldcreatorv2!AU56,fieldcreatorv2!E55="selectlist"),"&lt;/select&gt;","")</f>
        <v/>
      </c>
      <c r="O51" s="165" t="str">
        <f>+IF(fieldcreatorv2!E55="selectlist",M51&amp;$E$6&amp;fieldcreatorv2!C55&amp;$E$7&amp;fieldcreatorv2!AU55&amp;$F$1&amp;fieldcreatorv2!C55&amp;$F$2&amp;fieldcreatorv2!C55&amp;$F$3&amp;N51,"")</f>
        <v/>
      </c>
      <c r="P51" s="165" t="str">
        <f>+IF(fieldcreatorv2!E55="check",$E$1&amp;A51&amp;$D$5&amp;A51&amp;$E$2&amp;A51&amp;$E$3&amp;A51,"")</f>
        <v/>
      </c>
      <c r="Q51" s="165" t="str">
        <f>+IF(AND(R50&lt;&gt;"",fieldcreatorv2!I55="si"),fieldcreatorv2!CS55&amp;I51&amp;J51&amp;fieldcreatorv2!CT55,IF(AND(C51="yes",fieldcreatorv2!I55&lt;&gt;"si"),I51&amp;J51,""))</f>
        <v/>
      </c>
      <c r="R51" s="145" t="str">
        <f>IF(OR(C51=$P$1,AND(R50&lt;&gt;"",fieldcreatorv2!E55="radio",fieldcreatorv2!BA55=fieldcreatorv2!BA54),AND(R50&lt;&gt;"",fieldcreatorv2!E55="selectlist",fieldcreatorv2!AU55=fieldcreatorv2!AU54)),K51&amp;L51&amp;O51&amp;P51,"")&amp;Q51</f>
        <v/>
      </c>
      <c r="S51" s="55" t="str">
        <f>IF(AND(C51=$P$2,fieldcreatorv2!I55&lt;&gt;"si"),fieldcreatorv2!B55&amp;":  "&amp;$F$5&amp;A51&amp;$F$6,"")</f>
        <v/>
      </c>
      <c r="T51" s="253" t="str">
        <f>+IF(fieldcreatorv2!I55="si",$G$4&amp;A51&amp;$G$5,"")&amp;U51</f>
        <v/>
      </c>
      <c r="U51" s="61" t="str">
        <f>+IF(AND(fieldcreatorv2!I55="si",fieldcreatorv2!E54="radio"),+$G$6&amp;fieldcreatorv2!C54&amp;$G$7&amp;fieldcreatorv2!C54&amp;$H$1&amp;$H$2&amp;fieldcreatorv2!C54&amp;$H$3&amp;A51&amp;$H$4,"")</f>
        <v/>
      </c>
      <c r="V51" s="61" t="str">
        <f>+IF(R51&lt;&gt;"",fieldcreatorv2!CY55,"")</f>
        <v/>
      </c>
      <c r="W51" s="55" t="str">
        <f>+IF(OR(fieldcreatorv2!I56="si",AND(W52&lt;&gt;"",fieldcreatorv2!E55="radio")),1,"")</f>
        <v/>
      </c>
      <c r="X51" s="55" t="str">
        <f>+IF(AND(W51=1,W52=""),fieldcreatorv2!C55,IF(AND(W51=1,W52=1),X52,""))</f>
        <v/>
      </c>
      <c r="Y51" s="55" t="str">
        <f>+IF(AND(W50=1,fieldcreatorv2!I55="si"),A51,IF(W51=1,Y52,""))</f>
        <v/>
      </c>
      <c r="Z51" s="254" t="str">
        <f t="shared" si="8"/>
        <v/>
      </c>
      <c r="AA51" s="165" t="str">
        <f t="shared" si="11"/>
        <v/>
      </c>
      <c r="AB51" s="238" t="str">
        <f>+IF(V51&lt;&gt;"",$K$4&amp;fieldcreatorv2!C55&amp;$K$5&amp;fieldcreatorv2!BX55&amp;$K$6&amp;fieldcreatorv2!C56&amp;$K$7,"")</f>
        <v/>
      </c>
      <c r="AC51" s="238" t="str">
        <f>IF(AND(C51="yes",fieldcreatorv2!E55="check"),A51&amp;$L$1&amp;A51&amp;$L$2,"")</f>
        <v/>
      </c>
      <c r="AD51" s="238" t="str">
        <f>+IF(AND(R51&lt;&gt;"",OR(fieldcreatorv2!E55="date",fieldcreatorv2!E55="bigtext",fieldcreatorv2!E55="texto",AND(fieldcreatorv2!E55="selectlist",A51&lt;&gt;""))),"var "&amp;A51&amp;$L$3&amp;A51&amp;$L$4,"")</f>
        <v/>
      </c>
      <c r="AE51" s="61" t="str">
        <f t="shared" si="12"/>
        <v/>
      </c>
      <c r="AF51" s="12">
        <f t="shared" si="18"/>
        <v>0</v>
      </c>
      <c r="AG51" s="12">
        <f t="shared" si="9"/>
        <v>0</v>
      </c>
      <c r="AH51" s="12" t="str">
        <f t="shared" si="14"/>
        <v/>
      </c>
      <c r="AI51" s="61" t="str">
        <f t="shared" si="5"/>
        <v/>
      </c>
      <c r="AJ51" s="55" t="str">
        <f t="shared" si="16"/>
        <v/>
      </c>
      <c r="AK51" s="38" t="str">
        <f t="shared" si="10"/>
        <v/>
      </c>
      <c r="AL51" s="55" t="str">
        <f t="shared" si="13"/>
        <v/>
      </c>
    </row>
    <row r="52" spans="1:38">
      <c r="A52" s="216" t="str">
        <f>IF(fieldcreatorv2!BX56&lt;&gt;"",fieldcreatorv2!BX56,"")</f>
        <v/>
      </c>
      <c r="B52" s="255"/>
      <c r="C52" s="255"/>
      <c r="D52" s="165" t="str">
        <f>+IF(AND(B52="y",A52&lt;&gt;"",fieldcreatorv2!I56&lt;&gt;"si"),$A$1&amp;A52&amp;$A$2,"")</f>
        <v/>
      </c>
      <c r="E52" s="165" t="str">
        <f>+IF(AND(A52&lt;&gt;"",B52="y"),fieldcreatorv2!E56,"")</f>
        <v/>
      </c>
      <c r="F52" s="165" t="str">
        <f t="shared" si="17"/>
        <v/>
      </c>
      <c r="G52" s="55" t="str">
        <f>+IF(fieldcreatorv2!I56="si",$F$7&amp;fieldcreatorv2!BA55&amp;$F$1&amp;fieldcreatorv2!C55&amp;$G$1&amp;fieldcreatorv2!BA55&amp;$G$2&amp;A52&amp;$G$3,"")</f>
        <v/>
      </c>
      <c r="H52" s="145" t="str">
        <f>+IF(AND(A52&lt;&gt;"",B52="y",fieldcreatorv2!I56&lt;&gt;"si"),+$B$4&amp;A52&amp;$B$5,"")</f>
        <v/>
      </c>
      <c r="I52" s="252" t="str">
        <f>+IF(AND(fieldcreatorv2!E56="bigtext"),"&lt;br/&gt;"&amp;fieldcreatorv2!B56&amp;$C$2&amp;A52&amp;$C$3&amp;A52&amp;$C$4,"")</f>
        <v/>
      </c>
      <c r="J52" s="165" t="str">
        <f>+IF(fieldcreatorv2!E56="texto",fieldcreatorv2!B56&amp;": "&amp;$C$5&amp;A52&amp;$C$6&amp;A52&amp;$C$7,"")</f>
        <v/>
      </c>
      <c r="K52" s="165" t="str">
        <f>+IF(AND(fieldcreatorv2!E56="date",C52="yes"),fieldcreatorv2!B56&amp;": "&amp;$D$1&amp;A52&amp;$D$2&amp;A52&amp;$D$3,"")</f>
        <v/>
      </c>
      <c r="L52" s="165" t="str">
        <f>+IF(fieldcreatorv2!E56="radio",fieldcreatorv2!B56&amp;" &lt;br/&gt;"&amp;fieldcreatorv2!C56&amp;$D$4&amp;fieldcreatorv2!BA56&amp;$D$5&amp;fieldcreatorv2!C56&amp;$D$6&amp;fieldcreatorv2!C56&amp;$D$7&amp;fieldcreatorv2!BA56&amp;$F$1&amp;fieldcreatorv2!C56&amp;$F$4,"")</f>
        <v/>
      </c>
      <c r="M52" s="165" t="str">
        <f>+IF(AND(fieldcreatorv2!E56="selectlist",A52&lt;&gt;""),"&lt;br/&gt;"&amp;A52&amp;$E$4&amp;A52&amp;$D$5&amp;A52&amp;$E$5,"")</f>
        <v/>
      </c>
      <c r="N52" s="165" t="str">
        <f>+IF(AND(fieldcreatorv2!AU56&lt;&gt;fieldcreatorv2!AU57,fieldcreatorv2!E56="selectlist"),"&lt;/select&gt;","")</f>
        <v/>
      </c>
      <c r="O52" s="165" t="str">
        <f>+IF(fieldcreatorv2!E56="selectlist",M52&amp;$E$6&amp;fieldcreatorv2!C56&amp;$E$7&amp;fieldcreatorv2!AU56&amp;$F$1&amp;fieldcreatorv2!C56&amp;$F$2&amp;fieldcreatorv2!C56&amp;$F$3&amp;N52,"")</f>
        <v/>
      </c>
      <c r="P52" s="165" t="str">
        <f>+IF(fieldcreatorv2!E56="check",$E$1&amp;A52&amp;$D$5&amp;A52&amp;$E$2&amp;A52&amp;$E$3&amp;A52,"")</f>
        <v/>
      </c>
      <c r="Q52" s="165" t="str">
        <f>+IF(AND(R51&lt;&gt;"",fieldcreatorv2!I56="si"),fieldcreatorv2!CS56&amp;I52&amp;J52&amp;fieldcreatorv2!CT56,IF(AND(C52="yes",fieldcreatorv2!I56&lt;&gt;"si"),I52&amp;J52,""))</f>
        <v/>
      </c>
      <c r="R52" s="145" t="str">
        <f>IF(OR(C52=$P$1,AND(R51&lt;&gt;"",fieldcreatorv2!E56="radio",fieldcreatorv2!BA56=fieldcreatorv2!BA55),AND(R51&lt;&gt;"",fieldcreatorv2!E56="selectlist",fieldcreatorv2!AU56=fieldcreatorv2!AU55)),K52&amp;L52&amp;O52&amp;P52,"")&amp;Q52</f>
        <v/>
      </c>
      <c r="S52" s="55" t="str">
        <f>IF(AND(C52=$P$2,fieldcreatorv2!I56&lt;&gt;"si"),fieldcreatorv2!B56&amp;":  "&amp;$F$5&amp;A52&amp;$F$6,"")</f>
        <v/>
      </c>
      <c r="T52" s="253" t="str">
        <f>+IF(fieldcreatorv2!I56="si",$G$4&amp;A52&amp;$G$5,"")&amp;U52</f>
        <v/>
      </c>
      <c r="U52" s="61" t="str">
        <f>+IF(AND(fieldcreatorv2!I56="si",fieldcreatorv2!E55="radio"),+$G$6&amp;fieldcreatorv2!C55&amp;$G$7&amp;fieldcreatorv2!C55&amp;$H$1&amp;$H$2&amp;fieldcreatorv2!C55&amp;$H$3&amp;A52&amp;$H$4,"")</f>
        <v/>
      </c>
      <c r="V52" s="61" t="str">
        <f>+IF(R52&lt;&gt;"",fieldcreatorv2!CY56,"")</f>
        <v/>
      </c>
      <c r="W52" s="55" t="str">
        <f>+IF(OR(fieldcreatorv2!I57="si",AND(W53&lt;&gt;"",fieldcreatorv2!E56="radio")),1,"")</f>
        <v/>
      </c>
      <c r="X52" s="55" t="str">
        <f>+IF(AND(W52=1,W53=""),fieldcreatorv2!C56,IF(AND(W52=1,W53=1),X53,""))</f>
        <v/>
      </c>
      <c r="Y52" s="55" t="str">
        <f>+IF(AND(W51=1,fieldcreatorv2!I56="si"),A52,IF(W52=1,Y53,""))</f>
        <v/>
      </c>
      <c r="Z52" s="254" t="str">
        <f t="shared" si="8"/>
        <v/>
      </c>
      <c r="AA52" s="165" t="str">
        <f t="shared" si="11"/>
        <v/>
      </c>
      <c r="AB52" s="238" t="str">
        <f>+IF(V52&lt;&gt;"",$K$4&amp;fieldcreatorv2!C56&amp;$K$5&amp;fieldcreatorv2!BX56&amp;$K$6&amp;fieldcreatorv2!C57&amp;$K$7,"")</f>
        <v/>
      </c>
      <c r="AC52" s="238" t="str">
        <f>IF(AND(C52="yes",fieldcreatorv2!E56="check"),A52&amp;$L$1&amp;A52&amp;$L$2,"")</f>
        <v/>
      </c>
      <c r="AD52" s="238" t="str">
        <f>+IF(AND(R52&lt;&gt;"",OR(fieldcreatorv2!E56="date",fieldcreatorv2!E56="bigtext",fieldcreatorv2!E56="texto",AND(fieldcreatorv2!E56="selectlist",A52&lt;&gt;""))),"var "&amp;A52&amp;$L$3&amp;A52&amp;$L$4,"")</f>
        <v/>
      </c>
      <c r="AE52" s="61" t="str">
        <f t="shared" si="12"/>
        <v/>
      </c>
      <c r="AF52" s="12">
        <f t="shared" si="18"/>
        <v>0</v>
      </c>
      <c r="AG52" s="12">
        <f t="shared" si="9"/>
        <v>0</v>
      </c>
      <c r="AH52" s="12" t="str">
        <f t="shared" si="14"/>
        <v/>
      </c>
      <c r="AI52" s="61" t="str">
        <f t="shared" si="5"/>
        <v/>
      </c>
      <c r="AJ52" s="55" t="str">
        <f t="shared" si="16"/>
        <v/>
      </c>
      <c r="AK52" s="38" t="str">
        <f t="shared" si="10"/>
        <v/>
      </c>
      <c r="AL52" s="55" t="str">
        <f t="shared" si="13"/>
        <v/>
      </c>
    </row>
    <row r="53" spans="1:38">
      <c r="A53" s="216" t="str">
        <f>IF(fieldcreatorv2!BX57&lt;&gt;"",fieldcreatorv2!BX57,"")</f>
        <v/>
      </c>
      <c r="B53" s="255"/>
      <c r="C53" s="255"/>
      <c r="D53" s="165" t="str">
        <f>+IF(AND(B53="y",A53&lt;&gt;"",fieldcreatorv2!I57&lt;&gt;"si"),$A$1&amp;A53&amp;$A$2,"")</f>
        <v/>
      </c>
      <c r="E53" s="165" t="str">
        <f>+IF(AND(A53&lt;&gt;"",B53="y"),fieldcreatorv2!E57,"")</f>
        <v/>
      </c>
      <c r="F53" s="165" t="str">
        <f t="shared" si="17"/>
        <v/>
      </c>
      <c r="G53" s="55" t="str">
        <f>+IF(fieldcreatorv2!I57="si",$F$7&amp;fieldcreatorv2!BA56&amp;$F$1&amp;fieldcreatorv2!C56&amp;$G$1&amp;fieldcreatorv2!BA56&amp;$G$2&amp;A53&amp;$G$3,"")</f>
        <v/>
      </c>
      <c r="H53" s="145" t="str">
        <f>+IF(AND(A53&lt;&gt;"",B53="y",fieldcreatorv2!I57&lt;&gt;"si"),+$B$4&amp;A53&amp;$B$5,"")</f>
        <v/>
      </c>
      <c r="I53" s="252" t="str">
        <f>+IF(AND(fieldcreatorv2!E57="bigtext"),"&lt;br/&gt;"&amp;fieldcreatorv2!B57&amp;$C$2&amp;A53&amp;$C$3&amp;A53&amp;$C$4,"")</f>
        <v/>
      </c>
      <c r="J53" s="165" t="str">
        <f>+IF(fieldcreatorv2!E57="texto",fieldcreatorv2!B57&amp;": "&amp;$C$5&amp;A53&amp;$C$6&amp;A53&amp;$C$7,"")</f>
        <v/>
      </c>
      <c r="K53" s="165" t="str">
        <f>+IF(AND(fieldcreatorv2!E57="date",C53="yes"),fieldcreatorv2!B57&amp;": "&amp;$D$1&amp;A53&amp;$D$2&amp;A53&amp;$D$3,"")</f>
        <v/>
      </c>
      <c r="L53" s="165" t="str">
        <f>+IF(fieldcreatorv2!E57="radio",fieldcreatorv2!B57&amp;" &lt;br/&gt;"&amp;fieldcreatorv2!C57&amp;$D$4&amp;fieldcreatorv2!BA57&amp;$D$5&amp;fieldcreatorv2!C57&amp;$D$6&amp;fieldcreatorv2!C57&amp;$D$7&amp;fieldcreatorv2!BA57&amp;$F$1&amp;fieldcreatorv2!C57&amp;$F$4,"")</f>
        <v/>
      </c>
      <c r="M53" s="165" t="str">
        <f>+IF(AND(fieldcreatorv2!E57="selectlist",A53&lt;&gt;""),"&lt;br/&gt;"&amp;A53&amp;$E$4&amp;A53&amp;$D$5&amp;A53&amp;$E$5,"")</f>
        <v/>
      </c>
      <c r="N53" s="165" t="str">
        <f>+IF(AND(fieldcreatorv2!AU57&lt;&gt;fieldcreatorv2!AU58,fieldcreatorv2!E57="selectlist"),"&lt;/select&gt;","")</f>
        <v/>
      </c>
      <c r="O53" s="165" t="str">
        <f>+IF(fieldcreatorv2!E57="selectlist",M53&amp;$E$6&amp;fieldcreatorv2!C57&amp;$E$7&amp;fieldcreatorv2!AU57&amp;$F$1&amp;fieldcreatorv2!C57&amp;$F$2&amp;fieldcreatorv2!C57&amp;$F$3&amp;N53,"")</f>
        <v/>
      </c>
      <c r="P53" s="165" t="str">
        <f>+IF(fieldcreatorv2!E57="check",$E$1&amp;A53&amp;$D$5&amp;A53&amp;$E$2&amp;A53&amp;$E$3&amp;A53,"")</f>
        <v/>
      </c>
      <c r="Q53" s="165" t="str">
        <f>+IF(AND(R52&lt;&gt;"",fieldcreatorv2!I57="si"),fieldcreatorv2!CS57&amp;I53&amp;J53&amp;fieldcreatorv2!CT57,IF(AND(C53="yes",fieldcreatorv2!I57&lt;&gt;"si"),I53&amp;J53,""))</f>
        <v/>
      </c>
      <c r="R53" s="145" t="str">
        <f>IF(OR(C53=$P$1,AND(R52&lt;&gt;"",fieldcreatorv2!E57="radio",fieldcreatorv2!BA57=fieldcreatorv2!BA56),AND(R52&lt;&gt;"",fieldcreatorv2!E57="selectlist",fieldcreatorv2!AU57=fieldcreatorv2!AU56)),K53&amp;L53&amp;O53&amp;P53,"")&amp;Q53</f>
        <v/>
      </c>
      <c r="S53" s="55" t="str">
        <f>IF(AND(C53=$P$2,fieldcreatorv2!I57&lt;&gt;"si"),fieldcreatorv2!B57&amp;":  "&amp;$F$5&amp;A53&amp;$F$6,"")</f>
        <v/>
      </c>
      <c r="T53" s="253" t="str">
        <f>+IF(fieldcreatorv2!I57="si",$G$4&amp;A53&amp;$G$5,"")&amp;U53</f>
        <v/>
      </c>
      <c r="U53" s="61" t="str">
        <f>+IF(AND(fieldcreatorv2!I57="si",fieldcreatorv2!E56="radio"),+$G$6&amp;fieldcreatorv2!C56&amp;$G$7&amp;fieldcreatorv2!C56&amp;$H$1&amp;$H$2&amp;fieldcreatorv2!C56&amp;$H$3&amp;A53&amp;$H$4,"")</f>
        <v/>
      </c>
      <c r="V53" s="61" t="str">
        <f>+IF(R53&lt;&gt;"",fieldcreatorv2!CY57,"")</f>
        <v/>
      </c>
      <c r="W53" s="55" t="str">
        <f>+IF(OR(fieldcreatorv2!I58="si",AND(W54&lt;&gt;"",fieldcreatorv2!E57="radio")),1,"")</f>
        <v/>
      </c>
      <c r="X53" s="55" t="str">
        <f>+IF(AND(W53=1,W54=""),fieldcreatorv2!C57,IF(AND(W53=1,W54=1),X54,""))</f>
        <v/>
      </c>
      <c r="Y53" s="55" t="str">
        <f>+IF(AND(W52=1,fieldcreatorv2!I57="si"),A53,IF(W53=1,Y54,""))</f>
        <v/>
      </c>
      <c r="Z53" s="254" t="str">
        <f t="shared" si="8"/>
        <v/>
      </c>
      <c r="AA53" s="165" t="str">
        <f t="shared" si="11"/>
        <v/>
      </c>
      <c r="AB53" s="238" t="str">
        <f>+IF(V53&lt;&gt;"",$K$4&amp;fieldcreatorv2!C57&amp;$K$5&amp;fieldcreatorv2!BX57&amp;$K$6&amp;fieldcreatorv2!C58&amp;$K$7,"")</f>
        <v/>
      </c>
      <c r="AC53" s="238" t="str">
        <f>IF(AND(C53="yes",fieldcreatorv2!E57="check"),A53&amp;$L$1&amp;A53&amp;$L$2,"")</f>
        <v/>
      </c>
      <c r="AD53" s="238" t="str">
        <f>+IF(AND(R53&lt;&gt;"",OR(fieldcreatorv2!E57="date",fieldcreatorv2!E57="bigtext",fieldcreatorv2!E57="texto",AND(fieldcreatorv2!E57="selectlist",A53&lt;&gt;""))),"var "&amp;A53&amp;$L$3&amp;A53&amp;$L$4,"")</f>
        <v/>
      </c>
      <c r="AE53" s="61" t="str">
        <f t="shared" si="12"/>
        <v/>
      </c>
      <c r="AF53" s="12">
        <f t="shared" si="18"/>
        <v>0</v>
      </c>
      <c r="AG53" s="12">
        <f t="shared" si="9"/>
        <v>0</v>
      </c>
      <c r="AH53" s="12" t="str">
        <f t="shared" si="14"/>
        <v/>
      </c>
      <c r="AI53" s="61" t="str">
        <f t="shared" si="5"/>
        <v/>
      </c>
      <c r="AJ53" s="55" t="str">
        <f t="shared" si="16"/>
        <v/>
      </c>
      <c r="AK53" s="38" t="str">
        <f t="shared" si="10"/>
        <v/>
      </c>
      <c r="AL53" s="55" t="str">
        <f t="shared" si="13"/>
        <v/>
      </c>
    </row>
    <row r="54" spans="1:38">
      <c r="A54" s="216" t="str">
        <f>IF(fieldcreatorv2!BX58&lt;&gt;"",fieldcreatorv2!BX58,"")</f>
        <v/>
      </c>
      <c r="B54" s="255"/>
      <c r="C54" s="255"/>
      <c r="D54" s="165" t="str">
        <f>+IF(AND(B54="y",A54&lt;&gt;"",fieldcreatorv2!I58&lt;&gt;"si"),$A$1&amp;A54&amp;$A$2,"")</f>
        <v/>
      </c>
      <c r="E54" s="165" t="str">
        <f>+IF(AND(A54&lt;&gt;"",B54="y"),fieldcreatorv2!E58,"")</f>
        <v/>
      </c>
      <c r="F54" s="165" t="str">
        <f t="shared" si="17"/>
        <v/>
      </c>
      <c r="G54" s="55" t="str">
        <f>+IF(fieldcreatorv2!I58="si",$F$7&amp;fieldcreatorv2!BA57&amp;$F$1&amp;fieldcreatorv2!C57&amp;$G$1&amp;fieldcreatorv2!BA57&amp;$G$2&amp;A54&amp;$G$3,"")</f>
        <v/>
      </c>
      <c r="H54" s="145" t="str">
        <f>+IF(AND(A54&lt;&gt;"",B54="y",fieldcreatorv2!I58&lt;&gt;"si"),+$B$4&amp;A54&amp;$B$5,"")</f>
        <v/>
      </c>
      <c r="I54" s="252" t="str">
        <f>+IF(AND(fieldcreatorv2!E58="bigtext"),"&lt;br/&gt;"&amp;fieldcreatorv2!B58&amp;$C$2&amp;A54&amp;$C$3&amp;A54&amp;$C$4,"")</f>
        <v/>
      </c>
      <c r="J54" s="165" t="str">
        <f>+IF(fieldcreatorv2!E58="texto",fieldcreatorv2!B58&amp;": "&amp;$C$5&amp;A54&amp;$C$6&amp;A54&amp;$C$7,"")</f>
        <v/>
      </c>
      <c r="K54" s="165" t="str">
        <f>+IF(AND(fieldcreatorv2!E58="date",C54="yes"),fieldcreatorv2!B58&amp;": "&amp;$D$1&amp;A54&amp;$D$2&amp;A54&amp;$D$3,"")</f>
        <v/>
      </c>
      <c r="L54" s="165" t="str">
        <f>+IF(fieldcreatorv2!E58="radio",fieldcreatorv2!B58&amp;" &lt;br/&gt;"&amp;fieldcreatorv2!C58&amp;$D$4&amp;fieldcreatorv2!BA58&amp;$D$5&amp;fieldcreatorv2!C58&amp;$D$6&amp;fieldcreatorv2!C58&amp;$D$7&amp;fieldcreatorv2!BA58&amp;$F$1&amp;fieldcreatorv2!C58&amp;$F$4,"")</f>
        <v/>
      </c>
      <c r="M54" s="165" t="str">
        <f>+IF(AND(fieldcreatorv2!E58="selectlist",A54&lt;&gt;""),"&lt;br/&gt;"&amp;A54&amp;$E$4&amp;A54&amp;$D$5&amp;A54&amp;$E$5,"")</f>
        <v/>
      </c>
      <c r="N54" s="165" t="str">
        <f>+IF(AND(fieldcreatorv2!AU58&lt;&gt;fieldcreatorv2!AU59,fieldcreatorv2!E58="selectlist"),"&lt;/select&gt;","")</f>
        <v/>
      </c>
      <c r="O54" s="165" t="str">
        <f>+IF(fieldcreatorv2!E58="selectlist",M54&amp;$E$6&amp;fieldcreatorv2!C58&amp;$E$7&amp;fieldcreatorv2!AU58&amp;$F$1&amp;fieldcreatorv2!C58&amp;$F$2&amp;fieldcreatorv2!C58&amp;$F$3&amp;N54,"")</f>
        <v/>
      </c>
      <c r="P54" s="165" t="str">
        <f>+IF(fieldcreatorv2!E58="check",$E$1&amp;A54&amp;$D$5&amp;A54&amp;$E$2&amp;A54&amp;$E$3&amp;A54,"")</f>
        <v/>
      </c>
      <c r="Q54" s="165" t="str">
        <f>+IF(AND(R53&lt;&gt;"",fieldcreatorv2!I58="si"),fieldcreatorv2!CS58&amp;I54&amp;J54&amp;fieldcreatorv2!CT58,IF(AND(C54="yes",fieldcreatorv2!I58&lt;&gt;"si"),I54&amp;J54,""))</f>
        <v/>
      </c>
      <c r="R54" s="145" t="str">
        <f>IF(OR(C54=$P$1,AND(R53&lt;&gt;"",fieldcreatorv2!E58="radio",fieldcreatorv2!BA58=fieldcreatorv2!BA57),AND(R53&lt;&gt;"",fieldcreatorv2!E58="selectlist",fieldcreatorv2!AU58=fieldcreatorv2!AU57)),K54&amp;L54&amp;O54&amp;P54,"")&amp;Q54</f>
        <v/>
      </c>
      <c r="S54" s="55" t="str">
        <f>IF(AND(C54=$P$2,fieldcreatorv2!I58&lt;&gt;"si"),fieldcreatorv2!B58&amp;":  "&amp;$F$5&amp;A54&amp;$F$6,"")</f>
        <v/>
      </c>
      <c r="T54" s="253" t="str">
        <f>+IF(fieldcreatorv2!I58="si",$G$4&amp;A54&amp;$G$5,"")&amp;U54</f>
        <v/>
      </c>
      <c r="U54" s="61" t="str">
        <f>+IF(AND(fieldcreatorv2!I58="si",fieldcreatorv2!E57="radio"),+$G$6&amp;fieldcreatorv2!C57&amp;$G$7&amp;fieldcreatorv2!C57&amp;$H$1&amp;$H$2&amp;fieldcreatorv2!C57&amp;$H$3&amp;A54&amp;$H$4,"")</f>
        <v/>
      </c>
      <c r="V54" s="61" t="str">
        <f>+IF(R54&lt;&gt;"",fieldcreatorv2!CY58,"")</f>
        <v/>
      </c>
      <c r="W54" s="55" t="str">
        <f>+IF(OR(fieldcreatorv2!I59="si",AND(W55&lt;&gt;"",fieldcreatorv2!E58="radio")),1,"")</f>
        <v/>
      </c>
      <c r="X54" s="55" t="str">
        <f>+IF(AND(W54=1,W55=""),fieldcreatorv2!C58,IF(AND(W54=1,W55=1),X55,""))</f>
        <v/>
      </c>
      <c r="Y54" s="55" t="str">
        <f>+IF(AND(W53=1,fieldcreatorv2!I58="si"),A54,IF(W54=1,Y55,""))</f>
        <v/>
      </c>
      <c r="Z54" s="254" t="str">
        <f t="shared" si="8"/>
        <v/>
      </c>
      <c r="AA54" s="165" t="str">
        <f t="shared" si="11"/>
        <v/>
      </c>
      <c r="AB54" s="238" t="str">
        <f>+IF(V54&lt;&gt;"",$K$4&amp;fieldcreatorv2!C58&amp;$K$5&amp;fieldcreatorv2!BX58&amp;$K$6&amp;fieldcreatorv2!C59&amp;$K$7,"")</f>
        <v/>
      </c>
      <c r="AC54" s="238" t="str">
        <f>IF(AND(C54="yes",fieldcreatorv2!E58="check"),A54&amp;$L$1&amp;A54&amp;$L$2,"")</f>
        <v/>
      </c>
      <c r="AD54" s="238" t="str">
        <f>+IF(AND(R54&lt;&gt;"",OR(fieldcreatorv2!E58="date",fieldcreatorv2!E58="bigtext",fieldcreatorv2!E58="texto",AND(fieldcreatorv2!E58="selectlist",A54&lt;&gt;""))),"var "&amp;A54&amp;$L$3&amp;A54&amp;$L$4,"")</f>
        <v/>
      </c>
      <c r="AE54" s="61" t="str">
        <f t="shared" si="12"/>
        <v/>
      </c>
      <c r="AF54" s="12">
        <f t="shared" si="18"/>
        <v>0</v>
      </c>
      <c r="AG54" s="12">
        <f t="shared" si="9"/>
        <v>0</v>
      </c>
      <c r="AH54" s="12" t="str">
        <f t="shared" si="14"/>
        <v/>
      </c>
      <c r="AI54" s="61" t="str">
        <f t="shared" si="5"/>
        <v/>
      </c>
      <c r="AJ54" s="55" t="str">
        <f t="shared" si="16"/>
        <v/>
      </c>
      <c r="AK54" s="38" t="str">
        <f t="shared" si="10"/>
        <v/>
      </c>
      <c r="AL54" s="55" t="str">
        <f t="shared" si="13"/>
        <v/>
      </c>
    </row>
    <row r="55" spans="1:38">
      <c r="A55" s="216" t="str">
        <f>IF(fieldcreatorv2!BX59&lt;&gt;"",fieldcreatorv2!BX59,"")</f>
        <v/>
      </c>
      <c r="B55" s="255"/>
      <c r="C55" s="255"/>
      <c r="D55" s="165" t="str">
        <f>+IF(AND(B55="y",A55&lt;&gt;"",fieldcreatorv2!I59&lt;&gt;"si"),$A$1&amp;A55&amp;$A$2,"")</f>
        <v/>
      </c>
      <c r="E55" s="165" t="str">
        <f>+IF(AND(A55&lt;&gt;"",B55="y"),fieldcreatorv2!E59,"")</f>
        <v/>
      </c>
      <c r="F55" s="165" t="str">
        <f t="shared" si="17"/>
        <v/>
      </c>
      <c r="G55" s="55" t="str">
        <f>+IF(fieldcreatorv2!I59="si",$F$7&amp;fieldcreatorv2!BA58&amp;$F$1&amp;fieldcreatorv2!C58&amp;$G$1&amp;fieldcreatorv2!BA58&amp;$G$2&amp;A55&amp;$G$3,"")</f>
        <v/>
      </c>
      <c r="H55" s="145" t="str">
        <f>+IF(AND(A55&lt;&gt;"",B55="y",fieldcreatorv2!I59&lt;&gt;"si"),+$B$4&amp;A55&amp;$B$5,"")</f>
        <v/>
      </c>
      <c r="I55" s="252" t="str">
        <f>+IF(AND(fieldcreatorv2!E59="bigtext"),"&lt;br/&gt;"&amp;fieldcreatorv2!B59&amp;$C$2&amp;A55&amp;$C$3&amp;A55&amp;$C$4,"")</f>
        <v/>
      </c>
      <c r="J55" s="165" t="str">
        <f>+IF(fieldcreatorv2!E59="texto",fieldcreatorv2!B59&amp;": "&amp;$C$5&amp;A55&amp;$C$6&amp;A55&amp;$C$7,"")</f>
        <v/>
      </c>
      <c r="K55" s="165" t="str">
        <f>+IF(AND(fieldcreatorv2!E59="date",C55="yes"),fieldcreatorv2!B59&amp;": "&amp;$D$1&amp;A55&amp;$D$2&amp;A55&amp;$D$3,"")</f>
        <v/>
      </c>
      <c r="L55" s="165" t="str">
        <f>+IF(fieldcreatorv2!E59="radio",fieldcreatorv2!B59&amp;" &lt;br/&gt;"&amp;fieldcreatorv2!C59&amp;$D$4&amp;fieldcreatorv2!BA59&amp;$D$5&amp;fieldcreatorv2!C59&amp;$D$6&amp;fieldcreatorv2!C59&amp;$D$7&amp;fieldcreatorv2!BA59&amp;$F$1&amp;fieldcreatorv2!C59&amp;$F$4,"")</f>
        <v/>
      </c>
      <c r="M55" s="165" t="str">
        <f>+IF(AND(fieldcreatorv2!E59="selectlist",A55&lt;&gt;""),"&lt;br/&gt;"&amp;A55&amp;$E$4&amp;A55&amp;$D$5&amp;A55&amp;$E$5,"")</f>
        <v/>
      </c>
      <c r="N55" s="165" t="str">
        <f>+IF(AND(fieldcreatorv2!AU59&lt;&gt;fieldcreatorv2!AU60,fieldcreatorv2!E59="selectlist"),"&lt;/select&gt;","")</f>
        <v/>
      </c>
      <c r="O55" s="165" t="str">
        <f>+IF(fieldcreatorv2!E59="selectlist",M55&amp;$E$6&amp;fieldcreatorv2!C59&amp;$E$7&amp;fieldcreatorv2!AU59&amp;$F$1&amp;fieldcreatorv2!C59&amp;$F$2&amp;fieldcreatorv2!C59&amp;$F$3&amp;N55,"")</f>
        <v/>
      </c>
      <c r="P55" s="165" t="str">
        <f>+IF(fieldcreatorv2!E59="check",$E$1&amp;A55&amp;$D$5&amp;A55&amp;$E$2&amp;A55&amp;$E$3&amp;A55,"")</f>
        <v/>
      </c>
      <c r="Q55" s="165" t="str">
        <f>+IF(AND(R54&lt;&gt;"",fieldcreatorv2!I59="si"),fieldcreatorv2!CS59&amp;I55&amp;J55&amp;fieldcreatorv2!CT59,IF(AND(C55="yes",fieldcreatorv2!I59&lt;&gt;"si"),I55&amp;J55,""))</f>
        <v/>
      </c>
      <c r="R55" s="145" t="str">
        <f>IF(OR(C55=$P$1,AND(R54&lt;&gt;"",fieldcreatorv2!E59="radio",fieldcreatorv2!BA59=fieldcreatorv2!BA58),AND(R54&lt;&gt;"",fieldcreatorv2!E59="selectlist",fieldcreatorv2!AU59=fieldcreatorv2!AU58)),K55&amp;L55&amp;O55&amp;P55,"")&amp;Q55</f>
        <v/>
      </c>
      <c r="S55" s="55" t="str">
        <f>IF(AND(C55=$P$2,fieldcreatorv2!I59&lt;&gt;"si"),fieldcreatorv2!B59&amp;":  "&amp;$F$5&amp;A55&amp;$F$6,"")</f>
        <v/>
      </c>
      <c r="T55" s="253" t="str">
        <f>+IF(fieldcreatorv2!I59="si",$G$4&amp;A55&amp;$G$5,"")&amp;U55</f>
        <v/>
      </c>
      <c r="U55" s="61" t="str">
        <f>+IF(AND(fieldcreatorv2!I59="si",fieldcreatorv2!E58="radio"),+$G$6&amp;fieldcreatorv2!C58&amp;$G$7&amp;fieldcreatorv2!C58&amp;$H$1&amp;$H$2&amp;fieldcreatorv2!C58&amp;$H$3&amp;A55&amp;$H$4,"")</f>
        <v/>
      </c>
      <c r="V55" s="61" t="str">
        <f>+IF(R55&lt;&gt;"",fieldcreatorv2!CY59,"")</f>
        <v/>
      </c>
      <c r="W55" s="55" t="str">
        <f>+IF(OR(fieldcreatorv2!I60="si",AND(W56&lt;&gt;"",fieldcreatorv2!E59="radio")),1,"")</f>
        <v/>
      </c>
      <c r="X55" s="55" t="str">
        <f>+IF(AND(W55=1,W56=""),fieldcreatorv2!C59,IF(AND(W55=1,W56=1),X56,""))</f>
        <v/>
      </c>
      <c r="Y55" s="55" t="str">
        <f>+IF(AND(W54=1,fieldcreatorv2!I59="si"),A55,IF(W55=1,Y56,""))</f>
        <v/>
      </c>
      <c r="Z55" s="254" t="str">
        <f t="shared" si="8"/>
        <v/>
      </c>
      <c r="AA55" s="165" t="str">
        <f t="shared" si="11"/>
        <v/>
      </c>
      <c r="AB55" s="238" t="str">
        <f>+IF(V55&lt;&gt;"",$K$4&amp;fieldcreatorv2!C59&amp;$K$5&amp;fieldcreatorv2!BX59&amp;$K$6&amp;fieldcreatorv2!C60&amp;$K$7,"")</f>
        <v/>
      </c>
      <c r="AC55" s="238" t="str">
        <f>IF(AND(C55="yes",fieldcreatorv2!E59="check"),A55&amp;$L$1&amp;A55&amp;$L$2,"")</f>
        <v/>
      </c>
      <c r="AD55" s="238" t="str">
        <f>+IF(AND(R55&lt;&gt;"",OR(fieldcreatorv2!E59="date",fieldcreatorv2!E59="bigtext",fieldcreatorv2!E59="texto",AND(fieldcreatorv2!E59="selectlist",A55&lt;&gt;""))),"var "&amp;A55&amp;$L$3&amp;A55&amp;$L$4,"")</f>
        <v/>
      </c>
      <c r="AE55" s="61" t="str">
        <f t="shared" si="12"/>
        <v/>
      </c>
      <c r="AF55" s="12">
        <f t="shared" si="18"/>
        <v>0</v>
      </c>
      <c r="AG55" s="12">
        <f t="shared" si="9"/>
        <v>0</v>
      </c>
      <c r="AH55" s="12" t="str">
        <f t="shared" si="14"/>
        <v/>
      </c>
      <c r="AI55" s="61" t="str">
        <f t="shared" si="5"/>
        <v/>
      </c>
      <c r="AJ55" s="55" t="str">
        <f t="shared" si="16"/>
        <v/>
      </c>
      <c r="AK55" s="38" t="str">
        <f t="shared" si="10"/>
        <v/>
      </c>
      <c r="AL55" s="55" t="str">
        <f t="shared" si="13"/>
        <v/>
      </c>
    </row>
    <row r="56" spans="1:38">
      <c r="A56" s="216" t="str">
        <f>IF(fieldcreatorv2!BX60&lt;&gt;"",fieldcreatorv2!BX60,"")</f>
        <v/>
      </c>
      <c r="B56" s="255"/>
      <c r="C56" s="255"/>
      <c r="D56" s="165" t="str">
        <f>+IF(AND(B56="y",A56&lt;&gt;"",fieldcreatorv2!I60&lt;&gt;"si"),$A$1&amp;A56&amp;$A$2,"")</f>
        <v/>
      </c>
      <c r="E56" s="165" t="str">
        <f>+IF(AND(A56&lt;&gt;"",B56="y"),fieldcreatorv2!E60,"")</f>
        <v/>
      </c>
      <c r="F56" s="165" t="str">
        <f t="shared" si="17"/>
        <v/>
      </c>
      <c r="G56" s="55" t="str">
        <f>+IF(fieldcreatorv2!I60="si",$F$7&amp;fieldcreatorv2!BA59&amp;$F$1&amp;fieldcreatorv2!C59&amp;$G$1&amp;fieldcreatorv2!BA59&amp;$G$2&amp;A56&amp;$G$3,"")</f>
        <v/>
      </c>
      <c r="H56" s="145" t="str">
        <f>+IF(AND(A56&lt;&gt;"",B56="y",fieldcreatorv2!I60&lt;&gt;"si"),+$B$4&amp;A56&amp;$B$5,"")</f>
        <v/>
      </c>
      <c r="I56" s="252" t="str">
        <f>+IF(AND(fieldcreatorv2!E60="bigtext"),"&lt;br/&gt;"&amp;fieldcreatorv2!B60&amp;$C$2&amp;A56&amp;$C$3&amp;A56&amp;$C$4,"")</f>
        <v/>
      </c>
      <c r="J56" s="165" t="str">
        <f>+IF(fieldcreatorv2!E60="texto",fieldcreatorv2!B60&amp;": "&amp;$C$5&amp;A56&amp;$C$6&amp;A56&amp;$C$7,"")</f>
        <v/>
      </c>
      <c r="K56" s="165" t="str">
        <f>+IF(AND(fieldcreatorv2!E60="date",C56="yes"),fieldcreatorv2!B60&amp;": "&amp;$D$1&amp;A56&amp;$D$2&amp;A56&amp;$D$3,"")</f>
        <v/>
      </c>
      <c r="L56" s="165" t="str">
        <f>+IF(fieldcreatorv2!E60="radio",fieldcreatorv2!B60&amp;" &lt;br/&gt;"&amp;fieldcreatorv2!C60&amp;$D$4&amp;fieldcreatorv2!BA60&amp;$D$5&amp;fieldcreatorv2!C60&amp;$D$6&amp;fieldcreatorv2!C60&amp;$D$7&amp;fieldcreatorv2!BA60&amp;$F$1&amp;fieldcreatorv2!C60&amp;$F$4,"")</f>
        <v/>
      </c>
      <c r="M56" s="165" t="str">
        <f>+IF(AND(fieldcreatorv2!E60="selectlist",A56&lt;&gt;""),"&lt;br/&gt;"&amp;A56&amp;$E$4&amp;A56&amp;$D$5&amp;A56&amp;$E$5,"")</f>
        <v/>
      </c>
      <c r="N56" s="165" t="str">
        <f>+IF(AND(fieldcreatorv2!AU60&lt;&gt;fieldcreatorv2!AU61,fieldcreatorv2!E60="selectlist"),"&lt;/select&gt;","")</f>
        <v/>
      </c>
      <c r="O56" s="165" t="str">
        <f>+IF(fieldcreatorv2!E60="selectlist",M56&amp;$E$6&amp;fieldcreatorv2!C60&amp;$E$7&amp;fieldcreatorv2!AU60&amp;$F$1&amp;fieldcreatorv2!C60&amp;$F$2&amp;fieldcreatorv2!C60&amp;$F$3&amp;N56,"")</f>
        <v/>
      </c>
      <c r="P56" s="165" t="str">
        <f>+IF(fieldcreatorv2!E60="check",$E$1&amp;A56&amp;$D$5&amp;A56&amp;$E$2&amp;A56&amp;$E$3&amp;A56,"")</f>
        <v/>
      </c>
      <c r="Q56" s="165" t="str">
        <f>+IF(AND(R55&lt;&gt;"",fieldcreatorv2!I60="si"),fieldcreatorv2!CS60&amp;I56&amp;J56&amp;fieldcreatorv2!CT60,IF(AND(C56="yes",fieldcreatorv2!I60&lt;&gt;"si"),I56&amp;J56,""))</f>
        <v/>
      </c>
      <c r="R56" s="145" t="str">
        <f>IF(OR(C56=$P$1,AND(R55&lt;&gt;"",fieldcreatorv2!E60="radio",fieldcreatorv2!BA60=fieldcreatorv2!BA59),AND(R55&lt;&gt;"",fieldcreatorv2!E60="selectlist",fieldcreatorv2!AU60=fieldcreatorv2!AU59)),K56&amp;L56&amp;O56&amp;P56,"")&amp;Q56</f>
        <v/>
      </c>
      <c r="S56" s="55" t="str">
        <f>IF(AND(C56=$P$2,fieldcreatorv2!I60&lt;&gt;"si"),fieldcreatorv2!B60&amp;":  "&amp;$F$5&amp;A56&amp;$F$6,"")</f>
        <v/>
      </c>
      <c r="T56" s="253" t="str">
        <f>+IF(fieldcreatorv2!I60="si",$G$4&amp;A56&amp;$G$5,"")&amp;U56</f>
        <v/>
      </c>
      <c r="U56" s="61" t="str">
        <f>+IF(AND(fieldcreatorv2!I60="si",fieldcreatorv2!E59="radio"),+$G$6&amp;fieldcreatorv2!C59&amp;$G$7&amp;fieldcreatorv2!C59&amp;$H$1&amp;$H$2&amp;fieldcreatorv2!C59&amp;$H$3&amp;A56&amp;$H$4,"")</f>
        <v/>
      </c>
      <c r="V56" s="61" t="str">
        <f>+IF(R56&lt;&gt;"",fieldcreatorv2!CY60,"")</f>
        <v/>
      </c>
      <c r="W56" s="55" t="str">
        <f>+IF(OR(fieldcreatorv2!I61="si",AND(W57&lt;&gt;"",fieldcreatorv2!E60="radio")),1,"")</f>
        <v/>
      </c>
      <c r="X56" s="55" t="str">
        <f>+IF(AND(W56=1,W57=""),fieldcreatorv2!C60,IF(AND(W56=1,W57=1),X57,""))</f>
        <v/>
      </c>
      <c r="Y56" s="55" t="str">
        <f>+IF(AND(W55=1,fieldcreatorv2!I60="si"),A56,IF(W56=1,Y57,""))</f>
        <v/>
      </c>
      <c r="Z56" s="254" t="str">
        <f t="shared" si="8"/>
        <v/>
      </c>
      <c r="AA56" s="165" t="str">
        <f t="shared" si="11"/>
        <v/>
      </c>
      <c r="AB56" s="238" t="str">
        <f>+IF(V56&lt;&gt;"",$K$4&amp;fieldcreatorv2!C60&amp;$K$5&amp;fieldcreatorv2!BX60&amp;$K$6&amp;fieldcreatorv2!C61&amp;$K$7,"")</f>
        <v/>
      </c>
      <c r="AC56" s="238" t="str">
        <f>IF(AND(C56="yes",fieldcreatorv2!E60="check"),A56&amp;$L$1&amp;A56&amp;$L$2,"")</f>
        <v/>
      </c>
      <c r="AD56" s="238" t="str">
        <f>+IF(AND(R56&lt;&gt;"",OR(fieldcreatorv2!E60="date",fieldcreatorv2!E60="bigtext",fieldcreatorv2!E60="texto",AND(fieldcreatorv2!E60="selectlist",A56&lt;&gt;""))),"var "&amp;A56&amp;$L$3&amp;A56&amp;$L$4,"")</f>
        <v/>
      </c>
      <c r="AE56" s="61" t="str">
        <f t="shared" si="12"/>
        <v/>
      </c>
      <c r="AF56" s="12">
        <f t="shared" si="18"/>
        <v>0</v>
      </c>
      <c r="AG56" s="12">
        <f t="shared" si="9"/>
        <v>0</v>
      </c>
      <c r="AH56" s="12" t="str">
        <f t="shared" si="14"/>
        <v/>
      </c>
      <c r="AI56" s="61" t="str">
        <f t="shared" si="5"/>
        <v/>
      </c>
      <c r="AJ56" s="55" t="str">
        <f t="shared" si="16"/>
        <v/>
      </c>
      <c r="AK56" s="38" t="str">
        <f t="shared" si="10"/>
        <v/>
      </c>
      <c r="AL56" s="55" t="str">
        <f t="shared" si="13"/>
        <v/>
      </c>
    </row>
    <row r="57" spans="1:38">
      <c r="A57" s="216" t="str">
        <f>IF(fieldcreatorv2!BX61&lt;&gt;"",fieldcreatorv2!BX61,"")</f>
        <v/>
      </c>
      <c r="B57" s="255"/>
      <c r="C57" s="255"/>
      <c r="D57" s="165" t="str">
        <f>+IF(AND(B57="y",A57&lt;&gt;"",fieldcreatorv2!I61&lt;&gt;"si"),$A$1&amp;A57&amp;$A$2,"")</f>
        <v/>
      </c>
      <c r="E57" s="165" t="str">
        <f>+IF(AND(A57&lt;&gt;"",B57="y"),fieldcreatorv2!E61,"")</f>
        <v/>
      </c>
      <c r="F57" s="165" t="str">
        <f t="shared" si="17"/>
        <v/>
      </c>
      <c r="G57" s="55" t="str">
        <f>+IF(fieldcreatorv2!I61="si",$F$7&amp;fieldcreatorv2!BA60&amp;$F$1&amp;fieldcreatorv2!C60&amp;$G$1&amp;fieldcreatorv2!BA60&amp;$G$2&amp;A57&amp;$G$3,"")</f>
        <v/>
      </c>
      <c r="H57" s="145" t="str">
        <f>+IF(AND(A57&lt;&gt;"",B57="y",fieldcreatorv2!I61&lt;&gt;"si"),+$B$4&amp;A57&amp;$B$5,"")</f>
        <v/>
      </c>
      <c r="I57" s="252" t="str">
        <f>+IF(AND(fieldcreatorv2!E61="bigtext"),"&lt;br/&gt;"&amp;fieldcreatorv2!B61&amp;$C$2&amp;A57&amp;$C$3&amp;A57&amp;$C$4,"")</f>
        <v/>
      </c>
      <c r="J57" s="165" t="str">
        <f>+IF(fieldcreatorv2!E61="texto",fieldcreatorv2!B61&amp;": "&amp;$C$5&amp;A57&amp;$C$6&amp;A57&amp;$C$7,"")</f>
        <v/>
      </c>
      <c r="K57" s="165" t="str">
        <f>+IF(AND(fieldcreatorv2!E61="date",C57="yes"),fieldcreatorv2!B61&amp;": "&amp;$D$1&amp;A57&amp;$D$2&amp;A57&amp;$D$3,"")</f>
        <v/>
      </c>
      <c r="L57" s="165" t="str">
        <f>+IF(fieldcreatorv2!E61="radio",fieldcreatorv2!B61&amp;" &lt;br/&gt;"&amp;fieldcreatorv2!C61&amp;$D$4&amp;fieldcreatorv2!BA61&amp;$D$5&amp;fieldcreatorv2!C61&amp;$D$6&amp;fieldcreatorv2!C61&amp;$D$7&amp;fieldcreatorv2!BA61&amp;$F$1&amp;fieldcreatorv2!C61&amp;$F$4,"")</f>
        <v/>
      </c>
      <c r="M57" s="165" t="str">
        <f>+IF(AND(fieldcreatorv2!E61="selectlist",A57&lt;&gt;""),"&lt;br/&gt;"&amp;A57&amp;$E$4&amp;A57&amp;$D$5&amp;A57&amp;$E$5,"")</f>
        <v/>
      </c>
      <c r="N57" s="165" t="str">
        <f>+IF(AND(fieldcreatorv2!AU61&lt;&gt;fieldcreatorv2!AU62,fieldcreatorv2!E61="selectlist"),"&lt;/select&gt;","")</f>
        <v/>
      </c>
      <c r="O57" s="165" t="str">
        <f>+IF(fieldcreatorv2!E61="selectlist",M57&amp;$E$6&amp;fieldcreatorv2!C61&amp;$E$7&amp;fieldcreatorv2!AU61&amp;$F$1&amp;fieldcreatorv2!C61&amp;$F$2&amp;fieldcreatorv2!C61&amp;$F$3&amp;N57,"")</f>
        <v/>
      </c>
      <c r="P57" s="165" t="str">
        <f>+IF(fieldcreatorv2!E61="check",$E$1&amp;A57&amp;$D$5&amp;A57&amp;$E$2&amp;A57&amp;$E$3&amp;A57,"")</f>
        <v/>
      </c>
      <c r="Q57" s="165" t="str">
        <f>+IF(AND(R56&lt;&gt;"",fieldcreatorv2!I61="si"),fieldcreatorv2!CS61&amp;I57&amp;J57&amp;fieldcreatorv2!CT61,IF(AND(C57="yes",fieldcreatorv2!I61&lt;&gt;"si"),I57&amp;J57,""))</f>
        <v/>
      </c>
      <c r="R57" s="145" t="str">
        <f>IF(OR(C57=$P$1,AND(R56&lt;&gt;"",fieldcreatorv2!E61="radio",fieldcreatorv2!BA61=fieldcreatorv2!BA60),AND(R56&lt;&gt;"",fieldcreatorv2!E61="selectlist",fieldcreatorv2!AU61=fieldcreatorv2!AU60)),K57&amp;L57&amp;O57&amp;P57,"")&amp;Q57</f>
        <v/>
      </c>
      <c r="S57" s="55" t="str">
        <f>IF(AND(C57=$P$2,fieldcreatorv2!I61&lt;&gt;"si"),fieldcreatorv2!B61&amp;":  "&amp;$F$5&amp;A57&amp;$F$6,"")</f>
        <v/>
      </c>
      <c r="T57" s="253" t="str">
        <f>+IF(fieldcreatorv2!I61="si",$G$4&amp;A57&amp;$G$5,"")&amp;U57</f>
        <v/>
      </c>
      <c r="U57" s="61" t="str">
        <f>+IF(AND(fieldcreatorv2!I61="si",fieldcreatorv2!E60="radio"),+$G$6&amp;fieldcreatorv2!C60&amp;$G$7&amp;fieldcreatorv2!C60&amp;$H$1&amp;$H$2&amp;fieldcreatorv2!C60&amp;$H$3&amp;A57&amp;$H$4,"")</f>
        <v/>
      </c>
      <c r="V57" s="61" t="str">
        <f>+IF(R57&lt;&gt;"",fieldcreatorv2!CY61,"")</f>
        <v/>
      </c>
      <c r="W57" s="55" t="str">
        <f>+IF(OR(fieldcreatorv2!I62="si",AND(W58&lt;&gt;"",fieldcreatorv2!E61="radio")),1,"")</f>
        <v/>
      </c>
      <c r="X57" s="55" t="str">
        <f>+IF(AND(W57=1,W58=""),fieldcreatorv2!C61,IF(AND(W57=1,W58=1),X58,""))</f>
        <v/>
      </c>
      <c r="Y57" s="55" t="str">
        <f>+IF(AND(W56=1,fieldcreatorv2!I61="si"),A57,IF(W57=1,Y58,""))</f>
        <v/>
      </c>
      <c r="Z57" s="254" t="str">
        <f t="shared" si="8"/>
        <v/>
      </c>
      <c r="AA57" s="165" t="str">
        <f t="shared" si="11"/>
        <v/>
      </c>
      <c r="AB57" s="238" t="str">
        <f>+IF(V57&lt;&gt;"",$K$4&amp;fieldcreatorv2!C61&amp;$K$5&amp;fieldcreatorv2!BX61&amp;$K$6&amp;fieldcreatorv2!C62&amp;$K$7,"")</f>
        <v/>
      </c>
      <c r="AC57" s="238" t="str">
        <f>IF(AND(C57="yes",fieldcreatorv2!E61="check"),A57&amp;$L$1&amp;A57&amp;$L$2,"")</f>
        <v/>
      </c>
      <c r="AD57" s="238" t="str">
        <f>+IF(AND(R57&lt;&gt;"",OR(fieldcreatorv2!E61="date",fieldcreatorv2!E61="bigtext",fieldcreatorv2!E61="texto",AND(fieldcreatorv2!E61="selectlist",A57&lt;&gt;""))),"var "&amp;A57&amp;$L$3&amp;A57&amp;$L$4,"")</f>
        <v/>
      </c>
      <c r="AE57" s="61" t="str">
        <f t="shared" si="12"/>
        <v/>
      </c>
      <c r="AF57" s="12">
        <f t="shared" si="18"/>
        <v>0</v>
      </c>
      <c r="AG57" s="12">
        <f t="shared" si="9"/>
        <v>0</v>
      </c>
      <c r="AH57" s="12" t="str">
        <f t="shared" si="14"/>
        <v/>
      </c>
      <c r="AI57" s="61" t="str">
        <f t="shared" si="5"/>
        <v/>
      </c>
      <c r="AJ57" s="55" t="str">
        <f t="shared" si="16"/>
        <v/>
      </c>
      <c r="AK57" s="38" t="str">
        <f t="shared" si="10"/>
        <v/>
      </c>
      <c r="AL57" s="55" t="str">
        <f t="shared" si="13"/>
        <v/>
      </c>
    </row>
    <row r="58" spans="1:38">
      <c r="A58" s="216" t="str">
        <f>IF(fieldcreatorv2!BX62&lt;&gt;"",fieldcreatorv2!BX62,"")</f>
        <v/>
      </c>
      <c r="B58" s="255"/>
      <c r="C58" s="255"/>
      <c r="D58" s="165" t="str">
        <f>+IF(AND(B58="y",A58&lt;&gt;"",fieldcreatorv2!I62&lt;&gt;"si"),$A$1&amp;A58&amp;$A$2,"")</f>
        <v/>
      </c>
      <c r="E58" s="165" t="str">
        <f>+IF(AND(A58&lt;&gt;"",B58="y"),fieldcreatorv2!E62,"")</f>
        <v/>
      </c>
      <c r="F58" s="165" t="str">
        <f t="shared" si="17"/>
        <v/>
      </c>
      <c r="G58" s="55" t="str">
        <f>+IF(fieldcreatorv2!I62="si",$F$7&amp;fieldcreatorv2!BA61&amp;$F$1&amp;fieldcreatorv2!C61&amp;$G$1&amp;fieldcreatorv2!BA61&amp;$G$2&amp;A58&amp;$G$3,"")</f>
        <v/>
      </c>
      <c r="H58" s="145" t="str">
        <f>+IF(AND(A58&lt;&gt;"",B58="y",fieldcreatorv2!I62&lt;&gt;"si"),+$B$4&amp;A58&amp;$B$5,"")</f>
        <v/>
      </c>
      <c r="I58" s="252" t="str">
        <f>+IF(AND(fieldcreatorv2!E62="bigtext"),"&lt;br/&gt;"&amp;fieldcreatorv2!B62&amp;$C$2&amp;A58&amp;$C$3&amp;A58&amp;$C$4,"")</f>
        <v/>
      </c>
      <c r="J58" s="165" t="str">
        <f>+IF(fieldcreatorv2!E62="texto",fieldcreatorv2!B62&amp;": "&amp;$C$5&amp;A58&amp;$C$6&amp;A58&amp;$C$7,"")</f>
        <v/>
      </c>
      <c r="K58" s="165" t="str">
        <f>+IF(AND(fieldcreatorv2!E62="date",C58="yes"),fieldcreatorv2!B62&amp;": "&amp;$D$1&amp;A58&amp;$D$2&amp;A58&amp;$D$3,"")</f>
        <v/>
      </c>
      <c r="L58" s="165" t="str">
        <f>+IF(fieldcreatorv2!E62="radio",fieldcreatorv2!B62&amp;" &lt;br/&gt;"&amp;fieldcreatorv2!C62&amp;$D$4&amp;fieldcreatorv2!BA62&amp;$D$5&amp;fieldcreatorv2!C62&amp;$D$6&amp;fieldcreatorv2!C62&amp;$D$7&amp;fieldcreatorv2!BA62&amp;$F$1&amp;fieldcreatorv2!C62&amp;$F$4,"")</f>
        <v/>
      </c>
      <c r="M58" s="165" t="str">
        <f>+IF(AND(fieldcreatorv2!E62="selectlist",A58&lt;&gt;""),"&lt;br/&gt;"&amp;A58&amp;$E$4&amp;A58&amp;$D$5&amp;A58&amp;$E$5,"")</f>
        <v/>
      </c>
      <c r="N58" s="165" t="str">
        <f>+IF(AND(fieldcreatorv2!AU62&lt;&gt;fieldcreatorv2!AU63,fieldcreatorv2!E62="selectlist"),"&lt;/select&gt;","")</f>
        <v/>
      </c>
      <c r="O58" s="165" t="str">
        <f>+IF(fieldcreatorv2!E62="selectlist",M58&amp;$E$6&amp;fieldcreatorv2!C62&amp;$E$7&amp;fieldcreatorv2!AU62&amp;$F$1&amp;fieldcreatorv2!C62&amp;$F$2&amp;fieldcreatorv2!C62&amp;$F$3&amp;N58,"")</f>
        <v/>
      </c>
      <c r="P58" s="165" t="str">
        <f>+IF(fieldcreatorv2!E62="check",$E$1&amp;A58&amp;$D$5&amp;A58&amp;$E$2&amp;A58&amp;$E$3&amp;A58,"")</f>
        <v/>
      </c>
      <c r="Q58" s="165" t="str">
        <f>+IF(AND(R57&lt;&gt;"",fieldcreatorv2!I62="si"),fieldcreatorv2!CS62&amp;I58&amp;J58&amp;fieldcreatorv2!CT62,IF(AND(C58="yes",fieldcreatorv2!I62&lt;&gt;"si"),I58&amp;J58,""))</f>
        <v/>
      </c>
      <c r="R58" s="145" t="str">
        <f>IF(OR(C58=$P$1,AND(R57&lt;&gt;"",fieldcreatorv2!E62="radio",fieldcreatorv2!BA62=fieldcreatorv2!BA61),AND(R57&lt;&gt;"",fieldcreatorv2!E62="selectlist",fieldcreatorv2!AU62=fieldcreatorv2!AU61)),K58&amp;L58&amp;O58&amp;P58,"")&amp;Q58</f>
        <v/>
      </c>
      <c r="S58" s="55" t="str">
        <f>IF(AND(C58=$P$2,fieldcreatorv2!I62&lt;&gt;"si"),fieldcreatorv2!B62&amp;":  "&amp;$F$5&amp;A58&amp;$F$6,"")</f>
        <v/>
      </c>
      <c r="T58" s="253" t="str">
        <f>+IF(fieldcreatorv2!I62="si",$G$4&amp;A58&amp;$G$5,"")&amp;U58</f>
        <v/>
      </c>
      <c r="U58" s="61" t="str">
        <f>+IF(AND(fieldcreatorv2!I62="si",fieldcreatorv2!E61="radio"),+$G$6&amp;fieldcreatorv2!C61&amp;$G$7&amp;fieldcreatorv2!C61&amp;$H$1&amp;$H$2&amp;fieldcreatorv2!C61&amp;$H$3&amp;A58&amp;$H$4,"")</f>
        <v/>
      </c>
      <c r="V58" s="61" t="str">
        <f>+IF(R58&lt;&gt;"",fieldcreatorv2!CY62,"")</f>
        <v/>
      </c>
      <c r="W58" s="55" t="str">
        <f>+IF(OR(fieldcreatorv2!I63="si",AND(W59&lt;&gt;"",fieldcreatorv2!E62="radio")),1,"")</f>
        <v/>
      </c>
      <c r="X58" s="55" t="str">
        <f>+IF(AND(W58=1,W59=""),fieldcreatorv2!C62,IF(AND(W58=1,W59=1),X59,""))</f>
        <v/>
      </c>
      <c r="Y58" s="55" t="str">
        <f>+IF(AND(W57=1,fieldcreatorv2!I62="si"),A58,IF(W58=1,Y59,""))</f>
        <v/>
      </c>
      <c r="Z58" s="254" t="str">
        <f t="shared" si="8"/>
        <v/>
      </c>
      <c r="AA58" s="165" t="str">
        <f t="shared" si="11"/>
        <v/>
      </c>
      <c r="AB58" s="238" t="str">
        <f>+IF(V58&lt;&gt;"",$K$4&amp;fieldcreatorv2!C62&amp;$K$5&amp;fieldcreatorv2!BX62&amp;$K$6&amp;fieldcreatorv2!C63&amp;$K$7,"")</f>
        <v/>
      </c>
      <c r="AC58" s="238" t="str">
        <f>IF(AND(C58="yes",fieldcreatorv2!E62="check"),A58&amp;$L$1&amp;A58&amp;$L$2,"")</f>
        <v/>
      </c>
      <c r="AD58" s="238" t="str">
        <f>+IF(AND(R58&lt;&gt;"",OR(fieldcreatorv2!E62="date",fieldcreatorv2!E62="bigtext",fieldcreatorv2!E62="texto",AND(fieldcreatorv2!E62="selectlist",A58&lt;&gt;""))),"var "&amp;A58&amp;$L$3&amp;A58&amp;$L$4,"")</f>
        <v/>
      </c>
      <c r="AE58" s="61" t="str">
        <f t="shared" si="12"/>
        <v/>
      </c>
      <c r="AF58" s="12">
        <f t="shared" si="18"/>
        <v>0</v>
      </c>
      <c r="AG58" s="12">
        <f t="shared" si="9"/>
        <v>0</v>
      </c>
      <c r="AH58" s="12" t="str">
        <f t="shared" si="14"/>
        <v/>
      </c>
      <c r="AI58" s="61" t="str">
        <f t="shared" si="5"/>
        <v/>
      </c>
      <c r="AJ58" s="55" t="str">
        <f t="shared" si="16"/>
        <v/>
      </c>
      <c r="AK58" s="38" t="str">
        <f t="shared" si="10"/>
        <v/>
      </c>
      <c r="AL58" s="55" t="str">
        <f t="shared" si="13"/>
        <v/>
      </c>
    </row>
    <row r="59" spans="1:38">
      <c r="A59" s="216" t="str">
        <f>IF(fieldcreatorv2!BX63&lt;&gt;"",fieldcreatorv2!BX63,"")</f>
        <v/>
      </c>
      <c r="B59" s="255"/>
      <c r="C59" s="255"/>
      <c r="D59" s="165" t="str">
        <f>+IF(AND(B59="y",A59&lt;&gt;"",fieldcreatorv2!I63&lt;&gt;"si"),$A$1&amp;A59&amp;$A$2,"")</f>
        <v/>
      </c>
      <c r="E59" s="165" t="str">
        <f>+IF(AND(A59&lt;&gt;"",B59="y"),fieldcreatorv2!E63,"")</f>
        <v/>
      </c>
      <c r="F59" s="165" t="str">
        <f t="shared" si="17"/>
        <v/>
      </c>
      <c r="G59" s="55" t="str">
        <f>+IF(fieldcreatorv2!I63="si",$F$7&amp;fieldcreatorv2!BA62&amp;$F$1&amp;fieldcreatorv2!C62&amp;$G$1&amp;fieldcreatorv2!BA62&amp;$G$2&amp;A59&amp;$G$3,"")</f>
        <v/>
      </c>
      <c r="H59" s="145" t="str">
        <f>+IF(AND(A59&lt;&gt;"",B59="y",fieldcreatorv2!I63&lt;&gt;"si"),+$B$4&amp;A59&amp;$B$5,"")</f>
        <v/>
      </c>
      <c r="I59" s="252" t="str">
        <f>+IF(AND(fieldcreatorv2!E63="bigtext"),"&lt;br/&gt;"&amp;fieldcreatorv2!B63&amp;$C$2&amp;A59&amp;$C$3&amp;A59&amp;$C$4,"")</f>
        <v/>
      </c>
      <c r="J59" s="165" t="str">
        <f>+IF(fieldcreatorv2!E63="texto",fieldcreatorv2!B63&amp;": "&amp;$C$5&amp;A59&amp;$C$6&amp;A59&amp;$C$7,"")</f>
        <v/>
      </c>
      <c r="K59" s="165" t="str">
        <f>+IF(AND(fieldcreatorv2!E63="date",C59="yes"),fieldcreatorv2!B63&amp;": "&amp;$D$1&amp;A59&amp;$D$2&amp;A59&amp;$D$3,"")</f>
        <v/>
      </c>
      <c r="L59" s="165" t="str">
        <f>+IF(fieldcreatorv2!E63="radio",fieldcreatorv2!B63&amp;" &lt;br/&gt;"&amp;fieldcreatorv2!C63&amp;$D$4&amp;fieldcreatorv2!BA63&amp;$D$5&amp;fieldcreatorv2!C63&amp;$D$6&amp;fieldcreatorv2!C63&amp;$D$7&amp;fieldcreatorv2!BA63&amp;$F$1&amp;fieldcreatorv2!C63&amp;$F$4,"")</f>
        <v/>
      </c>
      <c r="M59" s="165" t="str">
        <f>+IF(AND(fieldcreatorv2!E63="selectlist",A59&lt;&gt;""),"&lt;br/&gt;"&amp;A59&amp;$E$4&amp;A59&amp;$D$5&amp;A59&amp;$E$5,"")</f>
        <v/>
      </c>
      <c r="N59" s="165" t="str">
        <f>+IF(AND(fieldcreatorv2!AU63&lt;&gt;fieldcreatorv2!AU64,fieldcreatorv2!E63="selectlist"),"&lt;/select&gt;","")</f>
        <v/>
      </c>
      <c r="O59" s="165" t="str">
        <f>+IF(fieldcreatorv2!E63="selectlist",M59&amp;$E$6&amp;fieldcreatorv2!C63&amp;$E$7&amp;fieldcreatorv2!AU63&amp;$F$1&amp;fieldcreatorv2!C63&amp;$F$2&amp;fieldcreatorv2!C63&amp;$F$3&amp;N59,"")</f>
        <v/>
      </c>
      <c r="P59" s="165" t="str">
        <f>+IF(fieldcreatorv2!E63="check",$E$1&amp;A59&amp;$D$5&amp;A59&amp;$E$2&amp;A59&amp;$E$3&amp;A59,"")</f>
        <v/>
      </c>
      <c r="Q59" s="165" t="str">
        <f>+IF(AND(R58&lt;&gt;"",fieldcreatorv2!I63="si"),fieldcreatorv2!CS63&amp;I59&amp;J59&amp;fieldcreatorv2!CT63,IF(AND(C59="yes",fieldcreatorv2!I63&lt;&gt;"si"),I59&amp;J59,""))</f>
        <v/>
      </c>
      <c r="R59" s="145" t="str">
        <f>IF(OR(C59=$P$1,AND(R58&lt;&gt;"",fieldcreatorv2!E63="radio",fieldcreatorv2!BA63=fieldcreatorv2!BA62),AND(R58&lt;&gt;"",fieldcreatorv2!E63="selectlist",fieldcreatorv2!AU63=fieldcreatorv2!AU62)),K59&amp;L59&amp;O59&amp;P59,"")&amp;Q59</f>
        <v/>
      </c>
      <c r="S59" s="55" t="str">
        <f>IF(AND(C59=$P$2,fieldcreatorv2!I63&lt;&gt;"si"),fieldcreatorv2!B63&amp;":  "&amp;$F$5&amp;A59&amp;$F$6,"")</f>
        <v/>
      </c>
      <c r="T59" s="253" t="str">
        <f>+IF(fieldcreatorv2!I63="si",$G$4&amp;A59&amp;$G$5,"")&amp;U59</f>
        <v/>
      </c>
      <c r="U59" s="61" t="str">
        <f>+IF(AND(fieldcreatorv2!I63="si",fieldcreatorv2!E62="radio"),+$G$6&amp;fieldcreatorv2!C62&amp;$G$7&amp;fieldcreatorv2!C62&amp;$H$1&amp;$H$2&amp;fieldcreatorv2!C62&amp;$H$3&amp;A59&amp;$H$4,"")</f>
        <v/>
      </c>
      <c r="V59" s="61" t="str">
        <f>+IF(R59&lt;&gt;"",fieldcreatorv2!CY63,"")</f>
        <v/>
      </c>
      <c r="W59" s="55" t="str">
        <f>+IF(OR(fieldcreatorv2!I64="si",AND(W60&lt;&gt;"",fieldcreatorv2!E63="radio")),1,"")</f>
        <v/>
      </c>
      <c r="X59" s="55" t="str">
        <f>+IF(AND(W59=1,W60=""),fieldcreatorv2!C63,IF(AND(W59=1,W60=1),X60,""))</f>
        <v/>
      </c>
      <c r="Y59" s="55" t="str">
        <f>+IF(AND(W58=1,fieldcreatorv2!I63="si"),A59,IF(W59=1,Y60,""))</f>
        <v/>
      </c>
      <c r="Z59" s="254" t="str">
        <f t="shared" si="8"/>
        <v/>
      </c>
      <c r="AA59" s="165" t="str">
        <f t="shared" si="11"/>
        <v/>
      </c>
      <c r="AB59" s="238" t="str">
        <f>+IF(V59&lt;&gt;"",$K$4&amp;fieldcreatorv2!C63&amp;$K$5&amp;fieldcreatorv2!BX63&amp;$K$6&amp;fieldcreatorv2!C64&amp;$K$7,"")</f>
        <v/>
      </c>
      <c r="AC59" s="238" t="str">
        <f>IF(AND(C59="yes",fieldcreatorv2!E63="check"),A59&amp;$L$1&amp;A59&amp;$L$2,"")</f>
        <v/>
      </c>
      <c r="AD59" s="238" t="str">
        <f>+IF(AND(R59&lt;&gt;"",OR(fieldcreatorv2!E63="date",fieldcreatorv2!E63="bigtext",fieldcreatorv2!E63="texto",AND(fieldcreatorv2!E63="selectlist",A59&lt;&gt;""))),"var "&amp;A59&amp;$L$3&amp;A59&amp;$L$4,"")</f>
        <v/>
      </c>
      <c r="AE59" s="61" t="str">
        <f t="shared" si="12"/>
        <v/>
      </c>
      <c r="AF59" s="12">
        <f t="shared" si="18"/>
        <v>0</v>
      </c>
      <c r="AG59" s="12">
        <f t="shared" si="9"/>
        <v>0</v>
      </c>
      <c r="AH59" s="12" t="str">
        <f t="shared" si="14"/>
        <v/>
      </c>
      <c r="AI59" s="61" t="str">
        <f t="shared" si="5"/>
        <v/>
      </c>
      <c r="AJ59" s="55" t="str">
        <f t="shared" si="16"/>
        <v/>
      </c>
      <c r="AK59" s="38" t="str">
        <f t="shared" si="10"/>
        <v/>
      </c>
      <c r="AL59" s="55" t="str">
        <f t="shared" si="13"/>
        <v/>
      </c>
    </row>
    <row r="60" spans="1:38">
      <c r="A60" s="216" t="str">
        <f>IF(fieldcreatorv2!BX64&lt;&gt;"",fieldcreatorv2!BX64,"")</f>
        <v/>
      </c>
      <c r="B60" s="255"/>
      <c r="C60" s="255"/>
      <c r="D60" s="165" t="str">
        <f>+IF(AND(B60="y",A60&lt;&gt;"",fieldcreatorv2!I64&lt;&gt;"si"),$A$1&amp;A60&amp;$A$2,"")</f>
        <v/>
      </c>
      <c r="E60" s="165" t="str">
        <f>+IF(AND(A60&lt;&gt;"",B60="y"),fieldcreatorv2!E64,"")</f>
        <v/>
      </c>
      <c r="F60" s="165" t="str">
        <f t="shared" si="17"/>
        <v/>
      </c>
      <c r="G60" s="55" t="str">
        <f>+IF(fieldcreatorv2!I64="si",$F$7&amp;fieldcreatorv2!BA63&amp;$F$1&amp;fieldcreatorv2!C63&amp;$G$1&amp;fieldcreatorv2!BA63&amp;$G$2&amp;A60&amp;$G$3,"")</f>
        <v/>
      </c>
      <c r="H60" s="145" t="str">
        <f>+IF(AND(A60&lt;&gt;"",B60="y",fieldcreatorv2!I64&lt;&gt;"si"),+$B$4&amp;A60&amp;$B$5,"")</f>
        <v/>
      </c>
      <c r="I60" s="252" t="str">
        <f>+IF(AND(fieldcreatorv2!E64="bigtext"),"&lt;br/&gt;"&amp;fieldcreatorv2!B64&amp;$C$2&amp;A60&amp;$C$3&amp;A60&amp;$C$4,"")</f>
        <v/>
      </c>
      <c r="J60" s="165" t="str">
        <f>+IF(fieldcreatorv2!E64="texto",fieldcreatorv2!B64&amp;": "&amp;$C$5&amp;A60&amp;$C$6&amp;A60&amp;$C$7,"")</f>
        <v/>
      </c>
      <c r="K60" s="165" t="str">
        <f>+IF(AND(fieldcreatorv2!E64="date",C60="yes"),fieldcreatorv2!B64&amp;": "&amp;$D$1&amp;A60&amp;$D$2&amp;A60&amp;$D$3,"")</f>
        <v/>
      </c>
      <c r="L60" s="165" t="str">
        <f>+IF(fieldcreatorv2!E64="radio",fieldcreatorv2!B64&amp;" &lt;br/&gt;"&amp;fieldcreatorv2!C64&amp;$D$4&amp;fieldcreatorv2!BA64&amp;$D$5&amp;fieldcreatorv2!C64&amp;$D$6&amp;fieldcreatorv2!C64&amp;$D$7&amp;fieldcreatorv2!BA64&amp;$F$1&amp;fieldcreatorv2!C64&amp;$F$4,"")</f>
        <v/>
      </c>
      <c r="M60" s="165" t="str">
        <f>+IF(AND(fieldcreatorv2!E64="selectlist",A60&lt;&gt;""),"&lt;br/&gt;"&amp;A60&amp;$E$4&amp;A60&amp;$D$5&amp;A60&amp;$E$5,"")</f>
        <v/>
      </c>
      <c r="N60" s="165" t="str">
        <f>+IF(AND(fieldcreatorv2!AU64&lt;&gt;fieldcreatorv2!AU65,fieldcreatorv2!E64="selectlist"),"&lt;/select&gt;","")</f>
        <v/>
      </c>
      <c r="O60" s="165" t="str">
        <f>+IF(fieldcreatorv2!E64="selectlist",M60&amp;$E$6&amp;fieldcreatorv2!C64&amp;$E$7&amp;fieldcreatorv2!AU64&amp;$F$1&amp;fieldcreatorv2!C64&amp;$F$2&amp;fieldcreatorv2!C64&amp;$F$3&amp;N60,"")</f>
        <v/>
      </c>
      <c r="P60" s="165" t="str">
        <f>+IF(fieldcreatorv2!E64="check",$E$1&amp;A60&amp;$D$5&amp;A60&amp;$E$2&amp;A60&amp;$E$3&amp;A60,"")</f>
        <v/>
      </c>
      <c r="Q60" s="165" t="str">
        <f>+IF(AND(R59&lt;&gt;"",fieldcreatorv2!I64="si"),fieldcreatorv2!CS64&amp;I60&amp;J60&amp;fieldcreatorv2!CT64,IF(AND(C60="yes",fieldcreatorv2!I64&lt;&gt;"si"),I60&amp;J60,""))</f>
        <v/>
      </c>
      <c r="R60" s="145" t="str">
        <f>IF(OR(C60=$P$1,AND(R59&lt;&gt;"",fieldcreatorv2!E64="radio",fieldcreatorv2!BA64=fieldcreatorv2!BA63),AND(R59&lt;&gt;"",fieldcreatorv2!E64="selectlist",fieldcreatorv2!AU64=fieldcreatorv2!AU63)),K60&amp;L60&amp;O60&amp;P60,"")&amp;Q60</f>
        <v/>
      </c>
      <c r="S60" s="55" t="str">
        <f>IF(AND(C60=$P$2,fieldcreatorv2!I64&lt;&gt;"si"),fieldcreatorv2!B64&amp;":  "&amp;$F$5&amp;A60&amp;$F$6,"")</f>
        <v/>
      </c>
      <c r="T60" s="253" t="str">
        <f>+IF(fieldcreatorv2!I64="si",$G$4&amp;A60&amp;$G$5,"")&amp;U60</f>
        <v/>
      </c>
      <c r="U60" s="61" t="str">
        <f>+IF(AND(fieldcreatorv2!I64="si",fieldcreatorv2!E63="radio"),+$G$6&amp;fieldcreatorv2!C63&amp;$G$7&amp;fieldcreatorv2!C63&amp;$H$1&amp;$H$2&amp;fieldcreatorv2!C63&amp;$H$3&amp;A60&amp;$H$4,"")</f>
        <v/>
      </c>
      <c r="V60" s="61" t="str">
        <f>+IF(R60&lt;&gt;"",fieldcreatorv2!CY64,"")</f>
        <v/>
      </c>
      <c r="W60" s="55" t="str">
        <f>+IF(OR(fieldcreatorv2!I65="si",AND(W61&lt;&gt;"",fieldcreatorv2!E64="radio")),1,"")</f>
        <v/>
      </c>
      <c r="X60" s="55" t="str">
        <f>+IF(AND(W60=1,W61=""),fieldcreatorv2!C64,IF(AND(W60=1,W61=1),X61,""))</f>
        <v/>
      </c>
      <c r="Y60" s="55" t="str">
        <f>+IF(AND(W59=1,fieldcreatorv2!I64="si"),A60,IF(W60=1,Y61,""))</f>
        <v/>
      </c>
      <c r="Z60" s="254" t="str">
        <f t="shared" si="8"/>
        <v/>
      </c>
      <c r="AA60" s="165" t="str">
        <f t="shared" si="11"/>
        <v/>
      </c>
      <c r="AB60" s="238" t="str">
        <f>+IF(V60&lt;&gt;"",$K$4&amp;fieldcreatorv2!C64&amp;$K$5&amp;fieldcreatorv2!BX64&amp;$K$6&amp;fieldcreatorv2!C65&amp;$K$7,"")</f>
        <v/>
      </c>
      <c r="AC60" s="238" t="str">
        <f>IF(AND(C60="yes",fieldcreatorv2!E64="check"),A60&amp;$L$1&amp;A60&amp;$L$2,"")</f>
        <v/>
      </c>
      <c r="AD60" s="238" t="str">
        <f>+IF(AND(R60&lt;&gt;"",OR(fieldcreatorv2!E64="date",fieldcreatorv2!E64="bigtext",fieldcreatorv2!E64="texto",AND(fieldcreatorv2!E64="selectlist",A60&lt;&gt;""))),"var "&amp;A60&amp;$L$3&amp;A60&amp;$L$4,"")</f>
        <v/>
      </c>
      <c r="AE60" s="61" t="str">
        <f t="shared" si="12"/>
        <v/>
      </c>
      <c r="AF60" s="12">
        <f t="shared" si="18"/>
        <v>0</v>
      </c>
      <c r="AG60" s="12">
        <f t="shared" si="9"/>
        <v>0</v>
      </c>
      <c r="AH60" s="12" t="str">
        <f t="shared" si="14"/>
        <v/>
      </c>
      <c r="AI60" s="61" t="str">
        <f t="shared" si="5"/>
        <v/>
      </c>
      <c r="AJ60" s="55" t="str">
        <f t="shared" si="16"/>
        <v/>
      </c>
      <c r="AK60" s="38" t="str">
        <f t="shared" si="10"/>
        <v/>
      </c>
      <c r="AL60" s="55" t="str">
        <f t="shared" si="13"/>
        <v/>
      </c>
    </row>
    <row r="61" spans="1:38">
      <c r="A61" s="216" t="str">
        <f>IF(fieldcreatorv2!BX65&lt;&gt;"",fieldcreatorv2!BX65,"")</f>
        <v/>
      </c>
      <c r="B61" s="255"/>
      <c r="C61" s="255"/>
      <c r="D61" s="165" t="str">
        <f>+IF(AND(B61="y",A61&lt;&gt;"",fieldcreatorv2!I65&lt;&gt;"si"),$A$1&amp;A61&amp;$A$2,"")</f>
        <v/>
      </c>
      <c r="E61" s="165" t="str">
        <f>+IF(AND(A61&lt;&gt;"",B61="y"),fieldcreatorv2!E65,"")</f>
        <v/>
      </c>
      <c r="F61" s="165" t="str">
        <f t="shared" si="17"/>
        <v/>
      </c>
      <c r="G61" s="55" t="str">
        <f>+IF(fieldcreatorv2!I65="si",$F$7&amp;fieldcreatorv2!BA64&amp;$F$1&amp;fieldcreatorv2!C64&amp;$G$1&amp;fieldcreatorv2!BA64&amp;$G$2&amp;A61&amp;$G$3,"")</f>
        <v/>
      </c>
      <c r="H61" s="145" t="str">
        <f>+IF(AND(A61&lt;&gt;"",B61="y",fieldcreatorv2!I65&lt;&gt;"si"),+$B$4&amp;A61&amp;$B$5,"")</f>
        <v/>
      </c>
      <c r="I61" s="252" t="str">
        <f>+IF(AND(fieldcreatorv2!E65="bigtext"),"&lt;br/&gt;"&amp;fieldcreatorv2!B65&amp;$C$2&amp;A61&amp;$C$3&amp;A61&amp;$C$4,"")</f>
        <v/>
      </c>
      <c r="J61" s="165" t="str">
        <f>+IF(fieldcreatorv2!E65="texto",fieldcreatorv2!B65&amp;": "&amp;$C$5&amp;A61&amp;$C$6&amp;A61&amp;$C$7,"")</f>
        <v/>
      </c>
      <c r="K61" s="165" t="str">
        <f>+IF(AND(fieldcreatorv2!E65="date",C61="yes"),fieldcreatorv2!B65&amp;": "&amp;$D$1&amp;A61&amp;$D$2&amp;A61&amp;$D$3,"")</f>
        <v/>
      </c>
      <c r="L61" s="165" t="str">
        <f>+IF(fieldcreatorv2!E65="radio",fieldcreatorv2!B65&amp;" &lt;br/&gt;"&amp;fieldcreatorv2!C65&amp;$D$4&amp;fieldcreatorv2!BA65&amp;$D$5&amp;fieldcreatorv2!C65&amp;$D$6&amp;fieldcreatorv2!C65&amp;$D$7&amp;fieldcreatorv2!BA65&amp;$F$1&amp;fieldcreatorv2!C65&amp;$F$4,"")</f>
        <v/>
      </c>
      <c r="M61" s="165" t="str">
        <f>+IF(AND(fieldcreatorv2!E65="selectlist",A61&lt;&gt;""),"&lt;br/&gt;"&amp;A61&amp;$E$4&amp;A61&amp;$D$5&amp;A61&amp;$E$5,"")</f>
        <v/>
      </c>
      <c r="N61" s="165" t="str">
        <f>+IF(AND(fieldcreatorv2!AU65&lt;&gt;fieldcreatorv2!AU66,fieldcreatorv2!E65="selectlist"),"&lt;/select&gt;","")</f>
        <v/>
      </c>
      <c r="O61" s="165" t="str">
        <f>+IF(fieldcreatorv2!E65="selectlist",M61&amp;$E$6&amp;fieldcreatorv2!C65&amp;$E$7&amp;fieldcreatorv2!AU65&amp;$F$1&amp;fieldcreatorv2!C65&amp;$F$2&amp;fieldcreatorv2!C65&amp;$F$3&amp;N61,"")</f>
        <v/>
      </c>
      <c r="P61" s="165" t="str">
        <f>+IF(fieldcreatorv2!E65="check",$E$1&amp;A61&amp;$D$5&amp;A61&amp;$E$2&amp;A61&amp;$E$3&amp;A61,"")</f>
        <v/>
      </c>
      <c r="Q61" s="165" t="str">
        <f>+IF(AND(R60&lt;&gt;"",fieldcreatorv2!I65="si"),fieldcreatorv2!CS65&amp;I61&amp;J61&amp;fieldcreatorv2!CT65,IF(AND(C61="yes",fieldcreatorv2!I65&lt;&gt;"si"),I61&amp;J61,""))</f>
        <v/>
      </c>
      <c r="R61" s="145" t="str">
        <f>IF(OR(C61=$P$1,AND(R60&lt;&gt;"",fieldcreatorv2!E65="radio",fieldcreatorv2!BA65=fieldcreatorv2!BA64),AND(R60&lt;&gt;"",fieldcreatorv2!E65="selectlist",fieldcreatorv2!AU65=fieldcreatorv2!AU64)),K61&amp;L61&amp;O61&amp;P61,"")&amp;Q61</f>
        <v/>
      </c>
      <c r="S61" s="55" t="str">
        <f>IF(AND(C61=$P$2,fieldcreatorv2!I65&lt;&gt;"si"),fieldcreatorv2!B65&amp;":  "&amp;$F$5&amp;A61&amp;$F$6,"")</f>
        <v/>
      </c>
      <c r="T61" s="253" t="str">
        <f>+IF(fieldcreatorv2!I65="si",$G$4&amp;A61&amp;$G$5,"")&amp;U61</f>
        <v/>
      </c>
      <c r="U61" s="61" t="str">
        <f>+IF(AND(fieldcreatorv2!I65="si",fieldcreatorv2!E64="radio"),+$G$6&amp;fieldcreatorv2!C64&amp;$G$7&amp;fieldcreatorv2!C64&amp;$H$1&amp;$H$2&amp;fieldcreatorv2!C64&amp;$H$3&amp;A61&amp;$H$4,"")</f>
        <v/>
      </c>
      <c r="V61" s="61" t="str">
        <f>+IF(R61&lt;&gt;"",fieldcreatorv2!CY65,"")</f>
        <v/>
      </c>
      <c r="W61" s="55" t="str">
        <f>+IF(OR(fieldcreatorv2!I66="si",AND(W62&lt;&gt;"",fieldcreatorv2!E65="radio")),1,"")</f>
        <v/>
      </c>
      <c r="X61" s="55" t="str">
        <f>+IF(AND(W61=1,W62=""),fieldcreatorv2!C65,IF(AND(W61=1,W62=1),X62,""))</f>
        <v/>
      </c>
      <c r="Y61" s="55" t="str">
        <f>+IF(AND(W60=1,fieldcreatorv2!I65="si"),A61,IF(W61=1,Y62,""))</f>
        <v/>
      </c>
      <c r="Z61" s="254" t="str">
        <f t="shared" si="8"/>
        <v/>
      </c>
      <c r="AA61" s="165" t="str">
        <f t="shared" si="11"/>
        <v/>
      </c>
      <c r="AB61" s="238" t="str">
        <f>+IF(V61&lt;&gt;"",$K$4&amp;fieldcreatorv2!C65&amp;$K$5&amp;fieldcreatorv2!BX65&amp;$K$6&amp;fieldcreatorv2!C66&amp;$K$7,"")</f>
        <v/>
      </c>
      <c r="AC61" s="238" t="str">
        <f>IF(AND(C61="yes",fieldcreatorv2!E65="check"),A61&amp;$L$1&amp;A61&amp;$L$2,"")</f>
        <v/>
      </c>
      <c r="AD61" s="238" t="str">
        <f>+IF(AND(R61&lt;&gt;"",OR(fieldcreatorv2!E65="date",fieldcreatorv2!E65="bigtext",fieldcreatorv2!E65="texto",AND(fieldcreatorv2!E65="selectlist",A61&lt;&gt;""))),"var "&amp;A61&amp;$L$3&amp;A61&amp;$L$4,"")</f>
        <v/>
      </c>
      <c r="AE61" s="61" t="str">
        <f t="shared" si="12"/>
        <v/>
      </c>
      <c r="AF61" s="12">
        <f t="shared" si="18"/>
        <v>0</v>
      </c>
      <c r="AG61" s="12">
        <f t="shared" si="9"/>
        <v>0</v>
      </c>
      <c r="AH61" s="12" t="str">
        <f t="shared" si="14"/>
        <v/>
      </c>
      <c r="AI61" s="61" t="str">
        <f t="shared" si="5"/>
        <v/>
      </c>
      <c r="AJ61" s="55" t="str">
        <f t="shared" si="16"/>
        <v/>
      </c>
      <c r="AK61" s="38" t="str">
        <f t="shared" si="10"/>
        <v/>
      </c>
      <c r="AL61" s="55" t="str">
        <f t="shared" si="13"/>
        <v/>
      </c>
    </row>
    <row r="62" spans="1:38">
      <c r="A62" s="216" t="str">
        <f>IF(fieldcreatorv2!BX66&lt;&gt;"",fieldcreatorv2!BX66,"")</f>
        <v/>
      </c>
      <c r="B62" s="255"/>
      <c r="C62" s="255"/>
      <c r="D62" s="165" t="str">
        <f>+IF(AND(B62="y",A62&lt;&gt;"",fieldcreatorv2!I66&lt;&gt;"si"),$A$1&amp;A62&amp;$A$2,"")</f>
        <v/>
      </c>
      <c r="E62" s="165" t="str">
        <f>+IF(AND(A62&lt;&gt;"",B62="y"),fieldcreatorv2!E66,"")</f>
        <v/>
      </c>
      <c r="F62" s="165" t="str">
        <f t="shared" si="17"/>
        <v/>
      </c>
      <c r="G62" s="55" t="str">
        <f>+IF(fieldcreatorv2!I66="si",$F$7&amp;fieldcreatorv2!BA65&amp;$F$1&amp;fieldcreatorv2!C65&amp;$G$1&amp;fieldcreatorv2!BA65&amp;$G$2&amp;A62&amp;$G$3,"")</f>
        <v/>
      </c>
      <c r="H62" s="145" t="str">
        <f>+IF(AND(A62&lt;&gt;"",B62="y",fieldcreatorv2!I66&lt;&gt;"si"),+$B$4&amp;A62&amp;$B$5,"")</f>
        <v/>
      </c>
      <c r="I62" s="252" t="str">
        <f>+IF(AND(fieldcreatorv2!E66="bigtext"),"&lt;br/&gt;"&amp;fieldcreatorv2!B66&amp;$C$2&amp;A62&amp;$C$3&amp;A62&amp;$C$4,"")</f>
        <v/>
      </c>
      <c r="J62" s="165" t="str">
        <f>+IF(fieldcreatorv2!E66="texto",fieldcreatorv2!B66&amp;": "&amp;$C$5&amp;A62&amp;$C$6&amp;A62&amp;$C$7,"")</f>
        <v/>
      </c>
      <c r="K62" s="165" t="str">
        <f>+IF(AND(fieldcreatorv2!E66="date",C62="yes"),fieldcreatorv2!B66&amp;": "&amp;$D$1&amp;A62&amp;$D$2&amp;A62&amp;$D$3,"")</f>
        <v/>
      </c>
      <c r="L62" s="165" t="str">
        <f>+IF(fieldcreatorv2!E66="radio",fieldcreatorv2!B66&amp;" &lt;br/&gt;"&amp;fieldcreatorv2!C66&amp;$D$4&amp;fieldcreatorv2!BA66&amp;$D$5&amp;fieldcreatorv2!C66&amp;$D$6&amp;fieldcreatorv2!C66&amp;$D$7&amp;fieldcreatorv2!BA66&amp;$F$1&amp;fieldcreatorv2!C66&amp;$F$4,"")</f>
        <v/>
      </c>
      <c r="M62" s="165" t="str">
        <f>+IF(AND(fieldcreatorv2!E66="selectlist",A62&lt;&gt;""),"&lt;br/&gt;"&amp;A62&amp;$E$4&amp;A62&amp;$D$5&amp;A62&amp;$E$5,"")</f>
        <v/>
      </c>
      <c r="N62" s="165" t="str">
        <f>+IF(AND(fieldcreatorv2!AU66&lt;&gt;fieldcreatorv2!AU67,fieldcreatorv2!E66="selectlist"),"&lt;/select&gt;","")</f>
        <v/>
      </c>
      <c r="O62" s="165" t="str">
        <f>+IF(fieldcreatorv2!E66="selectlist",M62&amp;$E$6&amp;fieldcreatorv2!C66&amp;$E$7&amp;fieldcreatorv2!AU66&amp;$F$1&amp;fieldcreatorv2!C66&amp;$F$2&amp;fieldcreatorv2!C66&amp;$F$3&amp;N62,"")</f>
        <v/>
      </c>
      <c r="P62" s="165" t="str">
        <f>+IF(fieldcreatorv2!E66="check",$E$1&amp;A62&amp;$D$5&amp;A62&amp;$E$2&amp;A62&amp;$E$3&amp;A62,"")</f>
        <v/>
      </c>
      <c r="Q62" s="165" t="str">
        <f>+IF(AND(R61&lt;&gt;"",fieldcreatorv2!I66="si"),fieldcreatorv2!CS66&amp;I62&amp;J62&amp;fieldcreatorv2!CT66,IF(AND(C62="yes",fieldcreatorv2!I66&lt;&gt;"si"),I62&amp;J62,""))</f>
        <v/>
      </c>
      <c r="R62" s="145" t="str">
        <f>IF(OR(C62=$P$1,AND(R61&lt;&gt;"",fieldcreatorv2!E66="radio",fieldcreatorv2!BA66=fieldcreatorv2!BA65),AND(R61&lt;&gt;"",fieldcreatorv2!E66="selectlist",fieldcreatorv2!AU66=fieldcreatorv2!AU65)),K62&amp;L62&amp;O62&amp;P62,"")&amp;Q62</f>
        <v/>
      </c>
      <c r="S62" s="55" t="str">
        <f>IF(AND(C62=$P$2,fieldcreatorv2!I66&lt;&gt;"si"),fieldcreatorv2!B66&amp;":  "&amp;$F$5&amp;A62&amp;$F$6,"")</f>
        <v/>
      </c>
      <c r="T62" s="253" t="str">
        <f>+IF(fieldcreatorv2!I66="si",$G$4&amp;A62&amp;$G$5,"")&amp;U62</f>
        <v/>
      </c>
      <c r="U62" s="61" t="str">
        <f>+IF(AND(fieldcreatorv2!I66="si",fieldcreatorv2!E65="radio"),+$G$6&amp;fieldcreatorv2!C65&amp;$G$7&amp;fieldcreatorv2!C65&amp;$H$1&amp;$H$2&amp;fieldcreatorv2!C65&amp;$H$3&amp;A62&amp;$H$4,"")</f>
        <v/>
      </c>
      <c r="V62" s="61" t="str">
        <f>+IF(R62&lt;&gt;"",fieldcreatorv2!CY66,"")</f>
        <v/>
      </c>
      <c r="W62" s="55" t="str">
        <f>+IF(OR(fieldcreatorv2!I67="si",AND(W63&lt;&gt;"",fieldcreatorv2!E66="radio")),1,"")</f>
        <v/>
      </c>
      <c r="X62" s="55" t="str">
        <f>+IF(AND(W62=1,W63=""),fieldcreatorv2!C66,IF(AND(W62=1,W63=1),X63,""))</f>
        <v/>
      </c>
      <c r="Y62" s="55" t="str">
        <f>+IF(AND(W61=1,fieldcreatorv2!I66="si"),A62,IF(W62=1,Y63,""))</f>
        <v/>
      </c>
      <c r="Z62" s="254" t="str">
        <f t="shared" si="8"/>
        <v/>
      </c>
      <c r="AA62" s="165" t="str">
        <f t="shared" si="11"/>
        <v/>
      </c>
      <c r="AB62" s="238" t="str">
        <f>+IF(V62&lt;&gt;"",$K$4&amp;fieldcreatorv2!C66&amp;$K$5&amp;fieldcreatorv2!BX66&amp;$K$6&amp;fieldcreatorv2!C67&amp;$K$7,"")</f>
        <v/>
      </c>
      <c r="AC62" s="238" t="str">
        <f>IF(AND(C62="yes",fieldcreatorv2!E66="check"),A62&amp;$L$1&amp;A62&amp;$L$2,"")</f>
        <v/>
      </c>
      <c r="AD62" s="238" t="str">
        <f>+IF(AND(R62&lt;&gt;"",OR(fieldcreatorv2!E66="date",fieldcreatorv2!E66="bigtext",fieldcreatorv2!E66="texto",AND(fieldcreatorv2!E66="selectlist",A62&lt;&gt;""))),"var "&amp;A62&amp;$L$3&amp;A62&amp;$L$4,"")</f>
        <v/>
      </c>
      <c r="AE62" s="61" t="str">
        <f t="shared" si="12"/>
        <v/>
      </c>
      <c r="AF62" s="12">
        <f t="shared" si="18"/>
        <v>0</v>
      </c>
      <c r="AG62" s="12">
        <f t="shared" si="9"/>
        <v>0</v>
      </c>
      <c r="AH62" s="12" t="str">
        <f t="shared" si="14"/>
        <v/>
      </c>
      <c r="AI62" s="61" t="str">
        <f t="shared" si="5"/>
        <v/>
      </c>
      <c r="AJ62" s="55" t="str">
        <f t="shared" si="16"/>
        <v/>
      </c>
      <c r="AK62" s="38" t="str">
        <f t="shared" si="10"/>
        <v/>
      </c>
      <c r="AL62" s="55" t="str">
        <f t="shared" si="13"/>
        <v/>
      </c>
    </row>
    <row r="63" spans="1:38">
      <c r="A63" s="216" t="str">
        <f>IF(fieldcreatorv2!BX67&lt;&gt;"",fieldcreatorv2!BX67,"")</f>
        <v/>
      </c>
      <c r="B63" s="255"/>
      <c r="C63" s="255"/>
      <c r="D63" s="165" t="str">
        <f>+IF(AND(B63="y",A63&lt;&gt;"",fieldcreatorv2!I67&lt;&gt;"si"),$A$1&amp;A63&amp;$A$2,"")</f>
        <v/>
      </c>
      <c r="E63" s="165" t="str">
        <f>+IF(AND(A63&lt;&gt;"",B63="y"),fieldcreatorv2!E67,"")</f>
        <v/>
      </c>
      <c r="F63" s="165" t="str">
        <f t="shared" si="17"/>
        <v/>
      </c>
      <c r="G63" s="55" t="str">
        <f>+IF(fieldcreatorv2!I67="si",$F$7&amp;fieldcreatorv2!BA66&amp;$F$1&amp;fieldcreatorv2!C66&amp;$G$1&amp;fieldcreatorv2!BA66&amp;$G$2&amp;A63&amp;$G$3,"")</f>
        <v/>
      </c>
      <c r="H63" s="145" t="str">
        <f>+IF(AND(A63&lt;&gt;"",B63="y",fieldcreatorv2!I67&lt;&gt;"si"),+$B$4&amp;A63&amp;$B$5,"")</f>
        <v/>
      </c>
      <c r="I63" s="252" t="str">
        <f>+IF(AND(fieldcreatorv2!E67="bigtext"),"&lt;br/&gt;"&amp;fieldcreatorv2!B67&amp;$C$2&amp;A63&amp;$C$3&amp;A63&amp;$C$4,"")</f>
        <v/>
      </c>
      <c r="J63" s="165" t="str">
        <f>+IF(fieldcreatorv2!E67="texto",fieldcreatorv2!B67&amp;": "&amp;$C$5&amp;A63&amp;$C$6&amp;A63&amp;$C$7,"")</f>
        <v/>
      </c>
      <c r="K63" s="165" t="str">
        <f>+IF(AND(fieldcreatorv2!E67="date",C63="yes"),fieldcreatorv2!B67&amp;": "&amp;$D$1&amp;A63&amp;$D$2&amp;A63&amp;$D$3,"")</f>
        <v/>
      </c>
      <c r="L63" s="165" t="str">
        <f>+IF(fieldcreatorv2!E67="radio",fieldcreatorv2!B67&amp;" &lt;br/&gt;"&amp;fieldcreatorv2!C67&amp;$D$4&amp;fieldcreatorv2!BA67&amp;$D$5&amp;fieldcreatorv2!C67&amp;$D$6&amp;fieldcreatorv2!C67&amp;$D$7&amp;fieldcreatorv2!BA67&amp;$F$1&amp;fieldcreatorv2!C67&amp;$F$4,"")</f>
        <v/>
      </c>
      <c r="M63" s="165" t="str">
        <f>+IF(AND(fieldcreatorv2!E67="selectlist",A63&lt;&gt;""),"&lt;br/&gt;"&amp;A63&amp;$E$4&amp;A63&amp;$D$5&amp;A63&amp;$E$5,"")</f>
        <v/>
      </c>
      <c r="N63" s="165" t="str">
        <f>+IF(AND(fieldcreatorv2!AU67&lt;&gt;fieldcreatorv2!AU68,fieldcreatorv2!E67="selectlist"),"&lt;/select&gt;","")</f>
        <v/>
      </c>
      <c r="O63" s="165" t="str">
        <f>+IF(fieldcreatorv2!E67="selectlist",M63&amp;$E$6&amp;fieldcreatorv2!C67&amp;$E$7&amp;fieldcreatorv2!AU67&amp;$F$1&amp;fieldcreatorv2!C67&amp;$F$2&amp;fieldcreatorv2!C67&amp;$F$3&amp;N63,"")</f>
        <v/>
      </c>
      <c r="P63" s="165" t="str">
        <f>+IF(fieldcreatorv2!E67="check",$E$1&amp;A63&amp;$D$5&amp;A63&amp;$E$2&amp;A63&amp;$E$3&amp;A63,"")</f>
        <v/>
      </c>
      <c r="Q63" s="165" t="str">
        <f>+IF(AND(R62&lt;&gt;"",fieldcreatorv2!I67="si"),fieldcreatorv2!CS67&amp;I63&amp;J63&amp;fieldcreatorv2!CT67,IF(AND(C63="yes",fieldcreatorv2!I67&lt;&gt;"si"),I63&amp;J63,""))</f>
        <v/>
      </c>
      <c r="R63" s="145" t="str">
        <f>IF(OR(C63=$P$1,AND(R62&lt;&gt;"",fieldcreatorv2!E67="radio",fieldcreatorv2!BA67=fieldcreatorv2!BA66),AND(R62&lt;&gt;"",fieldcreatorv2!E67="selectlist",fieldcreatorv2!AU67=fieldcreatorv2!AU66)),K63&amp;L63&amp;O63&amp;P63,"")&amp;Q63</f>
        <v/>
      </c>
      <c r="S63" s="55" t="str">
        <f>IF(AND(C63=$P$2,fieldcreatorv2!I67&lt;&gt;"si"),fieldcreatorv2!B67&amp;":  "&amp;$F$5&amp;A63&amp;$F$6,"")</f>
        <v/>
      </c>
      <c r="T63" s="253" t="str">
        <f>+IF(fieldcreatorv2!I67="si",$G$4&amp;A63&amp;$G$5,"")&amp;U63</f>
        <v/>
      </c>
      <c r="U63" s="61" t="str">
        <f>+IF(AND(fieldcreatorv2!I67="si",fieldcreatorv2!E66="radio"),+$G$6&amp;fieldcreatorv2!C66&amp;$G$7&amp;fieldcreatorv2!C66&amp;$H$1&amp;$H$2&amp;fieldcreatorv2!C66&amp;$H$3&amp;A63&amp;$H$4,"")</f>
        <v/>
      </c>
      <c r="V63" s="61" t="str">
        <f>+IF(R63&lt;&gt;"",fieldcreatorv2!CY67,"")</f>
        <v/>
      </c>
      <c r="W63" s="55" t="str">
        <f>+IF(OR(fieldcreatorv2!I68="si",AND(W64&lt;&gt;"",fieldcreatorv2!E67="radio")),1,"")</f>
        <v/>
      </c>
      <c r="X63" s="55" t="str">
        <f>+IF(AND(W63=1,W64=""),fieldcreatorv2!C67,IF(AND(W63=1,W64=1),X64,""))</f>
        <v/>
      </c>
      <c r="Y63" s="55" t="str">
        <f>+IF(AND(W62=1,fieldcreatorv2!I67="si"),A63,IF(W63=1,Y64,""))</f>
        <v/>
      </c>
      <c r="Z63" s="254" t="str">
        <f t="shared" si="8"/>
        <v/>
      </c>
      <c r="AA63" s="165" t="str">
        <f t="shared" si="11"/>
        <v/>
      </c>
      <c r="AB63" s="238" t="str">
        <f>+IF(V63&lt;&gt;"",$K$4&amp;fieldcreatorv2!C67&amp;$K$5&amp;fieldcreatorv2!BX67&amp;$K$6&amp;fieldcreatorv2!C68&amp;$K$7,"")</f>
        <v/>
      </c>
      <c r="AC63" s="238" t="str">
        <f>IF(AND(C63="yes",fieldcreatorv2!E67="check"),A63&amp;$L$1&amp;A63&amp;$L$2,"")</f>
        <v/>
      </c>
      <c r="AD63" s="238" t="str">
        <f>+IF(AND(R63&lt;&gt;"",OR(fieldcreatorv2!E67="date",fieldcreatorv2!E67="bigtext",fieldcreatorv2!E67="texto",AND(fieldcreatorv2!E67="selectlist",A63&lt;&gt;""))),"var "&amp;A63&amp;$L$3&amp;A63&amp;$L$4,"")</f>
        <v/>
      </c>
      <c r="AE63" s="61" t="str">
        <f t="shared" si="12"/>
        <v/>
      </c>
      <c r="AF63" s="12">
        <f t="shared" si="18"/>
        <v>0</v>
      </c>
      <c r="AG63" s="12">
        <f t="shared" si="9"/>
        <v>0</v>
      </c>
      <c r="AH63" s="12" t="str">
        <f t="shared" si="14"/>
        <v/>
      </c>
      <c r="AI63" s="61" t="str">
        <f t="shared" si="5"/>
        <v/>
      </c>
      <c r="AJ63" s="55" t="str">
        <f t="shared" si="16"/>
        <v/>
      </c>
      <c r="AK63" s="38" t="str">
        <f t="shared" si="10"/>
        <v/>
      </c>
      <c r="AL63" s="55" t="str">
        <f t="shared" si="13"/>
        <v/>
      </c>
    </row>
    <row r="64" spans="1:38">
      <c r="A64" s="216" t="str">
        <f>IF(fieldcreatorv2!BX68&lt;&gt;"",fieldcreatorv2!BX68,"")</f>
        <v/>
      </c>
      <c r="B64" s="255"/>
      <c r="C64" s="255"/>
      <c r="D64" s="165" t="str">
        <f>+IF(AND(B64="y",A64&lt;&gt;"",fieldcreatorv2!I68&lt;&gt;"si"),$A$1&amp;A64&amp;$A$2,"")</f>
        <v/>
      </c>
      <c r="E64" s="165" t="str">
        <f>+IF(AND(A64&lt;&gt;"",B64="y"),fieldcreatorv2!E68,"")</f>
        <v/>
      </c>
      <c r="F64" s="165" t="str">
        <f t="shared" si="17"/>
        <v/>
      </c>
      <c r="G64" s="55" t="str">
        <f>+IF(fieldcreatorv2!I68="si",$F$7&amp;fieldcreatorv2!BA67&amp;$F$1&amp;fieldcreatorv2!C67&amp;$G$1&amp;fieldcreatorv2!BA67&amp;$G$2&amp;A64&amp;$G$3,"")</f>
        <v/>
      </c>
      <c r="H64" s="145" t="str">
        <f>+IF(AND(A64&lt;&gt;"",B64="y",fieldcreatorv2!I68&lt;&gt;"si"),+$B$4&amp;A64&amp;$B$5,"")</f>
        <v/>
      </c>
      <c r="I64" s="252" t="str">
        <f>+IF(AND(fieldcreatorv2!E68="bigtext"),"&lt;br/&gt;"&amp;fieldcreatorv2!B68&amp;$C$2&amp;A64&amp;$C$3&amp;A64&amp;$C$4,"")</f>
        <v/>
      </c>
      <c r="J64" s="165" t="str">
        <f>+IF(fieldcreatorv2!E68="texto",fieldcreatorv2!B68&amp;": "&amp;$C$5&amp;A64&amp;$C$6&amp;A64&amp;$C$7,"")</f>
        <v/>
      </c>
      <c r="K64" s="165" t="str">
        <f>+IF(AND(fieldcreatorv2!E68="date",C64="yes"),fieldcreatorv2!B68&amp;": "&amp;$D$1&amp;A64&amp;$D$2&amp;A64&amp;$D$3,"")</f>
        <v/>
      </c>
      <c r="L64" s="165" t="str">
        <f>+IF(fieldcreatorv2!E68="radio",fieldcreatorv2!B68&amp;" &lt;br/&gt;"&amp;fieldcreatorv2!C68&amp;$D$4&amp;fieldcreatorv2!BA68&amp;$D$5&amp;fieldcreatorv2!C68&amp;$D$6&amp;fieldcreatorv2!C68&amp;$D$7&amp;fieldcreatorv2!BA68&amp;$F$1&amp;fieldcreatorv2!C68&amp;$F$4,"")</f>
        <v/>
      </c>
      <c r="M64" s="165" t="str">
        <f>+IF(AND(fieldcreatorv2!E68="selectlist",A64&lt;&gt;""),"&lt;br/&gt;"&amp;A64&amp;$E$4&amp;A64&amp;$D$5&amp;A64&amp;$E$5,"")</f>
        <v/>
      </c>
      <c r="N64" s="165" t="str">
        <f>+IF(AND(fieldcreatorv2!AU68&lt;&gt;fieldcreatorv2!AU69,fieldcreatorv2!E68="selectlist"),"&lt;/select&gt;","")</f>
        <v/>
      </c>
      <c r="O64" s="165" t="str">
        <f>+IF(fieldcreatorv2!E68="selectlist",M64&amp;$E$6&amp;fieldcreatorv2!C68&amp;$E$7&amp;fieldcreatorv2!AU68&amp;$F$1&amp;fieldcreatorv2!C68&amp;$F$2&amp;fieldcreatorv2!C68&amp;$F$3&amp;N64,"")</f>
        <v/>
      </c>
      <c r="P64" s="165" t="str">
        <f>+IF(fieldcreatorv2!E68="check",$E$1&amp;A64&amp;$D$5&amp;A64&amp;$E$2&amp;A64&amp;$E$3&amp;A64,"")</f>
        <v/>
      </c>
      <c r="Q64" s="165" t="str">
        <f>+IF(AND(R63&lt;&gt;"",fieldcreatorv2!I68="si"),fieldcreatorv2!CS68&amp;I64&amp;J64&amp;fieldcreatorv2!CT68,IF(AND(C64="yes",fieldcreatorv2!I68&lt;&gt;"si"),I64&amp;J64,""))</f>
        <v/>
      </c>
      <c r="R64" s="145" t="str">
        <f>IF(OR(C64=$P$1,AND(R63&lt;&gt;"",fieldcreatorv2!E68="radio",fieldcreatorv2!BA68=fieldcreatorv2!BA67),AND(R63&lt;&gt;"",fieldcreatorv2!E68="selectlist",fieldcreatorv2!AU68=fieldcreatorv2!AU67)),K64&amp;L64&amp;O64&amp;P64,"")&amp;Q64</f>
        <v/>
      </c>
      <c r="S64" s="55" t="str">
        <f>IF(AND(C64=$P$2,fieldcreatorv2!I68&lt;&gt;"si"),fieldcreatorv2!B68&amp;":  "&amp;$F$5&amp;A64&amp;$F$6,"")</f>
        <v/>
      </c>
      <c r="T64" s="253" t="str">
        <f>+IF(fieldcreatorv2!I68="si",$G$4&amp;A64&amp;$G$5,"")&amp;U64</f>
        <v/>
      </c>
      <c r="U64" s="61" t="str">
        <f>+IF(AND(fieldcreatorv2!I68="si",fieldcreatorv2!E67="radio"),+$G$6&amp;fieldcreatorv2!C67&amp;$G$7&amp;fieldcreatorv2!C67&amp;$H$1&amp;$H$2&amp;fieldcreatorv2!C67&amp;$H$3&amp;A64&amp;$H$4,"")</f>
        <v/>
      </c>
      <c r="V64" s="61" t="str">
        <f>+IF(R64&lt;&gt;"",fieldcreatorv2!CY68,"")</f>
        <v/>
      </c>
      <c r="W64" s="55" t="str">
        <f>+IF(OR(fieldcreatorv2!I69="si",AND(W65&lt;&gt;"",fieldcreatorv2!E68="radio")),1,"")</f>
        <v/>
      </c>
      <c r="X64" s="55" t="str">
        <f>+IF(AND(W64=1,W65=""),fieldcreatorv2!C68,IF(AND(W64=1,W65=1),X65,""))</f>
        <v/>
      </c>
      <c r="Y64" s="55" t="str">
        <f>+IF(AND(W63=1,fieldcreatorv2!I68="si"),A64,IF(W64=1,Y65,""))</f>
        <v/>
      </c>
      <c r="Z64" s="254" t="str">
        <f t="shared" si="8"/>
        <v/>
      </c>
      <c r="AA64" s="165" t="str">
        <f t="shared" si="11"/>
        <v/>
      </c>
      <c r="AB64" s="238" t="str">
        <f>+IF(V64&lt;&gt;"",$K$4&amp;fieldcreatorv2!C68&amp;$K$5&amp;fieldcreatorv2!BX68&amp;$K$6&amp;fieldcreatorv2!C69&amp;$K$7,"")</f>
        <v/>
      </c>
      <c r="AC64" s="238" t="str">
        <f>IF(AND(C64="yes",fieldcreatorv2!E68="check"),A64&amp;$L$1&amp;A64&amp;$L$2,"")</f>
        <v/>
      </c>
      <c r="AD64" s="238" t="str">
        <f>+IF(AND(R64&lt;&gt;"",OR(fieldcreatorv2!E68="date",fieldcreatorv2!E68="bigtext",fieldcreatorv2!E68="texto",AND(fieldcreatorv2!E68="selectlist",A64&lt;&gt;""))),"var "&amp;A64&amp;$L$3&amp;A64&amp;$L$4,"")</f>
        <v/>
      </c>
      <c r="AE64" s="61" t="str">
        <f t="shared" si="12"/>
        <v/>
      </c>
      <c r="AF64" s="12">
        <f t="shared" si="18"/>
        <v>0</v>
      </c>
      <c r="AG64" s="12">
        <f t="shared" si="9"/>
        <v>0</v>
      </c>
      <c r="AH64" s="12" t="str">
        <f t="shared" si="14"/>
        <v/>
      </c>
      <c r="AI64" s="61" t="str">
        <f t="shared" si="5"/>
        <v/>
      </c>
      <c r="AJ64" s="55" t="str">
        <f t="shared" si="16"/>
        <v/>
      </c>
      <c r="AK64" s="38" t="str">
        <f t="shared" si="10"/>
        <v/>
      </c>
      <c r="AL64" s="55" t="str">
        <f t="shared" si="13"/>
        <v/>
      </c>
    </row>
    <row r="65" spans="1:38">
      <c r="A65" s="216" t="str">
        <f>IF(fieldcreatorv2!BX69&lt;&gt;"",fieldcreatorv2!BX69,"")</f>
        <v/>
      </c>
      <c r="B65" s="255"/>
      <c r="C65" s="255"/>
      <c r="D65" s="165" t="str">
        <f>+IF(AND(B65="y",A65&lt;&gt;"",fieldcreatorv2!I69&lt;&gt;"si"),$A$1&amp;A65&amp;$A$2,"")</f>
        <v/>
      </c>
      <c r="E65" s="165" t="str">
        <f>+IF(AND(A65&lt;&gt;"",B65="y"),fieldcreatorv2!E69,"")</f>
        <v/>
      </c>
      <c r="F65" s="165" t="str">
        <f t="shared" si="17"/>
        <v/>
      </c>
      <c r="G65" s="55" t="str">
        <f>+IF(fieldcreatorv2!I69="si",$F$7&amp;fieldcreatorv2!BA68&amp;$F$1&amp;fieldcreatorv2!C68&amp;$G$1&amp;fieldcreatorv2!BA68&amp;$G$2&amp;A65&amp;$G$3,"")</f>
        <v/>
      </c>
      <c r="H65" s="145" t="str">
        <f>+IF(AND(A65&lt;&gt;"",B65="y",fieldcreatorv2!I69&lt;&gt;"si"),+$B$4&amp;A65&amp;$B$5,"")</f>
        <v/>
      </c>
      <c r="I65" s="252" t="str">
        <f>+IF(AND(fieldcreatorv2!E69="bigtext"),"&lt;br/&gt;"&amp;fieldcreatorv2!B69&amp;$C$2&amp;A65&amp;$C$3&amp;A65&amp;$C$4,"")</f>
        <v/>
      </c>
      <c r="J65" s="165" t="str">
        <f>+IF(fieldcreatorv2!E69="texto",fieldcreatorv2!B69&amp;": "&amp;$C$5&amp;A65&amp;$C$6&amp;A65&amp;$C$7,"")</f>
        <v/>
      </c>
      <c r="K65" s="165" t="str">
        <f>+IF(AND(fieldcreatorv2!E69="date",C65="yes"),fieldcreatorv2!B69&amp;": "&amp;$D$1&amp;A65&amp;$D$2&amp;A65&amp;$D$3,"")</f>
        <v/>
      </c>
      <c r="L65" s="165" t="str">
        <f>+IF(fieldcreatorv2!E69="radio",fieldcreatorv2!B69&amp;" &lt;br/&gt;"&amp;fieldcreatorv2!C69&amp;$D$4&amp;fieldcreatorv2!BA69&amp;$D$5&amp;fieldcreatorv2!C69&amp;$D$6&amp;fieldcreatorv2!C69&amp;$D$7&amp;fieldcreatorv2!BA69&amp;$F$1&amp;fieldcreatorv2!C69&amp;$F$4,"")</f>
        <v/>
      </c>
      <c r="M65" s="165" t="str">
        <f>+IF(AND(fieldcreatorv2!E69="selectlist",A65&lt;&gt;""),"&lt;br/&gt;"&amp;A65&amp;$E$4&amp;A65&amp;$D$5&amp;A65&amp;$E$5,"")</f>
        <v/>
      </c>
      <c r="N65" s="165" t="str">
        <f>+IF(AND(fieldcreatorv2!AU69&lt;&gt;fieldcreatorv2!AU70,fieldcreatorv2!E69="selectlist"),"&lt;/select&gt;","")</f>
        <v/>
      </c>
      <c r="O65" s="165" t="str">
        <f>+IF(fieldcreatorv2!E69="selectlist",M65&amp;$E$6&amp;fieldcreatorv2!C69&amp;$E$7&amp;fieldcreatorv2!AU69&amp;$F$1&amp;fieldcreatorv2!C69&amp;$F$2&amp;fieldcreatorv2!C69&amp;$F$3&amp;N65,"")</f>
        <v/>
      </c>
      <c r="P65" s="165" t="str">
        <f>+IF(fieldcreatorv2!E69="check",$E$1&amp;A65&amp;$D$5&amp;A65&amp;$E$2&amp;A65&amp;$E$3&amp;A65,"")</f>
        <v/>
      </c>
      <c r="Q65" s="165" t="str">
        <f>+IF(AND(R64&lt;&gt;"",fieldcreatorv2!I69="si"),fieldcreatorv2!CS69&amp;I65&amp;J65&amp;fieldcreatorv2!CT69,IF(AND(C65="yes",fieldcreatorv2!I69&lt;&gt;"si"),I65&amp;J65,""))</f>
        <v/>
      </c>
      <c r="R65" s="145" t="str">
        <f>IF(OR(C65=$P$1,AND(R64&lt;&gt;"",fieldcreatorv2!E69="radio",fieldcreatorv2!BA69=fieldcreatorv2!BA68),AND(R64&lt;&gt;"",fieldcreatorv2!E69="selectlist",fieldcreatorv2!AU69=fieldcreatorv2!AU68)),K65&amp;L65&amp;O65&amp;P65,"")&amp;Q65</f>
        <v/>
      </c>
      <c r="S65" s="55" t="str">
        <f>IF(AND(C65=$P$2,fieldcreatorv2!I69&lt;&gt;"si"),fieldcreatorv2!B69&amp;":  "&amp;$F$5&amp;A65&amp;$F$6,"")</f>
        <v/>
      </c>
      <c r="T65" s="253" t="str">
        <f>+IF(fieldcreatorv2!I69="si",$G$4&amp;A65&amp;$G$5,"")&amp;U65</f>
        <v/>
      </c>
      <c r="U65" s="61" t="str">
        <f>+IF(AND(fieldcreatorv2!I69="si",fieldcreatorv2!E68="radio"),+$G$6&amp;fieldcreatorv2!C68&amp;$G$7&amp;fieldcreatorv2!C68&amp;$H$1&amp;$H$2&amp;fieldcreatorv2!C68&amp;$H$3&amp;A65&amp;$H$4,"")</f>
        <v/>
      </c>
      <c r="V65" s="61" t="str">
        <f>+IF(R65&lt;&gt;"",fieldcreatorv2!CY69,"")</f>
        <v/>
      </c>
      <c r="W65" s="55" t="str">
        <f>+IF(OR(fieldcreatorv2!I70="si",AND(W66&lt;&gt;"",fieldcreatorv2!E69="radio")),1,"")</f>
        <v/>
      </c>
      <c r="X65" s="55" t="str">
        <f>+IF(AND(W65=1,W66=""),fieldcreatorv2!C69,IF(AND(W65=1,W66=1),X66,""))</f>
        <v/>
      </c>
      <c r="Y65" s="55" t="str">
        <f>+IF(AND(W64=1,fieldcreatorv2!I69="si"),A65,IF(W65=1,Y66,""))</f>
        <v/>
      </c>
      <c r="Z65" s="254" t="str">
        <f t="shared" si="8"/>
        <v/>
      </c>
      <c r="AA65" s="165" t="str">
        <f t="shared" si="11"/>
        <v/>
      </c>
      <c r="AB65" s="238" t="str">
        <f>+IF(V65&lt;&gt;"",$K$4&amp;fieldcreatorv2!C69&amp;$K$5&amp;fieldcreatorv2!BX69&amp;$K$6&amp;fieldcreatorv2!C70&amp;$K$7,"")</f>
        <v/>
      </c>
      <c r="AC65" s="238" t="str">
        <f>IF(AND(C65="yes",fieldcreatorv2!E69="check"),A65&amp;$L$1&amp;A65&amp;$L$2,"")</f>
        <v/>
      </c>
      <c r="AD65" s="238" t="str">
        <f>+IF(AND(R65&lt;&gt;"",OR(fieldcreatorv2!E69="date",fieldcreatorv2!E69="bigtext",fieldcreatorv2!E69="texto",AND(fieldcreatorv2!E69="selectlist",A65&lt;&gt;""))),"var "&amp;A65&amp;$L$3&amp;A65&amp;$L$4,"")</f>
        <v/>
      </c>
      <c r="AE65" s="61" t="str">
        <f t="shared" si="12"/>
        <v/>
      </c>
      <c r="AF65" s="12">
        <f t="shared" si="18"/>
        <v>0</v>
      </c>
      <c r="AG65" s="12">
        <f t="shared" si="9"/>
        <v>0</v>
      </c>
      <c r="AH65" s="12" t="str">
        <f t="shared" si="14"/>
        <v/>
      </c>
      <c r="AI65" s="61" t="str">
        <f t="shared" si="5"/>
        <v/>
      </c>
      <c r="AJ65" s="55" t="str">
        <f t="shared" si="16"/>
        <v/>
      </c>
      <c r="AK65" s="38" t="str">
        <f t="shared" si="10"/>
        <v/>
      </c>
      <c r="AL65" s="55" t="str">
        <f t="shared" si="13"/>
        <v/>
      </c>
    </row>
    <row r="66" spans="1:38">
      <c r="A66" s="216" t="str">
        <f>IF(fieldcreatorv2!BX70&lt;&gt;"",fieldcreatorv2!BX70,"")</f>
        <v/>
      </c>
      <c r="B66" s="255"/>
      <c r="C66" s="255"/>
      <c r="D66" s="165" t="str">
        <f>+IF(AND(B66="y",A66&lt;&gt;"",fieldcreatorv2!I70&lt;&gt;"si"),$A$1&amp;A66&amp;$A$2,"")</f>
        <v/>
      </c>
      <c r="E66" s="165" t="str">
        <f>+IF(AND(A66&lt;&gt;"",B66="y"),fieldcreatorv2!E70,"")</f>
        <v/>
      </c>
      <c r="F66" s="165" t="str">
        <f t="shared" si="17"/>
        <v/>
      </c>
      <c r="G66" s="55" t="str">
        <f>+IF(fieldcreatorv2!I70="si",$F$7&amp;fieldcreatorv2!BA69&amp;$F$1&amp;fieldcreatorv2!C69&amp;$G$1&amp;fieldcreatorv2!BA69&amp;$G$2&amp;A66&amp;$G$3,"")</f>
        <v/>
      </c>
      <c r="H66" s="145" t="str">
        <f>+IF(AND(A66&lt;&gt;"",B66="y",fieldcreatorv2!I70&lt;&gt;"si"),+$B$4&amp;A66&amp;$B$5,"")</f>
        <v/>
      </c>
      <c r="I66" s="252" t="str">
        <f>+IF(AND(fieldcreatorv2!E70="bigtext"),"&lt;br/&gt;"&amp;fieldcreatorv2!B70&amp;$C$2&amp;A66&amp;$C$3&amp;A66&amp;$C$4,"")</f>
        <v/>
      </c>
      <c r="J66" s="165" t="str">
        <f>+IF(fieldcreatorv2!E70="texto",fieldcreatorv2!B70&amp;": "&amp;$C$5&amp;A66&amp;$C$6&amp;A66&amp;$C$7,"")</f>
        <v/>
      </c>
      <c r="K66" s="165" t="str">
        <f>+IF(AND(fieldcreatorv2!E70="date",C66="yes"),fieldcreatorv2!B70&amp;": "&amp;$D$1&amp;A66&amp;$D$2&amp;A66&amp;$D$3,"")</f>
        <v/>
      </c>
      <c r="L66" s="165" t="str">
        <f>+IF(fieldcreatorv2!E70="radio",fieldcreatorv2!B70&amp;" &lt;br/&gt;"&amp;fieldcreatorv2!C70&amp;$D$4&amp;fieldcreatorv2!BA70&amp;$D$5&amp;fieldcreatorv2!C70&amp;$D$6&amp;fieldcreatorv2!C70&amp;$D$7&amp;fieldcreatorv2!BA70&amp;$F$1&amp;fieldcreatorv2!C70&amp;$F$4,"")</f>
        <v/>
      </c>
      <c r="M66" s="165" t="str">
        <f>+IF(AND(fieldcreatorv2!E70="selectlist",A66&lt;&gt;""),"&lt;br/&gt;"&amp;A66&amp;$E$4&amp;A66&amp;$D$5&amp;A66&amp;$E$5,"")</f>
        <v/>
      </c>
      <c r="N66" s="165" t="str">
        <f>+IF(AND(fieldcreatorv2!AU70&lt;&gt;fieldcreatorv2!AU71,fieldcreatorv2!E70="selectlist"),"&lt;/select&gt;","")</f>
        <v/>
      </c>
      <c r="O66" s="165" t="str">
        <f>+IF(fieldcreatorv2!E70="selectlist",M66&amp;$E$6&amp;fieldcreatorv2!C70&amp;$E$7&amp;fieldcreatorv2!AU70&amp;$F$1&amp;fieldcreatorv2!C70&amp;$F$2&amp;fieldcreatorv2!C70&amp;$F$3&amp;N66,"")</f>
        <v/>
      </c>
      <c r="P66" s="165" t="str">
        <f>+IF(fieldcreatorv2!E70="check",$E$1&amp;A66&amp;$D$5&amp;A66&amp;$E$2&amp;A66&amp;$E$3&amp;A66,"")</f>
        <v/>
      </c>
      <c r="Q66" s="165" t="str">
        <f>+IF(AND(R65&lt;&gt;"",fieldcreatorv2!I70="si"),fieldcreatorv2!CS70&amp;I66&amp;J66&amp;fieldcreatorv2!CT70,IF(AND(C66="yes",fieldcreatorv2!I70&lt;&gt;"si"),I66&amp;J66,""))</f>
        <v/>
      </c>
      <c r="R66" s="145" t="str">
        <f>IF(OR(C66=$P$1,AND(R65&lt;&gt;"",fieldcreatorv2!E70="radio",fieldcreatorv2!BA70=fieldcreatorv2!BA69),AND(R65&lt;&gt;"",fieldcreatorv2!E70="selectlist",fieldcreatorv2!AU70=fieldcreatorv2!AU69)),K66&amp;L66&amp;O66&amp;P66,"")&amp;Q66</f>
        <v/>
      </c>
      <c r="S66" s="55" t="str">
        <f>IF(AND(C66=$P$2,fieldcreatorv2!I70&lt;&gt;"si"),fieldcreatorv2!B70&amp;":  "&amp;$F$5&amp;A66&amp;$F$6,"")</f>
        <v/>
      </c>
      <c r="T66" s="253" t="str">
        <f>+IF(fieldcreatorv2!I70="si",$G$4&amp;A66&amp;$G$5,"")&amp;U66</f>
        <v/>
      </c>
      <c r="U66" s="61" t="str">
        <f>+IF(AND(fieldcreatorv2!I70="si",fieldcreatorv2!E69="radio"),+$G$6&amp;fieldcreatorv2!C69&amp;$G$7&amp;fieldcreatorv2!C69&amp;$H$1&amp;$H$2&amp;fieldcreatorv2!C69&amp;$H$3&amp;A66&amp;$H$4,"")</f>
        <v/>
      </c>
      <c r="V66" s="61" t="str">
        <f>+IF(R66&lt;&gt;"",fieldcreatorv2!CY70,"")</f>
        <v/>
      </c>
      <c r="W66" s="55" t="str">
        <f>+IF(OR(fieldcreatorv2!I71="si",AND(W67&lt;&gt;"",fieldcreatorv2!E70="radio")),1,"")</f>
        <v/>
      </c>
      <c r="X66" s="55" t="str">
        <f>+IF(AND(W66=1,W67=""),fieldcreatorv2!C70,IF(AND(W66=1,W67=1),X67,""))</f>
        <v/>
      </c>
      <c r="Y66" s="55" t="str">
        <f>+IF(AND(W65=1,fieldcreatorv2!I70="si"),A66,IF(W66=1,Y67,""))</f>
        <v/>
      </c>
      <c r="Z66" s="254" t="str">
        <f t="shared" si="8"/>
        <v/>
      </c>
      <c r="AA66" s="165" t="str">
        <f t="shared" si="11"/>
        <v/>
      </c>
      <c r="AB66" s="238" t="str">
        <f>+IF(V66&lt;&gt;"",$K$4&amp;fieldcreatorv2!C70&amp;$K$5&amp;fieldcreatorv2!BX70&amp;$K$6&amp;fieldcreatorv2!C71&amp;$K$7,"")</f>
        <v/>
      </c>
      <c r="AC66" s="238" t="str">
        <f>IF(AND(C66="yes",fieldcreatorv2!E70="check"),A66&amp;$L$1&amp;A66&amp;$L$2,"")</f>
        <v/>
      </c>
      <c r="AD66" s="238" t="str">
        <f>+IF(AND(R66&lt;&gt;"",OR(fieldcreatorv2!E70="date",fieldcreatorv2!E70="bigtext",fieldcreatorv2!E70="texto",AND(fieldcreatorv2!E70="selectlist",A66&lt;&gt;""))),"var "&amp;A66&amp;$L$3&amp;A66&amp;$L$4,"")</f>
        <v/>
      </c>
      <c r="AE66" s="61" t="str">
        <f t="shared" si="12"/>
        <v/>
      </c>
      <c r="AF66" s="12">
        <f t="shared" si="18"/>
        <v>0</v>
      </c>
      <c r="AG66" s="12">
        <f t="shared" si="9"/>
        <v>0</v>
      </c>
      <c r="AH66" s="12" t="str">
        <f t="shared" si="14"/>
        <v/>
      </c>
      <c r="AI66" s="61" t="str">
        <f t="shared" si="5"/>
        <v/>
      </c>
      <c r="AJ66" s="55" t="str">
        <f t="shared" si="16"/>
        <v/>
      </c>
      <c r="AK66" s="38" t="str">
        <f t="shared" si="10"/>
        <v/>
      </c>
      <c r="AL66" s="55" t="str">
        <f t="shared" si="13"/>
        <v/>
      </c>
    </row>
    <row r="67" spans="1:38">
      <c r="A67" s="216" t="str">
        <f>IF(fieldcreatorv2!BX71&lt;&gt;"",fieldcreatorv2!BX71,"")</f>
        <v/>
      </c>
      <c r="B67" s="255"/>
      <c r="C67" s="255"/>
      <c r="D67" s="165" t="str">
        <f>+IF(AND(B67="y",A67&lt;&gt;"",fieldcreatorv2!I71&lt;&gt;"si"),$A$1&amp;A67&amp;$A$2,"")</f>
        <v/>
      </c>
      <c r="E67" s="165" t="str">
        <f>+IF(AND(A67&lt;&gt;"",B67="y"),fieldcreatorv2!E71,"")</f>
        <v/>
      </c>
      <c r="F67" s="165" t="str">
        <f t="shared" si="17"/>
        <v/>
      </c>
      <c r="G67" s="55" t="str">
        <f>+IF(fieldcreatorv2!I71="si",$F$7&amp;fieldcreatorv2!BA70&amp;$F$1&amp;fieldcreatorv2!C70&amp;$G$1&amp;fieldcreatorv2!BA70&amp;$G$2&amp;A67&amp;$G$3,"")</f>
        <v/>
      </c>
      <c r="H67" s="145" t="str">
        <f>+IF(AND(A67&lt;&gt;"",B67="y",fieldcreatorv2!I71&lt;&gt;"si"),+$B$4&amp;A67&amp;$B$5,"")</f>
        <v/>
      </c>
      <c r="I67" s="252" t="str">
        <f>+IF(AND(fieldcreatorv2!E71="bigtext"),"&lt;br/&gt;"&amp;fieldcreatorv2!B71&amp;$C$2&amp;A67&amp;$C$3&amp;A67&amp;$C$4,"")</f>
        <v/>
      </c>
      <c r="J67" s="165" t="str">
        <f>+IF(fieldcreatorv2!E71="texto",fieldcreatorv2!B71&amp;": "&amp;$C$5&amp;A67&amp;$C$6&amp;A67&amp;$C$7,"")</f>
        <v/>
      </c>
      <c r="K67" s="165" t="str">
        <f>+IF(AND(fieldcreatorv2!E71="date",C67="yes"),fieldcreatorv2!B71&amp;": "&amp;$D$1&amp;A67&amp;$D$2&amp;A67&amp;$D$3,"")</f>
        <v/>
      </c>
      <c r="L67" s="165" t="str">
        <f>+IF(fieldcreatorv2!E71="radio",fieldcreatorv2!B71&amp;" &lt;br/&gt;"&amp;fieldcreatorv2!C71&amp;$D$4&amp;fieldcreatorv2!BA71&amp;$D$5&amp;fieldcreatorv2!C71&amp;$D$6&amp;fieldcreatorv2!C71&amp;$D$7&amp;fieldcreatorv2!BA71&amp;$F$1&amp;fieldcreatorv2!C71&amp;$F$4,"")</f>
        <v/>
      </c>
      <c r="M67" s="165" t="str">
        <f>+IF(AND(fieldcreatorv2!E71="selectlist",A67&lt;&gt;""),"&lt;br/&gt;"&amp;A67&amp;$E$4&amp;A67&amp;$D$5&amp;A67&amp;$E$5,"")</f>
        <v/>
      </c>
      <c r="N67" s="165" t="str">
        <f>+IF(AND(fieldcreatorv2!AU71&lt;&gt;fieldcreatorv2!AU72,fieldcreatorv2!E71="selectlist"),"&lt;/select&gt;","")</f>
        <v/>
      </c>
      <c r="O67" s="165" t="str">
        <f>+IF(fieldcreatorv2!E71="selectlist",M67&amp;$E$6&amp;fieldcreatorv2!C71&amp;$E$7&amp;fieldcreatorv2!AU71&amp;$F$1&amp;fieldcreatorv2!C71&amp;$F$2&amp;fieldcreatorv2!C71&amp;$F$3&amp;N67,"")</f>
        <v/>
      </c>
      <c r="P67" s="165" t="str">
        <f>+IF(fieldcreatorv2!E71="check",$E$1&amp;A67&amp;$D$5&amp;A67&amp;$E$2&amp;A67&amp;$E$3&amp;A67,"")</f>
        <v/>
      </c>
      <c r="Q67" s="165" t="str">
        <f>+IF(AND(R66&lt;&gt;"",fieldcreatorv2!I71="si"),fieldcreatorv2!CS71&amp;I67&amp;J67&amp;fieldcreatorv2!CT71,IF(AND(C67="yes",fieldcreatorv2!I71&lt;&gt;"si"),I67&amp;J67,""))</f>
        <v/>
      </c>
      <c r="R67" s="145" t="str">
        <f>IF(OR(C67=$P$1,AND(R66&lt;&gt;"",fieldcreatorv2!E71="radio",fieldcreatorv2!BA71=fieldcreatorv2!BA70),AND(R66&lt;&gt;"",fieldcreatorv2!E71="selectlist",fieldcreatorv2!AU71=fieldcreatorv2!AU70)),K67&amp;L67&amp;O67&amp;P67,"")&amp;Q67</f>
        <v/>
      </c>
      <c r="S67" s="55" t="str">
        <f>IF(AND(C67=$P$2,fieldcreatorv2!I71&lt;&gt;"si"),fieldcreatorv2!B71&amp;":  "&amp;$F$5&amp;A67&amp;$F$6,"")</f>
        <v/>
      </c>
      <c r="T67" s="253" t="str">
        <f>+IF(fieldcreatorv2!I71="si",$G$4&amp;A67&amp;$G$5,"")&amp;U67</f>
        <v/>
      </c>
      <c r="U67" s="61" t="str">
        <f>+IF(AND(fieldcreatorv2!I71="si",fieldcreatorv2!E70="radio"),+$G$6&amp;fieldcreatorv2!C70&amp;$G$7&amp;fieldcreatorv2!C70&amp;$H$1&amp;$H$2&amp;fieldcreatorv2!C70&amp;$H$3&amp;A67&amp;$H$4,"")</f>
        <v/>
      </c>
      <c r="V67" s="61" t="str">
        <f>+IF(R67&lt;&gt;"",fieldcreatorv2!CY71,"")</f>
        <v/>
      </c>
      <c r="W67" s="55" t="str">
        <f>+IF(OR(fieldcreatorv2!I72="si",AND(W68&lt;&gt;"",fieldcreatorv2!E71="radio")),1,"")</f>
        <v/>
      </c>
      <c r="X67" s="55" t="str">
        <f>+IF(AND(W67=1,W68=""),fieldcreatorv2!C71,IF(AND(W67=1,W68=1),X68,""))</f>
        <v/>
      </c>
      <c r="Y67" s="55" t="str">
        <f>+IF(AND(W66=1,fieldcreatorv2!I71="si"),A67,IF(W67=1,Y68,""))</f>
        <v/>
      </c>
      <c r="Z67" s="254" t="str">
        <f t="shared" si="8"/>
        <v/>
      </c>
      <c r="AA67" s="165" t="str">
        <f t="shared" si="11"/>
        <v/>
      </c>
      <c r="AB67" s="238" t="str">
        <f>+IF(V67&lt;&gt;"",$K$4&amp;fieldcreatorv2!C71&amp;$K$5&amp;fieldcreatorv2!BX71&amp;$K$6&amp;fieldcreatorv2!C72&amp;$K$7,"")</f>
        <v/>
      </c>
      <c r="AC67" s="238" t="str">
        <f>IF(AND(C67="yes",fieldcreatorv2!E71="check"),A67&amp;$L$1&amp;A67&amp;$L$2,"")</f>
        <v/>
      </c>
      <c r="AD67" s="238" t="str">
        <f>+IF(AND(R67&lt;&gt;"",OR(fieldcreatorv2!E71="date",fieldcreatorv2!E71="bigtext",fieldcreatorv2!E71="texto",AND(fieldcreatorv2!E71="selectlist",A67&lt;&gt;""))),"var "&amp;A67&amp;$L$3&amp;A67&amp;$L$4,"")</f>
        <v/>
      </c>
      <c r="AE67" s="61" t="str">
        <f t="shared" si="12"/>
        <v/>
      </c>
      <c r="AF67" s="12">
        <f t="shared" si="18"/>
        <v>0</v>
      </c>
      <c r="AG67" s="12">
        <f t="shared" si="9"/>
        <v>0</v>
      </c>
      <c r="AH67" s="12" t="str">
        <f t="shared" si="14"/>
        <v/>
      </c>
      <c r="AI67" s="61" t="str">
        <f t="shared" si="5"/>
        <v/>
      </c>
      <c r="AJ67" s="55" t="str">
        <f t="shared" si="16"/>
        <v/>
      </c>
      <c r="AK67" s="38" t="str">
        <f t="shared" si="10"/>
        <v/>
      </c>
      <c r="AL67" s="55" t="str">
        <f t="shared" si="13"/>
        <v/>
      </c>
    </row>
    <row r="68" spans="1:38">
      <c r="A68" s="216" t="str">
        <f>IF(fieldcreatorv2!BX72&lt;&gt;"",fieldcreatorv2!BX72,"")</f>
        <v/>
      </c>
      <c r="B68" s="255"/>
      <c r="C68" s="255"/>
      <c r="D68" s="165" t="str">
        <f>+IF(AND(B68="y",A68&lt;&gt;"",fieldcreatorv2!I72&lt;&gt;"si"),$A$1&amp;A68&amp;$A$2,"")</f>
        <v/>
      </c>
      <c r="E68" s="165" t="str">
        <f>+IF(AND(A68&lt;&gt;"",B68="y"),fieldcreatorv2!E72,"")</f>
        <v/>
      </c>
      <c r="F68" s="165" t="str">
        <f t="shared" si="17"/>
        <v/>
      </c>
      <c r="G68" s="55" t="str">
        <f>+IF(fieldcreatorv2!I72="si",$F$7&amp;fieldcreatorv2!BA71&amp;$F$1&amp;fieldcreatorv2!C71&amp;$G$1&amp;fieldcreatorv2!BA71&amp;$G$2&amp;A68&amp;$G$3,"")</f>
        <v/>
      </c>
      <c r="H68" s="145" t="str">
        <f>+IF(AND(A68&lt;&gt;"",B68="y",fieldcreatorv2!I72&lt;&gt;"si"),+$B$4&amp;A68&amp;$B$5,"")</f>
        <v/>
      </c>
      <c r="I68" s="252" t="str">
        <f>+IF(AND(fieldcreatorv2!E72="bigtext"),"&lt;br/&gt;"&amp;fieldcreatorv2!B72&amp;$C$2&amp;A68&amp;$C$3&amp;A68&amp;$C$4,"")</f>
        <v/>
      </c>
      <c r="J68" s="165" t="str">
        <f>+IF(fieldcreatorv2!E72="texto",fieldcreatorv2!B72&amp;": "&amp;$C$5&amp;A68&amp;$C$6&amp;A68&amp;$C$7,"")</f>
        <v/>
      </c>
      <c r="K68" s="165" t="str">
        <f>+IF(AND(fieldcreatorv2!E72="date",C68="yes"),fieldcreatorv2!B72&amp;": "&amp;$D$1&amp;A68&amp;$D$2&amp;A68&amp;$D$3,"")</f>
        <v/>
      </c>
      <c r="L68" s="165" t="str">
        <f>+IF(fieldcreatorv2!E72="radio",fieldcreatorv2!B72&amp;" &lt;br/&gt;"&amp;fieldcreatorv2!C72&amp;$D$4&amp;fieldcreatorv2!BA72&amp;$D$5&amp;fieldcreatorv2!C72&amp;$D$6&amp;fieldcreatorv2!C72&amp;$D$7&amp;fieldcreatorv2!BA72&amp;$F$1&amp;fieldcreatorv2!C72&amp;$F$4,"")</f>
        <v/>
      </c>
      <c r="M68" s="165" t="str">
        <f>+IF(AND(fieldcreatorv2!E72="selectlist",A68&lt;&gt;""),"&lt;br/&gt;"&amp;A68&amp;$E$4&amp;A68&amp;$D$5&amp;A68&amp;$E$5,"")</f>
        <v/>
      </c>
      <c r="N68" s="165" t="str">
        <f>+IF(AND(fieldcreatorv2!AU72&lt;&gt;fieldcreatorv2!AU73,fieldcreatorv2!E72="selectlist"),"&lt;/select&gt;","")</f>
        <v/>
      </c>
      <c r="O68" s="165" t="str">
        <f>+IF(fieldcreatorv2!E72="selectlist",M68&amp;$E$6&amp;fieldcreatorv2!C72&amp;$E$7&amp;fieldcreatorv2!AU72&amp;$F$1&amp;fieldcreatorv2!C72&amp;$F$2&amp;fieldcreatorv2!C72&amp;$F$3&amp;N68,"")</f>
        <v/>
      </c>
      <c r="P68" s="165" t="str">
        <f>+IF(fieldcreatorv2!E72="check",$E$1&amp;A68&amp;$D$5&amp;A68&amp;$E$2&amp;A68&amp;$E$3&amp;A68,"")</f>
        <v/>
      </c>
      <c r="Q68" s="165" t="str">
        <f>+IF(AND(R67&lt;&gt;"",fieldcreatorv2!I72="si"),fieldcreatorv2!CS72&amp;I68&amp;J68&amp;fieldcreatorv2!CT72,IF(AND(C68="yes",fieldcreatorv2!I72&lt;&gt;"si"),I68&amp;J68,""))</f>
        <v/>
      </c>
      <c r="R68" s="145" t="str">
        <f>IF(OR(C68=$P$1,AND(R67&lt;&gt;"",fieldcreatorv2!E72="radio",fieldcreatorv2!BA72=fieldcreatorv2!BA71),AND(R67&lt;&gt;"",fieldcreatorv2!E72="selectlist",fieldcreatorv2!AU72=fieldcreatorv2!AU71)),K68&amp;L68&amp;O68&amp;P68,"")&amp;Q68</f>
        <v/>
      </c>
      <c r="S68" s="55" t="str">
        <f>IF(AND(C68=$P$2,fieldcreatorv2!I72&lt;&gt;"si"),fieldcreatorv2!B72&amp;":  "&amp;$F$5&amp;A68&amp;$F$6,"")</f>
        <v/>
      </c>
      <c r="T68" s="253" t="str">
        <f>+IF(fieldcreatorv2!I72="si",$G$4&amp;A68&amp;$G$5,"")&amp;U68</f>
        <v/>
      </c>
      <c r="U68" s="61" t="str">
        <f>+IF(AND(fieldcreatorv2!I72="si",fieldcreatorv2!E71="radio"),+$G$6&amp;fieldcreatorv2!C71&amp;$G$7&amp;fieldcreatorv2!C71&amp;$H$1&amp;$H$2&amp;fieldcreatorv2!C71&amp;$H$3&amp;A68&amp;$H$4,"")</f>
        <v/>
      </c>
      <c r="V68" s="61" t="str">
        <f>+IF(R68&lt;&gt;"",fieldcreatorv2!CY72,"")</f>
        <v/>
      </c>
      <c r="W68" s="55" t="str">
        <f>+IF(OR(fieldcreatorv2!I73="si",AND(W69&lt;&gt;"",fieldcreatorv2!E72="radio")),1,"")</f>
        <v/>
      </c>
      <c r="X68" s="55" t="str">
        <f>+IF(AND(W68=1,W69=""),fieldcreatorv2!C72,IF(AND(W68=1,W69=1),X69,""))</f>
        <v/>
      </c>
      <c r="Y68" s="55" t="str">
        <f>+IF(AND(W67=1,fieldcreatorv2!I72="si"),A68,IF(W68=1,Y69,""))</f>
        <v/>
      </c>
      <c r="Z68" s="254" t="str">
        <f t="shared" si="8"/>
        <v/>
      </c>
      <c r="AA68" s="165" t="str">
        <f t="shared" si="11"/>
        <v/>
      </c>
      <c r="AB68" s="238" t="str">
        <f>+IF(V68&lt;&gt;"",$K$4&amp;fieldcreatorv2!C72&amp;$K$5&amp;fieldcreatorv2!BX72&amp;$K$6&amp;fieldcreatorv2!C73&amp;$K$7,"")</f>
        <v/>
      </c>
      <c r="AC68" s="238" t="str">
        <f>IF(AND(C68="yes",fieldcreatorv2!E72="check"),A68&amp;$L$1&amp;A68&amp;$L$2,"")</f>
        <v/>
      </c>
      <c r="AD68" s="238" t="str">
        <f>+IF(AND(R68&lt;&gt;"",OR(fieldcreatorv2!E72="date",fieldcreatorv2!E72="bigtext",fieldcreatorv2!E72="texto",AND(fieldcreatorv2!E72="selectlist",A68&lt;&gt;""))),"var "&amp;A68&amp;$L$3&amp;A68&amp;$L$4,"")</f>
        <v/>
      </c>
      <c r="AE68" s="61" t="str">
        <f t="shared" si="12"/>
        <v/>
      </c>
      <c r="AF68" s="12">
        <f t="shared" si="18"/>
        <v>0</v>
      </c>
      <c r="AG68" s="12">
        <f t="shared" si="9"/>
        <v>0</v>
      </c>
      <c r="AH68" s="12" t="str">
        <f t="shared" si="14"/>
        <v/>
      </c>
      <c r="AI68" s="61" t="str">
        <f t="shared" si="5"/>
        <v/>
      </c>
      <c r="AJ68" s="55" t="str">
        <f t="shared" si="16"/>
        <v/>
      </c>
      <c r="AK68" s="38" t="str">
        <f t="shared" si="10"/>
        <v/>
      </c>
      <c r="AL68" s="55" t="str">
        <f t="shared" si="13"/>
        <v/>
      </c>
    </row>
    <row r="69" spans="1:38">
      <c r="A69" s="216" t="str">
        <f>IF(fieldcreatorv2!BX73&lt;&gt;"",fieldcreatorv2!BX73,"")</f>
        <v/>
      </c>
      <c r="B69" s="255"/>
      <c r="C69" s="255"/>
      <c r="D69" s="165" t="str">
        <f>+IF(AND(B69="y",A69&lt;&gt;"",fieldcreatorv2!I73&lt;&gt;"si"),$A$1&amp;A69&amp;$A$2,"")</f>
        <v/>
      </c>
      <c r="E69" s="165" t="str">
        <f>+IF(AND(A69&lt;&gt;"",B69="y"),fieldcreatorv2!E73,"")</f>
        <v/>
      </c>
      <c r="F69" s="165" t="str">
        <f t="shared" si="17"/>
        <v/>
      </c>
      <c r="G69" s="55" t="str">
        <f>+IF(fieldcreatorv2!I73="si",$F$7&amp;fieldcreatorv2!BA72&amp;$F$1&amp;fieldcreatorv2!C72&amp;$G$1&amp;fieldcreatorv2!BA72&amp;$G$2&amp;A69&amp;$G$3,"")</f>
        <v/>
      </c>
      <c r="H69" s="145" t="str">
        <f>+IF(AND(A69&lt;&gt;"",B69="y",fieldcreatorv2!I73&lt;&gt;"si"),+$B$4&amp;A69&amp;$B$5,"")</f>
        <v/>
      </c>
      <c r="I69" s="252" t="str">
        <f>+IF(AND(fieldcreatorv2!E73="bigtext"),"&lt;br/&gt;"&amp;fieldcreatorv2!B73&amp;$C$2&amp;A69&amp;$C$3&amp;A69&amp;$C$4,"")</f>
        <v/>
      </c>
      <c r="J69" s="165" t="str">
        <f>+IF(fieldcreatorv2!E73="texto",fieldcreatorv2!B73&amp;": "&amp;$C$5&amp;A69&amp;$C$6&amp;A69&amp;$C$7,"")</f>
        <v/>
      </c>
      <c r="K69" s="165" t="str">
        <f>+IF(AND(fieldcreatorv2!E73="date",C69="yes"),fieldcreatorv2!B73&amp;": "&amp;$D$1&amp;A69&amp;$D$2&amp;A69&amp;$D$3,"")</f>
        <v/>
      </c>
      <c r="L69" s="165" t="str">
        <f>+IF(fieldcreatorv2!E73="radio",fieldcreatorv2!B73&amp;" &lt;br/&gt;"&amp;fieldcreatorv2!C73&amp;$D$4&amp;fieldcreatorv2!BA73&amp;$D$5&amp;fieldcreatorv2!C73&amp;$D$6&amp;fieldcreatorv2!C73&amp;$D$7&amp;fieldcreatorv2!BA73&amp;$F$1&amp;fieldcreatorv2!C73&amp;$F$4,"")</f>
        <v/>
      </c>
      <c r="M69" s="165" t="str">
        <f>+IF(AND(fieldcreatorv2!E73="selectlist",A69&lt;&gt;""),"&lt;br/&gt;"&amp;A69&amp;$E$4&amp;A69&amp;$D$5&amp;A69&amp;$E$5,"")</f>
        <v/>
      </c>
      <c r="N69" s="165" t="str">
        <f>+IF(AND(fieldcreatorv2!AU73&lt;&gt;fieldcreatorv2!AU74,fieldcreatorv2!E73="selectlist"),"&lt;/select&gt;","")</f>
        <v/>
      </c>
      <c r="O69" s="165" t="str">
        <f>+IF(fieldcreatorv2!E73="selectlist",M69&amp;$E$6&amp;fieldcreatorv2!C73&amp;$E$7&amp;fieldcreatorv2!AU73&amp;$F$1&amp;fieldcreatorv2!C73&amp;$F$2&amp;fieldcreatorv2!C73&amp;$F$3&amp;N69,"")</f>
        <v/>
      </c>
      <c r="P69" s="165" t="str">
        <f>+IF(fieldcreatorv2!E73="check",$E$1&amp;A69&amp;$D$5&amp;A69&amp;$E$2&amp;A69&amp;$E$3&amp;A69,"")</f>
        <v/>
      </c>
      <c r="Q69" s="165" t="str">
        <f>+IF(AND(R68&lt;&gt;"",fieldcreatorv2!I73="si"),fieldcreatorv2!CS73&amp;I69&amp;J69&amp;fieldcreatorv2!CT73,IF(AND(C69="yes",fieldcreatorv2!I73&lt;&gt;"si"),I69&amp;J69,""))</f>
        <v/>
      </c>
      <c r="R69" s="145" t="str">
        <f>IF(OR(C69=$P$1,AND(R68&lt;&gt;"",fieldcreatorv2!E73="radio",fieldcreatorv2!BA73=fieldcreatorv2!BA72),AND(R68&lt;&gt;"",fieldcreatorv2!E73="selectlist",fieldcreatorv2!AU73=fieldcreatorv2!AU72)),K69&amp;L69&amp;O69&amp;P69,"")&amp;Q69</f>
        <v/>
      </c>
      <c r="S69" s="55" t="str">
        <f>IF(AND(C69=$P$2,fieldcreatorv2!I73&lt;&gt;"si"),fieldcreatorv2!B73&amp;":  "&amp;$F$5&amp;A69&amp;$F$6,"")</f>
        <v/>
      </c>
      <c r="T69" s="253" t="str">
        <f>+IF(fieldcreatorv2!I73="si",$G$4&amp;A69&amp;$G$5,"")&amp;U69</f>
        <v/>
      </c>
      <c r="U69" s="61" t="str">
        <f>+IF(AND(fieldcreatorv2!I73="si",fieldcreatorv2!E72="radio"),+$G$6&amp;fieldcreatorv2!C72&amp;$G$7&amp;fieldcreatorv2!C72&amp;$H$1&amp;$H$2&amp;fieldcreatorv2!C72&amp;$H$3&amp;A69&amp;$H$4,"")</f>
        <v/>
      </c>
      <c r="V69" s="61" t="str">
        <f>+IF(R69&lt;&gt;"",fieldcreatorv2!CY73,"")</f>
        <v/>
      </c>
      <c r="W69" s="55" t="str">
        <f>+IF(OR(fieldcreatorv2!I74="si",AND(W70&lt;&gt;"",fieldcreatorv2!E73="radio")),1,"")</f>
        <v/>
      </c>
      <c r="X69" s="55" t="str">
        <f>+IF(AND(W69=1,W70=""),fieldcreatorv2!C73,IF(AND(W69=1,W70=1),X70,""))</f>
        <v/>
      </c>
      <c r="Y69" s="55" t="str">
        <f>+IF(AND(W68=1,fieldcreatorv2!I73="si"),A69,IF(W69=1,Y70,""))</f>
        <v/>
      </c>
      <c r="Z69" s="254" t="str">
        <f t="shared" si="8"/>
        <v/>
      </c>
      <c r="AA69" s="165" t="str">
        <f t="shared" si="11"/>
        <v/>
      </c>
      <c r="AB69" s="238" t="str">
        <f>+IF(V69&lt;&gt;"",$K$4&amp;fieldcreatorv2!C73&amp;$K$5&amp;fieldcreatorv2!BX73&amp;$K$6&amp;fieldcreatorv2!C74&amp;$K$7,"")</f>
        <v/>
      </c>
      <c r="AC69" s="238" t="str">
        <f>IF(AND(C69="yes",fieldcreatorv2!E73="check"),A69&amp;$L$1&amp;A69&amp;$L$2,"")</f>
        <v/>
      </c>
      <c r="AD69" s="238" t="str">
        <f>+IF(AND(R69&lt;&gt;"",OR(fieldcreatorv2!E73="date",fieldcreatorv2!E73="bigtext",fieldcreatorv2!E73="texto",AND(fieldcreatorv2!E73="selectlist",A69&lt;&gt;""))),"var "&amp;A69&amp;$L$3&amp;A69&amp;$L$4,"")</f>
        <v/>
      </c>
      <c r="AE69" s="61" t="str">
        <f t="shared" si="12"/>
        <v/>
      </c>
      <c r="AF69" s="12">
        <f t="shared" si="18"/>
        <v>0</v>
      </c>
      <c r="AG69" s="12">
        <f t="shared" si="9"/>
        <v>0</v>
      </c>
      <c r="AH69" s="12" t="str">
        <f t="shared" si="14"/>
        <v/>
      </c>
      <c r="AI69" s="61" t="str">
        <f t="shared" si="5"/>
        <v/>
      </c>
      <c r="AJ69" s="55" t="str">
        <f t="shared" si="16"/>
        <v/>
      </c>
      <c r="AK69" s="38" t="str">
        <f t="shared" si="10"/>
        <v/>
      </c>
      <c r="AL69" s="55" t="str">
        <f t="shared" si="13"/>
        <v/>
      </c>
    </row>
    <row r="70" spans="1:38">
      <c r="A70" s="216" t="str">
        <f>IF(fieldcreatorv2!BX74&lt;&gt;"",fieldcreatorv2!BX74,"")</f>
        <v/>
      </c>
      <c r="B70" s="255"/>
      <c r="C70" s="255"/>
      <c r="D70" s="165" t="str">
        <f>+IF(AND(B70="y",A70&lt;&gt;"",fieldcreatorv2!I74&lt;&gt;"si"),$A$1&amp;A70&amp;$A$2,"")</f>
        <v/>
      </c>
      <c r="E70" s="165" t="str">
        <f>+IF(AND(A70&lt;&gt;"",B70="y"),fieldcreatorv2!E74,"")</f>
        <v/>
      </c>
      <c r="F70" s="165" t="str">
        <f t="shared" si="17"/>
        <v/>
      </c>
      <c r="G70" s="55" t="str">
        <f>+IF(fieldcreatorv2!I74="si",$F$7&amp;fieldcreatorv2!BA73&amp;$F$1&amp;fieldcreatorv2!C73&amp;$G$1&amp;fieldcreatorv2!BA73&amp;$G$2&amp;A70&amp;$G$3,"")</f>
        <v/>
      </c>
      <c r="H70" s="145" t="str">
        <f>+IF(AND(A70&lt;&gt;"",B70="y",fieldcreatorv2!I74&lt;&gt;"si"),+$B$4&amp;A70&amp;$B$5,"")</f>
        <v/>
      </c>
      <c r="I70" s="252" t="str">
        <f>+IF(AND(fieldcreatorv2!E74="bigtext"),"&lt;br/&gt;"&amp;fieldcreatorv2!B74&amp;$C$2&amp;A70&amp;$C$3&amp;A70&amp;$C$4,"")</f>
        <v/>
      </c>
      <c r="J70" s="165" t="str">
        <f>+IF(fieldcreatorv2!E74="texto",fieldcreatorv2!B74&amp;": "&amp;$C$5&amp;A70&amp;$C$6&amp;A70&amp;$C$7,"")</f>
        <v/>
      </c>
      <c r="K70" s="165" t="str">
        <f>+IF(AND(fieldcreatorv2!E74="date",C70="yes"),fieldcreatorv2!B74&amp;": "&amp;$D$1&amp;A70&amp;$D$2&amp;A70&amp;$D$3,"")</f>
        <v/>
      </c>
      <c r="L70" s="165" t="str">
        <f>+IF(fieldcreatorv2!E74="radio",fieldcreatorv2!B74&amp;" &lt;br/&gt;"&amp;fieldcreatorv2!C74&amp;$D$4&amp;fieldcreatorv2!BA74&amp;$D$5&amp;fieldcreatorv2!C74&amp;$D$6&amp;fieldcreatorv2!C74&amp;$D$7&amp;fieldcreatorv2!BA74&amp;$F$1&amp;fieldcreatorv2!C74&amp;$F$4,"")</f>
        <v/>
      </c>
      <c r="M70" s="165" t="str">
        <f>+IF(AND(fieldcreatorv2!E74="selectlist",A70&lt;&gt;""),"&lt;br/&gt;"&amp;A70&amp;$E$4&amp;A70&amp;$D$5&amp;A70&amp;$E$5,"")</f>
        <v/>
      </c>
      <c r="N70" s="165" t="str">
        <f>+IF(AND(fieldcreatorv2!AU74&lt;&gt;fieldcreatorv2!AU75,fieldcreatorv2!E74="selectlist"),"&lt;/select&gt;","")</f>
        <v/>
      </c>
      <c r="O70" s="165" t="str">
        <f>+IF(fieldcreatorv2!E74="selectlist",M70&amp;$E$6&amp;fieldcreatorv2!C74&amp;$E$7&amp;fieldcreatorv2!AU74&amp;$F$1&amp;fieldcreatorv2!C74&amp;$F$2&amp;fieldcreatorv2!C74&amp;$F$3&amp;N70,"")</f>
        <v/>
      </c>
      <c r="P70" s="165" t="str">
        <f>+IF(fieldcreatorv2!E74="check",$E$1&amp;A70&amp;$D$5&amp;A70&amp;$E$2&amp;A70&amp;$E$3&amp;A70,"")</f>
        <v/>
      </c>
      <c r="Q70" s="165" t="str">
        <f>+IF(AND(R69&lt;&gt;"",fieldcreatorv2!I74="si"),fieldcreatorv2!CS74&amp;I70&amp;J70&amp;fieldcreatorv2!CT74,IF(AND(C70="yes",fieldcreatorv2!I74&lt;&gt;"si"),I70&amp;J70,""))</f>
        <v/>
      </c>
      <c r="R70" s="145" t="str">
        <f>IF(OR(C70=$P$1,AND(R69&lt;&gt;"",fieldcreatorv2!E74="radio",fieldcreatorv2!BA74=fieldcreatorv2!BA73),AND(R69&lt;&gt;"",fieldcreatorv2!E74="selectlist",fieldcreatorv2!AU74=fieldcreatorv2!AU73)),K70&amp;L70&amp;O70&amp;P70,"")&amp;Q70</f>
        <v/>
      </c>
      <c r="S70" s="55" t="str">
        <f>IF(AND(C70=$P$2,fieldcreatorv2!I74&lt;&gt;"si"),fieldcreatorv2!B74&amp;":  "&amp;$F$5&amp;A70&amp;$F$6,"")</f>
        <v/>
      </c>
      <c r="T70" s="253" t="str">
        <f>+IF(fieldcreatorv2!I74="si",$G$4&amp;A70&amp;$G$5,"")&amp;U70</f>
        <v/>
      </c>
      <c r="U70" s="61" t="str">
        <f>+IF(AND(fieldcreatorv2!I74="si",fieldcreatorv2!E73="radio"),+$G$6&amp;fieldcreatorv2!C73&amp;$G$7&amp;fieldcreatorv2!C73&amp;$H$1&amp;$H$2&amp;fieldcreatorv2!C73&amp;$H$3&amp;A70&amp;$H$4,"")</f>
        <v/>
      </c>
      <c r="V70" s="61" t="str">
        <f>+IF(R70&lt;&gt;"",fieldcreatorv2!CY74,"")</f>
        <v/>
      </c>
      <c r="W70" s="55" t="str">
        <f>+IF(OR(fieldcreatorv2!I75="si",AND(W71&lt;&gt;"",fieldcreatorv2!E74="radio")),1,"")</f>
        <v/>
      </c>
      <c r="X70" s="55" t="str">
        <f>+IF(AND(W70=1,W71=""),fieldcreatorv2!C74,IF(AND(W70=1,W71=1),X71,""))</f>
        <v/>
      </c>
      <c r="Y70" s="55" t="str">
        <f>+IF(AND(W69=1,fieldcreatorv2!I74="si"),A70,IF(W70=1,Y71,""))</f>
        <v/>
      </c>
      <c r="Z70" s="254" t="str">
        <f t="shared" si="8"/>
        <v/>
      </c>
      <c r="AA70" s="165" t="str">
        <f t="shared" si="11"/>
        <v/>
      </c>
      <c r="AB70" s="238" t="str">
        <f>+IF(V70&lt;&gt;"",$K$4&amp;fieldcreatorv2!C74&amp;$K$5&amp;fieldcreatorv2!BX74&amp;$K$6&amp;fieldcreatorv2!C75&amp;$K$7,"")</f>
        <v/>
      </c>
      <c r="AC70" s="238" t="str">
        <f>IF(AND(C70="yes",fieldcreatorv2!E74="check"),A70&amp;$L$1&amp;A70&amp;$L$2,"")</f>
        <v/>
      </c>
      <c r="AD70" s="238" t="str">
        <f>+IF(AND(R70&lt;&gt;"",OR(fieldcreatorv2!E74="date",fieldcreatorv2!E74="bigtext",fieldcreatorv2!E74="texto",AND(fieldcreatorv2!E74="selectlist",A70&lt;&gt;""))),"var "&amp;A70&amp;$L$3&amp;A70&amp;$L$4,"")</f>
        <v/>
      </c>
      <c r="AE70" s="61" t="str">
        <f t="shared" si="12"/>
        <v/>
      </c>
      <c r="AF70" s="12">
        <f t="shared" si="18"/>
        <v>0</v>
      </c>
      <c r="AG70" s="12">
        <f t="shared" si="9"/>
        <v>0</v>
      </c>
      <c r="AH70" s="12" t="str">
        <f t="shared" si="14"/>
        <v/>
      </c>
      <c r="AI70" s="61" t="str">
        <f t="shared" si="5"/>
        <v/>
      </c>
      <c r="AJ70" s="55" t="str">
        <f t="shared" si="16"/>
        <v/>
      </c>
      <c r="AK70" s="38" t="str">
        <f t="shared" si="10"/>
        <v/>
      </c>
      <c r="AL70" s="55" t="str">
        <f t="shared" si="13"/>
        <v/>
      </c>
    </row>
    <row r="71" spans="1:38">
      <c r="A71" s="216" t="str">
        <f>IF(fieldcreatorv2!BX75&lt;&gt;"",fieldcreatorv2!BX75,"")</f>
        <v/>
      </c>
      <c r="B71" s="255"/>
      <c r="C71" s="255"/>
      <c r="D71" s="165" t="str">
        <f>+IF(AND(B71="y",A71&lt;&gt;"",fieldcreatorv2!I75&lt;&gt;"si"),$A$1&amp;A71&amp;$A$2,"")</f>
        <v/>
      </c>
      <c r="E71" s="165" t="str">
        <f>+IF(AND(A71&lt;&gt;"",B71="y"),fieldcreatorv2!E75,"")</f>
        <v/>
      </c>
      <c r="F71" s="165" t="str">
        <f t="shared" si="17"/>
        <v/>
      </c>
      <c r="G71" s="55" t="str">
        <f>+IF(fieldcreatorv2!I75="si",$F$7&amp;fieldcreatorv2!BA74&amp;$F$1&amp;fieldcreatorv2!C74&amp;$G$1&amp;fieldcreatorv2!BA74&amp;$G$2&amp;A71&amp;$G$3,"")</f>
        <v/>
      </c>
      <c r="H71" s="145" t="str">
        <f>+IF(AND(A71&lt;&gt;"",B71="y",fieldcreatorv2!I75&lt;&gt;"si"),+$B$4&amp;A71&amp;$B$5,"")</f>
        <v/>
      </c>
      <c r="I71" s="252" t="str">
        <f>+IF(AND(fieldcreatorv2!E75="bigtext"),"&lt;br/&gt;"&amp;fieldcreatorv2!B75&amp;$C$2&amp;A71&amp;$C$3&amp;A71&amp;$C$4,"")</f>
        <v/>
      </c>
      <c r="J71" s="165" t="str">
        <f>+IF(fieldcreatorv2!E75="texto",fieldcreatorv2!B75&amp;": "&amp;$C$5&amp;A71&amp;$C$6&amp;A71&amp;$C$7,"")</f>
        <v/>
      </c>
      <c r="K71" s="165" t="str">
        <f>+IF(AND(fieldcreatorv2!E75="date",C71="yes"),fieldcreatorv2!B75&amp;": "&amp;$D$1&amp;A71&amp;$D$2&amp;A71&amp;$D$3,"")</f>
        <v/>
      </c>
      <c r="L71" s="165" t="str">
        <f>+IF(fieldcreatorv2!E75="radio",fieldcreatorv2!B75&amp;" &lt;br/&gt;"&amp;fieldcreatorv2!C75&amp;$D$4&amp;fieldcreatorv2!BA75&amp;$D$5&amp;fieldcreatorv2!C75&amp;$D$6&amp;fieldcreatorv2!C75&amp;$D$7&amp;fieldcreatorv2!BA75&amp;$F$1&amp;fieldcreatorv2!C75&amp;$F$4,"")</f>
        <v/>
      </c>
      <c r="M71" s="165" t="str">
        <f>+IF(AND(fieldcreatorv2!E75="selectlist",A71&lt;&gt;""),"&lt;br/&gt;"&amp;A71&amp;$E$4&amp;A71&amp;$D$5&amp;A71&amp;$E$5,"")</f>
        <v/>
      </c>
      <c r="N71" s="165" t="str">
        <f>+IF(AND(fieldcreatorv2!AU75&lt;&gt;fieldcreatorv2!AU76,fieldcreatorv2!E75="selectlist"),"&lt;/select&gt;","")</f>
        <v/>
      </c>
      <c r="O71" s="165" t="str">
        <f>+IF(fieldcreatorv2!E75="selectlist",M71&amp;$E$6&amp;fieldcreatorv2!C75&amp;$E$7&amp;fieldcreatorv2!AU75&amp;$F$1&amp;fieldcreatorv2!C75&amp;$F$2&amp;fieldcreatorv2!C75&amp;$F$3&amp;N71,"")</f>
        <v/>
      </c>
      <c r="P71" s="165" t="str">
        <f>+IF(fieldcreatorv2!E75="check",$E$1&amp;A71&amp;$D$5&amp;A71&amp;$E$2&amp;A71&amp;$E$3&amp;A71,"")</f>
        <v/>
      </c>
      <c r="Q71" s="165" t="str">
        <f>+IF(AND(R70&lt;&gt;"",fieldcreatorv2!I75="si"),fieldcreatorv2!CS75&amp;I71&amp;J71&amp;fieldcreatorv2!CT75,IF(AND(C71="yes",fieldcreatorv2!I75&lt;&gt;"si"),I71&amp;J71,""))</f>
        <v/>
      </c>
      <c r="R71" s="145" t="str">
        <f>IF(OR(C71=$P$1,AND(R70&lt;&gt;"",fieldcreatorv2!E75="radio",fieldcreatorv2!BA75=fieldcreatorv2!BA74),AND(R70&lt;&gt;"",fieldcreatorv2!E75="selectlist",fieldcreatorv2!AU75=fieldcreatorv2!AU74)),K71&amp;L71&amp;O71&amp;P71,"")&amp;Q71</f>
        <v/>
      </c>
      <c r="S71" s="55" t="str">
        <f>IF(AND(C71=$P$2,fieldcreatorv2!I75&lt;&gt;"si"),fieldcreatorv2!B75&amp;":  "&amp;$F$5&amp;A71&amp;$F$6,"")</f>
        <v/>
      </c>
      <c r="T71" s="253" t="str">
        <f>+IF(fieldcreatorv2!I75="si",$G$4&amp;A71&amp;$G$5,"")&amp;U71</f>
        <v/>
      </c>
      <c r="U71" s="61" t="str">
        <f>+IF(AND(fieldcreatorv2!I75="si",fieldcreatorv2!E74="radio"),+$G$6&amp;fieldcreatorv2!C74&amp;$G$7&amp;fieldcreatorv2!C74&amp;$H$1&amp;$H$2&amp;fieldcreatorv2!C74&amp;$H$3&amp;A71&amp;$H$4,"")</f>
        <v/>
      </c>
      <c r="V71" s="61" t="str">
        <f>+IF(R71&lt;&gt;"",fieldcreatorv2!CY75,"")</f>
        <v/>
      </c>
      <c r="W71" s="55" t="str">
        <f>+IF(OR(fieldcreatorv2!I76="si",AND(W72&lt;&gt;"",fieldcreatorv2!E75="radio")),1,"")</f>
        <v/>
      </c>
      <c r="X71" s="55" t="str">
        <f>+IF(AND(W71=1,W72=""),fieldcreatorv2!C75,IF(AND(W71=1,W72=1),X72,""))</f>
        <v/>
      </c>
      <c r="Y71" s="55" t="str">
        <f>+IF(AND(W70=1,fieldcreatorv2!I75="si"),A71,IF(W71=1,Y72,""))</f>
        <v/>
      </c>
      <c r="Z71" s="254" t="str">
        <f t="shared" si="8"/>
        <v/>
      </c>
      <c r="AA71" s="165" t="str">
        <f t="shared" si="11"/>
        <v/>
      </c>
      <c r="AB71" s="238" t="str">
        <f>+IF(V71&lt;&gt;"",$K$4&amp;fieldcreatorv2!C75&amp;$K$5&amp;fieldcreatorv2!BX75&amp;$K$6&amp;fieldcreatorv2!C76&amp;$K$7,"")</f>
        <v/>
      </c>
      <c r="AC71" s="238" t="str">
        <f>IF(AND(C71="yes",fieldcreatorv2!E75="check"),A71&amp;$L$1&amp;A71&amp;$L$2,"")</f>
        <v/>
      </c>
      <c r="AD71" s="238" t="str">
        <f>+IF(AND(R71&lt;&gt;"",OR(fieldcreatorv2!E75="date",fieldcreatorv2!E75="bigtext",fieldcreatorv2!E75="texto",AND(fieldcreatorv2!E75="selectlist",A71&lt;&gt;""))),"var "&amp;A71&amp;$L$3&amp;A71&amp;$L$4,"")</f>
        <v/>
      </c>
      <c r="AE71" s="61" t="str">
        <f t="shared" si="12"/>
        <v/>
      </c>
      <c r="AF71" s="12">
        <f t="shared" si="18"/>
        <v>0</v>
      </c>
      <c r="AG71" s="12">
        <f t="shared" si="9"/>
        <v>0</v>
      </c>
      <c r="AH71" s="12" t="str">
        <f t="shared" si="14"/>
        <v/>
      </c>
      <c r="AI71" s="61" t="str">
        <f t="shared" si="5"/>
        <v/>
      </c>
      <c r="AJ71" s="55" t="str">
        <f t="shared" si="16"/>
        <v/>
      </c>
      <c r="AK71" s="38" t="str">
        <f t="shared" si="10"/>
        <v/>
      </c>
      <c r="AL71" s="55" t="str">
        <f t="shared" si="13"/>
        <v/>
      </c>
    </row>
    <row r="72" spans="1:38">
      <c r="A72" s="216" t="str">
        <f>IF(fieldcreatorv2!BX76&lt;&gt;"",fieldcreatorv2!BX76,"")</f>
        <v/>
      </c>
      <c r="B72" s="255"/>
      <c r="C72" s="255"/>
      <c r="D72" s="165" t="str">
        <f>+IF(AND(B72="y",A72&lt;&gt;"",fieldcreatorv2!I76&lt;&gt;"si"),$A$1&amp;A72&amp;$A$2,"")</f>
        <v/>
      </c>
      <c r="E72" s="165" t="str">
        <f>+IF(AND(A72&lt;&gt;"",B72="y"),fieldcreatorv2!E76,"")</f>
        <v/>
      </c>
      <c r="F72" s="165" t="str">
        <f t="shared" si="17"/>
        <v/>
      </c>
      <c r="G72" s="55" t="str">
        <f>+IF(fieldcreatorv2!I76="si",$F$7&amp;fieldcreatorv2!BA75&amp;$F$1&amp;fieldcreatorv2!C75&amp;$G$1&amp;fieldcreatorv2!BA75&amp;$G$2&amp;A72&amp;$G$3,"")</f>
        <v/>
      </c>
      <c r="H72" s="145" t="str">
        <f>+IF(AND(A72&lt;&gt;"",B72="y",fieldcreatorv2!I76&lt;&gt;"si"),+$B$4&amp;A72&amp;$B$5,"")</f>
        <v/>
      </c>
      <c r="I72" s="252" t="str">
        <f>+IF(AND(fieldcreatorv2!E76="bigtext"),"&lt;br/&gt;"&amp;fieldcreatorv2!B76&amp;$C$2&amp;A72&amp;$C$3&amp;A72&amp;$C$4,"")</f>
        <v/>
      </c>
      <c r="J72" s="165" t="str">
        <f>+IF(fieldcreatorv2!E76="texto",fieldcreatorv2!B76&amp;": "&amp;$C$5&amp;A72&amp;$C$6&amp;A72&amp;$C$7,"")</f>
        <v/>
      </c>
      <c r="K72" s="165" t="str">
        <f>+IF(AND(fieldcreatorv2!E76="date",C72="yes"),fieldcreatorv2!B76&amp;": "&amp;$D$1&amp;A72&amp;$D$2&amp;A72&amp;$D$3,"")</f>
        <v/>
      </c>
      <c r="L72" s="165" t="str">
        <f>+IF(fieldcreatorv2!E76="radio",fieldcreatorv2!B76&amp;" &lt;br/&gt;"&amp;fieldcreatorv2!C76&amp;$D$4&amp;fieldcreatorv2!BA76&amp;$D$5&amp;fieldcreatorv2!C76&amp;$D$6&amp;fieldcreatorv2!C76&amp;$D$7&amp;fieldcreatorv2!BA76&amp;$F$1&amp;fieldcreatorv2!C76&amp;$F$4,"")</f>
        <v/>
      </c>
      <c r="M72" s="165" t="str">
        <f>+IF(AND(fieldcreatorv2!E76="selectlist",A72&lt;&gt;""),"&lt;br/&gt;"&amp;A72&amp;$E$4&amp;A72&amp;$D$5&amp;A72&amp;$E$5,"")</f>
        <v/>
      </c>
      <c r="N72" s="165" t="str">
        <f>+IF(AND(fieldcreatorv2!AU76&lt;&gt;fieldcreatorv2!AU77,fieldcreatorv2!E76="selectlist"),"&lt;/select&gt;","")</f>
        <v/>
      </c>
      <c r="O72" s="165" t="str">
        <f>+IF(fieldcreatorv2!E76="selectlist",M72&amp;$E$6&amp;fieldcreatorv2!C76&amp;$E$7&amp;fieldcreatorv2!AU76&amp;$F$1&amp;fieldcreatorv2!C76&amp;$F$2&amp;fieldcreatorv2!C76&amp;$F$3&amp;N72,"")</f>
        <v/>
      </c>
      <c r="P72" s="165" t="str">
        <f>+IF(fieldcreatorv2!E76="check",$E$1&amp;A72&amp;$D$5&amp;A72&amp;$E$2&amp;A72&amp;$E$3&amp;A72,"")</f>
        <v/>
      </c>
      <c r="Q72" s="165" t="str">
        <f>+IF(AND(R71&lt;&gt;"",fieldcreatorv2!I76="si"),fieldcreatorv2!CS76&amp;I72&amp;J72&amp;fieldcreatorv2!CT76,IF(AND(C72="yes",fieldcreatorv2!I76&lt;&gt;"si"),I72&amp;J72,""))</f>
        <v/>
      </c>
      <c r="R72" s="145" t="str">
        <f>IF(OR(C72=$P$1,AND(R71&lt;&gt;"",fieldcreatorv2!E76="radio",fieldcreatorv2!BA76=fieldcreatorv2!BA75),AND(R71&lt;&gt;"",fieldcreatorv2!E76="selectlist",fieldcreatorv2!AU76=fieldcreatorv2!AU75)),K72&amp;L72&amp;O72&amp;P72,"")&amp;Q72</f>
        <v/>
      </c>
      <c r="S72" s="55" t="str">
        <f>IF(AND(C72=$P$2,fieldcreatorv2!I76&lt;&gt;"si"),fieldcreatorv2!B76&amp;":  "&amp;$F$5&amp;A72&amp;$F$6,"")</f>
        <v/>
      </c>
      <c r="T72" s="253" t="str">
        <f>+IF(fieldcreatorv2!I76="si",$G$4&amp;A72&amp;$G$5,"")&amp;U72</f>
        <v/>
      </c>
      <c r="U72" s="61" t="str">
        <f>+IF(AND(fieldcreatorv2!I76="si",fieldcreatorv2!E75="radio"),+$G$6&amp;fieldcreatorv2!C75&amp;$G$7&amp;fieldcreatorv2!C75&amp;$H$1&amp;$H$2&amp;fieldcreatorv2!C75&amp;$H$3&amp;A72&amp;$H$4,"")</f>
        <v/>
      </c>
      <c r="V72" s="61" t="str">
        <f>+IF(R72&lt;&gt;"",fieldcreatorv2!CY76,"")</f>
        <v/>
      </c>
      <c r="W72" s="55" t="str">
        <f>+IF(OR(fieldcreatorv2!I77="si",AND(W73&lt;&gt;"",fieldcreatorv2!E76="radio")),1,"")</f>
        <v/>
      </c>
      <c r="X72" s="55" t="str">
        <f>+IF(AND(W72=1,W73=""),fieldcreatorv2!C76,IF(AND(W72=1,W73=1),X73,""))</f>
        <v/>
      </c>
      <c r="Y72" s="55" t="str">
        <f>+IF(AND(W71=1,fieldcreatorv2!I76="si"),A72,IF(W72=1,Y73,""))</f>
        <v/>
      </c>
      <c r="Z72" s="254" t="str">
        <f t="shared" si="8"/>
        <v/>
      </c>
      <c r="AA72" s="165" t="str">
        <f t="shared" si="11"/>
        <v/>
      </c>
      <c r="AB72" s="238" t="str">
        <f>+IF(V72&lt;&gt;"",$K$4&amp;fieldcreatorv2!C76&amp;$K$5&amp;fieldcreatorv2!BX76&amp;$K$6&amp;fieldcreatorv2!C77&amp;$K$7,"")</f>
        <v/>
      </c>
      <c r="AC72" s="238" t="str">
        <f>IF(AND(C72="yes",fieldcreatorv2!E76="check"),A72&amp;$L$1&amp;A72&amp;$L$2,"")</f>
        <v/>
      </c>
      <c r="AD72" s="238" t="str">
        <f>+IF(AND(R72&lt;&gt;"",OR(fieldcreatorv2!E76="date",fieldcreatorv2!E76="bigtext",fieldcreatorv2!E76="texto",AND(fieldcreatorv2!E76="selectlist",A72&lt;&gt;""))),"var "&amp;A72&amp;$L$3&amp;A72&amp;$L$4,"")</f>
        <v/>
      </c>
      <c r="AE72" s="61" t="str">
        <f t="shared" si="12"/>
        <v/>
      </c>
      <c r="AF72" s="12">
        <f t="shared" si="18"/>
        <v>0</v>
      </c>
      <c r="AG72" s="12">
        <f t="shared" si="9"/>
        <v>0</v>
      </c>
      <c r="AH72" s="12" t="str">
        <f t="shared" si="14"/>
        <v/>
      </c>
      <c r="AI72" s="61" t="str">
        <f t="shared" si="5"/>
        <v/>
      </c>
      <c r="AJ72" s="55" t="str">
        <f t="shared" si="16"/>
        <v/>
      </c>
      <c r="AK72" s="38" t="str">
        <f t="shared" si="10"/>
        <v/>
      </c>
      <c r="AL72" s="55" t="str">
        <f t="shared" si="13"/>
        <v/>
      </c>
    </row>
    <row r="73" spans="1:38">
      <c r="A73" s="216" t="str">
        <f>IF(fieldcreatorv2!BX77&lt;&gt;"",fieldcreatorv2!BX77,"")</f>
        <v/>
      </c>
      <c r="B73" s="255"/>
      <c r="C73" s="255"/>
      <c r="D73" s="165" t="str">
        <f>+IF(AND(B73="y",A73&lt;&gt;"",fieldcreatorv2!I77&lt;&gt;"si"),$A$1&amp;A73&amp;$A$2,"")</f>
        <v/>
      </c>
      <c r="E73" s="165" t="str">
        <f>+IF(AND(A73&lt;&gt;"",B73="y"),fieldcreatorv2!E77,"")</f>
        <v/>
      </c>
      <c r="F73" s="165" t="str">
        <f t="shared" si="17"/>
        <v/>
      </c>
      <c r="G73" s="55" t="str">
        <f>+IF(fieldcreatorv2!I77="si",$F$7&amp;fieldcreatorv2!BA76&amp;$F$1&amp;fieldcreatorv2!C76&amp;$G$1&amp;fieldcreatorv2!BA76&amp;$G$2&amp;A73&amp;$G$3,"")</f>
        <v/>
      </c>
      <c r="H73" s="145" t="str">
        <f>+IF(AND(A73&lt;&gt;"",B73="y",fieldcreatorv2!I77&lt;&gt;"si"),+$B$4&amp;A73&amp;$B$5,"")</f>
        <v/>
      </c>
      <c r="I73" s="252" t="str">
        <f>+IF(AND(fieldcreatorv2!E77="bigtext"),"&lt;br/&gt;"&amp;fieldcreatorv2!B77&amp;$C$2&amp;A73&amp;$C$3&amp;A73&amp;$C$4,"")</f>
        <v/>
      </c>
      <c r="J73" s="165" t="str">
        <f>+IF(fieldcreatorv2!E77="texto",fieldcreatorv2!B77&amp;": "&amp;$C$5&amp;A73&amp;$C$6&amp;A73&amp;$C$7,"")</f>
        <v/>
      </c>
      <c r="K73" s="165" t="str">
        <f>+IF(AND(fieldcreatorv2!E77="date",C73="yes"),fieldcreatorv2!B77&amp;": "&amp;$D$1&amp;A73&amp;$D$2&amp;A73&amp;$D$3,"")</f>
        <v/>
      </c>
      <c r="L73" s="165" t="str">
        <f>+IF(fieldcreatorv2!E77="radio",fieldcreatorv2!B77&amp;" &lt;br/&gt;"&amp;fieldcreatorv2!C77&amp;$D$4&amp;fieldcreatorv2!BA77&amp;$D$5&amp;fieldcreatorv2!C77&amp;$D$6&amp;fieldcreatorv2!C77&amp;$D$7&amp;fieldcreatorv2!BA77&amp;$F$1&amp;fieldcreatorv2!C77&amp;$F$4,"")</f>
        <v/>
      </c>
      <c r="M73" s="165" t="str">
        <f>+IF(AND(fieldcreatorv2!E77="selectlist",A73&lt;&gt;""),"&lt;br/&gt;"&amp;A73&amp;$E$4&amp;A73&amp;$D$5&amp;A73&amp;$E$5,"")</f>
        <v/>
      </c>
      <c r="N73" s="165" t="str">
        <f>+IF(AND(fieldcreatorv2!AU77&lt;&gt;fieldcreatorv2!AU78,fieldcreatorv2!E77="selectlist"),"&lt;/select&gt;","")</f>
        <v/>
      </c>
      <c r="O73" s="165" t="str">
        <f>+IF(fieldcreatorv2!E77="selectlist",M73&amp;$E$6&amp;fieldcreatorv2!C77&amp;$E$7&amp;fieldcreatorv2!AU77&amp;$F$1&amp;fieldcreatorv2!C77&amp;$F$2&amp;fieldcreatorv2!C77&amp;$F$3&amp;N73,"")</f>
        <v/>
      </c>
      <c r="P73" s="165" t="str">
        <f>+IF(fieldcreatorv2!E77="check",$E$1&amp;A73&amp;$D$5&amp;A73&amp;$E$2&amp;A73&amp;$E$3&amp;A73,"")</f>
        <v/>
      </c>
      <c r="Q73" s="165" t="str">
        <f>+IF(AND(R72&lt;&gt;"",fieldcreatorv2!I77="si"),fieldcreatorv2!CS77&amp;I73&amp;J73&amp;fieldcreatorv2!CT77,IF(AND(C73="yes",fieldcreatorv2!I77&lt;&gt;"si"),I73&amp;J73,""))</f>
        <v/>
      </c>
      <c r="R73" s="145" t="str">
        <f>IF(OR(C73=$P$1,AND(R72&lt;&gt;"",fieldcreatorv2!E77="radio",fieldcreatorv2!BA77=fieldcreatorv2!BA76),AND(R72&lt;&gt;"",fieldcreatorv2!E77="selectlist",fieldcreatorv2!AU77=fieldcreatorv2!AU76)),K73&amp;L73&amp;O73&amp;P73,"")&amp;Q73</f>
        <v/>
      </c>
      <c r="S73" s="55" t="str">
        <f>IF(AND(C73=$P$2,fieldcreatorv2!I77&lt;&gt;"si"),fieldcreatorv2!B77&amp;":  "&amp;$F$5&amp;A73&amp;$F$6,"")</f>
        <v/>
      </c>
      <c r="T73" s="253" t="str">
        <f>+IF(fieldcreatorv2!I77="si",$G$4&amp;A73&amp;$G$5,"")&amp;U73</f>
        <v/>
      </c>
      <c r="U73" s="61" t="str">
        <f>+IF(AND(fieldcreatorv2!I77="si",fieldcreatorv2!E76="radio"),+$G$6&amp;fieldcreatorv2!C76&amp;$G$7&amp;fieldcreatorv2!C76&amp;$H$1&amp;$H$2&amp;fieldcreatorv2!C76&amp;$H$3&amp;A73&amp;$H$4,"")</f>
        <v/>
      </c>
      <c r="V73" s="61" t="str">
        <f>+IF(R73&lt;&gt;"",fieldcreatorv2!CY77,"")</f>
        <v/>
      </c>
      <c r="W73" s="55" t="str">
        <f>+IF(OR(fieldcreatorv2!I78="si",AND(W74&lt;&gt;"",fieldcreatorv2!E77="radio")),1,"")</f>
        <v/>
      </c>
      <c r="X73" s="55" t="str">
        <f>+IF(AND(W73=1,W74=""),fieldcreatorv2!C77,IF(AND(W73=1,W74=1),X74,""))</f>
        <v/>
      </c>
      <c r="Y73" s="55" t="str">
        <f>+IF(AND(W72=1,fieldcreatorv2!I77="si"),A73,IF(W73=1,Y74,""))</f>
        <v/>
      </c>
      <c r="Z73" s="254" t="str">
        <f t="shared" si="8"/>
        <v/>
      </c>
      <c r="AA73" s="165" t="str">
        <f t="shared" si="11"/>
        <v/>
      </c>
      <c r="AB73" s="238" t="str">
        <f>+IF(V73&lt;&gt;"",$K$4&amp;fieldcreatorv2!C77&amp;$K$5&amp;fieldcreatorv2!BX77&amp;$K$6&amp;fieldcreatorv2!C78&amp;$K$7,"")</f>
        <v/>
      </c>
      <c r="AC73" s="238" t="str">
        <f>IF(AND(C73="yes",fieldcreatorv2!E77="check"),A73&amp;$L$1&amp;A73&amp;$L$2,"")</f>
        <v/>
      </c>
      <c r="AD73" s="238" t="str">
        <f>+IF(AND(R73&lt;&gt;"",OR(fieldcreatorv2!E77="date",fieldcreatorv2!E77="bigtext",fieldcreatorv2!E77="texto",AND(fieldcreatorv2!E77="selectlist",A73&lt;&gt;""))),"var "&amp;A73&amp;$L$3&amp;A73&amp;$L$4,"")</f>
        <v/>
      </c>
      <c r="AE73" s="61" t="str">
        <f t="shared" si="12"/>
        <v/>
      </c>
      <c r="AF73" s="12">
        <f t="shared" si="18"/>
        <v>0</v>
      </c>
      <c r="AG73" s="12">
        <f t="shared" si="9"/>
        <v>0</v>
      </c>
      <c r="AH73" s="12" t="str">
        <f t="shared" si="14"/>
        <v/>
      </c>
      <c r="AI73" s="61" t="str">
        <f t="shared" si="5"/>
        <v/>
      </c>
      <c r="AJ73" s="55" t="str">
        <f t="shared" si="16"/>
        <v/>
      </c>
      <c r="AK73" s="38" t="str">
        <f t="shared" si="10"/>
        <v/>
      </c>
      <c r="AL73" s="55" t="str">
        <f t="shared" si="13"/>
        <v/>
      </c>
    </row>
    <row r="74" spans="1:38">
      <c r="A74" s="216" t="str">
        <f>IF(fieldcreatorv2!BX78&lt;&gt;"",fieldcreatorv2!BX78,"")</f>
        <v/>
      </c>
      <c r="B74" s="255"/>
      <c r="C74" s="255"/>
      <c r="D74" s="165" t="str">
        <f>+IF(AND(B74="y",A74&lt;&gt;"",fieldcreatorv2!I78&lt;&gt;"si"),$A$1&amp;A74&amp;$A$2,"")</f>
        <v/>
      </c>
      <c r="E74" s="165" t="str">
        <f>+IF(AND(A74&lt;&gt;"",B74="y"),fieldcreatorv2!E78,"")</f>
        <v/>
      </c>
      <c r="F74" s="165" t="str">
        <f t="shared" si="17"/>
        <v/>
      </c>
      <c r="G74" s="55" t="str">
        <f>+IF(fieldcreatorv2!I78="si",$F$7&amp;fieldcreatorv2!BA77&amp;$F$1&amp;fieldcreatorv2!C77&amp;$G$1&amp;fieldcreatorv2!BA77&amp;$G$2&amp;A74&amp;$G$3,"")</f>
        <v/>
      </c>
      <c r="H74" s="145" t="str">
        <f>+IF(AND(A74&lt;&gt;"",B74="y",fieldcreatorv2!I78&lt;&gt;"si"),+$B$4&amp;A74&amp;$B$5,"")</f>
        <v/>
      </c>
      <c r="I74" s="252" t="str">
        <f>+IF(AND(fieldcreatorv2!E78="bigtext"),"&lt;br/&gt;"&amp;fieldcreatorv2!B78&amp;$C$2&amp;A74&amp;$C$3&amp;A74&amp;$C$4,"")</f>
        <v/>
      </c>
      <c r="J74" s="165" t="str">
        <f>+IF(fieldcreatorv2!E78="texto",fieldcreatorv2!B78&amp;": "&amp;$C$5&amp;A74&amp;$C$6&amp;A74&amp;$C$7,"")</f>
        <v/>
      </c>
      <c r="K74" s="165" t="str">
        <f>+IF(AND(fieldcreatorv2!E78="date",C74="yes"),fieldcreatorv2!B78&amp;": "&amp;$D$1&amp;A74&amp;$D$2&amp;A74&amp;$D$3,"")</f>
        <v/>
      </c>
      <c r="L74" s="165" t="str">
        <f>+IF(fieldcreatorv2!E78="radio",fieldcreatorv2!B78&amp;" &lt;br/&gt;"&amp;fieldcreatorv2!C78&amp;$D$4&amp;fieldcreatorv2!BA78&amp;$D$5&amp;fieldcreatorv2!C78&amp;$D$6&amp;fieldcreatorv2!C78&amp;$D$7&amp;fieldcreatorv2!BA78&amp;$F$1&amp;fieldcreatorv2!C78&amp;$F$4,"")</f>
        <v/>
      </c>
      <c r="M74" s="165" t="str">
        <f>+IF(AND(fieldcreatorv2!E78="selectlist",A74&lt;&gt;""),"&lt;br/&gt;"&amp;A74&amp;$E$4&amp;A74&amp;$D$5&amp;A74&amp;$E$5,"")</f>
        <v/>
      </c>
      <c r="N74" s="165" t="str">
        <f>+IF(AND(fieldcreatorv2!AU78&lt;&gt;fieldcreatorv2!AU79,fieldcreatorv2!E78="selectlist"),"&lt;/select&gt;","")</f>
        <v/>
      </c>
      <c r="O74" s="165" t="str">
        <f>+IF(fieldcreatorv2!E78="selectlist",M74&amp;$E$6&amp;fieldcreatorv2!C78&amp;$E$7&amp;fieldcreatorv2!AU78&amp;$F$1&amp;fieldcreatorv2!C78&amp;$F$2&amp;fieldcreatorv2!C78&amp;$F$3&amp;N74,"")</f>
        <v/>
      </c>
      <c r="P74" s="165" t="str">
        <f>+IF(fieldcreatorv2!E78="check",$E$1&amp;A74&amp;$D$5&amp;A74&amp;$E$2&amp;A74&amp;$E$3&amp;A74,"")</f>
        <v/>
      </c>
      <c r="Q74" s="165" t="str">
        <f>+IF(AND(R73&lt;&gt;"",fieldcreatorv2!I78="si"),fieldcreatorv2!CS78&amp;I74&amp;J74&amp;fieldcreatorv2!CT78,IF(AND(C74="yes",fieldcreatorv2!I78&lt;&gt;"si"),I74&amp;J74,""))</f>
        <v/>
      </c>
      <c r="R74" s="145" t="str">
        <f>IF(OR(C74=$P$1,AND(R73&lt;&gt;"",fieldcreatorv2!E78="radio",fieldcreatorv2!BA78=fieldcreatorv2!BA77),AND(R73&lt;&gt;"",fieldcreatorv2!E78="selectlist",fieldcreatorv2!AU78=fieldcreatorv2!AU77)),K74&amp;L74&amp;O74&amp;P74,"")&amp;Q74</f>
        <v/>
      </c>
      <c r="S74" s="55" t="str">
        <f>IF(AND(C74=$P$2,fieldcreatorv2!I78&lt;&gt;"si"),fieldcreatorv2!B78&amp;":  "&amp;$F$5&amp;A74&amp;$F$6,"")</f>
        <v/>
      </c>
      <c r="T74" s="253" t="str">
        <f>+IF(fieldcreatorv2!I78="si",$G$4&amp;A74&amp;$G$5,"")&amp;U74</f>
        <v/>
      </c>
      <c r="U74" s="61" t="str">
        <f>+IF(AND(fieldcreatorv2!I78="si",fieldcreatorv2!E77="radio"),+$G$6&amp;fieldcreatorv2!C77&amp;$G$7&amp;fieldcreatorv2!C77&amp;$H$1&amp;$H$2&amp;fieldcreatorv2!C77&amp;$H$3&amp;A74&amp;$H$4,"")</f>
        <v/>
      </c>
      <c r="V74" s="61" t="str">
        <f>+IF(R74&lt;&gt;"",fieldcreatorv2!CY78,"")</f>
        <v/>
      </c>
      <c r="W74" s="55" t="str">
        <f>+IF(OR(fieldcreatorv2!I79="si",AND(W75&lt;&gt;"",fieldcreatorv2!E78="radio")),1,"")</f>
        <v/>
      </c>
      <c r="X74" s="55" t="str">
        <f>+IF(AND(W74=1,W75=""),fieldcreatorv2!C78,IF(AND(W74=1,W75=1),X75,""))</f>
        <v/>
      </c>
      <c r="Y74" s="55" t="str">
        <f>+IF(AND(W73=1,fieldcreatorv2!I78="si"),A74,IF(W74=1,Y75,""))</f>
        <v/>
      </c>
      <c r="Z74" s="254" t="str">
        <f t="shared" si="8"/>
        <v/>
      </c>
      <c r="AA74" s="165" t="str">
        <f t="shared" si="11"/>
        <v/>
      </c>
      <c r="AB74" s="238" t="str">
        <f>+IF(V74&lt;&gt;"",$K$4&amp;fieldcreatorv2!C78&amp;$K$5&amp;fieldcreatorv2!BX78&amp;$K$6&amp;fieldcreatorv2!C79&amp;$K$7,"")</f>
        <v/>
      </c>
      <c r="AC74" s="238" t="str">
        <f>IF(AND(C74="yes",fieldcreatorv2!E78="check"),A74&amp;$L$1&amp;A74&amp;$L$2,"")</f>
        <v/>
      </c>
      <c r="AD74" s="238" t="str">
        <f>+IF(AND(R74&lt;&gt;"",OR(fieldcreatorv2!E78="date",fieldcreatorv2!E78="bigtext",fieldcreatorv2!E78="texto",AND(fieldcreatorv2!E78="selectlist",A74&lt;&gt;""))),"var "&amp;A74&amp;$L$3&amp;A74&amp;$L$4,"")</f>
        <v/>
      </c>
      <c r="AE74" s="61" t="str">
        <f t="shared" si="12"/>
        <v/>
      </c>
      <c r="AF74" s="12">
        <f t="shared" si="18"/>
        <v>0</v>
      </c>
      <c r="AG74" s="12">
        <f t="shared" si="9"/>
        <v>0</v>
      </c>
      <c r="AH74" s="12" t="str">
        <f t="shared" si="14"/>
        <v/>
      </c>
      <c r="AI74" s="61" t="str">
        <f t="shared" si="5"/>
        <v/>
      </c>
      <c r="AJ74" s="55" t="str">
        <f t="shared" si="16"/>
        <v/>
      </c>
      <c r="AK74" s="38" t="str">
        <f t="shared" si="10"/>
        <v/>
      </c>
      <c r="AL74" s="55" t="str">
        <f t="shared" si="13"/>
        <v/>
      </c>
    </row>
    <row r="75" spans="1:38">
      <c r="A75" s="216" t="str">
        <f>IF(fieldcreatorv2!BX79&lt;&gt;"",fieldcreatorv2!BX79,"")</f>
        <v/>
      </c>
      <c r="B75" s="255"/>
      <c r="C75" s="255"/>
      <c r="D75" s="165" t="str">
        <f>+IF(AND(B75="y",A75&lt;&gt;"",fieldcreatorv2!I79&lt;&gt;"si"),$A$1&amp;A75&amp;$A$2,"")</f>
        <v/>
      </c>
      <c r="E75" s="165" t="str">
        <f>+IF(AND(A75&lt;&gt;"",B75="y"),fieldcreatorv2!E79,"")</f>
        <v/>
      </c>
      <c r="F75" s="165" t="str">
        <f t="shared" ref="F75:F106" si="19">+IF(E75="check",$A$6&amp;A75&amp;$A$7&amp;A75&amp;$B$1&amp;A75&amp;$B$2&amp;A75&amp;$B$3,"")</f>
        <v/>
      </c>
      <c r="G75" s="55" t="str">
        <f>+IF(fieldcreatorv2!I79="si",$F$7&amp;fieldcreatorv2!BA78&amp;$F$1&amp;fieldcreatorv2!C78&amp;$G$1&amp;fieldcreatorv2!BA78&amp;$G$2&amp;A75&amp;$G$3,"")</f>
        <v/>
      </c>
      <c r="H75" s="145" t="str">
        <f>+IF(AND(A75&lt;&gt;"",B75="y",fieldcreatorv2!I79&lt;&gt;"si"),+$B$4&amp;A75&amp;$B$5,"")</f>
        <v/>
      </c>
      <c r="I75" s="252" t="str">
        <f>+IF(AND(fieldcreatorv2!E79="bigtext"),"&lt;br/&gt;"&amp;fieldcreatorv2!B79&amp;$C$2&amp;A75&amp;$C$3&amp;A75&amp;$C$4,"")</f>
        <v/>
      </c>
      <c r="J75" s="165" t="str">
        <f>+IF(fieldcreatorv2!E79="texto",fieldcreatorv2!B79&amp;": "&amp;$C$5&amp;A75&amp;$C$6&amp;A75&amp;$C$7,"")</f>
        <v/>
      </c>
      <c r="K75" s="165" t="str">
        <f>+IF(AND(fieldcreatorv2!E79="date",C75="yes"),fieldcreatorv2!B79&amp;": "&amp;$D$1&amp;A75&amp;$D$2&amp;A75&amp;$D$3,"")</f>
        <v/>
      </c>
      <c r="L75" s="165" t="str">
        <f>+IF(fieldcreatorv2!E79="radio",fieldcreatorv2!B79&amp;" &lt;br/&gt;"&amp;fieldcreatorv2!C79&amp;$D$4&amp;fieldcreatorv2!BA79&amp;$D$5&amp;fieldcreatorv2!C79&amp;$D$6&amp;fieldcreatorv2!C79&amp;$D$7&amp;fieldcreatorv2!BA79&amp;$F$1&amp;fieldcreatorv2!C79&amp;$F$4,"")</f>
        <v/>
      </c>
      <c r="M75" s="165" t="str">
        <f>+IF(AND(fieldcreatorv2!E79="selectlist",A75&lt;&gt;""),"&lt;br/&gt;"&amp;A75&amp;$E$4&amp;A75&amp;$D$5&amp;A75&amp;$E$5,"")</f>
        <v/>
      </c>
      <c r="N75" s="165" t="str">
        <f>+IF(AND(fieldcreatorv2!AU79&lt;&gt;fieldcreatorv2!AU80,fieldcreatorv2!E79="selectlist"),"&lt;/select&gt;","")</f>
        <v/>
      </c>
      <c r="O75" s="165" t="str">
        <f>+IF(fieldcreatorv2!E79="selectlist",M75&amp;$E$6&amp;fieldcreatorv2!C79&amp;$E$7&amp;fieldcreatorv2!AU79&amp;$F$1&amp;fieldcreatorv2!C79&amp;$F$2&amp;fieldcreatorv2!C79&amp;$F$3&amp;N75,"")</f>
        <v/>
      </c>
      <c r="P75" s="165" t="str">
        <f>+IF(fieldcreatorv2!E79="check",$E$1&amp;A75&amp;$D$5&amp;A75&amp;$E$2&amp;A75&amp;$E$3&amp;A75,"")</f>
        <v/>
      </c>
      <c r="Q75" s="165" t="str">
        <f>+IF(AND(R74&lt;&gt;"",fieldcreatorv2!I79="si"),fieldcreatorv2!CS79&amp;I75&amp;J75&amp;fieldcreatorv2!CT79,IF(AND(C75="yes",fieldcreatorv2!I79&lt;&gt;"si"),I75&amp;J75,""))</f>
        <v/>
      </c>
      <c r="R75" s="145" t="str">
        <f>IF(OR(C75=$P$1,AND(R74&lt;&gt;"",fieldcreatorv2!E79="radio",fieldcreatorv2!BA79=fieldcreatorv2!BA78),AND(R74&lt;&gt;"",fieldcreatorv2!E79="selectlist",fieldcreatorv2!AU79=fieldcreatorv2!AU78)),K75&amp;L75&amp;O75&amp;P75,"")&amp;Q75</f>
        <v/>
      </c>
      <c r="S75" s="55" t="str">
        <f>IF(AND(C75=$P$2,fieldcreatorv2!I79&lt;&gt;"si"),fieldcreatorv2!B79&amp;":  "&amp;$F$5&amp;A75&amp;$F$6,"")</f>
        <v/>
      </c>
      <c r="T75" s="253" t="str">
        <f>+IF(fieldcreatorv2!I79="si",$G$4&amp;A75&amp;$G$5,"")&amp;U75</f>
        <v/>
      </c>
      <c r="U75" s="61" t="str">
        <f>+IF(AND(fieldcreatorv2!I79="si",fieldcreatorv2!E78="radio"),+$G$6&amp;fieldcreatorv2!C78&amp;$G$7&amp;fieldcreatorv2!C78&amp;$H$1&amp;$H$2&amp;fieldcreatorv2!C78&amp;$H$3&amp;A75&amp;$H$4,"")</f>
        <v/>
      </c>
      <c r="V75" s="61" t="str">
        <f>+IF(R75&lt;&gt;"",fieldcreatorv2!CY79,"")</f>
        <v/>
      </c>
      <c r="W75" s="55" t="str">
        <f>+IF(OR(fieldcreatorv2!I80="si",AND(W76&lt;&gt;"",fieldcreatorv2!E79="radio")),1,"")</f>
        <v/>
      </c>
      <c r="X75" s="55" t="str">
        <f>+IF(AND(W75=1,W76=""),fieldcreatorv2!C79,IF(AND(W75=1,W76=1),X76,""))</f>
        <v/>
      </c>
      <c r="Y75" s="55" t="str">
        <f>+IF(AND(W74=1,fieldcreatorv2!I79="si"),A75,IF(W75=1,Y76,""))</f>
        <v/>
      </c>
      <c r="Z75" s="254" t="str">
        <f t="shared" si="8"/>
        <v/>
      </c>
      <c r="AA75" s="165" t="str">
        <f t="shared" si="11"/>
        <v/>
      </c>
      <c r="AB75" s="238" t="str">
        <f>+IF(V75&lt;&gt;"",$K$4&amp;fieldcreatorv2!C79&amp;$K$5&amp;fieldcreatorv2!BX79&amp;$K$6&amp;fieldcreatorv2!C80&amp;$K$7,"")</f>
        <v/>
      </c>
      <c r="AC75" s="238" t="str">
        <f>IF(AND(C75="yes",fieldcreatorv2!E79="check"),A75&amp;$L$1&amp;A75&amp;$L$2,"")</f>
        <v/>
      </c>
      <c r="AD75" s="238" t="str">
        <f>+IF(AND(R75&lt;&gt;"",OR(fieldcreatorv2!E79="date",fieldcreatorv2!E79="bigtext",fieldcreatorv2!E79="texto",AND(fieldcreatorv2!E79="selectlist",A75&lt;&gt;""))),"var "&amp;A75&amp;$L$3&amp;A75&amp;$L$4,"")</f>
        <v/>
      </c>
      <c r="AE75" s="61" t="str">
        <f t="shared" si="12"/>
        <v/>
      </c>
      <c r="AF75" s="12">
        <f t="shared" si="18"/>
        <v>0</v>
      </c>
      <c r="AG75" s="12">
        <f t="shared" si="9"/>
        <v>0</v>
      </c>
      <c r="AH75" s="12" t="str">
        <f t="shared" si="14"/>
        <v/>
      </c>
      <c r="AI75" s="61" t="str">
        <f t="shared" ref="AI75:AI110" si="20">IF(AND(A75&lt;&gt;"",R75&lt;&gt;""),AH75&amp;A75&amp;":"&amp;A75,"")</f>
        <v/>
      </c>
      <c r="AJ75" s="55" t="str">
        <f t="shared" si="16"/>
        <v/>
      </c>
      <c r="AK75" s="38" t="str">
        <f t="shared" si="10"/>
        <v/>
      </c>
      <c r="AL75" s="55" t="str">
        <f t="shared" si="13"/>
        <v/>
      </c>
    </row>
    <row r="76" spans="1:38">
      <c r="A76" s="216" t="str">
        <f>IF(fieldcreatorv2!BX80&lt;&gt;"",fieldcreatorv2!BX80,"")</f>
        <v/>
      </c>
      <c r="B76" s="255"/>
      <c r="C76" s="255"/>
      <c r="D76" s="165" t="str">
        <f>+IF(AND(B76="y",A76&lt;&gt;"",fieldcreatorv2!I80&lt;&gt;"si"),$A$1&amp;A76&amp;$A$2,"")</f>
        <v/>
      </c>
      <c r="E76" s="165" t="str">
        <f>+IF(AND(A76&lt;&gt;"",B76="y"),fieldcreatorv2!E80,"")</f>
        <v/>
      </c>
      <c r="F76" s="165" t="str">
        <f t="shared" si="19"/>
        <v/>
      </c>
      <c r="G76" s="55" t="str">
        <f>+IF(fieldcreatorv2!I80="si",$F$7&amp;fieldcreatorv2!BA79&amp;$F$1&amp;fieldcreatorv2!C79&amp;$G$1&amp;fieldcreatorv2!BA79&amp;$G$2&amp;A76&amp;$G$3,"")</f>
        <v/>
      </c>
      <c r="H76" s="145" t="str">
        <f>+IF(AND(A76&lt;&gt;"",B76="y",fieldcreatorv2!I80&lt;&gt;"si"),+$B$4&amp;A76&amp;$B$5,"")</f>
        <v/>
      </c>
      <c r="I76" s="252" t="str">
        <f>+IF(AND(fieldcreatorv2!E80="bigtext"),"&lt;br/&gt;"&amp;fieldcreatorv2!B80&amp;$C$2&amp;A76&amp;$C$3&amp;A76&amp;$C$4,"")</f>
        <v/>
      </c>
      <c r="J76" s="165" t="str">
        <f>+IF(fieldcreatorv2!E80="texto",fieldcreatorv2!B80&amp;": "&amp;$C$5&amp;A76&amp;$C$6&amp;A76&amp;$C$7,"")</f>
        <v/>
      </c>
      <c r="K76" s="165" t="str">
        <f>+IF(AND(fieldcreatorv2!E80="date",C76="yes"),fieldcreatorv2!B80&amp;": "&amp;$D$1&amp;A76&amp;$D$2&amp;A76&amp;$D$3,"")</f>
        <v/>
      </c>
      <c r="L76" s="165" t="str">
        <f>+IF(fieldcreatorv2!E80="radio",fieldcreatorv2!B80&amp;" &lt;br/&gt;"&amp;fieldcreatorv2!C80&amp;$D$4&amp;fieldcreatorv2!BA80&amp;$D$5&amp;fieldcreatorv2!C80&amp;$D$6&amp;fieldcreatorv2!C80&amp;$D$7&amp;fieldcreatorv2!BA80&amp;$F$1&amp;fieldcreatorv2!C80&amp;$F$4,"")</f>
        <v/>
      </c>
      <c r="M76" s="165" t="str">
        <f>+IF(AND(fieldcreatorv2!E80="selectlist",A76&lt;&gt;""),"&lt;br/&gt;"&amp;A76&amp;$E$4&amp;A76&amp;$D$5&amp;A76&amp;$E$5,"")</f>
        <v/>
      </c>
      <c r="N76" s="165" t="str">
        <f>+IF(AND(fieldcreatorv2!AU80&lt;&gt;fieldcreatorv2!AU81,fieldcreatorv2!E80="selectlist"),"&lt;/select&gt;","")</f>
        <v/>
      </c>
      <c r="O76" s="165" t="str">
        <f>+IF(fieldcreatorv2!E80="selectlist",M76&amp;$E$6&amp;fieldcreatorv2!C80&amp;$E$7&amp;fieldcreatorv2!AU80&amp;$F$1&amp;fieldcreatorv2!C80&amp;$F$2&amp;fieldcreatorv2!C80&amp;$F$3&amp;N76,"")</f>
        <v/>
      </c>
      <c r="P76" s="165" t="str">
        <f>+IF(fieldcreatorv2!E80="check",$E$1&amp;A76&amp;$D$5&amp;A76&amp;$E$2&amp;A76&amp;$E$3&amp;A76,"")</f>
        <v/>
      </c>
      <c r="Q76" s="165" t="str">
        <f>+IF(AND(R75&lt;&gt;"",fieldcreatorv2!I80="si"),fieldcreatorv2!CS80&amp;I76&amp;J76&amp;fieldcreatorv2!CT80,IF(AND(C76="yes",fieldcreatorv2!I80&lt;&gt;"si"),I76&amp;J76,""))</f>
        <v/>
      </c>
      <c r="R76" s="145" t="str">
        <f>IF(OR(C76=$P$1,AND(R75&lt;&gt;"",fieldcreatorv2!E80="radio",fieldcreatorv2!BA80=fieldcreatorv2!BA79),AND(R75&lt;&gt;"",fieldcreatorv2!E80="selectlist",fieldcreatorv2!AU80=fieldcreatorv2!AU79)),K76&amp;L76&amp;O76&amp;P76,"")&amp;Q76</f>
        <v/>
      </c>
      <c r="S76" s="55" t="str">
        <f>IF(AND(C76=$P$2,fieldcreatorv2!I80&lt;&gt;"si"),fieldcreatorv2!B80&amp;":  "&amp;$F$5&amp;A76&amp;$F$6,"")</f>
        <v/>
      </c>
      <c r="T76" s="253" t="str">
        <f>+IF(fieldcreatorv2!I80="si",$G$4&amp;A76&amp;$G$5,"")&amp;U76</f>
        <v/>
      </c>
      <c r="U76" s="61" t="str">
        <f>+IF(AND(fieldcreatorv2!I80="si",fieldcreatorv2!E79="radio"),+$G$6&amp;fieldcreatorv2!C79&amp;$G$7&amp;fieldcreatorv2!C79&amp;$H$1&amp;$H$2&amp;fieldcreatorv2!C79&amp;$H$3&amp;A76&amp;$H$4,"")</f>
        <v/>
      </c>
      <c r="V76" s="61" t="str">
        <f>+IF(R76&lt;&gt;"",fieldcreatorv2!CY80,"")</f>
        <v/>
      </c>
      <c r="W76" s="55" t="str">
        <f>+IF(OR(fieldcreatorv2!I81="si",AND(W77&lt;&gt;"",fieldcreatorv2!E80="radio")),1,"")</f>
        <v/>
      </c>
      <c r="X76" s="55" t="str">
        <f>+IF(AND(W76=1,W77=""),fieldcreatorv2!C80,IF(AND(W76=1,W77=1),X77,""))</f>
        <v/>
      </c>
      <c r="Y76" s="55" t="str">
        <f>+IF(AND(W75=1,fieldcreatorv2!I80="si"),A76,IF(W76=1,Y77,""))</f>
        <v/>
      </c>
      <c r="Z76" s="254" t="str">
        <f t="shared" ref="Z76:Z110" si="21">+IF(AND(W76=1,A76&lt;&gt;""),$H$6&amp;A76&amp;": "&amp;"&lt;?"&amp;$A$6&amp;A76&amp;$H$7&amp;X76&amp;$K$1&amp;Y76&amp;$K$2&amp;A76&amp;$K$3,"")</f>
        <v/>
      </c>
      <c r="AA76" s="165" t="str">
        <f t="shared" si="11"/>
        <v/>
      </c>
      <c r="AB76" s="238" t="str">
        <f>+IF(V76&lt;&gt;"",$K$4&amp;fieldcreatorv2!C80&amp;$K$5&amp;fieldcreatorv2!BX80&amp;$K$6&amp;fieldcreatorv2!C81&amp;$K$7,"")</f>
        <v/>
      </c>
      <c r="AC76" s="238" t="str">
        <f>IF(AND(C76="yes",fieldcreatorv2!E80="check"),A76&amp;$L$1&amp;A76&amp;$L$2,"")</f>
        <v/>
      </c>
      <c r="AD76" s="238" t="str">
        <f>+IF(AND(R76&lt;&gt;"",OR(fieldcreatorv2!E80="date",fieldcreatorv2!E80="bigtext",fieldcreatorv2!E80="texto",AND(fieldcreatorv2!E80="selectlist",A76&lt;&gt;""))),"var "&amp;A76&amp;$L$3&amp;A76&amp;$L$4,"")</f>
        <v/>
      </c>
      <c r="AE76" s="61" t="str">
        <f t="shared" si="12"/>
        <v/>
      </c>
      <c r="AF76" s="12">
        <f t="shared" si="18"/>
        <v>0</v>
      </c>
      <c r="AG76" s="12">
        <f t="shared" ref="AG76:AG110" si="22">+AF76+AG75</f>
        <v>0</v>
      </c>
      <c r="AH76" s="12" t="str">
        <f t="shared" si="14"/>
        <v/>
      </c>
      <c r="AI76" s="61" t="str">
        <f t="shared" si="20"/>
        <v/>
      </c>
      <c r="AJ76" s="55" t="str">
        <f t="shared" si="16"/>
        <v/>
      </c>
      <c r="AK76" s="38" t="str">
        <f t="shared" ref="AK76:AK110" si="23">+IF(AJ76&lt;&gt;"",AH76&amp;A76&amp;"='$"&amp;A76&amp;"'","")</f>
        <v/>
      </c>
      <c r="AL76" s="55" t="str">
        <f t="shared" si="13"/>
        <v/>
      </c>
    </row>
    <row r="77" spans="1:38">
      <c r="A77" s="216" t="str">
        <f>IF(fieldcreatorv2!BX81&lt;&gt;"",fieldcreatorv2!BX81,"")</f>
        <v/>
      </c>
      <c r="B77" s="255"/>
      <c r="C77" s="255"/>
      <c r="D77" s="165" t="str">
        <f>+IF(AND(B77="y",A77&lt;&gt;"",fieldcreatorv2!I81&lt;&gt;"si"),$A$1&amp;A77&amp;$A$2,"")</f>
        <v/>
      </c>
      <c r="E77" s="165" t="str">
        <f>+IF(AND(A77&lt;&gt;"",B77="y"),fieldcreatorv2!E81,"")</f>
        <v/>
      </c>
      <c r="F77" s="165" t="str">
        <f t="shared" si="19"/>
        <v/>
      </c>
      <c r="G77" s="55" t="str">
        <f>+IF(fieldcreatorv2!I81="si",$F$7&amp;fieldcreatorv2!BA80&amp;$F$1&amp;fieldcreatorv2!C80&amp;$G$1&amp;fieldcreatorv2!BA80&amp;$G$2&amp;A77&amp;$G$3,"")</f>
        <v/>
      </c>
      <c r="H77" s="145" t="str">
        <f>+IF(AND(A77&lt;&gt;"",B77="y",fieldcreatorv2!I81&lt;&gt;"si"),+$B$4&amp;A77&amp;$B$5,"")</f>
        <v/>
      </c>
      <c r="I77" s="252" t="str">
        <f>+IF(AND(fieldcreatorv2!E81="bigtext"),"&lt;br/&gt;"&amp;fieldcreatorv2!B81&amp;$C$2&amp;A77&amp;$C$3&amp;A77&amp;$C$4,"")</f>
        <v/>
      </c>
      <c r="J77" s="165" t="str">
        <f>+IF(fieldcreatorv2!E81="texto",fieldcreatorv2!B81&amp;": "&amp;$C$5&amp;A77&amp;$C$6&amp;A77&amp;$C$7,"")</f>
        <v/>
      </c>
      <c r="K77" s="165" t="str">
        <f>+IF(AND(fieldcreatorv2!E81="date",C77="yes"),fieldcreatorv2!B81&amp;": "&amp;$D$1&amp;A77&amp;$D$2&amp;A77&amp;$D$3,"")</f>
        <v/>
      </c>
      <c r="L77" s="165" t="str">
        <f>+IF(fieldcreatorv2!E81="radio",fieldcreatorv2!B81&amp;" &lt;br/&gt;"&amp;fieldcreatorv2!C81&amp;$D$4&amp;fieldcreatorv2!BA81&amp;$D$5&amp;fieldcreatorv2!C81&amp;$D$6&amp;fieldcreatorv2!C81&amp;$D$7&amp;fieldcreatorv2!BA81&amp;$F$1&amp;fieldcreatorv2!C81&amp;$F$4,"")</f>
        <v/>
      </c>
      <c r="M77" s="165" t="str">
        <f>+IF(AND(fieldcreatorv2!E81="selectlist",A77&lt;&gt;""),"&lt;br/&gt;"&amp;A77&amp;$E$4&amp;A77&amp;$D$5&amp;A77&amp;$E$5,"")</f>
        <v/>
      </c>
      <c r="N77" s="165" t="str">
        <f>+IF(AND(fieldcreatorv2!AU81&lt;&gt;fieldcreatorv2!AU82,fieldcreatorv2!E81="selectlist"),"&lt;/select&gt;","")</f>
        <v/>
      </c>
      <c r="O77" s="165" t="str">
        <f>+IF(fieldcreatorv2!E81="selectlist",M77&amp;$E$6&amp;fieldcreatorv2!C81&amp;$E$7&amp;fieldcreatorv2!AU81&amp;$F$1&amp;fieldcreatorv2!C81&amp;$F$2&amp;fieldcreatorv2!C81&amp;$F$3&amp;N77,"")</f>
        <v/>
      </c>
      <c r="P77" s="165" t="str">
        <f>+IF(fieldcreatorv2!E81="check",$E$1&amp;A77&amp;$D$5&amp;A77&amp;$E$2&amp;A77&amp;$E$3&amp;A77,"")</f>
        <v/>
      </c>
      <c r="Q77" s="165" t="str">
        <f>+IF(AND(R76&lt;&gt;"",fieldcreatorv2!I81="si"),fieldcreatorv2!CS81&amp;I77&amp;J77&amp;fieldcreatorv2!CT81,IF(AND(C77="yes",fieldcreatorv2!I81&lt;&gt;"si"),I77&amp;J77,""))</f>
        <v/>
      </c>
      <c r="R77" s="145" t="str">
        <f>IF(OR(C77=$P$1,AND(R76&lt;&gt;"",fieldcreatorv2!E81="radio",fieldcreatorv2!BA81=fieldcreatorv2!BA80),AND(R76&lt;&gt;"",fieldcreatorv2!E81="selectlist",fieldcreatorv2!AU81=fieldcreatorv2!AU80)),K77&amp;L77&amp;O77&amp;P77,"")&amp;Q77</f>
        <v/>
      </c>
      <c r="S77" s="55" t="str">
        <f>IF(AND(C77=$P$2,fieldcreatorv2!I81&lt;&gt;"si"),fieldcreatorv2!B81&amp;":  "&amp;$F$5&amp;A77&amp;$F$6,"")</f>
        <v/>
      </c>
      <c r="T77" s="253" t="str">
        <f>+IF(fieldcreatorv2!I81="si",$G$4&amp;A77&amp;$G$5,"")&amp;U77</f>
        <v/>
      </c>
      <c r="U77" s="61" t="str">
        <f>+IF(AND(fieldcreatorv2!I81="si",fieldcreatorv2!E80="radio"),+$G$6&amp;fieldcreatorv2!C80&amp;$G$7&amp;fieldcreatorv2!C80&amp;$H$1&amp;$H$2&amp;fieldcreatorv2!C80&amp;$H$3&amp;A77&amp;$H$4,"")</f>
        <v/>
      </c>
      <c r="V77" s="61" t="str">
        <f>+IF(R77&lt;&gt;"",fieldcreatorv2!CY81,"")</f>
        <v/>
      </c>
      <c r="W77" s="55" t="str">
        <f>+IF(OR(fieldcreatorv2!I82="si",AND(W78&lt;&gt;"",fieldcreatorv2!E81="radio")),1,"")</f>
        <v/>
      </c>
      <c r="X77" s="55" t="str">
        <f>+IF(AND(W77=1,W78=""),fieldcreatorv2!C81,IF(AND(W77=1,W78=1),X78,""))</f>
        <v/>
      </c>
      <c r="Y77" s="55" t="str">
        <f>+IF(AND(W76=1,fieldcreatorv2!I81="si"),A77,IF(W77=1,Y78,""))</f>
        <v/>
      </c>
      <c r="Z77" s="254" t="str">
        <f t="shared" si="21"/>
        <v/>
      </c>
      <c r="AA77" s="165" t="str">
        <f t="shared" si="11"/>
        <v/>
      </c>
      <c r="AB77" s="238" t="str">
        <f>+IF(V77&lt;&gt;"",$K$4&amp;fieldcreatorv2!C81&amp;$K$5&amp;fieldcreatorv2!BX81&amp;$K$6&amp;fieldcreatorv2!C82&amp;$K$7,"")</f>
        <v/>
      </c>
      <c r="AC77" s="238" t="str">
        <f>IF(AND(C77="yes",fieldcreatorv2!E81="check"),A77&amp;$L$1&amp;A77&amp;$L$2,"")</f>
        <v/>
      </c>
      <c r="AD77" s="238" t="str">
        <f>+IF(AND(R77&lt;&gt;"",OR(fieldcreatorv2!E81="date",fieldcreatorv2!E81="bigtext",fieldcreatorv2!E81="texto",AND(fieldcreatorv2!E81="selectlist",A77&lt;&gt;""))),"var "&amp;A77&amp;$L$3&amp;A77&amp;$L$4,"")</f>
        <v/>
      </c>
      <c r="AE77" s="61" t="str">
        <f t="shared" si="12"/>
        <v/>
      </c>
      <c r="AF77" s="12">
        <f t="shared" si="18"/>
        <v>0</v>
      </c>
      <c r="AG77" s="12">
        <f t="shared" si="22"/>
        <v>0</v>
      </c>
      <c r="AH77" s="12" t="str">
        <f t="shared" si="14"/>
        <v/>
      </c>
      <c r="AI77" s="61" t="str">
        <f t="shared" si="20"/>
        <v/>
      </c>
      <c r="AJ77" s="55" t="str">
        <f t="shared" si="16"/>
        <v/>
      </c>
      <c r="AK77" s="38" t="str">
        <f t="shared" si="23"/>
        <v/>
      </c>
      <c r="AL77" s="55" t="str">
        <f t="shared" si="13"/>
        <v/>
      </c>
    </row>
    <row r="78" spans="1:38">
      <c r="A78" s="216" t="str">
        <f>IF(fieldcreatorv2!BX82&lt;&gt;"",fieldcreatorv2!BX82,"")</f>
        <v/>
      </c>
      <c r="B78" s="255"/>
      <c r="C78" s="255"/>
      <c r="D78" s="165" t="str">
        <f>+IF(AND(B78="y",A78&lt;&gt;"",fieldcreatorv2!I82&lt;&gt;"si"),$A$1&amp;A78&amp;$A$2,"")</f>
        <v/>
      </c>
      <c r="E78" s="165" t="str">
        <f>+IF(AND(A78&lt;&gt;"",B78="y"),fieldcreatorv2!E82,"")</f>
        <v/>
      </c>
      <c r="F78" s="165" t="str">
        <f t="shared" si="19"/>
        <v/>
      </c>
      <c r="G78" s="55" t="str">
        <f>+IF(fieldcreatorv2!I82="si",$F$7&amp;fieldcreatorv2!BA81&amp;$F$1&amp;fieldcreatorv2!C81&amp;$G$1&amp;fieldcreatorv2!BA81&amp;$G$2&amp;A78&amp;$G$3,"")</f>
        <v/>
      </c>
      <c r="H78" s="145" t="str">
        <f>+IF(AND(A78&lt;&gt;"",B78="y",fieldcreatorv2!I82&lt;&gt;"si"),+$B$4&amp;A78&amp;$B$5,"")</f>
        <v/>
      </c>
      <c r="I78" s="252" t="str">
        <f>+IF(AND(fieldcreatorv2!E82="bigtext"),"&lt;br/&gt;"&amp;fieldcreatorv2!B82&amp;$C$2&amp;A78&amp;$C$3&amp;A78&amp;$C$4,"")</f>
        <v/>
      </c>
      <c r="J78" s="165" t="str">
        <f>+IF(fieldcreatorv2!E82="texto",fieldcreatorv2!B82&amp;": "&amp;$C$5&amp;A78&amp;$C$6&amp;A78&amp;$C$7,"")</f>
        <v/>
      </c>
      <c r="K78" s="165" t="str">
        <f>+IF(AND(fieldcreatorv2!E82="date",C78="yes"),fieldcreatorv2!B82&amp;": "&amp;$D$1&amp;A78&amp;$D$2&amp;A78&amp;$D$3,"")</f>
        <v/>
      </c>
      <c r="L78" s="165" t="str">
        <f>+IF(fieldcreatorv2!E82="radio",fieldcreatorv2!B82&amp;" &lt;br/&gt;"&amp;fieldcreatorv2!C82&amp;$D$4&amp;fieldcreatorv2!BA82&amp;$D$5&amp;fieldcreatorv2!C82&amp;$D$6&amp;fieldcreatorv2!C82&amp;$D$7&amp;fieldcreatorv2!BA82&amp;$F$1&amp;fieldcreatorv2!C82&amp;$F$4,"")</f>
        <v/>
      </c>
      <c r="M78" s="165" t="str">
        <f>+IF(AND(fieldcreatorv2!E82="selectlist",A78&lt;&gt;""),"&lt;br/&gt;"&amp;A78&amp;$E$4&amp;A78&amp;$D$5&amp;A78&amp;$E$5,"")</f>
        <v/>
      </c>
      <c r="N78" s="165" t="str">
        <f>+IF(AND(fieldcreatorv2!AU82&lt;&gt;fieldcreatorv2!AU83,fieldcreatorv2!E82="selectlist"),"&lt;/select&gt;","")</f>
        <v/>
      </c>
      <c r="O78" s="165" t="str">
        <f>+IF(fieldcreatorv2!E82="selectlist",M78&amp;$E$6&amp;fieldcreatorv2!C82&amp;$E$7&amp;fieldcreatorv2!AU82&amp;$F$1&amp;fieldcreatorv2!C82&amp;$F$2&amp;fieldcreatorv2!C82&amp;$F$3&amp;N78,"")</f>
        <v/>
      </c>
      <c r="P78" s="165" t="str">
        <f>+IF(fieldcreatorv2!E82="check",$E$1&amp;A78&amp;$D$5&amp;A78&amp;$E$2&amp;A78&amp;$E$3&amp;A78,"")</f>
        <v/>
      </c>
      <c r="Q78" s="165" t="str">
        <f>+IF(AND(R77&lt;&gt;"",fieldcreatorv2!I82="si"),fieldcreatorv2!CS82&amp;I78&amp;J78&amp;fieldcreatorv2!CT82,IF(AND(C78="yes",fieldcreatorv2!I82&lt;&gt;"si"),I78&amp;J78,""))</f>
        <v/>
      </c>
      <c r="R78" s="145" t="str">
        <f>IF(OR(C78=$P$1,AND(R77&lt;&gt;"",fieldcreatorv2!E82="radio",fieldcreatorv2!BA82=fieldcreatorv2!BA81),AND(R77&lt;&gt;"",fieldcreatorv2!E82="selectlist",fieldcreatorv2!AU82=fieldcreatorv2!AU81)),K78&amp;L78&amp;O78&amp;P78,"")&amp;Q78</f>
        <v/>
      </c>
      <c r="S78" s="55" t="str">
        <f>IF(AND(C78=$P$2,fieldcreatorv2!I82&lt;&gt;"si"),fieldcreatorv2!B82&amp;":  "&amp;$F$5&amp;A78&amp;$F$6,"")</f>
        <v/>
      </c>
      <c r="T78" s="253" t="str">
        <f>+IF(fieldcreatorv2!I82="si",$G$4&amp;A78&amp;$G$5,"")&amp;U78</f>
        <v/>
      </c>
      <c r="U78" s="61" t="str">
        <f>+IF(AND(fieldcreatorv2!I82="si",fieldcreatorv2!E81="radio"),+$G$6&amp;fieldcreatorv2!C81&amp;$G$7&amp;fieldcreatorv2!C81&amp;$H$1&amp;$H$2&amp;fieldcreatorv2!C81&amp;$H$3&amp;A78&amp;$H$4,"")</f>
        <v/>
      </c>
      <c r="V78" s="61" t="str">
        <f>+IF(R78&lt;&gt;"",fieldcreatorv2!CY82,"")</f>
        <v/>
      </c>
      <c r="W78" s="55" t="str">
        <f>+IF(OR(fieldcreatorv2!I83="si",AND(W79&lt;&gt;"",fieldcreatorv2!E82="radio")),1,"")</f>
        <v/>
      </c>
      <c r="X78" s="55" t="str">
        <f>+IF(AND(W78=1,W79=""),fieldcreatorv2!C82,IF(AND(W78=1,W79=1),X79,""))</f>
        <v/>
      </c>
      <c r="Y78" s="55" t="str">
        <f>+IF(AND(W77=1,fieldcreatorv2!I82="si"),A78,IF(W78=1,Y79,""))</f>
        <v/>
      </c>
      <c r="Z78" s="254" t="str">
        <f t="shared" si="21"/>
        <v/>
      </c>
      <c r="AA78" s="165" t="str">
        <f t="shared" si="11"/>
        <v/>
      </c>
      <c r="AB78" s="238" t="str">
        <f>+IF(V78&lt;&gt;"",$K$4&amp;fieldcreatorv2!C82&amp;$K$5&amp;fieldcreatorv2!BX82&amp;$K$6&amp;fieldcreatorv2!C83&amp;$K$7,"")</f>
        <v/>
      </c>
      <c r="AC78" s="238" t="str">
        <f>IF(AND(C78="yes",fieldcreatorv2!E82="check"),A78&amp;$L$1&amp;A78&amp;$L$2,"")</f>
        <v/>
      </c>
      <c r="AD78" s="238" t="str">
        <f>+IF(AND(R78&lt;&gt;"",OR(fieldcreatorv2!E82="date",fieldcreatorv2!E82="bigtext",fieldcreatorv2!E82="texto",AND(fieldcreatorv2!E82="selectlist",A78&lt;&gt;""))),"var "&amp;A78&amp;$L$3&amp;A78&amp;$L$4,"")</f>
        <v/>
      </c>
      <c r="AE78" s="61" t="str">
        <f t="shared" si="12"/>
        <v/>
      </c>
      <c r="AF78" s="12">
        <f t="shared" si="18"/>
        <v>0</v>
      </c>
      <c r="AG78" s="12">
        <f t="shared" si="22"/>
        <v>0</v>
      </c>
      <c r="AH78" s="12" t="str">
        <f t="shared" si="14"/>
        <v/>
      </c>
      <c r="AI78" s="61" t="str">
        <f t="shared" si="20"/>
        <v/>
      </c>
      <c r="AJ78" s="55" t="str">
        <f t="shared" si="16"/>
        <v/>
      </c>
      <c r="AK78" s="38" t="str">
        <f t="shared" si="23"/>
        <v/>
      </c>
      <c r="AL78" s="55" t="str">
        <f t="shared" si="13"/>
        <v/>
      </c>
    </row>
    <row r="79" spans="1:38">
      <c r="A79" s="216" t="str">
        <f>IF(fieldcreatorv2!BX83&lt;&gt;"",fieldcreatorv2!BX83,"")</f>
        <v/>
      </c>
      <c r="B79" s="255"/>
      <c r="C79" s="255"/>
      <c r="D79" s="165" t="str">
        <f>+IF(AND(B79="y",A79&lt;&gt;"",fieldcreatorv2!I83&lt;&gt;"si"),$A$1&amp;A79&amp;$A$2,"")</f>
        <v/>
      </c>
      <c r="E79" s="165" t="str">
        <f>+IF(AND(A79&lt;&gt;"",B79="y"),fieldcreatorv2!E83,"")</f>
        <v/>
      </c>
      <c r="F79" s="165" t="str">
        <f t="shared" si="19"/>
        <v/>
      </c>
      <c r="G79" s="55" t="str">
        <f>+IF(fieldcreatorv2!I83="si",$F$7&amp;fieldcreatorv2!BA82&amp;$F$1&amp;fieldcreatorv2!C82&amp;$G$1&amp;fieldcreatorv2!BA82&amp;$G$2&amp;A79&amp;$G$3,"")</f>
        <v/>
      </c>
      <c r="H79" s="145" t="str">
        <f>+IF(AND(A79&lt;&gt;"",B79="y",fieldcreatorv2!I83&lt;&gt;"si"),+$B$4&amp;A79&amp;$B$5,"")</f>
        <v/>
      </c>
      <c r="I79" s="252" t="str">
        <f>+IF(AND(fieldcreatorv2!E83="bigtext"),"&lt;br/&gt;"&amp;fieldcreatorv2!B83&amp;$C$2&amp;A79&amp;$C$3&amp;A79&amp;$C$4,"")</f>
        <v/>
      </c>
      <c r="J79" s="165" t="str">
        <f>+IF(fieldcreatorv2!E83="texto",fieldcreatorv2!B83&amp;": "&amp;$C$5&amp;A79&amp;$C$6&amp;A79&amp;$C$7,"")</f>
        <v/>
      </c>
      <c r="K79" s="165" t="str">
        <f>+IF(AND(fieldcreatorv2!E83="date",C79="yes"),fieldcreatorv2!B83&amp;": "&amp;$D$1&amp;A79&amp;$D$2&amp;A79&amp;$D$3,"")</f>
        <v/>
      </c>
      <c r="L79" s="165" t="str">
        <f>+IF(fieldcreatorv2!E83="radio",fieldcreatorv2!B83&amp;" &lt;br/&gt;"&amp;fieldcreatorv2!C83&amp;$D$4&amp;fieldcreatorv2!BA83&amp;$D$5&amp;fieldcreatorv2!C83&amp;$D$6&amp;fieldcreatorv2!C83&amp;$D$7&amp;fieldcreatorv2!BA83&amp;$F$1&amp;fieldcreatorv2!C83&amp;$F$4,"")</f>
        <v/>
      </c>
      <c r="M79" s="165" t="str">
        <f>+IF(AND(fieldcreatorv2!E83="selectlist",A79&lt;&gt;""),"&lt;br/&gt;"&amp;A79&amp;$E$4&amp;A79&amp;$D$5&amp;A79&amp;$E$5,"")</f>
        <v/>
      </c>
      <c r="N79" s="165" t="str">
        <f>+IF(AND(fieldcreatorv2!AU83&lt;&gt;fieldcreatorv2!AU84,fieldcreatorv2!E83="selectlist"),"&lt;/select&gt;","")</f>
        <v/>
      </c>
      <c r="O79" s="165" t="str">
        <f>+IF(fieldcreatorv2!E83="selectlist",M79&amp;$E$6&amp;fieldcreatorv2!C83&amp;$E$7&amp;fieldcreatorv2!AU83&amp;$F$1&amp;fieldcreatorv2!C83&amp;$F$2&amp;fieldcreatorv2!C83&amp;$F$3&amp;N79,"")</f>
        <v/>
      </c>
      <c r="P79" s="165" t="str">
        <f>+IF(fieldcreatorv2!E83="check",$E$1&amp;A79&amp;$D$5&amp;A79&amp;$E$2&amp;A79&amp;$E$3&amp;A79,"")</f>
        <v/>
      </c>
      <c r="Q79" s="165" t="str">
        <f>+IF(AND(R78&lt;&gt;"",fieldcreatorv2!I83="si"),fieldcreatorv2!CS83&amp;I79&amp;J79&amp;fieldcreatorv2!CT83,IF(AND(C79="yes",fieldcreatorv2!I83&lt;&gt;"si"),I79&amp;J79,""))</f>
        <v/>
      </c>
      <c r="R79" s="145" t="str">
        <f>IF(OR(C79=$P$1,AND(R78&lt;&gt;"",fieldcreatorv2!E83="radio",fieldcreatorv2!BA83=fieldcreatorv2!BA82),AND(R78&lt;&gt;"",fieldcreatorv2!E83="selectlist",fieldcreatorv2!AU83=fieldcreatorv2!AU82)),K79&amp;L79&amp;O79&amp;P79,"")&amp;Q79</f>
        <v/>
      </c>
      <c r="S79" s="55" t="str">
        <f>IF(AND(C79=$P$2,fieldcreatorv2!I83&lt;&gt;"si"),fieldcreatorv2!B83&amp;":  "&amp;$F$5&amp;A79&amp;$F$6,"")</f>
        <v/>
      </c>
      <c r="T79" s="253" t="str">
        <f>+IF(fieldcreatorv2!I83="si",$G$4&amp;A79&amp;$G$5,"")&amp;U79</f>
        <v/>
      </c>
      <c r="U79" s="61" t="str">
        <f>+IF(AND(fieldcreatorv2!I83="si",fieldcreatorv2!E82="radio"),+$G$6&amp;fieldcreatorv2!C82&amp;$G$7&amp;fieldcreatorv2!C82&amp;$H$1&amp;$H$2&amp;fieldcreatorv2!C82&amp;$H$3&amp;A79&amp;$H$4,"")</f>
        <v/>
      </c>
      <c r="V79" s="61" t="str">
        <f>+IF(R79&lt;&gt;"",fieldcreatorv2!CY83,"")</f>
        <v/>
      </c>
      <c r="W79" s="55" t="str">
        <f>+IF(OR(fieldcreatorv2!I84="si",AND(W80&lt;&gt;"",fieldcreatorv2!E83="radio")),1,"")</f>
        <v/>
      </c>
      <c r="X79" s="55" t="str">
        <f>+IF(AND(W79=1,W80=""),fieldcreatorv2!C83,IF(AND(W79=1,W80=1),X80,""))</f>
        <v/>
      </c>
      <c r="Y79" s="55" t="str">
        <f>+IF(AND(W78=1,fieldcreatorv2!I83="si"),A79,IF(W79=1,Y80,""))</f>
        <v/>
      </c>
      <c r="Z79" s="254" t="str">
        <f t="shared" si="21"/>
        <v/>
      </c>
      <c r="AA79" s="165" t="str">
        <f t="shared" si="11"/>
        <v/>
      </c>
      <c r="AB79" s="238" t="str">
        <f>+IF(V79&lt;&gt;"",$K$4&amp;fieldcreatorv2!C83&amp;$K$5&amp;fieldcreatorv2!BX83&amp;$K$6&amp;fieldcreatorv2!C84&amp;$K$7,"")</f>
        <v/>
      </c>
      <c r="AC79" s="238" t="str">
        <f>IF(AND(C79="yes",fieldcreatorv2!E83="check"),A79&amp;$L$1&amp;A79&amp;$L$2,"")</f>
        <v/>
      </c>
      <c r="AD79" s="238" t="str">
        <f>+IF(AND(R79&lt;&gt;"",OR(fieldcreatorv2!E83="date",fieldcreatorv2!E83="bigtext",fieldcreatorv2!E83="texto",AND(fieldcreatorv2!E83="selectlist",A79&lt;&gt;""))),"var "&amp;A79&amp;$L$3&amp;A79&amp;$L$4,"")</f>
        <v/>
      </c>
      <c r="AE79" s="61" t="str">
        <f t="shared" si="12"/>
        <v/>
      </c>
      <c r="AF79" s="12">
        <f t="shared" si="18"/>
        <v>0</v>
      </c>
      <c r="AG79" s="12">
        <f t="shared" si="22"/>
        <v>0</v>
      </c>
      <c r="AH79" s="12" t="str">
        <f t="shared" si="14"/>
        <v/>
      </c>
      <c r="AI79" s="61" t="str">
        <f t="shared" si="20"/>
        <v/>
      </c>
      <c r="AJ79" s="55" t="str">
        <f t="shared" si="16"/>
        <v/>
      </c>
      <c r="AK79" s="38" t="str">
        <f t="shared" si="23"/>
        <v/>
      </c>
      <c r="AL79" s="55" t="str">
        <f t="shared" si="13"/>
        <v/>
      </c>
    </row>
    <row r="80" spans="1:38">
      <c r="A80" s="216" t="str">
        <f>IF(fieldcreatorv2!BX84&lt;&gt;"",fieldcreatorv2!BX84,"")</f>
        <v/>
      </c>
      <c r="B80" s="255"/>
      <c r="C80" s="255"/>
      <c r="D80" s="165" t="str">
        <f>+IF(AND(B80="y",A80&lt;&gt;"",fieldcreatorv2!I84&lt;&gt;"si"),$A$1&amp;A80&amp;$A$2,"")</f>
        <v/>
      </c>
      <c r="E80" s="165" t="str">
        <f>+IF(AND(A80&lt;&gt;"",B80="y"),fieldcreatorv2!E84,"")</f>
        <v/>
      </c>
      <c r="F80" s="165" t="str">
        <f t="shared" si="19"/>
        <v/>
      </c>
      <c r="G80" s="55" t="str">
        <f>+IF(fieldcreatorv2!I84="si",$F$7&amp;fieldcreatorv2!BA83&amp;$F$1&amp;fieldcreatorv2!C83&amp;$G$1&amp;fieldcreatorv2!BA83&amp;$G$2&amp;A80&amp;$G$3,"")</f>
        <v/>
      </c>
      <c r="H80" s="145" t="str">
        <f>+IF(AND(A80&lt;&gt;"",B80="y",fieldcreatorv2!I84&lt;&gt;"si"),+$B$4&amp;A80&amp;$B$5,"")</f>
        <v/>
      </c>
      <c r="I80" s="252" t="str">
        <f>+IF(AND(fieldcreatorv2!E84="bigtext"),"&lt;br/&gt;"&amp;fieldcreatorv2!B84&amp;$C$2&amp;A80&amp;$C$3&amp;A80&amp;$C$4,"")</f>
        <v/>
      </c>
      <c r="J80" s="165" t="str">
        <f>+IF(fieldcreatorv2!E84="texto",fieldcreatorv2!B84&amp;": "&amp;$C$5&amp;A80&amp;$C$6&amp;A80&amp;$C$7,"")</f>
        <v/>
      </c>
      <c r="K80" s="165" t="str">
        <f>+IF(AND(fieldcreatorv2!E84="date",C80="yes"),fieldcreatorv2!B84&amp;": "&amp;$D$1&amp;A80&amp;$D$2&amp;A80&amp;$D$3,"")</f>
        <v/>
      </c>
      <c r="L80" s="165" t="str">
        <f>+IF(fieldcreatorv2!E84="radio",fieldcreatorv2!B84&amp;" &lt;br/&gt;"&amp;fieldcreatorv2!C84&amp;$D$4&amp;fieldcreatorv2!BA84&amp;$D$5&amp;fieldcreatorv2!C84&amp;$D$6&amp;fieldcreatorv2!C84&amp;$D$7&amp;fieldcreatorv2!BA84&amp;$F$1&amp;fieldcreatorv2!C84&amp;$F$4,"")</f>
        <v/>
      </c>
      <c r="M80" s="165" t="str">
        <f>+IF(AND(fieldcreatorv2!E84="selectlist",A80&lt;&gt;""),"&lt;br/&gt;"&amp;A80&amp;$E$4&amp;A80&amp;$D$5&amp;A80&amp;$E$5,"")</f>
        <v/>
      </c>
      <c r="N80" s="165" t="str">
        <f>+IF(AND(fieldcreatorv2!AU84&lt;&gt;fieldcreatorv2!AU85,fieldcreatorv2!E84="selectlist"),"&lt;/select&gt;","")</f>
        <v/>
      </c>
      <c r="O80" s="165" t="str">
        <f>+IF(fieldcreatorv2!E84="selectlist",M80&amp;$E$6&amp;fieldcreatorv2!C84&amp;$E$7&amp;fieldcreatorv2!AU84&amp;$F$1&amp;fieldcreatorv2!C84&amp;$F$2&amp;fieldcreatorv2!C84&amp;$F$3&amp;N80,"")</f>
        <v/>
      </c>
      <c r="P80" s="165" t="str">
        <f>+IF(fieldcreatorv2!E84="check",$E$1&amp;A80&amp;$D$5&amp;A80&amp;$E$2&amp;A80&amp;$E$3&amp;A80,"")</f>
        <v/>
      </c>
      <c r="Q80" s="165" t="str">
        <f>+IF(AND(R79&lt;&gt;"",fieldcreatorv2!I84="si"),fieldcreatorv2!CS84&amp;I80&amp;J80&amp;fieldcreatorv2!CT84,IF(AND(C80="yes",fieldcreatorv2!I84&lt;&gt;"si"),I80&amp;J80,""))</f>
        <v/>
      </c>
      <c r="R80" s="145" t="str">
        <f>IF(OR(C80=$P$1,AND(R79&lt;&gt;"",fieldcreatorv2!E84="radio",fieldcreatorv2!BA84=fieldcreatorv2!BA83),AND(R79&lt;&gt;"",fieldcreatorv2!E84="selectlist",fieldcreatorv2!AU84=fieldcreatorv2!AU83)),K80&amp;L80&amp;O80&amp;P80,"")&amp;Q80</f>
        <v/>
      </c>
      <c r="S80" s="55" t="str">
        <f>IF(AND(C80=$P$2,fieldcreatorv2!I84&lt;&gt;"si"),fieldcreatorv2!B84&amp;":  "&amp;$F$5&amp;A80&amp;$F$6,"")</f>
        <v/>
      </c>
      <c r="T80" s="253" t="str">
        <f>+IF(fieldcreatorv2!I84="si",$G$4&amp;A80&amp;$G$5,"")&amp;U80</f>
        <v/>
      </c>
      <c r="U80" s="61" t="str">
        <f>+IF(AND(fieldcreatorv2!I84="si",fieldcreatorv2!E83="radio"),+$G$6&amp;fieldcreatorv2!C83&amp;$G$7&amp;fieldcreatorv2!C83&amp;$H$1&amp;$H$2&amp;fieldcreatorv2!C83&amp;$H$3&amp;A80&amp;$H$4,"")</f>
        <v/>
      </c>
      <c r="V80" s="61" t="str">
        <f>+IF(R80&lt;&gt;"",fieldcreatorv2!CY84,"")</f>
        <v/>
      </c>
      <c r="W80" s="55" t="str">
        <f>+IF(OR(fieldcreatorv2!I85="si",AND(W81&lt;&gt;"",fieldcreatorv2!E84="radio")),1,"")</f>
        <v/>
      </c>
      <c r="X80" s="55" t="str">
        <f>+IF(AND(W80=1,W81=""),fieldcreatorv2!C84,IF(AND(W80=1,W81=1),X81,""))</f>
        <v/>
      </c>
      <c r="Y80" s="55" t="str">
        <f>+IF(AND(W79=1,fieldcreatorv2!I84="si"),A80,IF(W80=1,Y81,""))</f>
        <v/>
      </c>
      <c r="Z80" s="254" t="str">
        <f t="shared" si="21"/>
        <v/>
      </c>
      <c r="AA80" s="165" t="str">
        <f t="shared" ref="AA80:AA110" si="24">IF(AND(A80&lt;&gt;"",B80="y",C80&lt;&gt;"yes"),A80&amp;":"&amp;$F$5&amp;A80&amp;$K$3,IF(AND(Z80&lt;&gt;"",C80=$P$2),Z80,R80&amp;S80))</f>
        <v/>
      </c>
      <c r="AB80" s="238" t="str">
        <f>+IF(V80&lt;&gt;"",$K$4&amp;fieldcreatorv2!C84&amp;$K$5&amp;fieldcreatorv2!BX84&amp;$K$6&amp;fieldcreatorv2!C85&amp;$K$7,"")</f>
        <v/>
      </c>
      <c r="AC80" s="238" t="str">
        <f>IF(AND(C80="yes",fieldcreatorv2!E84="check"),A80&amp;$L$1&amp;A80&amp;$L$2,"")</f>
        <v/>
      </c>
      <c r="AD80" s="238" t="str">
        <f>+IF(AND(R80&lt;&gt;"",OR(fieldcreatorv2!E84="date",fieldcreatorv2!E84="bigtext",fieldcreatorv2!E84="texto",AND(fieldcreatorv2!E84="selectlist",A80&lt;&gt;""))),"var "&amp;A80&amp;$L$3&amp;A80&amp;$L$4,"")</f>
        <v/>
      </c>
      <c r="AE80" s="61" t="str">
        <f t="shared" ref="AE80:AE110" si="25">+AB80&amp;AC80&amp;AD80</f>
        <v/>
      </c>
      <c r="AF80" s="12">
        <f t="shared" ref="AF80:AF109" si="26">+IF(C80="yes",1,0)</f>
        <v>0</v>
      </c>
      <c r="AG80" s="12">
        <f t="shared" si="22"/>
        <v>0</v>
      </c>
      <c r="AH80" s="12" t="str">
        <f t="shared" si="14"/>
        <v/>
      </c>
      <c r="AI80" s="61" t="str">
        <f t="shared" si="20"/>
        <v/>
      </c>
      <c r="AJ80" s="55" t="str">
        <f t="shared" si="16"/>
        <v/>
      </c>
      <c r="AK80" s="38" t="str">
        <f t="shared" si="23"/>
        <v/>
      </c>
      <c r="AL80" s="55" t="str">
        <f t="shared" ref="AL80:AL110" si="27">+IF(AJ80&lt;&gt;""," .' - "&amp;A80&amp;": '.$"&amp;A80,"")</f>
        <v/>
      </c>
    </row>
    <row r="81" spans="1:38">
      <c r="A81" s="216" t="str">
        <f>IF(fieldcreatorv2!BX85&lt;&gt;"",fieldcreatorv2!BX85,"")</f>
        <v/>
      </c>
      <c r="B81" s="255"/>
      <c r="C81" s="255"/>
      <c r="D81" s="165" t="str">
        <f>+IF(AND(B81="y",A81&lt;&gt;"",fieldcreatorv2!I85&lt;&gt;"si"),$A$1&amp;A81&amp;$A$2,"")</f>
        <v/>
      </c>
      <c r="E81" s="165" t="str">
        <f>+IF(AND(A81&lt;&gt;"",B81="y"),fieldcreatorv2!E85,"")</f>
        <v/>
      </c>
      <c r="F81" s="165" t="str">
        <f t="shared" si="19"/>
        <v/>
      </c>
      <c r="G81" s="55" t="str">
        <f>+IF(fieldcreatorv2!I85="si",$F$7&amp;fieldcreatorv2!BA84&amp;$F$1&amp;fieldcreatorv2!C84&amp;$G$1&amp;fieldcreatorv2!BA84&amp;$G$2&amp;A81&amp;$G$3,"")</f>
        <v/>
      </c>
      <c r="H81" s="145" t="str">
        <f>+IF(AND(A81&lt;&gt;"",B81="y",fieldcreatorv2!I85&lt;&gt;"si"),+$B$4&amp;A81&amp;$B$5,"")</f>
        <v/>
      </c>
      <c r="I81" s="252" t="str">
        <f>+IF(AND(fieldcreatorv2!E85="bigtext"),"&lt;br/&gt;"&amp;fieldcreatorv2!B85&amp;$C$2&amp;A81&amp;$C$3&amp;A81&amp;$C$4,"")</f>
        <v/>
      </c>
      <c r="J81" s="165" t="str">
        <f>+IF(fieldcreatorv2!E85="texto",fieldcreatorv2!B85&amp;": "&amp;$C$5&amp;A81&amp;$C$6&amp;A81&amp;$C$7,"")</f>
        <v/>
      </c>
      <c r="K81" s="165" t="str">
        <f>+IF(AND(fieldcreatorv2!E85="date",C81="yes"),fieldcreatorv2!B85&amp;": "&amp;$D$1&amp;A81&amp;$D$2&amp;A81&amp;$D$3,"")</f>
        <v/>
      </c>
      <c r="L81" s="165" t="str">
        <f>+IF(fieldcreatorv2!E85="radio",fieldcreatorv2!B85&amp;" &lt;br/&gt;"&amp;fieldcreatorv2!C85&amp;$D$4&amp;fieldcreatorv2!BA85&amp;$D$5&amp;fieldcreatorv2!C85&amp;$D$6&amp;fieldcreatorv2!C85&amp;$D$7&amp;fieldcreatorv2!BA85&amp;$F$1&amp;fieldcreatorv2!C85&amp;$F$4,"")</f>
        <v/>
      </c>
      <c r="M81" s="165" t="str">
        <f>+IF(AND(fieldcreatorv2!E85="selectlist",A81&lt;&gt;""),"&lt;br/&gt;"&amp;A81&amp;$E$4&amp;A81&amp;$D$5&amp;A81&amp;$E$5,"")</f>
        <v/>
      </c>
      <c r="N81" s="165" t="str">
        <f>+IF(AND(fieldcreatorv2!AU85&lt;&gt;fieldcreatorv2!AU86,fieldcreatorv2!E85="selectlist"),"&lt;/select&gt;","")</f>
        <v/>
      </c>
      <c r="O81" s="165" t="str">
        <f>+IF(fieldcreatorv2!E85="selectlist",M81&amp;$E$6&amp;fieldcreatorv2!C85&amp;$E$7&amp;fieldcreatorv2!AU85&amp;$F$1&amp;fieldcreatorv2!C85&amp;$F$2&amp;fieldcreatorv2!C85&amp;$F$3&amp;N81,"")</f>
        <v/>
      </c>
      <c r="P81" s="165" t="str">
        <f>+IF(fieldcreatorv2!E85="check",$E$1&amp;A81&amp;$D$5&amp;A81&amp;$E$2&amp;A81&amp;$E$3&amp;A81,"")</f>
        <v/>
      </c>
      <c r="Q81" s="165" t="str">
        <f>+IF(AND(R80&lt;&gt;"",fieldcreatorv2!I85="si"),fieldcreatorv2!CS85&amp;I81&amp;J81&amp;fieldcreatorv2!CT85,IF(AND(C81="yes",fieldcreatorv2!I85&lt;&gt;"si"),I81&amp;J81,""))</f>
        <v/>
      </c>
      <c r="R81" s="145" t="str">
        <f>IF(OR(C81=$P$1,AND(R80&lt;&gt;"",fieldcreatorv2!E85="radio",fieldcreatorv2!BA85=fieldcreatorv2!BA84),AND(R80&lt;&gt;"",fieldcreatorv2!E85="selectlist",fieldcreatorv2!AU85=fieldcreatorv2!AU84)),K81&amp;L81&amp;O81&amp;P81,"")&amp;Q81</f>
        <v/>
      </c>
      <c r="S81" s="55" t="str">
        <f>IF(AND(C81=$P$2,fieldcreatorv2!I85&lt;&gt;"si"),fieldcreatorv2!B85&amp;":  "&amp;$F$5&amp;A81&amp;$F$6,"")</f>
        <v/>
      </c>
      <c r="T81" s="253" t="str">
        <f>+IF(fieldcreatorv2!I85="si",$G$4&amp;A81&amp;$G$5,"")&amp;U81</f>
        <v/>
      </c>
      <c r="U81" s="61" t="str">
        <f>+IF(AND(fieldcreatorv2!I85="si",fieldcreatorv2!E84="radio"),+$G$6&amp;fieldcreatorv2!C84&amp;$G$7&amp;fieldcreatorv2!C84&amp;$H$1&amp;$H$2&amp;fieldcreatorv2!C84&amp;$H$3&amp;A81&amp;$H$4,"")</f>
        <v/>
      </c>
      <c r="V81" s="61" t="str">
        <f>+IF(R81&lt;&gt;"",fieldcreatorv2!CY85,"")</f>
        <v/>
      </c>
      <c r="W81" s="55" t="str">
        <f>+IF(OR(fieldcreatorv2!I86="si",AND(W82&lt;&gt;"",fieldcreatorv2!E85="radio")),1,"")</f>
        <v/>
      </c>
      <c r="X81" s="55" t="str">
        <f>+IF(AND(W81=1,W82=""),fieldcreatorv2!C85,IF(AND(W81=1,W82=1),X82,""))</f>
        <v/>
      </c>
      <c r="Y81" s="55" t="str">
        <f>+IF(AND(W80=1,fieldcreatorv2!I85="si"),A81,IF(W81=1,Y82,""))</f>
        <v/>
      </c>
      <c r="Z81" s="254" t="str">
        <f t="shared" si="21"/>
        <v/>
      </c>
      <c r="AA81" s="165" t="str">
        <f t="shared" si="24"/>
        <v/>
      </c>
      <c r="AB81" s="238" t="str">
        <f>+IF(V81&lt;&gt;"",$K$4&amp;fieldcreatorv2!C85&amp;$K$5&amp;fieldcreatorv2!BX85&amp;$K$6&amp;fieldcreatorv2!C86&amp;$K$7,"")</f>
        <v/>
      </c>
      <c r="AC81" s="238" t="str">
        <f>IF(AND(C81="yes",fieldcreatorv2!E85="check"),A81&amp;$L$1&amp;A81&amp;$L$2,"")</f>
        <v/>
      </c>
      <c r="AD81" s="238" t="str">
        <f>+IF(AND(R81&lt;&gt;"",OR(fieldcreatorv2!E85="date",fieldcreatorv2!E85="bigtext",fieldcreatorv2!E85="texto",AND(fieldcreatorv2!E85="selectlist",A81&lt;&gt;""))),"var "&amp;A81&amp;$L$3&amp;A81&amp;$L$4,"")</f>
        <v/>
      </c>
      <c r="AE81" s="61" t="str">
        <f t="shared" si="25"/>
        <v/>
      </c>
      <c r="AF81" s="12">
        <f t="shared" si="26"/>
        <v>0</v>
      </c>
      <c r="AG81" s="12">
        <f t="shared" si="22"/>
        <v>0</v>
      </c>
      <c r="AH81" s="12" t="str">
        <f t="shared" ref="AH81:AH110" si="28">+IF(AND(AG81&gt;1,A81&lt;&gt;"",R81&lt;&gt;""),",","")</f>
        <v/>
      </c>
      <c r="AI81" s="61" t="str">
        <f t="shared" si="20"/>
        <v/>
      </c>
      <c r="AJ81" s="55" t="str">
        <f t="shared" si="16"/>
        <v/>
      </c>
      <c r="AK81" s="38" t="str">
        <f t="shared" si="23"/>
        <v/>
      </c>
      <c r="AL81" s="55" t="str">
        <f t="shared" si="27"/>
        <v/>
      </c>
    </row>
    <row r="82" spans="1:38">
      <c r="A82" s="216" t="str">
        <f>IF(fieldcreatorv2!BX86&lt;&gt;"",fieldcreatorv2!BX86,"")</f>
        <v/>
      </c>
      <c r="B82" s="255"/>
      <c r="C82" s="255"/>
      <c r="D82" s="165" t="str">
        <f>+IF(AND(B82="y",A82&lt;&gt;"",fieldcreatorv2!I86&lt;&gt;"si"),$A$1&amp;A82&amp;$A$2,"")</f>
        <v/>
      </c>
      <c r="E82" s="165" t="str">
        <f>+IF(AND(A82&lt;&gt;"",B82="y"),fieldcreatorv2!E86,"")</f>
        <v/>
      </c>
      <c r="F82" s="165" t="str">
        <f t="shared" si="19"/>
        <v/>
      </c>
      <c r="G82" s="55" t="str">
        <f>+IF(fieldcreatorv2!I86="si",$F$7&amp;fieldcreatorv2!BA85&amp;$F$1&amp;fieldcreatorv2!C85&amp;$G$1&amp;fieldcreatorv2!BA85&amp;$G$2&amp;A82&amp;$G$3,"")</f>
        <v/>
      </c>
      <c r="H82" s="145" t="str">
        <f>+IF(AND(A82&lt;&gt;"",B82="y",fieldcreatorv2!I86&lt;&gt;"si"),+$B$4&amp;A82&amp;$B$5,"")</f>
        <v/>
      </c>
      <c r="I82" s="252" t="str">
        <f>+IF(AND(fieldcreatorv2!E86="bigtext"),"&lt;br/&gt;"&amp;fieldcreatorv2!B86&amp;$C$2&amp;A82&amp;$C$3&amp;A82&amp;$C$4,"")</f>
        <v/>
      </c>
      <c r="J82" s="165" t="str">
        <f>+IF(fieldcreatorv2!E86="texto",fieldcreatorv2!B86&amp;": "&amp;$C$5&amp;A82&amp;$C$6&amp;A82&amp;$C$7,"")</f>
        <v/>
      </c>
      <c r="K82" s="165" t="str">
        <f>+IF(AND(fieldcreatorv2!E86="date",C82="yes"),fieldcreatorv2!B86&amp;": "&amp;$D$1&amp;A82&amp;$D$2&amp;A82&amp;$D$3,"")</f>
        <v/>
      </c>
      <c r="L82" s="165" t="str">
        <f>+IF(fieldcreatorv2!E86="radio",fieldcreatorv2!B86&amp;" &lt;br/&gt;"&amp;fieldcreatorv2!C86&amp;$D$4&amp;fieldcreatorv2!BA86&amp;$D$5&amp;fieldcreatorv2!C86&amp;$D$6&amp;fieldcreatorv2!C86&amp;$D$7&amp;fieldcreatorv2!BA86&amp;$F$1&amp;fieldcreatorv2!C86&amp;$F$4,"")</f>
        <v/>
      </c>
      <c r="M82" s="165" t="str">
        <f>+IF(AND(fieldcreatorv2!E86="selectlist",A82&lt;&gt;""),"&lt;br/&gt;"&amp;A82&amp;$E$4&amp;A82&amp;$D$5&amp;A82&amp;$E$5,"")</f>
        <v/>
      </c>
      <c r="N82" s="165" t="str">
        <f>+IF(AND(fieldcreatorv2!AU86&lt;&gt;fieldcreatorv2!AU87,fieldcreatorv2!E86="selectlist"),"&lt;/select&gt;","")</f>
        <v/>
      </c>
      <c r="O82" s="165" t="str">
        <f>+IF(fieldcreatorv2!E86="selectlist",M82&amp;$E$6&amp;fieldcreatorv2!C86&amp;$E$7&amp;fieldcreatorv2!AU86&amp;$F$1&amp;fieldcreatorv2!C86&amp;$F$2&amp;fieldcreatorv2!C86&amp;$F$3&amp;N82,"")</f>
        <v/>
      </c>
      <c r="P82" s="165" t="str">
        <f>+IF(fieldcreatorv2!E86="check",$E$1&amp;A82&amp;$D$5&amp;A82&amp;$E$2&amp;A82&amp;$E$3&amp;A82,"")</f>
        <v/>
      </c>
      <c r="Q82" s="165" t="str">
        <f>+IF(AND(R81&lt;&gt;"",fieldcreatorv2!I86="si"),fieldcreatorv2!CS86&amp;I82&amp;J82&amp;fieldcreatorv2!CT86,IF(AND(C82="yes",fieldcreatorv2!I86&lt;&gt;"si"),I82&amp;J82,""))</f>
        <v/>
      </c>
      <c r="R82" s="145" t="str">
        <f>IF(OR(C82=$P$1,AND(R81&lt;&gt;"",fieldcreatorv2!E86="radio",fieldcreatorv2!BA86=fieldcreatorv2!BA85),AND(R81&lt;&gt;"",fieldcreatorv2!E86="selectlist",fieldcreatorv2!AU86=fieldcreatorv2!AU85)),K82&amp;L82&amp;O82&amp;P82,"")&amp;Q82</f>
        <v/>
      </c>
      <c r="S82" s="55" t="str">
        <f>IF(AND(C82=$P$2,fieldcreatorv2!I86&lt;&gt;"si"),fieldcreatorv2!B86&amp;":  "&amp;$F$5&amp;A82&amp;$F$6,"")</f>
        <v/>
      </c>
      <c r="T82" s="253" t="str">
        <f>+IF(fieldcreatorv2!I86="si",$G$4&amp;A82&amp;$G$5,"")&amp;U82</f>
        <v/>
      </c>
      <c r="U82" s="61" t="str">
        <f>+IF(AND(fieldcreatorv2!I86="si",fieldcreatorv2!E85="radio"),+$G$6&amp;fieldcreatorv2!C85&amp;$G$7&amp;fieldcreatorv2!C85&amp;$H$1&amp;$H$2&amp;fieldcreatorv2!C85&amp;$H$3&amp;A82&amp;$H$4,"")</f>
        <v/>
      </c>
      <c r="V82" s="61" t="str">
        <f>+IF(R82&lt;&gt;"",fieldcreatorv2!CY86,"")</f>
        <v/>
      </c>
      <c r="W82" s="55" t="str">
        <f>+IF(OR(fieldcreatorv2!I87="si",AND(W83&lt;&gt;"",fieldcreatorv2!E86="radio")),1,"")</f>
        <v/>
      </c>
      <c r="X82" s="55" t="str">
        <f>+IF(AND(W82=1,W83=""),fieldcreatorv2!C86,IF(AND(W82=1,W83=1),X83,""))</f>
        <v/>
      </c>
      <c r="Y82" s="55" t="str">
        <f>+IF(AND(W81=1,fieldcreatorv2!I86="si"),A82,IF(W82=1,Y83,""))</f>
        <v/>
      </c>
      <c r="Z82" s="254" t="str">
        <f t="shared" si="21"/>
        <v/>
      </c>
      <c r="AA82" s="165" t="str">
        <f t="shared" si="24"/>
        <v/>
      </c>
      <c r="AB82" s="238" t="str">
        <f>+IF(V82&lt;&gt;"",$K$4&amp;fieldcreatorv2!C86&amp;$K$5&amp;fieldcreatorv2!BX86&amp;$K$6&amp;fieldcreatorv2!C87&amp;$K$7,"")</f>
        <v/>
      </c>
      <c r="AC82" s="238" t="str">
        <f>IF(AND(C82="yes",fieldcreatorv2!E86="check"),A82&amp;$L$1&amp;A82&amp;$L$2,"")</f>
        <v/>
      </c>
      <c r="AD82" s="238" t="str">
        <f>+IF(AND(R82&lt;&gt;"",OR(fieldcreatorv2!E86="date",fieldcreatorv2!E86="bigtext",fieldcreatorv2!E86="texto",AND(fieldcreatorv2!E86="selectlist",A82&lt;&gt;""))),"var "&amp;A82&amp;$L$3&amp;A82&amp;$L$4,"")</f>
        <v/>
      </c>
      <c r="AE82" s="61" t="str">
        <f t="shared" si="25"/>
        <v/>
      </c>
      <c r="AF82" s="12">
        <f t="shared" si="26"/>
        <v>0</v>
      </c>
      <c r="AG82" s="12">
        <f t="shared" si="22"/>
        <v>0</v>
      </c>
      <c r="AH82" s="12" t="str">
        <f t="shared" si="28"/>
        <v/>
      </c>
      <c r="AI82" s="61" t="str">
        <f t="shared" si="20"/>
        <v/>
      </c>
      <c r="AJ82" s="55" t="str">
        <f t="shared" si="16"/>
        <v/>
      </c>
      <c r="AK82" s="38" t="str">
        <f t="shared" si="23"/>
        <v/>
      </c>
      <c r="AL82" s="55" t="str">
        <f t="shared" si="27"/>
        <v/>
      </c>
    </row>
    <row r="83" spans="1:38">
      <c r="A83" s="216" t="str">
        <f>IF(fieldcreatorv2!BX87&lt;&gt;"",fieldcreatorv2!BX87,"")</f>
        <v/>
      </c>
      <c r="B83" s="255"/>
      <c r="C83" s="255"/>
      <c r="D83" s="165" t="str">
        <f>+IF(AND(B83="y",A83&lt;&gt;"",fieldcreatorv2!I87&lt;&gt;"si"),$A$1&amp;A83&amp;$A$2,"")</f>
        <v/>
      </c>
      <c r="E83" s="165" t="str">
        <f>+IF(AND(A83&lt;&gt;"",B83="y"),fieldcreatorv2!E87,"")</f>
        <v/>
      </c>
      <c r="F83" s="165" t="str">
        <f t="shared" si="19"/>
        <v/>
      </c>
      <c r="G83" s="55" t="str">
        <f>+IF(fieldcreatorv2!I87="si",$F$7&amp;fieldcreatorv2!BA86&amp;$F$1&amp;fieldcreatorv2!C86&amp;$G$1&amp;fieldcreatorv2!BA86&amp;$G$2&amp;A83&amp;$G$3,"")</f>
        <v/>
      </c>
      <c r="H83" s="145" t="str">
        <f>+IF(AND(A83&lt;&gt;"",B83="y",fieldcreatorv2!I87&lt;&gt;"si"),+$B$4&amp;A83&amp;$B$5,"")</f>
        <v/>
      </c>
      <c r="I83" s="252" t="str">
        <f>+IF(AND(fieldcreatorv2!E87="bigtext"),"&lt;br/&gt;"&amp;fieldcreatorv2!B87&amp;$C$2&amp;A83&amp;$C$3&amp;A83&amp;$C$4,"")</f>
        <v/>
      </c>
      <c r="J83" s="165" t="str">
        <f>+IF(fieldcreatorv2!E87="texto",fieldcreatorv2!B87&amp;": "&amp;$C$5&amp;A83&amp;$C$6&amp;A83&amp;$C$7,"")</f>
        <v/>
      </c>
      <c r="K83" s="165" t="str">
        <f>+IF(AND(fieldcreatorv2!E87="date",C83="yes"),fieldcreatorv2!B87&amp;": "&amp;$D$1&amp;A83&amp;$D$2&amp;A83&amp;$D$3,"")</f>
        <v/>
      </c>
      <c r="L83" s="165" t="str">
        <f>+IF(fieldcreatorv2!E87="radio",fieldcreatorv2!B87&amp;" &lt;br/&gt;"&amp;fieldcreatorv2!C87&amp;$D$4&amp;fieldcreatorv2!BA87&amp;$D$5&amp;fieldcreatorv2!C87&amp;$D$6&amp;fieldcreatorv2!C87&amp;$D$7&amp;fieldcreatorv2!BA87&amp;$F$1&amp;fieldcreatorv2!C87&amp;$F$4,"")</f>
        <v/>
      </c>
      <c r="M83" s="165" t="str">
        <f>+IF(AND(fieldcreatorv2!E87="selectlist",A83&lt;&gt;""),"&lt;br/&gt;"&amp;A83&amp;$E$4&amp;A83&amp;$D$5&amp;A83&amp;$E$5,"")</f>
        <v/>
      </c>
      <c r="N83" s="165" t="str">
        <f>+IF(AND(fieldcreatorv2!AU87&lt;&gt;fieldcreatorv2!AU88,fieldcreatorv2!E87="selectlist"),"&lt;/select&gt;","")</f>
        <v/>
      </c>
      <c r="O83" s="165" t="str">
        <f>+IF(fieldcreatorv2!E87="selectlist",M83&amp;$E$6&amp;fieldcreatorv2!C87&amp;$E$7&amp;fieldcreatorv2!AU87&amp;$F$1&amp;fieldcreatorv2!C87&amp;$F$2&amp;fieldcreatorv2!C87&amp;$F$3&amp;N83,"")</f>
        <v/>
      </c>
      <c r="P83" s="165" t="str">
        <f>+IF(fieldcreatorv2!E87="check",$E$1&amp;A83&amp;$D$5&amp;A83&amp;$E$2&amp;A83&amp;$E$3&amp;A83,"")</f>
        <v/>
      </c>
      <c r="Q83" s="165" t="str">
        <f>+IF(AND(R82&lt;&gt;"",fieldcreatorv2!I87="si"),fieldcreatorv2!CS87&amp;I83&amp;J83&amp;fieldcreatorv2!CT87,IF(AND(C83="yes",fieldcreatorv2!I87&lt;&gt;"si"),I83&amp;J83,""))</f>
        <v/>
      </c>
      <c r="R83" s="145" t="str">
        <f>IF(OR(C83=$P$1,AND(R82&lt;&gt;"",fieldcreatorv2!E87="radio",fieldcreatorv2!BA87=fieldcreatorv2!BA86),AND(R82&lt;&gt;"",fieldcreatorv2!E87="selectlist",fieldcreatorv2!AU87=fieldcreatorv2!AU86)),K83&amp;L83&amp;O83&amp;P83,"")&amp;Q83</f>
        <v/>
      </c>
      <c r="S83" s="55" t="str">
        <f>IF(AND(C83=$P$2,fieldcreatorv2!I87&lt;&gt;"si"),fieldcreatorv2!B87&amp;":  "&amp;$F$5&amp;A83&amp;$F$6,"")</f>
        <v/>
      </c>
      <c r="T83" s="253" t="str">
        <f>+IF(fieldcreatorv2!I87="si",$G$4&amp;A83&amp;$G$5,"")&amp;U83</f>
        <v/>
      </c>
      <c r="U83" s="61" t="str">
        <f>+IF(AND(fieldcreatorv2!I87="si",fieldcreatorv2!E86="radio"),+$G$6&amp;fieldcreatorv2!C86&amp;$G$7&amp;fieldcreatorv2!C86&amp;$H$1&amp;$H$2&amp;fieldcreatorv2!C86&amp;$H$3&amp;A83&amp;$H$4,"")</f>
        <v/>
      </c>
      <c r="V83" s="61" t="str">
        <f>+IF(R83&lt;&gt;"",fieldcreatorv2!CY87,"")</f>
        <v/>
      </c>
      <c r="W83" s="55" t="str">
        <f>+IF(OR(fieldcreatorv2!I88="si",AND(W84&lt;&gt;"",fieldcreatorv2!E87="radio")),1,"")</f>
        <v/>
      </c>
      <c r="X83" s="55" t="str">
        <f>+IF(AND(W83=1,W84=""),fieldcreatorv2!C87,IF(AND(W83=1,W84=1),X84,""))</f>
        <v/>
      </c>
      <c r="Y83" s="55" t="str">
        <f>+IF(AND(W82=1,fieldcreatorv2!I87="si"),A83,IF(W83=1,Y84,""))</f>
        <v/>
      </c>
      <c r="Z83" s="254" t="str">
        <f t="shared" si="21"/>
        <v/>
      </c>
      <c r="AA83" s="165" t="str">
        <f t="shared" si="24"/>
        <v/>
      </c>
      <c r="AB83" s="238" t="str">
        <f>+IF(V83&lt;&gt;"",$K$4&amp;fieldcreatorv2!C87&amp;$K$5&amp;fieldcreatorv2!BX87&amp;$K$6&amp;fieldcreatorv2!C88&amp;$K$7,"")</f>
        <v/>
      </c>
      <c r="AC83" s="238" t="str">
        <f>IF(AND(C83="yes",fieldcreatorv2!E87="check"),A83&amp;$L$1&amp;A83&amp;$L$2,"")</f>
        <v/>
      </c>
      <c r="AD83" s="238" t="str">
        <f>+IF(AND(R83&lt;&gt;"",OR(fieldcreatorv2!E87="date",fieldcreatorv2!E87="bigtext",fieldcreatorv2!E87="texto",AND(fieldcreatorv2!E87="selectlist",A83&lt;&gt;""))),"var "&amp;A83&amp;$L$3&amp;A83&amp;$L$4,"")</f>
        <v/>
      </c>
      <c r="AE83" s="61" t="str">
        <f t="shared" si="25"/>
        <v/>
      </c>
      <c r="AF83" s="12">
        <f t="shared" si="26"/>
        <v>0</v>
      </c>
      <c r="AG83" s="12">
        <f t="shared" si="22"/>
        <v>0</v>
      </c>
      <c r="AH83" s="12" t="str">
        <f t="shared" si="28"/>
        <v/>
      </c>
      <c r="AI83" s="61" t="str">
        <f t="shared" si="20"/>
        <v/>
      </c>
      <c r="AJ83" s="55" t="str">
        <f t="shared" si="16"/>
        <v/>
      </c>
      <c r="AK83" s="38" t="str">
        <f t="shared" si="23"/>
        <v/>
      </c>
      <c r="AL83" s="55" t="str">
        <f t="shared" si="27"/>
        <v/>
      </c>
    </row>
    <row r="84" spans="1:38">
      <c r="A84" s="216" t="str">
        <f>IF(fieldcreatorv2!BX88&lt;&gt;"",fieldcreatorv2!BX88,"")</f>
        <v/>
      </c>
      <c r="B84" s="255"/>
      <c r="C84" s="255"/>
      <c r="D84" s="165" t="str">
        <f>+IF(AND(B84="y",A84&lt;&gt;"",fieldcreatorv2!I88&lt;&gt;"si"),$A$1&amp;A84&amp;$A$2,"")</f>
        <v/>
      </c>
      <c r="E84" s="165" t="str">
        <f>+IF(AND(A84&lt;&gt;"",B84="y"),fieldcreatorv2!E88,"")</f>
        <v/>
      </c>
      <c r="F84" s="165" t="str">
        <f t="shared" si="19"/>
        <v/>
      </c>
      <c r="G84" s="55" t="str">
        <f>+IF(fieldcreatorv2!I88="si",$F$7&amp;fieldcreatorv2!BA87&amp;$F$1&amp;fieldcreatorv2!C87&amp;$G$1&amp;fieldcreatorv2!BA87&amp;$G$2&amp;A84&amp;$G$3,"")</f>
        <v/>
      </c>
      <c r="H84" s="145" t="str">
        <f>+IF(AND(A84&lt;&gt;"",B84="y",fieldcreatorv2!I88&lt;&gt;"si"),+$B$4&amp;A84&amp;$B$5,"")</f>
        <v/>
      </c>
      <c r="I84" s="252" t="str">
        <f>+IF(AND(fieldcreatorv2!E88="bigtext"),"&lt;br/&gt;"&amp;fieldcreatorv2!B88&amp;$C$2&amp;A84&amp;$C$3&amp;A84&amp;$C$4,"")</f>
        <v/>
      </c>
      <c r="J84" s="165" t="str">
        <f>+IF(fieldcreatorv2!E88="texto",fieldcreatorv2!B88&amp;": "&amp;$C$5&amp;A84&amp;$C$6&amp;A84&amp;$C$7,"")</f>
        <v/>
      </c>
      <c r="K84" s="165" t="str">
        <f>+IF(AND(fieldcreatorv2!E88="date",C84="yes"),fieldcreatorv2!B88&amp;": "&amp;$D$1&amp;A84&amp;$D$2&amp;A84&amp;$D$3,"")</f>
        <v/>
      </c>
      <c r="L84" s="165" t="str">
        <f>+IF(fieldcreatorv2!E88="radio",fieldcreatorv2!B88&amp;" &lt;br/&gt;"&amp;fieldcreatorv2!C88&amp;$D$4&amp;fieldcreatorv2!BA88&amp;$D$5&amp;fieldcreatorv2!C88&amp;$D$6&amp;fieldcreatorv2!C88&amp;$D$7&amp;fieldcreatorv2!BA88&amp;$F$1&amp;fieldcreatorv2!C88&amp;$F$4,"")</f>
        <v/>
      </c>
      <c r="M84" s="165" t="str">
        <f>+IF(AND(fieldcreatorv2!E88="selectlist",A84&lt;&gt;""),"&lt;br/&gt;"&amp;A84&amp;$E$4&amp;A84&amp;$D$5&amp;A84&amp;$E$5,"")</f>
        <v/>
      </c>
      <c r="N84" s="165" t="str">
        <f>+IF(AND(fieldcreatorv2!AU88&lt;&gt;fieldcreatorv2!AU89,fieldcreatorv2!E88="selectlist"),"&lt;/select&gt;","")</f>
        <v/>
      </c>
      <c r="O84" s="165" t="str">
        <f>+IF(fieldcreatorv2!E88="selectlist",M84&amp;$E$6&amp;fieldcreatorv2!C88&amp;$E$7&amp;fieldcreatorv2!AU88&amp;$F$1&amp;fieldcreatorv2!C88&amp;$F$2&amp;fieldcreatorv2!C88&amp;$F$3&amp;N84,"")</f>
        <v/>
      </c>
      <c r="P84" s="165" t="str">
        <f>+IF(fieldcreatorv2!E88="check",$E$1&amp;A84&amp;$D$5&amp;A84&amp;$E$2&amp;A84&amp;$E$3&amp;A84,"")</f>
        <v/>
      </c>
      <c r="Q84" s="165" t="str">
        <f>+IF(AND(R83&lt;&gt;"",fieldcreatorv2!I88="si"),fieldcreatorv2!CS88&amp;I84&amp;J84&amp;fieldcreatorv2!CT88,IF(AND(C84="yes",fieldcreatorv2!I88&lt;&gt;"si"),I84&amp;J84,""))</f>
        <v/>
      </c>
      <c r="R84" s="145" t="str">
        <f>IF(OR(C84=$P$1,AND(R83&lt;&gt;"",fieldcreatorv2!E88="radio",fieldcreatorv2!BA88=fieldcreatorv2!BA87),AND(R83&lt;&gt;"",fieldcreatorv2!E88="selectlist",fieldcreatorv2!AU88=fieldcreatorv2!AU87)),K84&amp;L84&amp;O84&amp;P84,"")&amp;Q84</f>
        <v/>
      </c>
      <c r="S84" s="55" t="str">
        <f>IF(AND(C84=$P$2,fieldcreatorv2!I88&lt;&gt;"si"),fieldcreatorv2!B88&amp;":  "&amp;$F$5&amp;A84&amp;$F$6,"")</f>
        <v/>
      </c>
      <c r="T84" s="253" t="str">
        <f>+IF(fieldcreatorv2!I88="si",$G$4&amp;A84&amp;$G$5,"")&amp;U84</f>
        <v/>
      </c>
      <c r="U84" s="61" t="str">
        <f>+IF(AND(fieldcreatorv2!I88="si",fieldcreatorv2!E87="radio"),+$G$6&amp;fieldcreatorv2!C87&amp;$G$7&amp;fieldcreatorv2!C87&amp;$H$1&amp;$H$2&amp;fieldcreatorv2!C87&amp;$H$3&amp;A84&amp;$H$4,"")</f>
        <v/>
      </c>
      <c r="V84" s="61" t="str">
        <f>+IF(R84&lt;&gt;"",fieldcreatorv2!CY88,"")</f>
        <v/>
      </c>
      <c r="W84" s="55" t="str">
        <f>+IF(OR(fieldcreatorv2!I89="si",AND(W85&lt;&gt;"",fieldcreatorv2!E88="radio")),1,"")</f>
        <v/>
      </c>
      <c r="X84" s="55" t="str">
        <f>+IF(AND(W84=1,W85=""),fieldcreatorv2!C88,IF(AND(W84=1,W85=1),X85,""))</f>
        <v/>
      </c>
      <c r="Y84" s="55" t="str">
        <f>+IF(AND(W83=1,fieldcreatorv2!I88="si"),A84,IF(W84=1,Y85,""))</f>
        <v/>
      </c>
      <c r="Z84" s="254" t="str">
        <f t="shared" si="21"/>
        <v/>
      </c>
      <c r="AA84" s="165" t="str">
        <f t="shared" si="24"/>
        <v/>
      </c>
      <c r="AB84" s="238" t="str">
        <f>+IF(V84&lt;&gt;"",$K$4&amp;fieldcreatorv2!C88&amp;$K$5&amp;fieldcreatorv2!BX88&amp;$K$6&amp;fieldcreatorv2!C89&amp;$K$7,"")</f>
        <v/>
      </c>
      <c r="AC84" s="238" t="str">
        <f>IF(AND(C84="yes",fieldcreatorv2!E88="check"),A84&amp;$L$1&amp;A84&amp;$L$2,"")</f>
        <v/>
      </c>
      <c r="AD84" s="238" t="str">
        <f>+IF(AND(R84&lt;&gt;"",OR(fieldcreatorv2!E88="date",fieldcreatorv2!E88="bigtext",fieldcreatorv2!E88="texto",AND(fieldcreatorv2!E88="selectlist",A84&lt;&gt;""))),"var "&amp;A84&amp;$L$3&amp;A84&amp;$L$4,"")</f>
        <v/>
      </c>
      <c r="AE84" s="61" t="str">
        <f t="shared" si="25"/>
        <v/>
      </c>
      <c r="AF84" s="12">
        <f t="shared" si="26"/>
        <v>0</v>
      </c>
      <c r="AG84" s="12">
        <f t="shared" si="22"/>
        <v>0</v>
      </c>
      <c r="AH84" s="12" t="str">
        <f t="shared" si="28"/>
        <v/>
      </c>
      <c r="AI84" s="61" t="str">
        <f t="shared" si="20"/>
        <v/>
      </c>
      <c r="AJ84" s="55" t="str">
        <f t="shared" si="16"/>
        <v/>
      </c>
      <c r="AK84" s="38" t="str">
        <f t="shared" si="23"/>
        <v/>
      </c>
      <c r="AL84" s="55" t="str">
        <f t="shared" si="27"/>
        <v/>
      </c>
    </row>
    <row r="85" spans="1:38">
      <c r="A85" s="216" t="str">
        <f>IF(fieldcreatorv2!BX89&lt;&gt;"",fieldcreatorv2!BX89,"")</f>
        <v/>
      </c>
      <c r="B85" s="255"/>
      <c r="C85" s="255"/>
      <c r="D85" s="165" t="str">
        <f>+IF(AND(B85="y",A85&lt;&gt;"",fieldcreatorv2!I89&lt;&gt;"si"),$A$1&amp;A85&amp;$A$2,"")</f>
        <v/>
      </c>
      <c r="E85" s="165" t="str">
        <f>+IF(AND(A85&lt;&gt;"",B85="y"),fieldcreatorv2!E89,"")</f>
        <v/>
      </c>
      <c r="F85" s="165" t="str">
        <f t="shared" si="19"/>
        <v/>
      </c>
      <c r="G85" s="55" t="str">
        <f>+IF(fieldcreatorv2!I89="si",$F$7&amp;fieldcreatorv2!BA88&amp;$F$1&amp;fieldcreatorv2!C88&amp;$G$1&amp;fieldcreatorv2!BA88&amp;$G$2&amp;A85&amp;$G$3,"")</f>
        <v/>
      </c>
      <c r="H85" s="145" t="str">
        <f>+IF(AND(A85&lt;&gt;"",B85="y",fieldcreatorv2!I89&lt;&gt;"si"),+$B$4&amp;A85&amp;$B$5,"")</f>
        <v/>
      </c>
      <c r="I85" s="252" t="str">
        <f>+IF(AND(fieldcreatorv2!E89="bigtext"),"&lt;br/&gt;"&amp;fieldcreatorv2!B89&amp;$C$2&amp;A85&amp;$C$3&amp;A85&amp;$C$4,"")</f>
        <v/>
      </c>
      <c r="J85" s="165" t="str">
        <f>+IF(fieldcreatorv2!E89="texto",fieldcreatorv2!B89&amp;": "&amp;$C$5&amp;A85&amp;$C$6&amp;A85&amp;$C$7,"")</f>
        <v/>
      </c>
      <c r="K85" s="165" t="str">
        <f>+IF(AND(fieldcreatorv2!E89="date",C85="yes"),fieldcreatorv2!B89&amp;": "&amp;$D$1&amp;A85&amp;$D$2&amp;A85&amp;$D$3,"")</f>
        <v/>
      </c>
      <c r="L85" s="165" t="str">
        <f>+IF(fieldcreatorv2!E89="radio",fieldcreatorv2!B89&amp;" &lt;br/&gt;"&amp;fieldcreatorv2!C89&amp;$D$4&amp;fieldcreatorv2!BA89&amp;$D$5&amp;fieldcreatorv2!C89&amp;$D$6&amp;fieldcreatorv2!C89&amp;$D$7&amp;fieldcreatorv2!BA89&amp;$F$1&amp;fieldcreatorv2!C89&amp;$F$4,"")</f>
        <v/>
      </c>
      <c r="M85" s="165" t="str">
        <f>+IF(AND(fieldcreatorv2!E89="selectlist",A85&lt;&gt;""),"&lt;br/&gt;"&amp;A85&amp;$E$4&amp;A85&amp;$D$5&amp;A85&amp;$E$5,"")</f>
        <v/>
      </c>
      <c r="N85" s="165" t="str">
        <f>+IF(AND(fieldcreatorv2!AU89&lt;&gt;fieldcreatorv2!AU90,fieldcreatorv2!E89="selectlist"),"&lt;/select&gt;","")</f>
        <v/>
      </c>
      <c r="O85" s="165" t="str">
        <f>+IF(fieldcreatorv2!E89="selectlist",M85&amp;$E$6&amp;fieldcreatorv2!C89&amp;$E$7&amp;fieldcreatorv2!AU89&amp;$F$1&amp;fieldcreatorv2!C89&amp;$F$2&amp;fieldcreatorv2!C89&amp;$F$3&amp;N85,"")</f>
        <v/>
      </c>
      <c r="P85" s="165" t="str">
        <f>+IF(fieldcreatorv2!E89="check",$E$1&amp;A85&amp;$D$5&amp;A85&amp;$E$2&amp;A85&amp;$E$3&amp;A85,"")</f>
        <v/>
      </c>
      <c r="Q85" s="165" t="str">
        <f>+IF(AND(R84&lt;&gt;"",fieldcreatorv2!I89="si"),fieldcreatorv2!CS89&amp;I85&amp;J85&amp;fieldcreatorv2!CT89,IF(AND(C85="yes",fieldcreatorv2!I89&lt;&gt;"si"),I85&amp;J85,""))</f>
        <v/>
      </c>
      <c r="R85" s="145" t="str">
        <f>IF(OR(C85=$P$1,AND(R84&lt;&gt;"",fieldcreatorv2!E89="radio",fieldcreatorv2!BA89=fieldcreatorv2!BA88),AND(R84&lt;&gt;"",fieldcreatorv2!E89="selectlist",fieldcreatorv2!AU89=fieldcreatorv2!AU88)),K85&amp;L85&amp;O85&amp;P85,"")&amp;Q85</f>
        <v/>
      </c>
      <c r="S85" s="55" t="str">
        <f>IF(AND(C85=$P$2,fieldcreatorv2!I89&lt;&gt;"si"),fieldcreatorv2!B89&amp;":  "&amp;$F$5&amp;A85&amp;$F$6,"")</f>
        <v/>
      </c>
      <c r="T85" s="253" t="str">
        <f>+IF(fieldcreatorv2!I89="si",$G$4&amp;A85&amp;$G$5,"")&amp;U85</f>
        <v/>
      </c>
      <c r="U85" s="61" t="str">
        <f>+IF(AND(fieldcreatorv2!I89="si",fieldcreatorv2!E88="radio"),+$G$6&amp;fieldcreatorv2!C88&amp;$G$7&amp;fieldcreatorv2!C88&amp;$H$1&amp;$H$2&amp;fieldcreatorv2!C88&amp;$H$3&amp;A85&amp;$H$4,"")</f>
        <v/>
      </c>
      <c r="V85" s="61" t="str">
        <f>+IF(R85&lt;&gt;"",fieldcreatorv2!CY89,"")</f>
        <v/>
      </c>
      <c r="W85" s="55" t="str">
        <f>+IF(OR(fieldcreatorv2!I90="si",AND(W86&lt;&gt;"",fieldcreatorv2!E89="radio")),1,"")</f>
        <v/>
      </c>
      <c r="X85" s="55" t="str">
        <f>+IF(AND(W85=1,W86=""),fieldcreatorv2!C89,IF(AND(W85=1,W86=1),X86,""))</f>
        <v/>
      </c>
      <c r="Y85" s="55" t="str">
        <f>+IF(AND(W84=1,fieldcreatorv2!I89="si"),A85,IF(W85=1,Y86,""))</f>
        <v/>
      </c>
      <c r="Z85" s="254" t="str">
        <f t="shared" si="21"/>
        <v/>
      </c>
      <c r="AA85" s="165" t="str">
        <f t="shared" si="24"/>
        <v/>
      </c>
      <c r="AB85" s="238" t="str">
        <f>+IF(V85&lt;&gt;"",$K$4&amp;fieldcreatorv2!C89&amp;$K$5&amp;fieldcreatorv2!BX89&amp;$K$6&amp;fieldcreatorv2!C90&amp;$K$7,"")</f>
        <v/>
      </c>
      <c r="AC85" s="238" t="str">
        <f>IF(AND(C85="yes",fieldcreatorv2!E89="check"),A85&amp;$L$1&amp;A85&amp;$L$2,"")</f>
        <v/>
      </c>
      <c r="AD85" s="238" t="str">
        <f>+IF(AND(R85&lt;&gt;"",OR(fieldcreatorv2!E89="date",fieldcreatorv2!E89="bigtext",fieldcreatorv2!E89="texto",AND(fieldcreatorv2!E89="selectlist",A85&lt;&gt;""))),"var "&amp;A85&amp;$L$3&amp;A85&amp;$L$4,"")</f>
        <v/>
      </c>
      <c r="AE85" s="61" t="str">
        <f t="shared" si="25"/>
        <v/>
      </c>
      <c r="AF85" s="12">
        <f t="shared" si="26"/>
        <v>0</v>
      </c>
      <c r="AG85" s="12">
        <f t="shared" si="22"/>
        <v>0</v>
      </c>
      <c r="AH85" s="12" t="str">
        <f t="shared" si="28"/>
        <v/>
      </c>
      <c r="AI85" s="61" t="str">
        <f t="shared" si="20"/>
        <v/>
      </c>
      <c r="AJ85" s="55" t="str">
        <f t="shared" si="16"/>
        <v/>
      </c>
      <c r="AK85" s="38" t="str">
        <f t="shared" si="23"/>
        <v/>
      </c>
      <c r="AL85" s="55" t="str">
        <f t="shared" si="27"/>
        <v/>
      </c>
    </row>
    <row r="86" spans="1:38">
      <c r="A86" s="216" t="str">
        <f>IF(fieldcreatorv2!BX90&lt;&gt;"",fieldcreatorv2!BX90,"")</f>
        <v/>
      </c>
      <c r="B86" s="255"/>
      <c r="C86" s="255"/>
      <c r="D86" s="165" t="str">
        <f>+IF(AND(B86="y",A86&lt;&gt;"",fieldcreatorv2!I90&lt;&gt;"si"),$A$1&amp;A86&amp;$A$2,"")</f>
        <v/>
      </c>
      <c r="E86" s="165" t="str">
        <f>+IF(AND(A86&lt;&gt;"",B86="y"),fieldcreatorv2!E90,"")</f>
        <v/>
      </c>
      <c r="F86" s="165" t="str">
        <f t="shared" si="19"/>
        <v/>
      </c>
      <c r="G86" s="55" t="str">
        <f>+IF(fieldcreatorv2!I90="si",$F$7&amp;fieldcreatorv2!BA89&amp;$F$1&amp;fieldcreatorv2!C89&amp;$G$1&amp;fieldcreatorv2!BA89&amp;$G$2&amp;A86&amp;$G$3,"")</f>
        <v/>
      </c>
      <c r="H86" s="145" t="str">
        <f>+IF(AND(A86&lt;&gt;"",B86="y",fieldcreatorv2!I90&lt;&gt;"si"),+$B$4&amp;A86&amp;$B$5,"")</f>
        <v/>
      </c>
      <c r="I86" s="252" t="str">
        <f>+IF(AND(fieldcreatorv2!E90="bigtext"),"&lt;br/&gt;"&amp;fieldcreatorv2!B90&amp;$C$2&amp;A86&amp;$C$3&amp;A86&amp;$C$4,"")</f>
        <v/>
      </c>
      <c r="J86" s="165" t="str">
        <f>+IF(fieldcreatorv2!E90="texto",fieldcreatorv2!B90&amp;": "&amp;$C$5&amp;A86&amp;$C$6&amp;A86&amp;$C$7,"")</f>
        <v/>
      </c>
      <c r="K86" s="165" t="str">
        <f>+IF(AND(fieldcreatorv2!E90="date",C86="yes"),fieldcreatorv2!B90&amp;": "&amp;$D$1&amp;A86&amp;$D$2&amp;A86&amp;$D$3,"")</f>
        <v/>
      </c>
      <c r="L86" s="165" t="str">
        <f>+IF(fieldcreatorv2!E90="radio",fieldcreatorv2!B90&amp;" &lt;br/&gt;"&amp;fieldcreatorv2!C90&amp;$D$4&amp;fieldcreatorv2!BA90&amp;$D$5&amp;fieldcreatorv2!C90&amp;$D$6&amp;fieldcreatorv2!C90&amp;$D$7&amp;fieldcreatorv2!BA90&amp;$F$1&amp;fieldcreatorv2!C90&amp;$F$4,"")</f>
        <v/>
      </c>
      <c r="M86" s="165" t="str">
        <f>+IF(AND(fieldcreatorv2!E90="selectlist",A86&lt;&gt;""),"&lt;br/&gt;"&amp;A86&amp;$E$4&amp;A86&amp;$D$5&amp;A86&amp;$E$5,"")</f>
        <v/>
      </c>
      <c r="N86" s="165" t="str">
        <f>+IF(AND(fieldcreatorv2!AU90&lt;&gt;fieldcreatorv2!AU91,fieldcreatorv2!E90="selectlist"),"&lt;/select&gt;","")</f>
        <v/>
      </c>
      <c r="O86" s="165" t="str">
        <f>+IF(fieldcreatorv2!E90="selectlist",M86&amp;$E$6&amp;fieldcreatorv2!C90&amp;$E$7&amp;fieldcreatorv2!AU90&amp;$F$1&amp;fieldcreatorv2!C90&amp;$F$2&amp;fieldcreatorv2!C90&amp;$F$3&amp;N86,"")</f>
        <v/>
      </c>
      <c r="P86" s="165" t="str">
        <f>+IF(fieldcreatorv2!E90="check",$E$1&amp;A86&amp;$D$5&amp;A86&amp;$E$2&amp;A86&amp;$E$3&amp;A86,"")</f>
        <v/>
      </c>
      <c r="Q86" s="165" t="str">
        <f>+IF(AND(R85&lt;&gt;"",fieldcreatorv2!I90="si"),fieldcreatorv2!CS90&amp;I86&amp;J86&amp;fieldcreatorv2!CT90,IF(AND(C86="yes",fieldcreatorv2!I90&lt;&gt;"si"),I86&amp;J86,""))</f>
        <v/>
      </c>
      <c r="R86" s="145" t="str">
        <f>IF(OR(C86=$P$1,AND(R85&lt;&gt;"",fieldcreatorv2!E90="radio",fieldcreatorv2!BA90=fieldcreatorv2!BA89),AND(R85&lt;&gt;"",fieldcreatorv2!E90="selectlist",fieldcreatorv2!AU90=fieldcreatorv2!AU89)),K86&amp;L86&amp;O86&amp;P86,"")&amp;Q86</f>
        <v/>
      </c>
      <c r="S86" s="55" t="str">
        <f>IF(AND(C86=$P$2,fieldcreatorv2!I90&lt;&gt;"si"),fieldcreatorv2!B90&amp;":  "&amp;$F$5&amp;A86&amp;$F$6,"")</f>
        <v/>
      </c>
      <c r="T86" s="253" t="str">
        <f>+IF(fieldcreatorv2!I90="si",$G$4&amp;A86&amp;$G$5,"")&amp;U86</f>
        <v/>
      </c>
      <c r="U86" s="61" t="str">
        <f>+IF(AND(fieldcreatorv2!I90="si",fieldcreatorv2!E89="radio"),+$G$6&amp;fieldcreatorv2!C89&amp;$G$7&amp;fieldcreatorv2!C89&amp;$H$1&amp;$H$2&amp;fieldcreatorv2!C89&amp;$H$3&amp;A86&amp;$H$4,"")</f>
        <v/>
      </c>
      <c r="V86" s="61" t="str">
        <f>+IF(R86&lt;&gt;"",fieldcreatorv2!CY90,"")</f>
        <v/>
      </c>
      <c r="W86" s="55" t="str">
        <f>+IF(OR(fieldcreatorv2!I91="si",AND(W87&lt;&gt;"",fieldcreatorv2!E90="radio")),1,"")</f>
        <v/>
      </c>
      <c r="X86" s="55" t="str">
        <f>+IF(AND(W86=1,W87=""),fieldcreatorv2!C90,IF(AND(W86=1,W87=1),X87,""))</f>
        <v/>
      </c>
      <c r="Y86" s="55" t="str">
        <f>+IF(AND(W85=1,fieldcreatorv2!I90="si"),A86,IF(W86=1,Y87,""))</f>
        <v/>
      </c>
      <c r="Z86" s="254" t="str">
        <f t="shared" si="21"/>
        <v/>
      </c>
      <c r="AA86" s="165" t="str">
        <f t="shared" si="24"/>
        <v/>
      </c>
      <c r="AB86" s="238" t="str">
        <f>+IF(V86&lt;&gt;"",$K$4&amp;fieldcreatorv2!C90&amp;$K$5&amp;fieldcreatorv2!BX90&amp;$K$6&amp;fieldcreatorv2!C91&amp;$K$7,"")</f>
        <v/>
      </c>
      <c r="AC86" s="238" t="str">
        <f>IF(AND(C86="yes",fieldcreatorv2!E90="check"),A86&amp;$L$1&amp;A86&amp;$L$2,"")</f>
        <v/>
      </c>
      <c r="AD86" s="238" t="str">
        <f>+IF(AND(R86&lt;&gt;"",OR(fieldcreatorv2!E90="date",fieldcreatorv2!E90="bigtext",fieldcreatorv2!E90="texto",AND(fieldcreatorv2!E90="selectlist",A86&lt;&gt;""))),"var "&amp;A86&amp;$L$3&amp;A86&amp;$L$4,"")</f>
        <v/>
      </c>
      <c r="AE86" s="61" t="str">
        <f t="shared" si="25"/>
        <v/>
      </c>
      <c r="AF86" s="12">
        <f t="shared" si="26"/>
        <v>0</v>
      </c>
      <c r="AG86" s="12">
        <f t="shared" si="22"/>
        <v>0</v>
      </c>
      <c r="AH86" s="12" t="str">
        <f t="shared" si="28"/>
        <v/>
      </c>
      <c r="AI86" s="61" t="str">
        <f t="shared" si="20"/>
        <v/>
      </c>
      <c r="AJ86" s="55" t="str">
        <f t="shared" si="16"/>
        <v/>
      </c>
      <c r="AK86" s="38" t="str">
        <f t="shared" si="23"/>
        <v/>
      </c>
      <c r="AL86" s="55" t="str">
        <f t="shared" si="27"/>
        <v/>
      </c>
    </row>
    <row r="87" spans="1:38">
      <c r="A87" s="216" t="str">
        <f>IF(fieldcreatorv2!BX91&lt;&gt;"",fieldcreatorv2!BX91,"")</f>
        <v/>
      </c>
      <c r="B87" s="255"/>
      <c r="C87" s="255"/>
      <c r="D87" s="165" t="str">
        <f>+IF(AND(B87="y",A87&lt;&gt;"",fieldcreatorv2!I91&lt;&gt;"si"),$A$1&amp;A87&amp;$A$2,"")</f>
        <v/>
      </c>
      <c r="E87" s="165" t="str">
        <f>+IF(AND(A87&lt;&gt;"",B87="y"),fieldcreatorv2!E91,"")</f>
        <v/>
      </c>
      <c r="F87" s="165" t="str">
        <f t="shared" si="19"/>
        <v/>
      </c>
      <c r="G87" s="55" t="str">
        <f>+IF(fieldcreatorv2!I91="si",$F$7&amp;fieldcreatorv2!BA90&amp;$F$1&amp;fieldcreatorv2!C90&amp;$G$1&amp;fieldcreatorv2!BA90&amp;$G$2&amp;A87&amp;$G$3,"")</f>
        <v/>
      </c>
      <c r="H87" s="145" t="str">
        <f>+IF(AND(A87&lt;&gt;"",B87="y",fieldcreatorv2!I91&lt;&gt;"si"),+$B$4&amp;A87&amp;$B$5,"")</f>
        <v/>
      </c>
      <c r="I87" s="252" t="str">
        <f>+IF(AND(fieldcreatorv2!E91="bigtext"),"&lt;br/&gt;"&amp;fieldcreatorv2!B91&amp;$C$2&amp;A87&amp;$C$3&amp;A87&amp;$C$4,"")</f>
        <v/>
      </c>
      <c r="J87" s="165" t="str">
        <f>+IF(fieldcreatorv2!E91="texto",fieldcreatorv2!B91&amp;": "&amp;$C$5&amp;A87&amp;$C$6&amp;A87&amp;$C$7,"")</f>
        <v/>
      </c>
      <c r="K87" s="165" t="str">
        <f>+IF(AND(fieldcreatorv2!E91="date",C87="yes"),fieldcreatorv2!B91&amp;": "&amp;$D$1&amp;A87&amp;$D$2&amp;A87&amp;$D$3,"")</f>
        <v/>
      </c>
      <c r="L87" s="165" t="str">
        <f>+IF(fieldcreatorv2!E91="radio",fieldcreatorv2!B91&amp;" &lt;br/&gt;"&amp;fieldcreatorv2!C91&amp;$D$4&amp;fieldcreatorv2!BA91&amp;$D$5&amp;fieldcreatorv2!C91&amp;$D$6&amp;fieldcreatorv2!C91&amp;$D$7&amp;fieldcreatorv2!BA91&amp;$F$1&amp;fieldcreatorv2!C91&amp;$F$4,"")</f>
        <v/>
      </c>
      <c r="M87" s="165" t="str">
        <f>+IF(AND(fieldcreatorv2!E91="selectlist",A87&lt;&gt;""),"&lt;br/&gt;"&amp;A87&amp;$E$4&amp;A87&amp;$D$5&amp;A87&amp;$E$5,"")</f>
        <v/>
      </c>
      <c r="N87" s="165" t="str">
        <f>+IF(AND(fieldcreatorv2!AU91&lt;&gt;fieldcreatorv2!AU92,fieldcreatorv2!E91="selectlist"),"&lt;/select&gt;","")</f>
        <v/>
      </c>
      <c r="O87" s="165" t="str">
        <f>+IF(fieldcreatorv2!E91="selectlist",M87&amp;$E$6&amp;fieldcreatorv2!C91&amp;$E$7&amp;fieldcreatorv2!AU91&amp;$F$1&amp;fieldcreatorv2!C91&amp;$F$2&amp;fieldcreatorv2!C91&amp;$F$3&amp;N87,"")</f>
        <v/>
      </c>
      <c r="P87" s="165" t="str">
        <f>+IF(fieldcreatorv2!E91="check",$E$1&amp;A87&amp;$D$5&amp;A87&amp;$E$2&amp;A87&amp;$E$3&amp;A87,"")</f>
        <v/>
      </c>
      <c r="Q87" s="165" t="str">
        <f>+IF(AND(R86&lt;&gt;"",fieldcreatorv2!I91="si"),fieldcreatorv2!CS91&amp;I87&amp;J87&amp;fieldcreatorv2!CT91,IF(AND(C87="yes",fieldcreatorv2!I91&lt;&gt;"si"),I87&amp;J87,""))</f>
        <v/>
      </c>
      <c r="R87" s="145" t="str">
        <f>IF(OR(C87=$P$1,AND(R86&lt;&gt;"",fieldcreatorv2!E91="radio",fieldcreatorv2!BA91=fieldcreatorv2!BA90),AND(R86&lt;&gt;"",fieldcreatorv2!E91="selectlist",fieldcreatorv2!AU91=fieldcreatorv2!AU90)),K87&amp;L87&amp;O87&amp;P87,"")&amp;Q87</f>
        <v/>
      </c>
      <c r="S87" s="55" t="str">
        <f>IF(AND(C87=$P$2,fieldcreatorv2!I91&lt;&gt;"si"),fieldcreatorv2!B91&amp;":  "&amp;$F$5&amp;A87&amp;$F$6,"")</f>
        <v/>
      </c>
      <c r="T87" s="253" t="str">
        <f>+IF(fieldcreatorv2!I91="si",$G$4&amp;A87&amp;$G$5,"")&amp;U87</f>
        <v/>
      </c>
      <c r="U87" s="61" t="str">
        <f>+IF(AND(fieldcreatorv2!I91="si",fieldcreatorv2!E90="radio"),+$G$6&amp;fieldcreatorv2!C90&amp;$G$7&amp;fieldcreatorv2!C90&amp;$H$1&amp;$H$2&amp;fieldcreatorv2!C90&amp;$H$3&amp;A87&amp;$H$4,"")</f>
        <v/>
      </c>
      <c r="V87" s="61" t="str">
        <f>+IF(R87&lt;&gt;"",fieldcreatorv2!CY91,"")</f>
        <v/>
      </c>
      <c r="W87" s="55" t="str">
        <f>+IF(OR(fieldcreatorv2!I92="si",AND(W88&lt;&gt;"",fieldcreatorv2!E91="radio")),1,"")</f>
        <v/>
      </c>
      <c r="X87" s="55" t="str">
        <f>+IF(AND(W87=1,W88=""),fieldcreatorv2!C91,IF(AND(W87=1,W88=1),X88,""))</f>
        <v/>
      </c>
      <c r="Y87" s="55" t="str">
        <f>+IF(AND(W86=1,fieldcreatorv2!I91="si"),A87,IF(W87=1,Y88,""))</f>
        <v/>
      </c>
      <c r="Z87" s="254" t="str">
        <f t="shared" si="21"/>
        <v/>
      </c>
      <c r="AA87" s="165" t="str">
        <f t="shared" si="24"/>
        <v/>
      </c>
      <c r="AB87" s="238" t="str">
        <f>+IF(V87&lt;&gt;"",$K$4&amp;fieldcreatorv2!C91&amp;$K$5&amp;fieldcreatorv2!BX91&amp;$K$6&amp;fieldcreatorv2!C92&amp;$K$7,"")</f>
        <v/>
      </c>
      <c r="AC87" s="238" t="str">
        <f>IF(AND(C87="yes",fieldcreatorv2!E91="check"),A87&amp;$L$1&amp;A87&amp;$L$2,"")</f>
        <v/>
      </c>
      <c r="AD87" s="238" t="str">
        <f>+IF(AND(R87&lt;&gt;"",OR(fieldcreatorv2!E91="date",fieldcreatorv2!E91="bigtext",fieldcreatorv2!E91="texto",AND(fieldcreatorv2!E91="selectlist",A87&lt;&gt;""))),"var "&amp;A87&amp;$L$3&amp;A87&amp;$L$4,"")</f>
        <v/>
      </c>
      <c r="AE87" s="61" t="str">
        <f t="shared" si="25"/>
        <v/>
      </c>
      <c r="AF87" s="12">
        <f t="shared" si="26"/>
        <v>0</v>
      </c>
      <c r="AG87" s="12">
        <f t="shared" si="22"/>
        <v>0</v>
      </c>
      <c r="AH87" s="12" t="str">
        <f t="shared" si="28"/>
        <v/>
      </c>
      <c r="AI87" s="61" t="str">
        <f t="shared" si="20"/>
        <v/>
      </c>
      <c r="AJ87" s="55" t="str">
        <f t="shared" si="16"/>
        <v/>
      </c>
      <c r="AK87" s="38" t="str">
        <f t="shared" si="23"/>
        <v/>
      </c>
      <c r="AL87" s="55" t="str">
        <f t="shared" si="27"/>
        <v/>
      </c>
    </row>
    <row r="88" spans="1:38">
      <c r="A88" s="216" t="str">
        <f>IF(fieldcreatorv2!BX92&lt;&gt;"",fieldcreatorv2!BX92,"")</f>
        <v/>
      </c>
      <c r="B88" s="255"/>
      <c r="C88" s="255"/>
      <c r="D88" s="165" t="str">
        <f>+IF(AND(B88="y",A88&lt;&gt;"",fieldcreatorv2!I92&lt;&gt;"si"),$A$1&amp;A88&amp;$A$2,"")</f>
        <v/>
      </c>
      <c r="E88" s="165" t="str">
        <f>+IF(AND(A88&lt;&gt;"",B88="y"),fieldcreatorv2!E92,"")</f>
        <v/>
      </c>
      <c r="F88" s="165" t="str">
        <f t="shared" si="19"/>
        <v/>
      </c>
      <c r="G88" s="55" t="str">
        <f>+IF(fieldcreatorv2!I92="si",$F$7&amp;fieldcreatorv2!BA91&amp;$F$1&amp;fieldcreatorv2!C91&amp;$G$1&amp;fieldcreatorv2!BA91&amp;$G$2&amp;A88&amp;$G$3,"")</f>
        <v/>
      </c>
      <c r="H88" s="145" t="str">
        <f>+IF(AND(A88&lt;&gt;"",B88="y",fieldcreatorv2!I92&lt;&gt;"si"),+$B$4&amp;A88&amp;$B$5,"")</f>
        <v/>
      </c>
      <c r="I88" s="252" t="str">
        <f>+IF(AND(fieldcreatorv2!E92="bigtext"),"&lt;br/&gt;"&amp;fieldcreatorv2!B92&amp;$C$2&amp;A88&amp;$C$3&amp;A88&amp;$C$4,"")</f>
        <v/>
      </c>
      <c r="J88" s="165" t="str">
        <f>+IF(fieldcreatorv2!E92="texto",fieldcreatorv2!B92&amp;": "&amp;$C$5&amp;A88&amp;$C$6&amp;A88&amp;$C$7,"")</f>
        <v/>
      </c>
      <c r="K88" s="165" t="str">
        <f>+IF(AND(fieldcreatorv2!E92="date",C88="yes"),fieldcreatorv2!B92&amp;": "&amp;$D$1&amp;A88&amp;$D$2&amp;A88&amp;$D$3,"")</f>
        <v/>
      </c>
      <c r="L88" s="165" t="str">
        <f>+IF(fieldcreatorv2!E92="radio",fieldcreatorv2!B92&amp;" &lt;br/&gt;"&amp;fieldcreatorv2!C92&amp;$D$4&amp;fieldcreatorv2!BA92&amp;$D$5&amp;fieldcreatorv2!C92&amp;$D$6&amp;fieldcreatorv2!C92&amp;$D$7&amp;fieldcreatorv2!BA92&amp;$F$1&amp;fieldcreatorv2!C92&amp;$F$4,"")</f>
        <v/>
      </c>
      <c r="M88" s="165" t="str">
        <f>+IF(AND(fieldcreatorv2!E92="selectlist",A88&lt;&gt;""),"&lt;br/&gt;"&amp;A88&amp;$E$4&amp;A88&amp;$D$5&amp;A88&amp;$E$5,"")</f>
        <v/>
      </c>
      <c r="N88" s="165" t="str">
        <f>+IF(AND(fieldcreatorv2!AU92&lt;&gt;fieldcreatorv2!AU93,fieldcreatorv2!E92="selectlist"),"&lt;/select&gt;","")</f>
        <v/>
      </c>
      <c r="O88" s="165" t="str">
        <f>+IF(fieldcreatorv2!E92="selectlist",M88&amp;$E$6&amp;fieldcreatorv2!C92&amp;$E$7&amp;fieldcreatorv2!AU92&amp;$F$1&amp;fieldcreatorv2!C92&amp;$F$2&amp;fieldcreatorv2!C92&amp;$F$3&amp;N88,"")</f>
        <v/>
      </c>
      <c r="P88" s="165" t="str">
        <f>+IF(fieldcreatorv2!E92="check",$E$1&amp;A88&amp;$D$5&amp;A88&amp;$E$2&amp;A88&amp;$E$3&amp;A88,"")</f>
        <v/>
      </c>
      <c r="Q88" s="165" t="str">
        <f>+IF(AND(R87&lt;&gt;"",fieldcreatorv2!I92="si"),fieldcreatorv2!CS92&amp;I88&amp;J88&amp;fieldcreatorv2!CT92,IF(AND(C88="yes",fieldcreatorv2!I92&lt;&gt;"si"),I88&amp;J88,""))</f>
        <v/>
      </c>
      <c r="R88" s="145" t="str">
        <f>IF(OR(C88=$P$1,AND(R87&lt;&gt;"",fieldcreatorv2!E92="radio",fieldcreatorv2!BA92=fieldcreatorv2!BA91),AND(R87&lt;&gt;"",fieldcreatorv2!E92="selectlist",fieldcreatorv2!AU92=fieldcreatorv2!AU91)),K88&amp;L88&amp;O88&amp;P88,"")&amp;Q88</f>
        <v/>
      </c>
      <c r="S88" s="55" t="str">
        <f>IF(AND(C88=$P$2,fieldcreatorv2!I92&lt;&gt;"si"),fieldcreatorv2!B92&amp;":  "&amp;$F$5&amp;A88&amp;$F$6,"")</f>
        <v/>
      </c>
      <c r="T88" s="253" t="str">
        <f>+IF(fieldcreatorv2!I92="si",$G$4&amp;A88&amp;$G$5,"")&amp;U88</f>
        <v/>
      </c>
      <c r="U88" s="61" t="str">
        <f>+IF(AND(fieldcreatorv2!I92="si",fieldcreatorv2!E91="radio"),+$G$6&amp;fieldcreatorv2!C91&amp;$G$7&amp;fieldcreatorv2!C91&amp;$H$1&amp;$H$2&amp;fieldcreatorv2!C91&amp;$H$3&amp;A88&amp;$H$4,"")</f>
        <v/>
      </c>
      <c r="V88" s="61" t="str">
        <f>+IF(R88&lt;&gt;"",fieldcreatorv2!CY92,"")</f>
        <v/>
      </c>
      <c r="W88" s="55" t="str">
        <f>+IF(OR(fieldcreatorv2!I93="si",AND(W89&lt;&gt;"",fieldcreatorv2!E92="radio")),1,"")</f>
        <v/>
      </c>
      <c r="X88" s="55" t="str">
        <f>+IF(AND(W88=1,W89=""),fieldcreatorv2!C92,IF(AND(W88=1,W89=1),X89,""))</f>
        <v/>
      </c>
      <c r="Y88" s="55" t="str">
        <f>+IF(AND(W87=1,fieldcreatorv2!I92="si"),A88,IF(W88=1,Y89,""))</f>
        <v/>
      </c>
      <c r="Z88" s="254" t="str">
        <f t="shared" si="21"/>
        <v/>
      </c>
      <c r="AA88" s="165" t="str">
        <f t="shared" si="24"/>
        <v/>
      </c>
      <c r="AB88" s="238" t="str">
        <f>+IF(V88&lt;&gt;"",$K$4&amp;fieldcreatorv2!C92&amp;$K$5&amp;fieldcreatorv2!BX92&amp;$K$6&amp;fieldcreatorv2!C93&amp;$K$7,"")</f>
        <v/>
      </c>
      <c r="AC88" s="238" t="str">
        <f>IF(AND(C88="yes",fieldcreatorv2!E92="check"),A88&amp;$L$1&amp;A88&amp;$L$2,"")</f>
        <v/>
      </c>
      <c r="AD88" s="238" t="str">
        <f>+IF(AND(R88&lt;&gt;"",OR(fieldcreatorv2!E92="date",fieldcreatorv2!E92="bigtext",fieldcreatorv2!E92="texto",AND(fieldcreatorv2!E92="selectlist",A88&lt;&gt;""))),"var "&amp;A88&amp;$L$3&amp;A88&amp;$L$4,"")</f>
        <v/>
      </c>
      <c r="AE88" s="61" t="str">
        <f t="shared" si="25"/>
        <v/>
      </c>
      <c r="AF88" s="12">
        <f t="shared" si="26"/>
        <v>0</v>
      </c>
      <c r="AG88" s="12">
        <f t="shared" si="22"/>
        <v>0</v>
      </c>
      <c r="AH88" s="12" t="str">
        <f t="shared" si="28"/>
        <v/>
      </c>
      <c r="AI88" s="61" t="str">
        <f t="shared" si="20"/>
        <v/>
      </c>
      <c r="AJ88" s="55" t="str">
        <f t="shared" ref="AJ88:AJ110" si="29">+IF(AND(A88&lt;&gt;"",R88&lt;&gt;""),$L$7&amp;A88&amp;$M$1&amp;A88&amp;$M$2&amp;A88&amp;$M$3&amp;A88&amp;$M$4,"")</f>
        <v/>
      </c>
      <c r="AK88" s="38" t="str">
        <f t="shared" si="23"/>
        <v/>
      </c>
      <c r="AL88" s="55" t="str">
        <f t="shared" si="27"/>
        <v/>
      </c>
    </row>
    <row r="89" spans="1:38">
      <c r="A89" s="216" t="str">
        <f>IF(fieldcreatorv2!BX93&lt;&gt;"",fieldcreatorv2!BX93,"")</f>
        <v/>
      </c>
      <c r="B89" s="255"/>
      <c r="C89" s="255"/>
      <c r="D89" s="165" t="str">
        <f>+IF(AND(B89="y",A89&lt;&gt;"",fieldcreatorv2!I93&lt;&gt;"si"),$A$1&amp;A89&amp;$A$2,"")</f>
        <v/>
      </c>
      <c r="E89" s="165" t="str">
        <f>+IF(AND(A89&lt;&gt;"",B89="y"),fieldcreatorv2!E93,"")</f>
        <v/>
      </c>
      <c r="F89" s="165" t="str">
        <f t="shared" si="19"/>
        <v/>
      </c>
      <c r="G89" s="55" t="str">
        <f>+IF(fieldcreatorv2!I93="si",$F$7&amp;fieldcreatorv2!BA92&amp;$F$1&amp;fieldcreatorv2!C92&amp;$G$1&amp;fieldcreatorv2!BA92&amp;$G$2&amp;A89&amp;$G$3,"")</f>
        <v/>
      </c>
      <c r="H89" s="145" t="str">
        <f>+IF(AND(A89&lt;&gt;"",B89="y",fieldcreatorv2!I93&lt;&gt;"si"),+$B$4&amp;A89&amp;$B$5,"")</f>
        <v/>
      </c>
      <c r="I89" s="252" t="str">
        <f>+IF(AND(fieldcreatorv2!E93="bigtext"),"&lt;br/&gt;"&amp;fieldcreatorv2!B93&amp;$C$2&amp;A89&amp;$C$3&amp;A89&amp;$C$4,"")</f>
        <v/>
      </c>
      <c r="J89" s="165" t="str">
        <f>+IF(fieldcreatorv2!E93="texto",fieldcreatorv2!B93&amp;": "&amp;$C$5&amp;A89&amp;$C$6&amp;A89&amp;$C$7,"")</f>
        <v/>
      </c>
      <c r="K89" s="165" t="str">
        <f>+IF(AND(fieldcreatorv2!E93="date",C89="yes"),fieldcreatorv2!B93&amp;": "&amp;$D$1&amp;A89&amp;$D$2&amp;A89&amp;$D$3,"")</f>
        <v/>
      </c>
      <c r="L89" s="165" t="str">
        <f>+IF(fieldcreatorv2!E93="radio",fieldcreatorv2!B93&amp;" &lt;br/&gt;"&amp;fieldcreatorv2!C93&amp;$D$4&amp;fieldcreatorv2!BA93&amp;$D$5&amp;fieldcreatorv2!C93&amp;$D$6&amp;fieldcreatorv2!C93&amp;$D$7&amp;fieldcreatorv2!BA93&amp;$F$1&amp;fieldcreatorv2!C93&amp;$F$4,"")</f>
        <v/>
      </c>
      <c r="M89" s="165" t="str">
        <f>+IF(AND(fieldcreatorv2!E93="selectlist",A89&lt;&gt;""),"&lt;br/&gt;"&amp;A89&amp;$E$4&amp;A89&amp;$D$5&amp;A89&amp;$E$5,"")</f>
        <v/>
      </c>
      <c r="N89" s="165" t="str">
        <f>+IF(AND(fieldcreatorv2!AU93&lt;&gt;fieldcreatorv2!AU94,fieldcreatorv2!E93="selectlist"),"&lt;/select&gt;","")</f>
        <v/>
      </c>
      <c r="O89" s="165" t="str">
        <f>+IF(fieldcreatorv2!E93="selectlist",M89&amp;$E$6&amp;fieldcreatorv2!C93&amp;$E$7&amp;fieldcreatorv2!AU93&amp;$F$1&amp;fieldcreatorv2!C93&amp;$F$2&amp;fieldcreatorv2!C93&amp;$F$3&amp;N89,"")</f>
        <v/>
      </c>
      <c r="P89" s="165" t="str">
        <f>+IF(fieldcreatorv2!E93="check",$E$1&amp;A89&amp;$D$5&amp;A89&amp;$E$2&amp;A89&amp;$E$3&amp;A89,"")</f>
        <v/>
      </c>
      <c r="Q89" s="165" t="str">
        <f>+IF(AND(R88&lt;&gt;"",fieldcreatorv2!I93="si"),fieldcreatorv2!CS93&amp;I89&amp;J89&amp;fieldcreatorv2!CT93,IF(AND(C89="yes",fieldcreatorv2!I93&lt;&gt;"si"),I89&amp;J89,""))</f>
        <v/>
      </c>
      <c r="R89" s="145" t="str">
        <f>IF(OR(C89=$P$1,AND(R88&lt;&gt;"",fieldcreatorv2!E93="radio",fieldcreatorv2!BA93=fieldcreatorv2!BA92),AND(R88&lt;&gt;"",fieldcreatorv2!E93="selectlist",fieldcreatorv2!AU93=fieldcreatorv2!AU92)),K89&amp;L89&amp;O89&amp;P89,"")&amp;Q89</f>
        <v/>
      </c>
      <c r="S89" s="55" t="str">
        <f>IF(AND(C89=$P$2,fieldcreatorv2!I93&lt;&gt;"si"),fieldcreatorv2!B93&amp;":  "&amp;$F$5&amp;A89&amp;$F$6,"")</f>
        <v/>
      </c>
      <c r="T89" s="253" t="str">
        <f>+IF(fieldcreatorv2!I93="si",$G$4&amp;A89&amp;$G$5,"")&amp;U89</f>
        <v/>
      </c>
      <c r="U89" s="61" t="str">
        <f>+IF(AND(fieldcreatorv2!I93="si",fieldcreatorv2!E92="radio"),+$G$6&amp;fieldcreatorv2!C92&amp;$G$7&amp;fieldcreatorv2!C92&amp;$H$1&amp;$H$2&amp;fieldcreatorv2!C92&amp;$H$3&amp;A89&amp;$H$4,"")</f>
        <v/>
      </c>
      <c r="V89" s="61" t="str">
        <f>+IF(R89&lt;&gt;"",fieldcreatorv2!CY93,"")</f>
        <v/>
      </c>
      <c r="W89" s="55" t="str">
        <f>+IF(OR(fieldcreatorv2!I94="si",AND(W90&lt;&gt;"",fieldcreatorv2!E93="radio")),1,"")</f>
        <v/>
      </c>
      <c r="X89" s="55" t="str">
        <f>+IF(AND(W89=1,W90=""),fieldcreatorv2!C93,IF(AND(W89=1,W90=1),X90,""))</f>
        <v/>
      </c>
      <c r="Y89" s="55" t="str">
        <f>+IF(AND(W88=1,fieldcreatorv2!I93="si"),A89,IF(W89=1,Y90,""))</f>
        <v/>
      </c>
      <c r="Z89" s="254" t="str">
        <f t="shared" si="21"/>
        <v/>
      </c>
      <c r="AA89" s="165" t="str">
        <f t="shared" si="24"/>
        <v/>
      </c>
      <c r="AB89" s="238" t="str">
        <f>+IF(V89&lt;&gt;"",$K$4&amp;fieldcreatorv2!C93&amp;$K$5&amp;fieldcreatorv2!BX93&amp;$K$6&amp;fieldcreatorv2!C94&amp;$K$7,"")</f>
        <v/>
      </c>
      <c r="AC89" s="238" t="str">
        <f>IF(AND(C89="yes",fieldcreatorv2!E93="check"),A89&amp;$L$1&amp;A89&amp;$L$2,"")</f>
        <v/>
      </c>
      <c r="AD89" s="238" t="str">
        <f>+IF(AND(R89&lt;&gt;"",OR(fieldcreatorv2!E93="date",fieldcreatorv2!E93="bigtext",fieldcreatorv2!E93="texto",AND(fieldcreatorv2!E93="selectlist",A89&lt;&gt;""))),"var "&amp;A89&amp;$L$3&amp;A89&amp;$L$4,"")</f>
        <v/>
      </c>
      <c r="AE89" s="61" t="str">
        <f t="shared" si="25"/>
        <v/>
      </c>
      <c r="AF89" s="12">
        <f t="shared" si="26"/>
        <v>0</v>
      </c>
      <c r="AG89" s="12">
        <f t="shared" si="22"/>
        <v>0</v>
      </c>
      <c r="AH89" s="12" t="str">
        <f t="shared" si="28"/>
        <v/>
      </c>
      <c r="AI89" s="61" t="str">
        <f t="shared" si="20"/>
        <v/>
      </c>
      <c r="AJ89" s="55" t="str">
        <f t="shared" si="29"/>
        <v/>
      </c>
      <c r="AK89" s="38" t="str">
        <f t="shared" si="23"/>
        <v/>
      </c>
      <c r="AL89" s="55" t="str">
        <f t="shared" si="27"/>
        <v/>
      </c>
    </row>
    <row r="90" spans="1:38">
      <c r="A90" s="216" t="str">
        <f>IF(fieldcreatorv2!BX94&lt;&gt;"",fieldcreatorv2!BX94,"")</f>
        <v/>
      </c>
      <c r="B90" s="255"/>
      <c r="C90" s="255"/>
      <c r="D90" s="165" t="str">
        <f>+IF(AND(B90="y",A90&lt;&gt;"",fieldcreatorv2!I94&lt;&gt;"si"),$A$1&amp;A90&amp;$A$2,"")</f>
        <v/>
      </c>
      <c r="E90" s="165" t="str">
        <f>+IF(AND(A90&lt;&gt;"",B90="y"),fieldcreatorv2!E94,"")</f>
        <v/>
      </c>
      <c r="F90" s="165" t="str">
        <f t="shared" si="19"/>
        <v/>
      </c>
      <c r="G90" s="55" t="str">
        <f>+IF(fieldcreatorv2!I94="si",$F$7&amp;fieldcreatorv2!BA93&amp;$F$1&amp;fieldcreatorv2!C93&amp;$G$1&amp;fieldcreatorv2!BA93&amp;$G$2&amp;A90&amp;$G$3,"")</f>
        <v/>
      </c>
      <c r="H90" s="145" t="str">
        <f>+IF(AND(A90&lt;&gt;"",B90="y",fieldcreatorv2!I94&lt;&gt;"si"),+$B$4&amp;A90&amp;$B$5,"")</f>
        <v/>
      </c>
      <c r="I90" s="252" t="str">
        <f>+IF(AND(fieldcreatorv2!E94="bigtext"),"&lt;br/&gt;"&amp;fieldcreatorv2!B94&amp;$C$2&amp;A90&amp;$C$3&amp;A90&amp;$C$4,"")</f>
        <v/>
      </c>
      <c r="J90" s="165" t="str">
        <f>+IF(fieldcreatorv2!E94="texto",fieldcreatorv2!B94&amp;": "&amp;$C$5&amp;A90&amp;$C$6&amp;A90&amp;$C$7,"")</f>
        <v/>
      </c>
      <c r="K90" s="165" t="str">
        <f>+IF(AND(fieldcreatorv2!E94="date",C90="yes"),fieldcreatorv2!B94&amp;": "&amp;$D$1&amp;A90&amp;$D$2&amp;A90&amp;$D$3,"")</f>
        <v/>
      </c>
      <c r="L90" s="165" t="str">
        <f>+IF(fieldcreatorv2!E94="radio",fieldcreatorv2!B94&amp;" &lt;br/&gt;"&amp;fieldcreatorv2!C94&amp;$D$4&amp;fieldcreatorv2!BA94&amp;$D$5&amp;fieldcreatorv2!C94&amp;$D$6&amp;fieldcreatorv2!C94&amp;$D$7&amp;fieldcreatorv2!BA94&amp;$F$1&amp;fieldcreatorv2!C94&amp;$F$4,"")</f>
        <v/>
      </c>
      <c r="M90" s="165" t="str">
        <f>+IF(AND(fieldcreatorv2!E94="selectlist",A90&lt;&gt;""),"&lt;br/&gt;"&amp;A90&amp;$E$4&amp;A90&amp;$D$5&amp;A90&amp;$E$5,"")</f>
        <v/>
      </c>
      <c r="N90" s="165" t="str">
        <f>+IF(AND(fieldcreatorv2!AU94&lt;&gt;fieldcreatorv2!AU95,fieldcreatorv2!E94="selectlist"),"&lt;/select&gt;","")</f>
        <v/>
      </c>
      <c r="O90" s="165" t="str">
        <f>+IF(fieldcreatorv2!E94="selectlist",M90&amp;$E$6&amp;fieldcreatorv2!C94&amp;$E$7&amp;fieldcreatorv2!AU94&amp;$F$1&amp;fieldcreatorv2!C94&amp;$F$2&amp;fieldcreatorv2!C94&amp;$F$3&amp;N90,"")</f>
        <v/>
      </c>
      <c r="P90" s="165" t="str">
        <f>+IF(fieldcreatorv2!E94="check",$E$1&amp;A90&amp;$D$5&amp;A90&amp;$E$2&amp;A90&amp;$E$3&amp;A90,"")</f>
        <v/>
      </c>
      <c r="Q90" s="165" t="str">
        <f>+IF(AND(R89&lt;&gt;"",fieldcreatorv2!I94="si"),fieldcreatorv2!CS94&amp;I90&amp;J90&amp;fieldcreatorv2!CT94,IF(AND(C90="yes",fieldcreatorv2!I94&lt;&gt;"si"),I90&amp;J90,""))</f>
        <v/>
      </c>
      <c r="R90" s="145" t="str">
        <f>IF(OR(C90=$P$1,AND(R89&lt;&gt;"",fieldcreatorv2!E94="radio",fieldcreatorv2!BA94=fieldcreatorv2!BA93),AND(R89&lt;&gt;"",fieldcreatorv2!E94="selectlist",fieldcreatorv2!AU94=fieldcreatorv2!AU93)),K90&amp;L90&amp;O90&amp;P90,"")&amp;Q90</f>
        <v/>
      </c>
      <c r="S90" s="55" t="str">
        <f>IF(AND(C90=$P$2,fieldcreatorv2!I94&lt;&gt;"si"),fieldcreatorv2!B94&amp;":  "&amp;$F$5&amp;A90&amp;$F$6,"")</f>
        <v/>
      </c>
      <c r="T90" s="253" t="str">
        <f>+IF(fieldcreatorv2!I94="si",$G$4&amp;A90&amp;$G$5,"")&amp;U90</f>
        <v/>
      </c>
      <c r="U90" s="61" t="str">
        <f>+IF(AND(fieldcreatorv2!I94="si",fieldcreatorv2!E93="radio"),+$G$6&amp;fieldcreatorv2!C93&amp;$G$7&amp;fieldcreatorv2!C93&amp;$H$1&amp;$H$2&amp;fieldcreatorv2!C93&amp;$H$3&amp;A90&amp;$H$4,"")</f>
        <v/>
      </c>
      <c r="V90" s="61" t="str">
        <f>+IF(R90&lt;&gt;"",fieldcreatorv2!CY94,"")</f>
        <v/>
      </c>
      <c r="W90" s="55" t="str">
        <f>+IF(OR(fieldcreatorv2!I95="si",AND(W91&lt;&gt;"",fieldcreatorv2!E94="radio")),1,"")</f>
        <v/>
      </c>
      <c r="X90" s="55" t="str">
        <f>+IF(AND(W90=1,W91=""),fieldcreatorv2!C94,IF(AND(W90=1,W91=1),X91,""))</f>
        <v/>
      </c>
      <c r="Y90" s="55" t="str">
        <f>+IF(AND(W89=1,fieldcreatorv2!I94="si"),A90,IF(W90=1,Y91,""))</f>
        <v/>
      </c>
      <c r="Z90" s="254" t="str">
        <f t="shared" si="21"/>
        <v/>
      </c>
      <c r="AA90" s="165" t="str">
        <f t="shared" si="24"/>
        <v/>
      </c>
      <c r="AB90" s="238" t="str">
        <f>+IF(V90&lt;&gt;"",$K$4&amp;fieldcreatorv2!C94&amp;$K$5&amp;fieldcreatorv2!BX94&amp;$K$6&amp;fieldcreatorv2!C95&amp;$K$7,"")</f>
        <v/>
      </c>
      <c r="AC90" s="238" t="str">
        <f>IF(AND(C90="yes",fieldcreatorv2!E94="check"),A90&amp;$L$1&amp;A90&amp;$L$2,"")</f>
        <v/>
      </c>
      <c r="AD90" s="238" t="str">
        <f>+IF(AND(R90&lt;&gt;"",OR(fieldcreatorv2!E94="date",fieldcreatorv2!E94="bigtext",fieldcreatorv2!E94="texto",AND(fieldcreatorv2!E94="selectlist",A90&lt;&gt;""))),"var "&amp;A90&amp;$L$3&amp;A90&amp;$L$4,"")</f>
        <v/>
      </c>
      <c r="AE90" s="61" t="str">
        <f t="shared" si="25"/>
        <v/>
      </c>
      <c r="AF90" s="12">
        <f t="shared" si="26"/>
        <v>0</v>
      </c>
      <c r="AG90" s="12">
        <f t="shared" si="22"/>
        <v>0</v>
      </c>
      <c r="AH90" s="12" t="str">
        <f t="shared" si="28"/>
        <v/>
      </c>
      <c r="AI90" s="61" t="str">
        <f t="shared" si="20"/>
        <v/>
      </c>
      <c r="AJ90" s="55" t="str">
        <f t="shared" si="29"/>
        <v/>
      </c>
      <c r="AK90" s="38" t="str">
        <f t="shared" si="23"/>
        <v/>
      </c>
      <c r="AL90" s="55" t="str">
        <f t="shared" si="27"/>
        <v/>
      </c>
    </row>
    <row r="91" spans="1:38">
      <c r="A91" s="216" t="str">
        <f>IF(fieldcreatorv2!BX95&lt;&gt;"",fieldcreatorv2!BX95,"")</f>
        <v/>
      </c>
      <c r="B91" s="255"/>
      <c r="C91" s="255"/>
      <c r="D91" s="165" t="str">
        <f>+IF(AND(B91="y",A91&lt;&gt;"",fieldcreatorv2!I95&lt;&gt;"si"),$A$1&amp;A91&amp;$A$2,"")</f>
        <v/>
      </c>
      <c r="E91" s="165" t="str">
        <f>+IF(AND(A91&lt;&gt;"",B91="y"),fieldcreatorv2!E95,"")</f>
        <v/>
      </c>
      <c r="F91" s="165" t="str">
        <f t="shared" si="19"/>
        <v/>
      </c>
      <c r="G91" s="55" t="str">
        <f>+IF(fieldcreatorv2!I95="si",$F$7&amp;fieldcreatorv2!BA94&amp;$F$1&amp;fieldcreatorv2!C94&amp;$G$1&amp;fieldcreatorv2!BA94&amp;$G$2&amp;A91&amp;$G$3,"")</f>
        <v/>
      </c>
      <c r="H91" s="145" t="str">
        <f>+IF(AND(A91&lt;&gt;"",B91="y",fieldcreatorv2!I95&lt;&gt;"si"),+$B$4&amp;A91&amp;$B$5,"")</f>
        <v/>
      </c>
      <c r="I91" s="252" t="str">
        <f>+IF(AND(fieldcreatorv2!E95="bigtext"),"&lt;br/&gt;"&amp;fieldcreatorv2!B95&amp;$C$2&amp;A91&amp;$C$3&amp;A91&amp;$C$4,"")</f>
        <v/>
      </c>
      <c r="J91" s="165" t="str">
        <f>+IF(fieldcreatorv2!E95="texto",fieldcreatorv2!B95&amp;": "&amp;$C$5&amp;A91&amp;$C$6&amp;A91&amp;$C$7,"")</f>
        <v/>
      </c>
      <c r="K91" s="165" t="str">
        <f>+IF(AND(fieldcreatorv2!E95="date",C91="yes"),fieldcreatorv2!B95&amp;": "&amp;$D$1&amp;A91&amp;$D$2&amp;A91&amp;$D$3,"")</f>
        <v/>
      </c>
      <c r="L91" s="165" t="str">
        <f>+IF(fieldcreatorv2!E95="radio",fieldcreatorv2!B95&amp;" &lt;br/&gt;"&amp;fieldcreatorv2!C95&amp;$D$4&amp;fieldcreatorv2!BA95&amp;$D$5&amp;fieldcreatorv2!C95&amp;$D$6&amp;fieldcreatorv2!C95&amp;$D$7&amp;fieldcreatorv2!BA95&amp;$F$1&amp;fieldcreatorv2!C95&amp;$F$4,"")</f>
        <v/>
      </c>
      <c r="M91" s="165" t="str">
        <f>+IF(AND(fieldcreatorv2!E95="selectlist",A91&lt;&gt;""),"&lt;br/&gt;"&amp;A91&amp;$E$4&amp;A91&amp;$D$5&amp;A91&amp;$E$5,"")</f>
        <v/>
      </c>
      <c r="N91" s="165" t="str">
        <f>+IF(AND(fieldcreatorv2!AU95&lt;&gt;fieldcreatorv2!AU96,fieldcreatorv2!E95="selectlist"),"&lt;/select&gt;","")</f>
        <v/>
      </c>
      <c r="O91" s="165" t="str">
        <f>+IF(fieldcreatorv2!E95="selectlist",M91&amp;$E$6&amp;fieldcreatorv2!C95&amp;$E$7&amp;fieldcreatorv2!AU95&amp;$F$1&amp;fieldcreatorv2!C95&amp;$F$2&amp;fieldcreatorv2!C95&amp;$F$3&amp;N91,"")</f>
        <v/>
      </c>
      <c r="P91" s="165" t="str">
        <f>+IF(fieldcreatorv2!E95="check",$E$1&amp;A91&amp;$D$5&amp;A91&amp;$E$2&amp;A91&amp;$E$3&amp;A91,"")</f>
        <v/>
      </c>
      <c r="Q91" s="165" t="str">
        <f>+IF(AND(R90&lt;&gt;"",fieldcreatorv2!I95="si"),fieldcreatorv2!CS95&amp;I91&amp;J91&amp;fieldcreatorv2!CT95,IF(AND(C91="yes",fieldcreatorv2!I95&lt;&gt;"si"),I91&amp;J91,""))</f>
        <v/>
      </c>
      <c r="R91" s="145" t="str">
        <f>IF(OR(C91=$P$1,AND(R90&lt;&gt;"",fieldcreatorv2!E95="radio",fieldcreatorv2!BA95=fieldcreatorv2!BA94),AND(R90&lt;&gt;"",fieldcreatorv2!E95="selectlist",fieldcreatorv2!AU95=fieldcreatorv2!AU94)),K91&amp;L91&amp;O91&amp;P91,"")&amp;Q91</f>
        <v/>
      </c>
      <c r="S91" s="55" t="str">
        <f>IF(AND(C91=$P$2,fieldcreatorv2!I95&lt;&gt;"si"),fieldcreatorv2!B95&amp;":  "&amp;$F$5&amp;A91&amp;$F$6,"")</f>
        <v/>
      </c>
      <c r="T91" s="253" t="str">
        <f>+IF(fieldcreatorv2!I95="si",$G$4&amp;A91&amp;$G$5,"")&amp;U91</f>
        <v/>
      </c>
      <c r="U91" s="61" t="str">
        <f>+IF(AND(fieldcreatorv2!I95="si",fieldcreatorv2!E94="radio"),+$G$6&amp;fieldcreatorv2!C94&amp;$G$7&amp;fieldcreatorv2!C94&amp;$H$1&amp;$H$2&amp;fieldcreatorv2!C94&amp;$H$3&amp;A91&amp;$H$4,"")</f>
        <v/>
      </c>
      <c r="V91" s="61" t="str">
        <f>+IF(R91&lt;&gt;"",fieldcreatorv2!CY95,"")</f>
        <v/>
      </c>
      <c r="W91" s="55" t="str">
        <f>+IF(OR(fieldcreatorv2!I96="si",AND(W92&lt;&gt;"",fieldcreatorv2!E95="radio")),1,"")</f>
        <v/>
      </c>
      <c r="X91" s="55" t="str">
        <f>+IF(AND(W91=1,W92=""),fieldcreatorv2!C95,IF(AND(W91=1,W92=1),X92,""))</f>
        <v/>
      </c>
      <c r="Y91" s="55" t="str">
        <f>+IF(AND(W90=1,fieldcreatorv2!I95="si"),A91,IF(W91=1,Y92,""))</f>
        <v/>
      </c>
      <c r="Z91" s="254" t="str">
        <f t="shared" si="21"/>
        <v/>
      </c>
      <c r="AA91" s="165" t="str">
        <f t="shared" si="24"/>
        <v/>
      </c>
      <c r="AB91" s="238" t="str">
        <f>+IF(V91&lt;&gt;"",$K$4&amp;fieldcreatorv2!C95&amp;$K$5&amp;fieldcreatorv2!BX95&amp;$K$6&amp;fieldcreatorv2!C96&amp;$K$7,"")</f>
        <v/>
      </c>
      <c r="AC91" s="238" t="str">
        <f>IF(AND(C91="yes",fieldcreatorv2!E95="check"),A91&amp;$L$1&amp;A91&amp;$L$2,"")</f>
        <v/>
      </c>
      <c r="AD91" s="238" t="str">
        <f>+IF(AND(R91&lt;&gt;"",OR(fieldcreatorv2!E95="date",fieldcreatorv2!E95="bigtext",fieldcreatorv2!E95="texto",AND(fieldcreatorv2!E95="selectlist",A91&lt;&gt;""))),"var "&amp;A91&amp;$L$3&amp;A91&amp;$L$4,"")</f>
        <v/>
      </c>
      <c r="AE91" s="61" t="str">
        <f t="shared" si="25"/>
        <v/>
      </c>
      <c r="AF91" s="12">
        <f t="shared" si="26"/>
        <v>0</v>
      </c>
      <c r="AG91" s="12">
        <f t="shared" si="22"/>
        <v>0</v>
      </c>
      <c r="AH91" s="12" t="str">
        <f t="shared" si="28"/>
        <v/>
      </c>
      <c r="AI91" s="61" t="str">
        <f t="shared" si="20"/>
        <v/>
      </c>
      <c r="AJ91" s="55" t="str">
        <f t="shared" si="29"/>
        <v/>
      </c>
      <c r="AK91" s="38" t="str">
        <f t="shared" si="23"/>
        <v/>
      </c>
      <c r="AL91" s="55" t="str">
        <f t="shared" si="27"/>
        <v/>
      </c>
    </row>
    <row r="92" spans="1:38">
      <c r="A92" s="216" t="str">
        <f>IF(fieldcreatorv2!BX96&lt;&gt;"",fieldcreatorv2!BX96,"")</f>
        <v/>
      </c>
      <c r="B92" s="255"/>
      <c r="C92" s="255"/>
      <c r="D92" s="165" t="str">
        <f>+IF(AND(B92="y",A92&lt;&gt;"",fieldcreatorv2!I96&lt;&gt;"si"),$A$1&amp;A92&amp;$A$2,"")</f>
        <v/>
      </c>
      <c r="E92" s="165" t="str">
        <f>+IF(AND(A92&lt;&gt;"",B92="y"),fieldcreatorv2!E96,"")</f>
        <v/>
      </c>
      <c r="F92" s="165" t="str">
        <f t="shared" si="19"/>
        <v/>
      </c>
      <c r="G92" s="55" t="str">
        <f>+IF(fieldcreatorv2!I96="si",$F$7&amp;fieldcreatorv2!BA95&amp;$F$1&amp;fieldcreatorv2!C95&amp;$G$1&amp;fieldcreatorv2!BA95&amp;$G$2&amp;A92&amp;$G$3,"")</f>
        <v/>
      </c>
      <c r="H92" s="145" t="str">
        <f>+IF(AND(A92&lt;&gt;"",B92="y",fieldcreatorv2!I96&lt;&gt;"si"),+$B$4&amp;A92&amp;$B$5,"")</f>
        <v/>
      </c>
      <c r="I92" s="252" t="str">
        <f>+IF(AND(fieldcreatorv2!E96="bigtext"),"&lt;br/&gt;"&amp;fieldcreatorv2!B96&amp;$C$2&amp;A92&amp;$C$3&amp;A92&amp;$C$4,"")</f>
        <v/>
      </c>
      <c r="J92" s="165" t="str">
        <f>+IF(fieldcreatorv2!E96="texto",fieldcreatorv2!B96&amp;": "&amp;$C$5&amp;A92&amp;$C$6&amp;A92&amp;$C$7,"")</f>
        <v/>
      </c>
      <c r="K92" s="165" t="str">
        <f>+IF(AND(fieldcreatorv2!E96="date",C92="yes"),fieldcreatorv2!B96&amp;": "&amp;$D$1&amp;A92&amp;$D$2&amp;A92&amp;$D$3,"")</f>
        <v/>
      </c>
      <c r="L92" s="165" t="str">
        <f>+IF(fieldcreatorv2!E96="radio",fieldcreatorv2!B96&amp;" &lt;br/&gt;"&amp;fieldcreatorv2!C96&amp;$D$4&amp;fieldcreatorv2!BA96&amp;$D$5&amp;fieldcreatorv2!C96&amp;$D$6&amp;fieldcreatorv2!C96&amp;$D$7&amp;fieldcreatorv2!BA96&amp;$F$1&amp;fieldcreatorv2!C96&amp;$F$4,"")</f>
        <v/>
      </c>
      <c r="M92" s="165" t="str">
        <f>+IF(AND(fieldcreatorv2!E96="selectlist",A92&lt;&gt;""),"&lt;br/&gt;"&amp;A92&amp;$E$4&amp;A92&amp;$D$5&amp;A92&amp;$E$5,"")</f>
        <v/>
      </c>
      <c r="N92" s="165" t="str">
        <f>+IF(AND(fieldcreatorv2!AU96&lt;&gt;fieldcreatorv2!AU97,fieldcreatorv2!E96="selectlist"),"&lt;/select&gt;","")</f>
        <v/>
      </c>
      <c r="O92" s="165" t="str">
        <f>+IF(fieldcreatorv2!E96="selectlist",M92&amp;$E$6&amp;fieldcreatorv2!C96&amp;$E$7&amp;fieldcreatorv2!AU96&amp;$F$1&amp;fieldcreatorv2!C96&amp;$F$2&amp;fieldcreatorv2!C96&amp;$F$3&amp;N92,"")</f>
        <v/>
      </c>
      <c r="P92" s="165" t="str">
        <f>+IF(fieldcreatorv2!E96="check",$E$1&amp;A92&amp;$D$5&amp;A92&amp;$E$2&amp;A92&amp;$E$3&amp;A92,"")</f>
        <v/>
      </c>
      <c r="Q92" s="165" t="str">
        <f>+IF(AND(R91&lt;&gt;"",fieldcreatorv2!I96="si"),fieldcreatorv2!CS96&amp;I92&amp;J92&amp;fieldcreatorv2!CT96,IF(AND(C92="yes",fieldcreatorv2!I96&lt;&gt;"si"),I92&amp;J92,""))</f>
        <v/>
      </c>
      <c r="R92" s="145" t="str">
        <f>IF(OR(C92=$P$1,AND(R91&lt;&gt;"",fieldcreatorv2!E96="radio",fieldcreatorv2!BA96=fieldcreatorv2!BA95),AND(R91&lt;&gt;"",fieldcreatorv2!E96="selectlist",fieldcreatorv2!AU96=fieldcreatorv2!AU95)),K92&amp;L92&amp;O92&amp;P92,"")&amp;Q92</f>
        <v/>
      </c>
      <c r="S92" s="55" t="str">
        <f>IF(AND(C92=$P$2,fieldcreatorv2!I96&lt;&gt;"si"),fieldcreatorv2!B96&amp;":  "&amp;$F$5&amp;A92&amp;$F$6,"")</f>
        <v/>
      </c>
      <c r="T92" s="253" t="str">
        <f>+IF(fieldcreatorv2!I96="si",$G$4&amp;A92&amp;$G$5,"")&amp;U92</f>
        <v/>
      </c>
      <c r="U92" s="61" t="str">
        <f>+IF(AND(fieldcreatorv2!I96="si",fieldcreatorv2!E95="radio"),+$G$6&amp;fieldcreatorv2!C95&amp;$G$7&amp;fieldcreatorv2!C95&amp;$H$1&amp;$H$2&amp;fieldcreatorv2!C95&amp;$H$3&amp;A92&amp;$H$4,"")</f>
        <v/>
      </c>
      <c r="V92" s="61" t="str">
        <f>+IF(R92&lt;&gt;"",fieldcreatorv2!CY96,"")</f>
        <v/>
      </c>
      <c r="W92" s="55" t="str">
        <f>+IF(OR(fieldcreatorv2!I97="si",AND(W93&lt;&gt;"",fieldcreatorv2!E96="radio")),1,"")</f>
        <v/>
      </c>
      <c r="X92" s="55" t="str">
        <f>+IF(AND(W92=1,W93=""),fieldcreatorv2!C96,IF(AND(W92=1,W93=1),X93,""))</f>
        <v/>
      </c>
      <c r="Y92" s="55" t="str">
        <f>+IF(AND(W91=1,fieldcreatorv2!I96="si"),A92,IF(W92=1,Y93,""))</f>
        <v/>
      </c>
      <c r="Z92" s="254" t="str">
        <f t="shared" si="21"/>
        <v/>
      </c>
      <c r="AA92" s="165" t="str">
        <f t="shared" si="24"/>
        <v/>
      </c>
      <c r="AB92" s="238" t="str">
        <f>+IF(V92&lt;&gt;"",$K$4&amp;fieldcreatorv2!C96&amp;$K$5&amp;fieldcreatorv2!BX96&amp;$K$6&amp;fieldcreatorv2!C97&amp;$K$7,"")</f>
        <v/>
      </c>
      <c r="AC92" s="238" t="str">
        <f>IF(AND(C92="yes",fieldcreatorv2!E96="check"),A92&amp;$L$1&amp;A92&amp;$L$2,"")</f>
        <v/>
      </c>
      <c r="AD92" s="238" t="str">
        <f>+IF(AND(R92&lt;&gt;"",OR(fieldcreatorv2!E96="date",fieldcreatorv2!E96="bigtext",fieldcreatorv2!E96="texto",AND(fieldcreatorv2!E96="selectlist",A92&lt;&gt;""))),"var "&amp;A92&amp;$L$3&amp;A92&amp;$L$4,"")</f>
        <v/>
      </c>
      <c r="AE92" s="61" t="str">
        <f t="shared" si="25"/>
        <v/>
      </c>
      <c r="AF92" s="12">
        <f t="shared" si="26"/>
        <v>0</v>
      </c>
      <c r="AG92" s="12">
        <f t="shared" si="22"/>
        <v>0</v>
      </c>
      <c r="AH92" s="12" t="str">
        <f t="shared" si="28"/>
        <v/>
      </c>
      <c r="AI92" s="61" t="str">
        <f t="shared" si="20"/>
        <v/>
      </c>
      <c r="AJ92" s="55" t="str">
        <f t="shared" si="29"/>
        <v/>
      </c>
      <c r="AK92" s="38" t="str">
        <f t="shared" si="23"/>
        <v/>
      </c>
      <c r="AL92" s="55" t="str">
        <f t="shared" si="27"/>
        <v/>
      </c>
    </row>
    <row r="93" spans="1:38">
      <c r="A93" s="216" t="str">
        <f>IF(fieldcreatorv2!BX97&lt;&gt;"",fieldcreatorv2!BX97,"")</f>
        <v/>
      </c>
      <c r="B93" s="255"/>
      <c r="C93" s="255"/>
      <c r="D93" s="165" t="str">
        <f>+IF(AND(B93="y",A93&lt;&gt;"",fieldcreatorv2!I97&lt;&gt;"si"),$A$1&amp;A93&amp;$A$2,"")</f>
        <v/>
      </c>
      <c r="E93" s="165" t="str">
        <f>+IF(AND(A93&lt;&gt;"",B93="y"),fieldcreatorv2!E97,"")</f>
        <v/>
      </c>
      <c r="F93" s="165" t="str">
        <f t="shared" si="19"/>
        <v/>
      </c>
      <c r="G93" s="55" t="str">
        <f>+IF(fieldcreatorv2!I97="si",$F$7&amp;fieldcreatorv2!BA96&amp;$F$1&amp;fieldcreatorv2!C96&amp;$G$1&amp;fieldcreatorv2!BA96&amp;$G$2&amp;A93&amp;$G$3,"")</f>
        <v/>
      </c>
      <c r="H93" s="145" t="str">
        <f>+IF(AND(A93&lt;&gt;"",B93="y",fieldcreatorv2!I97&lt;&gt;"si"),+$B$4&amp;A93&amp;$B$5,"")</f>
        <v/>
      </c>
      <c r="I93" s="252" t="str">
        <f>+IF(AND(fieldcreatorv2!E97="bigtext"),"&lt;br/&gt;"&amp;fieldcreatorv2!B97&amp;$C$2&amp;A93&amp;$C$3&amp;A93&amp;$C$4,"")</f>
        <v/>
      </c>
      <c r="J93" s="165" t="str">
        <f>+IF(fieldcreatorv2!E97="texto",fieldcreatorv2!B97&amp;": "&amp;$C$5&amp;A93&amp;$C$6&amp;A93&amp;$C$7,"")</f>
        <v/>
      </c>
      <c r="K93" s="165" t="str">
        <f>+IF(AND(fieldcreatorv2!E97="date",C93="yes"),fieldcreatorv2!B97&amp;": "&amp;$D$1&amp;A93&amp;$D$2&amp;A93&amp;$D$3,"")</f>
        <v/>
      </c>
      <c r="L93" s="165" t="str">
        <f>+IF(fieldcreatorv2!E97="radio",fieldcreatorv2!B97&amp;" &lt;br/&gt;"&amp;fieldcreatorv2!C97&amp;$D$4&amp;fieldcreatorv2!BA97&amp;$D$5&amp;fieldcreatorv2!C97&amp;$D$6&amp;fieldcreatorv2!C97&amp;$D$7&amp;fieldcreatorv2!BA97&amp;$F$1&amp;fieldcreatorv2!C97&amp;$F$4,"")</f>
        <v/>
      </c>
      <c r="M93" s="165" t="str">
        <f>+IF(AND(fieldcreatorv2!E97="selectlist",A93&lt;&gt;""),"&lt;br/&gt;"&amp;A93&amp;$E$4&amp;A93&amp;$D$5&amp;A93&amp;$E$5,"")</f>
        <v/>
      </c>
      <c r="N93" s="165" t="str">
        <f>+IF(AND(fieldcreatorv2!AU97&lt;&gt;fieldcreatorv2!AU98,fieldcreatorv2!E97="selectlist"),"&lt;/select&gt;","")</f>
        <v/>
      </c>
      <c r="O93" s="165" t="str">
        <f>+IF(fieldcreatorv2!E97="selectlist",M93&amp;$E$6&amp;fieldcreatorv2!C97&amp;$E$7&amp;fieldcreatorv2!AU97&amp;$F$1&amp;fieldcreatorv2!C97&amp;$F$2&amp;fieldcreatorv2!C97&amp;$F$3&amp;N93,"")</f>
        <v/>
      </c>
      <c r="P93" s="165" t="str">
        <f>+IF(fieldcreatorv2!E97="check",$E$1&amp;A93&amp;$D$5&amp;A93&amp;$E$2&amp;A93&amp;$E$3&amp;A93,"")</f>
        <v/>
      </c>
      <c r="Q93" s="165" t="str">
        <f>+IF(AND(R92&lt;&gt;"",fieldcreatorv2!I97="si"),fieldcreatorv2!CS97&amp;I93&amp;J93&amp;fieldcreatorv2!CT97,IF(AND(C93="yes",fieldcreatorv2!I97&lt;&gt;"si"),I93&amp;J93,""))</f>
        <v/>
      </c>
      <c r="R93" s="145" t="str">
        <f>IF(OR(C93=$P$1,AND(R92&lt;&gt;"",fieldcreatorv2!E97="radio",fieldcreatorv2!BA97=fieldcreatorv2!BA96),AND(R92&lt;&gt;"",fieldcreatorv2!E97="selectlist",fieldcreatorv2!AU97=fieldcreatorv2!AU96)),K93&amp;L93&amp;O93&amp;P93,"")&amp;Q93</f>
        <v/>
      </c>
      <c r="S93" s="55" t="str">
        <f>IF(AND(C93=$P$2,fieldcreatorv2!I97&lt;&gt;"si"),fieldcreatorv2!B97&amp;":  "&amp;$F$5&amp;A93&amp;$F$6,"")</f>
        <v/>
      </c>
      <c r="T93" s="253" t="str">
        <f>+IF(fieldcreatorv2!I97="si",$G$4&amp;A93&amp;$G$5,"")&amp;U93</f>
        <v/>
      </c>
      <c r="U93" s="61" t="str">
        <f>+IF(AND(fieldcreatorv2!I97="si",fieldcreatorv2!E96="radio"),+$G$6&amp;fieldcreatorv2!C96&amp;$G$7&amp;fieldcreatorv2!C96&amp;$H$1&amp;$H$2&amp;fieldcreatorv2!C96&amp;$H$3&amp;A93&amp;$H$4,"")</f>
        <v/>
      </c>
      <c r="V93" s="61" t="str">
        <f>+IF(R93&lt;&gt;"",fieldcreatorv2!CY97,"")</f>
        <v/>
      </c>
      <c r="W93" s="55" t="str">
        <f>+IF(OR(fieldcreatorv2!I98="si",AND(W94&lt;&gt;"",fieldcreatorv2!E97="radio")),1,"")</f>
        <v/>
      </c>
      <c r="X93" s="55" t="str">
        <f>+IF(AND(W93=1,W94=""),fieldcreatorv2!C97,IF(AND(W93=1,W94=1),X94,""))</f>
        <v/>
      </c>
      <c r="Y93" s="55" t="str">
        <f>+IF(AND(W92=1,fieldcreatorv2!I97="si"),A93,IF(W93=1,Y94,""))</f>
        <v/>
      </c>
      <c r="Z93" s="254" t="str">
        <f t="shared" si="21"/>
        <v/>
      </c>
      <c r="AA93" s="165" t="str">
        <f t="shared" si="24"/>
        <v/>
      </c>
      <c r="AB93" s="238" t="str">
        <f>+IF(V93&lt;&gt;"",$K$4&amp;fieldcreatorv2!C97&amp;$K$5&amp;fieldcreatorv2!BX97&amp;$K$6&amp;fieldcreatorv2!C98&amp;$K$7,"")</f>
        <v/>
      </c>
      <c r="AC93" s="238" t="str">
        <f>IF(AND(C93="yes",fieldcreatorv2!E97="check"),A93&amp;$L$1&amp;A93&amp;$L$2,"")</f>
        <v/>
      </c>
      <c r="AD93" s="238" t="str">
        <f>+IF(AND(R93&lt;&gt;"",OR(fieldcreatorv2!E97="date",fieldcreatorv2!E97="bigtext",fieldcreatorv2!E97="texto",AND(fieldcreatorv2!E97="selectlist",A93&lt;&gt;""))),"var "&amp;A93&amp;$L$3&amp;A93&amp;$L$4,"")</f>
        <v/>
      </c>
      <c r="AE93" s="61" t="str">
        <f t="shared" si="25"/>
        <v/>
      </c>
      <c r="AF93" s="12">
        <f t="shared" si="26"/>
        <v>0</v>
      </c>
      <c r="AG93" s="12">
        <f t="shared" si="22"/>
        <v>0</v>
      </c>
      <c r="AH93" s="12" t="str">
        <f t="shared" si="28"/>
        <v/>
      </c>
      <c r="AI93" s="61" t="str">
        <f t="shared" si="20"/>
        <v/>
      </c>
      <c r="AJ93" s="55" t="str">
        <f t="shared" si="29"/>
        <v/>
      </c>
      <c r="AK93" s="38" t="str">
        <f t="shared" si="23"/>
        <v/>
      </c>
      <c r="AL93" s="55" t="str">
        <f t="shared" si="27"/>
        <v/>
      </c>
    </row>
    <row r="94" spans="1:38">
      <c r="A94" s="216" t="str">
        <f>IF(fieldcreatorv2!BX98&lt;&gt;"",fieldcreatorv2!BX98,"")</f>
        <v/>
      </c>
      <c r="B94" s="255"/>
      <c r="C94" s="255"/>
      <c r="D94" s="165" t="str">
        <f>+IF(AND(B94="y",A94&lt;&gt;"",fieldcreatorv2!I98&lt;&gt;"si"),$A$1&amp;A94&amp;$A$2,"")</f>
        <v/>
      </c>
      <c r="E94" s="165" t="str">
        <f>+IF(AND(A94&lt;&gt;"",B94="y"),fieldcreatorv2!E98,"")</f>
        <v/>
      </c>
      <c r="F94" s="165" t="str">
        <f t="shared" si="19"/>
        <v/>
      </c>
      <c r="G94" s="55" t="str">
        <f>+IF(fieldcreatorv2!I98="si",$F$7&amp;fieldcreatorv2!BA97&amp;$F$1&amp;fieldcreatorv2!C97&amp;$G$1&amp;fieldcreatorv2!BA97&amp;$G$2&amp;A94&amp;$G$3,"")</f>
        <v/>
      </c>
      <c r="H94" s="145" t="str">
        <f>+IF(AND(A94&lt;&gt;"",B94="y",fieldcreatorv2!I98&lt;&gt;"si"),+$B$4&amp;A94&amp;$B$5,"")</f>
        <v/>
      </c>
      <c r="I94" s="252" t="str">
        <f>+IF(AND(fieldcreatorv2!E98="bigtext"),"&lt;br/&gt;"&amp;fieldcreatorv2!B98&amp;$C$2&amp;A94&amp;$C$3&amp;A94&amp;$C$4,"")</f>
        <v/>
      </c>
      <c r="J94" s="165" t="str">
        <f>+IF(fieldcreatorv2!E98="texto",fieldcreatorv2!B98&amp;": "&amp;$C$5&amp;A94&amp;$C$6&amp;A94&amp;$C$7,"")</f>
        <v/>
      </c>
      <c r="K94" s="165" t="str">
        <f>+IF(AND(fieldcreatorv2!E98="date",C94="yes"),fieldcreatorv2!B98&amp;": "&amp;$D$1&amp;A94&amp;$D$2&amp;A94&amp;$D$3,"")</f>
        <v/>
      </c>
      <c r="L94" s="165" t="str">
        <f>+IF(fieldcreatorv2!E98="radio",fieldcreatorv2!B98&amp;" &lt;br/&gt;"&amp;fieldcreatorv2!C98&amp;$D$4&amp;fieldcreatorv2!BA98&amp;$D$5&amp;fieldcreatorv2!C98&amp;$D$6&amp;fieldcreatorv2!C98&amp;$D$7&amp;fieldcreatorv2!BA98&amp;$F$1&amp;fieldcreatorv2!C98&amp;$F$4,"")</f>
        <v/>
      </c>
      <c r="M94" s="165" t="str">
        <f>+IF(AND(fieldcreatorv2!E98="selectlist",A94&lt;&gt;""),"&lt;br/&gt;"&amp;A94&amp;$E$4&amp;A94&amp;$D$5&amp;A94&amp;$E$5,"")</f>
        <v/>
      </c>
      <c r="N94" s="165" t="str">
        <f>+IF(AND(fieldcreatorv2!AU98&lt;&gt;fieldcreatorv2!AU99,fieldcreatorv2!E98="selectlist"),"&lt;/select&gt;","")</f>
        <v/>
      </c>
      <c r="O94" s="165" t="str">
        <f>+IF(fieldcreatorv2!E98="selectlist",M94&amp;$E$6&amp;fieldcreatorv2!C98&amp;$E$7&amp;fieldcreatorv2!AU98&amp;$F$1&amp;fieldcreatorv2!C98&amp;$F$2&amp;fieldcreatorv2!C98&amp;$F$3&amp;N94,"")</f>
        <v/>
      </c>
      <c r="P94" s="165" t="str">
        <f>+IF(fieldcreatorv2!E98="check",$E$1&amp;A94&amp;$D$5&amp;A94&amp;$E$2&amp;A94&amp;$E$3&amp;A94,"")</f>
        <v/>
      </c>
      <c r="Q94" s="165" t="str">
        <f>+IF(AND(R93&lt;&gt;"",fieldcreatorv2!I98="si"),fieldcreatorv2!CS98&amp;I94&amp;J94&amp;fieldcreatorv2!CT98,IF(AND(C94="yes",fieldcreatorv2!I98&lt;&gt;"si"),I94&amp;J94,""))</f>
        <v/>
      </c>
      <c r="R94" s="145" t="str">
        <f>IF(OR(C94=$P$1,AND(R93&lt;&gt;"",fieldcreatorv2!E98="radio",fieldcreatorv2!BA98=fieldcreatorv2!BA97),AND(R93&lt;&gt;"",fieldcreatorv2!E98="selectlist",fieldcreatorv2!AU98=fieldcreatorv2!AU97)),K94&amp;L94&amp;O94&amp;P94,"")&amp;Q94</f>
        <v/>
      </c>
      <c r="S94" s="55" t="str">
        <f>IF(AND(C94=$P$2,fieldcreatorv2!I98&lt;&gt;"si"),fieldcreatorv2!B98&amp;":  "&amp;$F$5&amp;A94&amp;$F$6,"")</f>
        <v/>
      </c>
      <c r="T94" s="253" t="str">
        <f>+IF(fieldcreatorv2!I98="si",$G$4&amp;A94&amp;$G$5,"")&amp;U94</f>
        <v/>
      </c>
      <c r="U94" s="61" t="str">
        <f>+IF(AND(fieldcreatorv2!I98="si",fieldcreatorv2!E97="radio"),+$G$6&amp;fieldcreatorv2!C97&amp;$G$7&amp;fieldcreatorv2!C97&amp;$H$1&amp;$H$2&amp;fieldcreatorv2!C97&amp;$H$3&amp;A94&amp;$H$4,"")</f>
        <v/>
      </c>
      <c r="V94" s="61" t="str">
        <f>+IF(R94&lt;&gt;"",fieldcreatorv2!CY98,"")</f>
        <v/>
      </c>
      <c r="W94" s="55" t="str">
        <f>+IF(OR(fieldcreatorv2!I99="si",AND(W95&lt;&gt;"",fieldcreatorv2!E98="radio")),1,"")</f>
        <v/>
      </c>
      <c r="X94" s="55" t="str">
        <f>+IF(AND(W94=1,W95=""),fieldcreatorv2!C98,IF(AND(W94=1,W95=1),X95,""))</f>
        <v/>
      </c>
      <c r="Y94" s="55" t="str">
        <f>+IF(AND(W93=1,fieldcreatorv2!I98="si"),A94,IF(W94=1,Y95,""))</f>
        <v/>
      </c>
      <c r="Z94" s="254" t="str">
        <f t="shared" si="21"/>
        <v/>
      </c>
      <c r="AA94" s="165" t="str">
        <f t="shared" si="24"/>
        <v/>
      </c>
      <c r="AB94" s="238" t="str">
        <f>+IF(V94&lt;&gt;"",$K$4&amp;fieldcreatorv2!C98&amp;$K$5&amp;fieldcreatorv2!BX98&amp;$K$6&amp;fieldcreatorv2!C99&amp;$K$7,"")</f>
        <v/>
      </c>
      <c r="AC94" s="238" t="str">
        <f>IF(AND(C94="yes",fieldcreatorv2!E98="check"),A94&amp;$L$1&amp;A94&amp;$L$2,"")</f>
        <v/>
      </c>
      <c r="AD94" s="238" t="str">
        <f>+IF(AND(R94&lt;&gt;"",OR(fieldcreatorv2!E98="date",fieldcreatorv2!E98="bigtext",fieldcreatorv2!E98="texto",AND(fieldcreatorv2!E98="selectlist",A94&lt;&gt;""))),"var "&amp;A94&amp;$L$3&amp;A94&amp;$L$4,"")</f>
        <v/>
      </c>
      <c r="AE94" s="61" t="str">
        <f t="shared" si="25"/>
        <v/>
      </c>
      <c r="AF94" s="12">
        <f t="shared" si="26"/>
        <v>0</v>
      </c>
      <c r="AG94" s="12">
        <f t="shared" si="22"/>
        <v>0</v>
      </c>
      <c r="AH94" s="12" t="str">
        <f t="shared" si="28"/>
        <v/>
      </c>
      <c r="AI94" s="61" t="str">
        <f t="shared" si="20"/>
        <v/>
      </c>
      <c r="AJ94" s="55" t="str">
        <f t="shared" si="29"/>
        <v/>
      </c>
      <c r="AK94" s="38" t="str">
        <f t="shared" si="23"/>
        <v/>
      </c>
      <c r="AL94" s="55" t="str">
        <f t="shared" si="27"/>
        <v/>
      </c>
    </row>
    <row r="95" spans="1:38">
      <c r="A95" s="216" t="str">
        <f>IF(fieldcreatorv2!BX99&lt;&gt;"",fieldcreatorv2!BX99,"")</f>
        <v/>
      </c>
      <c r="B95" s="255"/>
      <c r="C95" s="255"/>
      <c r="D95" s="165" t="str">
        <f>+IF(AND(B95="y",A95&lt;&gt;"",fieldcreatorv2!I99&lt;&gt;"si"),$A$1&amp;A95&amp;$A$2,"")</f>
        <v/>
      </c>
      <c r="E95" s="165" t="str">
        <f>+IF(AND(A95&lt;&gt;"",B95="y"),fieldcreatorv2!E99,"")</f>
        <v/>
      </c>
      <c r="F95" s="165" t="str">
        <f t="shared" si="19"/>
        <v/>
      </c>
      <c r="G95" s="55" t="str">
        <f>+IF(fieldcreatorv2!I99="si",$F$7&amp;fieldcreatorv2!BA98&amp;$F$1&amp;fieldcreatorv2!C98&amp;$G$1&amp;fieldcreatorv2!BA98&amp;$G$2&amp;A95&amp;$G$3,"")</f>
        <v/>
      </c>
      <c r="H95" s="145" t="str">
        <f>+IF(AND(A95&lt;&gt;"",B95="y",fieldcreatorv2!I99&lt;&gt;"si"),+$B$4&amp;A95&amp;$B$5,"")</f>
        <v/>
      </c>
      <c r="I95" s="252" t="str">
        <f>+IF(AND(fieldcreatorv2!E99="bigtext"),"&lt;br/&gt;"&amp;fieldcreatorv2!B99&amp;$C$2&amp;A95&amp;$C$3&amp;A95&amp;$C$4,"")</f>
        <v/>
      </c>
      <c r="J95" s="165" t="str">
        <f>+IF(fieldcreatorv2!E99="texto",fieldcreatorv2!B99&amp;": "&amp;$C$5&amp;A95&amp;$C$6&amp;A95&amp;$C$7,"")</f>
        <v/>
      </c>
      <c r="K95" s="165" t="str">
        <f>+IF(AND(fieldcreatorv2!E99="date",C95="yes"),fieldcreatorv2!B99&amp;": "&amp;$D$1&amp;A95&amp;$D$2&amp;A95&amp;$D$3,"")</f>
        <v/>
      </c>
      <c r="L95" s="165" t="str">
        <f>+IF(fieldcreatorv2!E99="radio",fieldcreatorv2!B99&amp;" &lt;br/&gt;"&amp;fieldcreatorv2!C99&amp;$D$4&amp;fieldcreatorv2!BA99&amp;$D$5&amp;fieldcreatorv2!C99&amp;$D$6&amp;fieldcreatorv2!C99&amp;$D$7&amp;fieldcreatorv2!BA99&amp;$F$1&amp;fieldcreatorv2!C99&amp;$F$4,"")</f>
        <v/>
      </c>
      <c r="M95" s="165" t="str">
        <f>+IF(AND(fieldcreatorv2!E99="selectlist",A95&lt;&gt;""),"&lt;br/&gt;"&amp;A95&amp;$E$4&amp;A95&amp;$D$5&amp;A95&amp;$E$5,"")</f>
        <v/>
      </c>
      <c r="N95" s="165" t="str">
        <f>+IF(AND(fieldcreatorv2!AU99&lt;&gt;fieldcreatorv2!AU100,fieldcreatorv2!E99="selectlist"),"&lt;/select&gt;","")</f>
        <v/>
      </c>
      <c r="O95" s="165" t="str">
        <f>+IF(fieldcreatorv2!E99="selectlist",M95&amp;$E$6&amp;fieldcreatorv2!C99&amp;$E$7&amp;fieldcreatorv2!AU99&amp;$F$1&amp;fieldcreatorv2!C99&amp;$F$2&amp;fieldcreatorv2!C99&amp;$F$3&amp;N95,"")</f>
        <v/>
      </c>
      <c r="P95" s="165" t="str">
        <f>+IF(fieldcreatorv2!E99="check",$E$1&amp;A95&amp;$D$5&amp;A95&amp;$E$2&amp;A95&amp;$E$3&amp;A95,"")</f>
        <v/>
      </c>
      <c r="Q95" s="165" t="str">
        <f>+IF(AND(R94&lt;&gt;"",fieldcreatorv2!I99="si"),fieldcreatorv2!CS99&amp;I95&amp;J95&amp;fieldcreatorv2!CT99,IF(AND(C95="yes",fieldcreatorv2!I99&lt;&gt;"si"),I95&amp;J95,""))</f>
        <v/>
      </c>
      <c r="R95" s="145" t="str">
        <f>IF(OR(C95=$P$1,AND(R94&lt;&gt;"",fieldcreatorv2!E99="radio",fieldcreatorv2!BA99=fieldcreatorv2!BA98),AND(R94&lt;&gt;"",fieldcreatorv2!E99="selectlist",fieldcreatorv2!AU99=fieldcreatorv2!AU98)),K95&amp;L95&amp;O95&amp;P95,"")&amp;Q95</f>
        <v/>
      </c>
      <c r="S95" s="55" t="str">
        <f>IF(AND(C95=$P$2,fieldcreatorv2!I99&lt;&gt;"si"),fieldcreatorv2!B99&amp;":  "&amp;$F$5&amp;A95&amp;$F$6,"")</f>
        <v/>
      </c>
      <c r="T95" s="253" t="str">
        <f>+IF(fieldcreatorv2!I99="si",$G$4&amp;A95&amp;$G$5,"")&amp;U95</f>
        <v/>
      </c>
      <c r="U95" s="61" t="str">
        <f>+IF(AND(fieldcreatorv2!I99="si",fieldcreatorv2!E98="radio"),+$G$6&amp;fieldcreatorv2!C98&amp;$G$7&amp;fieldcreatorv2!C98&amp;$H$1&amp;$H$2&amp;fieldcreatorv2!C98&amp;$H$3&amp;A95&amp;$H$4,"")</f>
        <v/>
      </c>
      <c r="V95" s="61" t="str">
        <f>+IF(R95&lt;&gt;"",fieldcreatorv2!CY99,"")</f>
        <v/>
      </c>
      <c r="W95" s="55" t="str">
        <f>+IF(OR(fieldcreatorv2!I100="si",AND(W96&lt;&gt;"",fieldcreatorv2!E99="radio")),1,"")</f>
        <v/>
      </c>
      <c r="X95" s="55" t="str">
        <f>+IF(AND(W95=1,W96=""),fieldcreatorv2!C99,IF(AND(W95=1,W96=1),X96,""))</f>
        <v/>
      </c>
      <c r="Y95" s="55" t="str">
        <f>+IF(AND(W94=1,fieldcreatorv2!I99="si"),A95,IF(W95=1,Y96,""))</f>
        <v/>
      </c>
      <c r="Z95" s="254" t="str">
        <f t="shared" si="21"/>
        <v/>
      </c>
      <c r="AA95" s="165" t="str">
        <f t="shared" si="24"/>
        <v/>
      </c>
      <c r="AB95" s="238" t="str">
        <f>+IF(V95&lt;&gt;"",$K$4&amp;fieldcreatorv2!C99&amp;$K$5&amp;fieldcreatorv2!BX99&amp;$K$6&amp;fieldcreatorv2!C100&amp;$K$7,"")</f>
        <v/>
      </c>
      <c r="AC95" s="238" t="str">
        <f>IF(AND(C95="yes",fieldcreatorv2!E99="check"),A95&amp;$L$1&amp;A95&amp;$L$2,"")</f>
        <v/>
      </c>
      <c r="AD95" s="238" t="str">
        <f>+IF(AND(R95&lt;&gt;"",OR(fieldcreatorv2!E99="date",fieldcreatorv2!E99="bigtext",fieldcreatorv2!E99="texto",AND(fieldcreatorv2!E99="selectlist",A95&lt;&gt;""))),"var "&amp;A95&amp;$L$3&amp;A95&amp;$L$4,"")</f>
        <v/>
      </c>
      <c r="AE95" s="61" t="str">
        <f t="shared" si="25"/>
        <v/>
      </c>
      <c r="AF95" s="12">
        <f t="shared" si="26"/>
        <v>0</v>
      </c>
      <c r="AG95" s="12">
        <f t="shared" si="22"/>
        <v>0</v>
      </c>
      <c r="AH95" s="12" t="str">
        <f t="shared" si="28"/>
        <v/>
      </c>
      <c r="AI95" s="61" t="str">
        <f t="shared" si="20"/>
        <v/>
      </c>
      <c r="AJ95" s="55" t="str">
        <f t="shared" si="29"/>
        <v/>
      </c>
      <c r="AK95" s="38" t="str">
        <f t="shared" si="23"/>
        <v/>
      </c>
      <c r="AL95" s="55" t="str">
        <f t="shared" si="27"/>
        <v/>
      </c>
    </row>
    <row r="96" spans="1:38">
      <c r="A96" s="216" t="str">
        <f>IF(fieldcreatorv2!BX100&lt;&gt;"",fieldcreatorv2!BX100,"")</f>
        <v/>
      </c>
      <c r="B96" s="255"/>
      <c r="C96" s="255"/>
      <c r="D96" s="165" t="str">
        <f>+IF(AND(B96="y",A96&lt;&gt;"",fieldcreatorv2!I100&lt;&gt;"si"),$A$1&amp;A96&amp;$A$2,"")</f>
        <v/>
      </c>
      <c r="E96" s="165" t="str">
        <f>+IF(AND(A96&lt;&gt;"",B96="y"),fieldcreatorv2!E100,"")</f>
        <v/>
      </c>
      <c r="F96" s="165" t="str">
        <f t="shared" si="19"/>
        <v/>
      </c>
      <c r="G96" s="55" t="str">
        <f>+IF(fieldcreatorv2!I100="si",$F$7&amp;fieldcreatorv2!BA99&amp;$F$1&amp;fieldcreatorv2!C99&amp;$G$1&amp;fieldcreatorv2!BA99&amp;$G$2&amp;A96&amp;$G$3,"")</f>
        <v/>
      </c>
      <c r="H96" s="145" t="str">
        <f>+IF(AND(A96&lt;&gt;"",B96="y",fieldcreatorv2!I100&lt;&gt;"si"),+$B$4&amp;A96&amp;$B$5,"")</f>
        <v/>
      </c>
      <c r="I96" s="252" t="str">
        <f>+IF(AND(fieldcreatorv2!E100="bigtext"),"&lt;br/&gt;"&amp;fieldcreatorv2!B100&amp;$C$2&amp;A96&amp;$C$3&amp;A96&amp;$C$4,"")</f>
        <v/>
      </c>
      <c r="J96" s="165" t="str">
        <f>+IF(fieldcreatorv2!E100="texto",fieldcreatorv2!B100&amp;": "&amp;$C$5&amp;A96&amp;$C$6&amp;A96&amp;$C$7,"")</f>
        <v/>
      </c>
      <c r="K96" s="165" t="str">
        <f>+IF(AND(fieldcreatorv2!E100="date",C96="yes"),fieldcreatorv2!B100&amp;": "&amp;$D$1&amp;A96&amp;$D$2&amp;A96&amp;$D$3,"")</f>
        <v/>
      </c>
      <c r="L96" s="165" t="str">
        <f>+IF(fieldcreatorv2!E100="radio",fieldcreatorv2!B100&amp;" &lt;br/&gt;"&amp;fieldcreatorv2!C100&amp;$D$4&amp;fieldcreatorv2!BA100&amp;$D$5&amp;fieldcreatorv2!C100&amp;$D$6&amp;fieldcreatorv2!C100&amp;$D$7&amp;fieldcreatorv2!BA100&amp;$F$1&amp;fieldcreatorv2!C100&amp;$F$4,"")</f>
        <v/>
      </c>
      <c r="M96" s="165" t="str">
        <f>+IF(AND(fieldcreatorv2!E100="selectlist",A96&lt;&gt;""),"&lt;br/&gt;"&amp;A96&amp;$E$4&amp;A96&amp;$D$5&amp;A96&amp;$E$5,"")</f>
        <v/>
      </c>
      <c r="N96" s="165" t="str">
        <f>+IF(AND(fieldcreatorv2!AU100&lt;&gt;fieldcreatorv2!AU101,fieldcreatorv2!E100="selectlist"),"&lt;/select&gt;","")</f>
        <v/>
      </c>
      <c r="O96" s="165" t="str">
        <f>+IF(fieldcreatorv2!E100="selectlist",M96&amp;$E$6&amp;fieldcreatorv2!C100&amp;$E$7&amp;fieldcreatorv2!AU100&amp;$F$1&amp;fieldcreatorv2!C100&amp;$F$2&amp;fieldcreatorv2!C100&amp;$F$3&amp;N96,"")</f>
        <v/>
      </c>
      <c r="P96" s="165" t="str">
        <f>+IF(fieldcreatorv2!E100="check",$E$1&amp;A96&amp;$D$5&amp;A96&amp;$E$2&amp;A96&amp;$E$3&amp;A96,"")</f>
        <v/>
      </c>
      <c r="Q96" s="165" t="str">
        <f>+IF(AND(R95&lt;&gt;"",fieldcreatorv2!I100="si"),fieldcreatorv2!CS100&amp;I96&amp;J96&amp;fieldcreatorv2!CT100,IF(AND(C96="yes",fieldcreatorv2!I100&lt;&gt;"si"),I96&amp;J96,""))</f>
        <v/>
      </c>
      <c r="R96" s="145" t="str">
        <f>IF(OR(C96=$P$1,AND(R95&lt;&gt;"",fieldcreatorv2!E100="radio",fieldcreatorv2!BA100=fieldcreatorv2!BA99),AND(R95&lt;&gt;"",fieldcreatorv2!E100="selectlist",fieldcreatorv2!AU100=fieldcreatorv2!AU99)),K96&amp;L96&amp;O96&amp;P96,"")&amp;Q96</f>
        <v/>
      </c>
      <c r="S96" s="55" t="str">
        <f>IF(AND(C96=$P$2,fieldcreatorv2!I100&lt;&gt;"si"),fieldcreatorv2!B100&amp;":  "&amp;$F$5&amp;A96&amp;$F$6,"")</f>
        <v/>
      </c>
      <c r="T96" s="253" t="str">
        <f>+IF(fieldcreatorv2!I100="si",$G$4&amp;A96&amp;$G$5,"")&amp;U96</f>
        <v/>
      </c>
      <c r="U96" s="61" t="str">
        <f>+IF(AND(fieldcreatorv2!I100="si",fieldcreatorv2!E99="radio"),+$G$6&amp;fieldcreatorv2!C99&amp;$G$7&amp;fieldcreatorv2!C99&amp;$H$1&amp;$H$2&amp;fieldcreatorv2!C99&amp;$H$3&amp;A96&amp;$H$4,"")</f>
        <v/>
      </c>
      <c r="V96" s="61" t="str">
        <f>+IF(R96&lt;&gt;"",fieldcreatorv2!CY100,"")</f>
        <v/>
      </c>
      <c r="W96" s="55" t="str">
        <f>+IF(OR(fieldcreatorv2!I101="si",AND(W97&lt;&gt;"",fieldcreatorv2!E100="radio")),1,"")</f>
        <v/>
      </c>
      <c r="X96" s="55" t="str">
        <f>+IF(AND(W96=1,W97=""),fieldcreatorv2!C100,IF(AND(W96=1,W97=1),X97,""))</f>
        <v/>
      </c>
      <c r="Y96" s="55" t="str">
        <f>+IF(AND(W95=1,fieldcreatorv2!I100="si"),A96,IF(W96=1,Y97,""))</f>
        <v/>
      </c>
      <c r="Z96" s="254" t="str">
        <f t="shared" si="21"/>
        <v/>
      </c>
      <c r="AA96" s="165" t="str">
        <f t="shared" si="24"/>
        <v/>
      </c>
      <c r="AB96" s="238" t="str">
        <f>+IF(V96&lt;&gt;"",$K$4&amp;fieldcreatorv2!C100&amp;$K$5&amp;fieldcreatorv2!BX100&amp;$K$6&amp;fieldcreatorv2!C101&amp;$K$7,"")</f>
        <v/>
      </c>
      <c r="AC96" s="238" t="str">
        <f>IF(AND(C96="yes",fieldcreatorv2!E100="check"),A96&amp;$L$1&amp;A96&amp;$L$2,"")</f>
        <v/>
      </c>
      <c r="AD96" s="238" t="str">
        <f>+IF(AND(R96&lt;&gt;"",OR(fieldcreatorv2!E100="date",fieldcreatorv2!E100="bigtext",fieldcreatorv2!E100="texto",AND(fieldcreatorv2!E100="selectlist",A96&lt;&gt;""))),"var "&amp;A96&amp;$L$3&amp;A96&amp;$L$4,"")</f>
        <v/>
      </c>
      <c r="AE96" s="61" t="str">
        <f t="shared" si="25"/>
        <v/>
      </c>
      <c r="AF96" s="12">
        <f t="shared" si="26"/>
        <v>0</v>
      </c>
      <c r="AG96" s="12">
        <f t="shared" si="22"/>
        <v>0</v>
      </c>
      <c r="AH96" s="12" t="str">
        <f t="shared" si="28"/>
        <v/>
      </c>
      <c r="AI96" s="61" t="str">
        <f t="shared" si="20"/>
        <v/>
      </c>
      <c r="AJ96" s="55" t="str">
        <f t="shared" si="29"/>
        <v/>
      </c>
      <c r="AK96" s="38" t="str">
        <f t="shared" si="23"/>
        <v/>
      </c>
      <c r="AL96" s="55" t="str">
        <f t="shared" si="27"/>
        <v/>
      </c>
    </row>
    <row r="97" spans="1:38">
      <c r="A97" s="216" t="str">
        <f>IF(fieldcreatorv2!BX101&lt;&gt;"",fieldcreatorv2!BX101,"")</f>
        <v/>
      </c>
      <c r="B97" s="255"/>
      <c r="C97" s="255"/>
      <c r="D97" s="165" t="str">
        <f>+IF(AND(B97="y",A97&lt;&gt;"",fieldcreatorv2!I101&lt;&gt;"si"),$A$1&amp;A97&amp;$A$2,"")</f>
        <v/>
      </c>
      <c r="E97" s="165" t="str">
        <f>+IF(AND(A97&lt;&gt;"",B97="y"),fieldcreatorv2!E101,"")</f>
        <v/>
      </c>
      <c r="F97" s="165" t="str">
        <f t="shared" si="19"/>
        <v/>
      </c>
      <c r="G97" s="55" t="str">
        <f>+IF(fieldcreatorv2!I101="si",$F$7&amp;fieldcreatorv2!BA100&amp;$F$1&amp;fieldcreatorv2!C100&amp;$G$1&amp;fieldcreatorv2!BA100&amp;$G$2&amp;A97&amp;$G$3,"")</f>
        <v/>
      </c>
      <c r="H97" s="145" t="str">
        <f>+IF(AND(A97&lt;&gt;"",B97="y",fieldcreatorv2!I101&lt;&gt;"si"),+$B$4&amp;A97&amp;$B$5,"")</f>
        <v/>
      </c>
      <c r="I97" s="252" t="str">
        <f>+IF(AND(fieldcreatorv2!E101="bigtext"),"&lt;br/&gt;"&amp;fieldcreatorv2!B101&amp;$C$2&amp;A97&amp;$C$3&amp;A97&amp;$C$4,"")</f>
        <v/>
      </c>
      <c r="J97" s="165" t="str">
        <f>+IF(fieldcreatorv2!E101="texto",fieldcreatorv2!B101&amp;": "&amp;$C$5&amp;A97&amp;$C$6&amp;A97&amp;$C$7,"")</f>
        <v/>
      </c>
      <c r="K97" s="165" t="str">
        <f>+IF(AND(fieldcreatorv2!E101="date",C97="yes"),fieldcreatorv2!B101&amp;": "&amp;$D$1&amp;A97&amp;$D$2&amp;A97&amp;$D$3,"")</f>
        <v/>
      </c>
      <c r="L97" s="165" t="str">
        <f>+IF(fieldcreatorv2!E101="radio",fieldcreatorv2!B101&amp;" &lt;br/&gt;"&amp;fieldcreatorv2!C101&amp;$D$4&amp;fieldcreatorv2!BA101&amp;$D$5&amp;fieldcreatorv2!C101&amp;$D$6&amp;fieldcreatorv2!C101&amp;$D$7&amp;fieldcreatorv2!BA101&amp;$F$1&amp;fieldcreatorv2!C101&amp;$F$4,"")</f>
        <v/>
      </c>
      <c r="M97" s="165" t="str">
        <f>+IF(AND(fieldcreatorv2!E101="selectlist",A97&lt;&gt;""),"&lt;br/&gt;"&amp;A97&amp;$E$4&amp;A97&amp;$D$5&amp;A97&amp;$E$5,"")</f>
        <v/>
      </c>
      <c r="N97" s="165" t="str">
        <f>+IF(AND(fieldcreatorv2!AU101&lt;&gt;fieldcreatorv2!AU102,fieldcreatorv2!E101="selectlist"),"&lt;/select&gt;","")</f>
        <v/>
      </c>
      <c r="O97" s="165" t="str">
        <f>+IF(fieldcreatorv2!E101="selectlist",M97&amp;$E$6&amp;fieldcreatorv2!C101&amp;$E$7&amp;fieldcreatorv2!AU101&amp;$F$1&amp;fieldcreatorv2!C101&amp;$F$2&amp;fieldcreatorv2!C101&amp;$F$3&amp;N97,"")</f>
        <v/>
      </c>
      <c r="P97" s="165" t="str">
        <f>+IF(fieldcreatorv2!E101="check",$E$1&amp;A97&amp;$D$5&amp;A97&amp;$E$2&amp;A97&amp;$E$3&amp;A97,"")</f>
        <v/>
      </c>
      <c r="Q97" s="165" t="str">
        <f>+IF(AND(R96&lt;&gt;"",fieldcreatorv2!I101="si"),fieldcreatorv2!CS101&amp;I97&amp;J97&amp;fieldcreatorv2!CT101,IF(AND(C97="yes",fieldcreatorv2!I101&lt;&gt;"si"),I97&amp;J97,""))</f>
        <v/>
      </c>
      <c r="R97" s="145" t="str">
        <f>IF(OR(C97=$P$1,AND(R96&lt;&gt;"",fieldcreatorv2!E101="radio",fieldcreatorv2!BA101=fieldcreatorv2!BA100),AND(R96&lt;&gt;"",fieldcreatorv2!E101="selectlist",fieldcreatorv2!AU101=fieldcreatorv2!AU100)),K97&amp;L97&amp;O97&amp;P97,"")&amp;Q97</f>
        <v/>
      </c>
      <c r="S97" s="55" t="str">
        <f>IF(AND(C97=$P$2,fieldcreatorv2!I101&lt;&gt;"si"),fieldcreatorv2!B101&amp;":  "&amp;$F$5&amp;A97&amp;$F$6,"")</f>
        <v/>
      </c>
      <c r="T97" s="253" t="str">
        <f>+IF(fieldcreatorv2!I101="si",$G$4&amp;A97&amp;$G$5,"")&amp;U97</f>
        <v/>
      </c>
      <c r="U97" s="61" t="str">
        <f>+IF(AND(fieldcreatorv2!I101="si",fieldcreatorv2!E100="radio"),+$G$6&amp;fieldcreatorv2!C100&amp;$G$7&amp;fieldcreatorv2!C100&amp;$H$1&amp;$H$2&amp;fieldcreatorv2!C100&amp;$H$3&amp;A97&amp;$H$4,"")</f>
        <v/>
      </c>
      <c r="V97" s="61" t="str">
        <f>+IF(R97&lt;&gt;"",fieldcreatorv2!CY101,"")</f>
        <v/>
      </c>
      <c r="W97" s="55" t="str">
        <f>+IF(OR(fieldcreatorv2!I102="si",AND(W98&lt;&gt;"",fieldcreatorv2!E101="radio")),1,"")</f>
        <v/>
      </c>
      <c r="X97" s="55" t="str">
        <f>+IF(AND(W97=1,W98=""),fieldcreatorv2!C101,IF(AND(W97=1,W98=1),X98,""))</f>
        <v/>
      </c>
      <c r="Y97" s="55" t="str">
        <f>+IF(AND(W96=1,fieldcreatorv2!I101="si"),A97,IF(W97=1,Y98,""))</f>
        <v/>
      </c>
      <c r="Z97" s="254" t="str">
        <f t="shared" si="21"/>
        <v/>
      </c>
      <c r="AA97" s="165" t="str">
        <f t="shared" si="24"/>
        <v/>
      </c>
      <c r="AB97" s="238" t="str">
        <f>+IF(V97&lt;&gt;"",$K$4&amp;fieldcreatorv2!C101&amp;$K$5&amp;fieldcreatorv2!BX101&amp;$K$6&amp;fieldcreatorv2!C102&amp;$K$7,"")</f>
        <v/>
      </c>
      <c r="AC97" s="238" t="str">
        <f>IF(AND(C97="yes",fieldcreatorv2!E101="check"),A97&amp;$L$1&amp;A97&amp;$L$2,"")</f>
        <v/>
      </c>
      <c r="AD97" s="238" t="str">
        <f>+IF(AND(R97&lt;&gt;"",OR(fieldcreatorv2!E101="date",fieldcreatorv2!E101="bigtext",fieldcreatorv2!E101="texto",AND(fieldcreatorv2!E101="selectlist",A97&lt;&gt;""))),"var "&amp;A97&amp;$L$3&amp;A97&amp;$L$4,"")</f>
        <v/>
      </c>
      <c r="AE97" s="61" t="str">
        <f t="shared" si="25"/>
        <v/>
      </c>
      <c r="AF97" s="12">
        <f t="shared" si="26"/>
        <v>0</v>
      </c>
      <c r="AG97" s="12">
        <f t="shared" si="22"/>
        <v>0</v>
      </c>
      <c r="AH97" s="12" t="str">
        <f t="shared" si="28"/>
        <v/>
      </c>
      <c r="AI97" s="61" t="str">
        <f t="shared" si="20"/>
        <v/>
      </c>
      <c r="AJ97" s="55" t="str">
        <f t="shared" si="29"/>
        <v/>
      </c>
      <c r="AK97" s="38" t="str">
        <f t="shared" si="23"/>
        <v/>
      </c>
      <c r="AL97" s="55" t="str">
        <f t="shared" si="27"/>
        <v/>
      </c>
    </row>
    <row r="98" spans="1:38">
      <c r="A98" s="216" t="str">
        <f>IF(fieldcreatorv2!BX102&lt;&gt;"",fieldcreatorv2!BX102,"")</f>
        <v/>
      </c>
      <c r="B98" s="255"/>
      <c r="C98" s="255"/>
      <c r="D98" s="165" t="str">
        <f>+IF(AND(B98="y",A98&lt;&gt;"",fieldcreatorv2!I102&lt;&gt;"si"),$A$1&amp;A98&amp;$A$2,"")</f>
        <v/>
      </c>
      <c r="E98" s="165" t="str">
        <f>+IF(AND(A98&lt;&gt;"",B98="y"),fieldcreatorv2!E102,"")</f>
        <v/>
      </c>
      <c r="F98" s="165" t="str">
        <f t="shared" si="19"/>
        <v/>
      </c>
      <c r="G98" s="55" t="str">
        <f>+IF(fieldcreatorv2!I102="si",$F$7&amp;fieldcreatorv2!BA101&amp;$F$1&amp;fieldcreatorv2!C101&amp;$G$1&amp;fieldcreatorv2!BA101&amp;$G$2&amp;A98&amp;$G$3,"")</f>
        <v/>
      </c>
      <c r="H98" s="145" t="str">
        <f>+IF(AND(A98&lt;&gt;"",B98="y",fieldcreatorv2!I102&lt;&gt;"si"),+$B$4&amp;A98&amp;$B$5,"")</f>
        <v/>
      </c>
      <c r="I98" s="252" t="str">
        <f>+IF(AND(fieldcreatorv2!E102="bigtext"),"&lt;br/&gt;"&amp;fieldcreatorv2!B102&amp;$C$2&amp;A98&amp;$C$3&amp;A98&amp;$C$4,"")</f>
        <v/>
      </c>
      <c r="J98" s="165" t="str">
        <f>+IF(fieldcreatorv2!E102="texto",fieldcreatorv2!B102&amp;": "&amp;$C$5&amp;A98&amp;$C$6&amp;A98&amp;$C$7,"")</f>
        <v/>
      </c>
      <c r="K98" s="165" t="str">
        <f>+IF(AND(fieldcreatorv2!E102="date",C98="yes"),fieldcreatorv2!B102&amp;": "&amp;$D$1&amp;A98&amp;$D$2&amp;A98&amp;$D$3,"")</f>
        <v/>
      </c>
      <c r="L98" s="165" t="str">
        <f>+IF(fieldcreatorv2!E102="radio",fieldcreatorv2!B102&amp;" &lt;br/&gt;"&amp;fieldcreatorv2!C102&amp;$D$4&amp;fieldcreatorv2!BA102&amp;$D$5&amp;fieldcreatorv2!C102&amp;$D$6&amp;fieldcreatorv2!C102&amp;$D$7&amp;fieldcreatorv2!BA102&amp;$F$1&amp;fieldcreatorv2!C102&amp;$F$4,"")</f>
        <v/>
      </c>
      <c r="M98" s="165" t="str">
        <f>+IF(AND(fieldcreatorv2!E102="selectlist",A98&lt;&gt;""),"&lt;br/&gt;"&amp;A98&amp;$E$4&amp;A98&amp;$D$5&amp;A98&amp;$E$5,"")</f>
        <v/>
      </c>
      <c r="N98" s="165" t="str">
        <f>+IF(AND(fieldcreatorv2!AU102&lt;&gt;fieldcreatorv2!AU103,fieldcreatorv2!E102="selectlist"),"&lt;/select&gt;","")</f>
        <v/>
      </c>
      <c r="O98" s="165" t="str">
        <f>+IF(fieldcreatorv2!E102="selectlist",M98&amp;$E$6&amp;fieldcreatorv2!C102&amp;$E$7&amp;fieldcreatorv2!AU102&amp;$F$1&amp;fieldcreatorv2!C102&amp;$F$2&amp;fieldcreatorv2!C102&amp;$F$3&amp;N98,"")</f>
        <v/>
      </c>
      <c r="P98" s="165" t="str">
        <f>+IF(fieldcreatorv2!E102="check",$E$1&amp;A98&amp;$D$5&amp;A98&amp;$E$2&amp;A98&amp;$E$3&amp;A98,"")</f>
        <v/>
      </c>
      <c r="Q98" s="165" t="str">
        <f>+IF(AND(R97&lt;&gt;"",fieldcreatorv2!I102="si"),fieldcreatorv2!CS102&amp;I98&amp;J98&amp;fieldcreatorv2!CT102,IF(AND(C98="yes",fieldcreatorv2!I102&lt;&gt;"si"),I98&amp;J98,""))</f>
        <v/>
      </c>
      <c r="R98" s="145" t="str">
        <f>IF(OR(C98=$P$1,AND(R97&lt;&gt;"",fieldcreatorv2!E102="radio",fieldcreatorv2!BA102=fieldcreatorv2!BA101),AND(R97&lt;&gt;"",fieldcreatorv2!E102="selectlist",fieldcreatorv2!AU102=fieldcreatorv2!AU101)),K98&amp;L98&amp;O98&amp;P98,"")&amp;Q98</f>
        <v/>
      </c>
      <c r="S98" s="55" t="str">
        <f>IF(AND(C98=$P$2,fieldcreatorv2!I102&lt;&gt;"si"),fieldcreatorv2!B102&amp;":  "&amp;$F$5&amp;A98&amp;$F$6,"")</f>
        <v/>
      </c>
      <c r="T98" s="253" t="str">
        <f>+IF(fieldcreatorv2!I102="si",$G$4&amp;A98&amp;$G$5,"")&amp;U98</f>
        <v/>
      </c>
      <c r="U98" s="61" t="str">
        <f>+IF(AND(fieldcreatorv2!I102="si",fieldcreatorv2!E101="radio"),+$G$6&amp;fieldcreatorv2!C101&amp;$G$7&amp;fieldcreatorv2!C101&amp;$H$1&amp;$H$2&amp;fieldcreatorv2!C101&amp;$H$3&amp;A98&amp;$H$4,"")</f>
        <v/>
      </c>
      <c r="V98" s="61" t="str">
        <f>+IF(R98&lt;&gt;"",fieldcreatorv2!CY102,"")</f>
        <v/>
      </c>
      <c r="W98" s="55" t="str">
        <f>+IF(OR(fieldcreatorv2!I103="si",AND(W99&lt;&gt;"",fieldcreatorv2!E102="radio")),1,"")</f>
        <v/>
      </c>
      <c r="X98" s="55" t="str">
        <f>+IF(AND(W98=1,W99=""),fieldcreatorv2!C102,IF(AND(W98=1,W99=1),X99,""))</f>
        <v/>
      </c>
      <c r="Y98" s="55" t="str">
        <f>+IF(AND(W97=1,fieldcreatorv2!I102="si"),A98,IF(W98=1,Y99,""))</f>
        <v/>
      </c>
      <c r="Z98" s="254" t="str">
        <f t="shared" si="21"/>
        <v/>
      </c>
      <c r="AA98" s="165" t="str">
        <f t="shared" si="24"/>
        <v/>
      </c>
      <c r="AB98" s="238" t="str">
        <f>+IF(V98&lt;&gt;"",$K$4&amp;fieldcreatorv2!C102&amp;$K$5&amp;fieldcreatorv2!BX102&amp;$K$6&amp;fieldcreatorv2!C103&amp;$K$7,"")</f>
        <v/>
      </c>
      <c r="AC98" s="238" t="str">
        <f>IF(AND(C98="yes",fieldcreatorv2!E102="check"),A98&amp;$L$1&amp;A98&amp;$L$2,"")</f>
        <v/>
      </c>
      <c r="AD98" s="238" t="str">
        <f>+IF(AND(R98&lt;&gt;"",OR(fieldcreatorv2!E102="date",fieldcreatorv2!E102="bigtext",fieldcreatorv2!E102="texto",AND(fieldcreatorv2!E102="selectlist",A98&lt;&gt;""))),"var "&amp;A98&amp;$L$3&amp;A98&amp;$L$4,"")</f>
        <v/>
      </c>
      <c r="AE98" s="61" t="str">
        <f t="shared" si="25"/>
        <v/>
      </c>
      <c r="AF98" s="12">
        <f t="shared" si="26"/>
        <v>0</v>
      </c>
      <c r="AG98" s="12">
        <f t="shared" si="22"/>
        <v>0</v>
      </c>
      <c r="AH98" s="12" t="str">
        <f t="shared" si="28"/>
        <v/>
      </c>
      <c r="AI98" s="61" t="str">
        <f t="shared" si="20"/>
        <v/>
      </c>
      <c r="AJ98" s="55" t="str">
        <f t="shared" si="29"/>
        <v/>
      </c>
      <c r="AK98" s="38" t="str">
        <f t="shared" si="23"/>
        <v/>
      </c>
      <c r="AL98" s="55" t="str">
        <f t="shared" si="27"/>
        <v/>
      </c>
    </row>
    <row r="99" spans="1:38">
      <c r="A99" s="216" t="str">
        <f>IF(fieldcreatorv2!BX103&lt;&gt;"",fieldcreatorv2!BX103,"")</f>
        <v/>
      </c>
      <c r="B99" s="255"/>
      <c r="C99" s="255"/>
      <c r="D99" s="165" t="str">
        <f>+IF(AND(B99="y",A99&lt;&gt;"",fieldcreatorv2!I103&lt;&gt;"si"),$A$1&amp;A99&amp;$A$2,"")</f>
        <v/>
      </c>
      <c r="E99" s="165" t="str">
        <f>+IF(AND(A99&lt;&gt;"",B99="y"),fieldcreatorv2!E103,"")</f>
        <v/>
      </c>
      <c r="F99" s="165" t="str">
        <f t="shared" si="19"/>
        <v/>
      </c>
      <c r="G99" s="55" t="str">
        <f>+IF(fieldcreatorv2!I103="si",$F$7&amp;fieldcreatorv2!BA102&amp;$F$1&amp;fieldcreatorv2!C102&amp;$G$1&amp;fieldcreatorv2!BA102&amp;$G$2&amp;A99&amp;$G$3,"")</f>
        <v/>
      </c>
      <c r="H99" s="145" t="str">
        <f>+IF(AND(A99&lt;&gt;"",B99="y",fieldcreatorv2!I103&lt;&gt;"si"),+$B$4&amp;A99&amp;$B$5,"")</f>
        <v/>
      </c>
      <c r="I99" s="252" t="str">
        <f>+IF(AND(fieldcreatorv2!E103="bigtext"),"&lt;br/&gt;"&amp;fieldcreatorv2!B103&amp;$C$2&amp;A99&amp;$C$3&amp;A99&amp;$C$4,"")</f>
        <v/>
      </c>
      <c r="J99" s="165" t="str">
        <f>+IF(fieldcreatorv2!E103="texto",fieldcreatorv2!B103&amp;": "&amp;$C$5&amp;A99&amp;$C$6&amp;A99&amp;$C$7,"")</f>
        <v/>
      </c>
      <c r="K99" s="165" t="str">
        <f>+IF(AND(fieldcreatorv2!E103="date",C99="yes"),fieldcreatorv2!B103&amp;": "&amp;$D$1&amp;A99&amp;$D$2&amp;A99&amp;$D$3,"")</f>
        <v/>
      </c>
      <c r="L99" s="165" t="str">
        <f>+IF(fieldcreatorv2!E103="radio",fieldcreatorv2!B103&amp;" &lt;br/&gt;"&amp;fieldcreatorv2!C103&amp;$D$4&amp;fieldcreatorv2!BA103&amp;$D$5&amp;fieldcreatorv2!C103&amp;$D$6&amp;fieldcreatorv2!C103&amp;$D$7&amp;fieldcreatorv2!BA103&amp;$F$1&amp;fieldcreatorv2!C103&amp;$F$4,"")</f>
        <v/>
      </c>
      <c r="M99" s="165" t="str">
        <f>+IF(AND(fieldcreatorv2!E103="selectlist",A99&lt;&gt;""),"&lt;br/&gt;"&amp;A99&amp;$E$4&amp;A99&amp;$D$5&amp;A99&amp;$E$5,"")</f>
        <v/>
      </c>
      <c r="N99" s="165" t="str">
        <f>+IF(AND(fieldcreatorv2!AU103&lt;&gt;fieldcreatorv2!AU104,fieldcreatorv2!E103="selectlist"),"&lt;/select&gt;","")</f>
        <v/>
      </c>
      <c r="O99" s="165" t="str">
        <f>+IF(fieldcreatorv2!E103="selectlist",M99&amp;$E$6&amp;fieldcreatorv2!C103&amp;$E$7&amp;fieldcreatorv2!AU103&amp;$F$1&amp;fieldcreatorv2!C103&amp;$F$2&amp;fieldcreatorv2!C103&amp;$F$3&amp;N99,"")</f>
        <v/>
      </c>
      <c r="P99" s="165" t="str">
        <f>+IF(fieldcreatorv2!E103="check",$E$1&amp;A99&amp;$D$5&amp;A99&amp;$E$2&amp;A99&amp;$E$3&amp;A99,"")</f>
        <v/>
      </c>
      <c r="Q99" s="165" t="str">
        <f>+IF(AND(R98&lt;&gt;"",fieldcreatorv2!I103="si"),fieldcreatorv2!CS103&amp;I99&amp;J99&amp;fieldcreatorv2!CT103,IF(AND(C99="yes",fieldcreatorv2!I103&lt;&gt;"si"),I99&amp;J99,""))</f>
        <v/>
      </c>
      <c r="R99" s="145" t="str">
        <f>IF(OR(C99=$P$1,AND(R98&lt;&gt;"",fieldcreatorv2!E103="radio",fieldcreatorv2!BA103=fieldcreatorv2!BA102),AND(R98&lt;&gt;"",fieldcreatorv2!E103="selectlist",fieldcreatorv2!AU103=fieldcreatorv2!AU102)),K99&amp;L99&amp;O99&amp;P99,"")&amp;Q99</f>
        <v/>
      </c>
      <c r="S99" s="55" t="str">
        <f>IF(AND(C99=$P$2,fieldcreatorv2!I103&lt;&gt;"si"),fieldcreatorv2!B103&amp;":  "&amp;$F$5&amp;A99&amp;$F$6,"")</f>
        <v/>
      </c>
      <c r="T99" s="253" t="str">
        <f>+IF(fieldcreatorv2!I103="si",$G$4&amp;A99&amp;$G$5,"")&amp;U99</f>
        <v/>
      </c>
      <c r="U99" s="61" t="str">
        <f>+IF(AND(fieldcreatorv2!I103="si",fieldcreatorv2!E102="radio"),+$G$6&amp;fieldcreatorv2!C102&amp;$G$7&amp;fieldcreatorv2!C102&amp;$H$1&amp;$H$2&amp;fieldcreatorv2!C102&amp;$H$3&amp;A99&amp;$H$4,"")</f>
        <v/>
      </c>
      <c r="V99" s="61" t="str">
        <f>+IF(R99&lt;&gt;"",fieldcreatorv2!CY103,"")</f>
        <v/>
      </c>
      <c r="W99" s="55" t="str">
        <f>+IF(OR(fieldcreatorv2!I104="si",AND(W100&lt;&gt;"",fieldcreatorv2!E103="radio")),1,"")</f>
        <v/>
      </c>
      <c r="X99" s="55" t="str">
        <f>+IF(AND(W99=1,W100=""),fieldcreatorv2!C103,IF(AND(W99=1,W100=1),X100,""))</f>
        <v/>
      </c>
      <c r="Y99" s="55" t="str">
        <f>+IF(AND(W98=1,fieldcreatorv2!I103="si"),A99,IF(W99=1,Y100,""))</f>
        <v/>
      </c>
      <c r="Z99" s="254" t="str">
        <f t="shared" si="21"/>
        <v/>
      </c>
      <c r="AA99" s="165" t="str">
        <f t="shared" si="24"/>
        <v/>
      </c>
      <c r="AB99" s="238" t="str">
        <f>+IF(V99&lt;&gt;"",$K$4&amp;fieldcreatorv2!C103&amp;$K$5&amp;fieldcreatorv2!BX103&amp;$K$6&amp;fieldcreatorv2!C104&amp;$K$7,"")</f>
        <v/>
      </c>
      <c r="AC99" s="238" t="str">
        <f>IF(AND(C99="yes",fieldcreatorv2!E103="check"),A99&amp;$L$1&amp;A99&amp;$L$2,"")</f>
        <v/>
      </c>
      <c r="AD99" s="238" t="str">
        <f>+IF(AND(R99&lt;&gt;"",OR(fieldcreatorv2!E103="date",fieldcreatorv2!E103="bigtext",fieldcreatorv2!E103="texto",AND(fieldcreatorv2!E103="selectlist",A99&lt;&gt;""))),"var "&amp;A99&amp;$L$3&amp;A99&amp;$L$4,"")</f>
        <v/>
      </c>
      <c r="AE99" s="61" t="str">
        <f t="shared" si="25"/>
        <v/>
      </c>
      <c r="AF99" s="12">
        <f t="shared" si="26"/>
        <v>0</v>
      </c>
      <c r="AG99" s="12">
        <f t="shared" si="22"/>
        <v>0</v>
      </c>
      <c r="AH99" s="12" t="str">
        <f t="shared" si="28"/>
        <v/>
      </c>
      <c r="AI99" s="61" t="str">
        <f t="shared" si="20"/>
        <v/>
      </c>
      <c r="AJ99" s="55" t="str">
        <f t="shared" si="29"/>
        <v/>
      </c>
      <c r="AK99" s="38" t="str">
        <f t="shared" si="23"/>
        <v/>
      </c>
      <c r="AL99" s="55" t="str">
        <f t="shared" si="27"/>
        <v/>
      </c>
    </row>
    <row r="100" spans="1:38">
      <c r="A100" s="216" t="str">
        <f>IF(fieldcreatorv2!BX104&lt;&gt;"",fieldcreatorv2!BX104,"")</f>
        <v/>
      </c>
      <c r="B100" s="255"/>
      <c r="C100" s="255"/>
      <c r="D100" s="165" t="str">
        <f>+IF(AND(B100="y",A100&lt;&gt;"",fieldcreatorv2!I104&lt;&gt;"si"),$A$1&amp;A100&amp;$A$2,"")</f>
        <v/>
      </c>
      <c r="E100" s="165" t="str">
        <f>+IF(AND(A100&lt;&gt;"",B100="y"),fieldcreatorv2!E104,"")</f>
        <v/>
      </c>
      <c r="F100" s="165" t="str">
        <f t="shared" si="19"/>
        <v/>
      </c>
      <c r="G100" s="55" t="str">
        <f>+IF(fieldcreatorv2!I104="si",$F$7&amp;fieldcreatorv2!BA103&amp;$F$1&amp;fieldcreatorv2!C103&amp;$G$1&amp;fieldcreatorv2!BA103&amp;$G$2&amp;A100&amp;$G$3,"")</f>
        <v/>
      </c>
      <c r="H100" s="145" t="str">
        <f>+IF(AND(A100&lt;&gt;"",B100="y",fieldcreatorv2!I104&lt;&gt;"si"),+$B$4&amp;A100&amp;$B$5,"")</f>
        <v/>
      </c>
      <c r="I100" s="252" t="str">
        <f>+IF(AND(fieldcreatorv2!E104="bigtext"),"&lt;br/&gt;"&amp;fieldcreatorv2!B104&amp;$C$2&amp;A100&amp;$C$3&amp;A100&amp;$C$4,"")</f>
        <v/>
      </c>
      <c r="J100" s="165" t="str">
        <f>+IF(fieldcreatorv2!E104="texto",fieldcreatorv2!B104&amp;": "&amp;$C$5&amp;A100&amp;$C$6&amp;A100&amp;$C$7,"")</f>
        <v/>
      </c>
      <c r="K100" s="165" t="str">
        <f>+IF(AND(fieldcreatorv2!E104="date",C100="yes"),fieldcreatorv2!B104&amp;": "&amp;$D$1&amp;A100&amp;$D$2&amp;A100&amp;$D$3,"")</f>
        <v/>
      </c>
      <c r="L100" s="165" t="str">
        <f>+IF(fieldcreatorv2!E104="radio",fieldcreatorv2!B104&amp;" &lt;br/&gt;"&amp;fieldcreatorv2!C104&amp;$D$4&amp;fieldcreatorv2!BA104&amp;$D$5&amp;fieldcreatorv2!C104&amp;$D$6&amp;fieldcreatorv2!C104&amp;$D$7&amp;fieldcreatorv2!BA104&amp;$F$1&amp;fieldcreatorv2!C104&amp;$F$4,"")</f>
        <v/>
      </c>
      <c r="M100" s="165" t="str">
        <f>+IF(AND(fieldcreatorv2!E104="selectlist",A100&lt;&gt;""),"&lt;br/&gt;"&amp;A100&amp;$E$4&amp;A100&amp;$D$5&amp;A100&amp;$E$5,"")</f>
        <v/>
      </c>
      <c r="N100" s="165" t="str">
        <f>+IF(AND(fieldcreatorv2!AU104&lt;&gt;fieldcreatorv2!AU105,fieldcreatorv2!E104="selectlist"),"&lt;/select&gt;","")</f>
        <v/>
      </c>
      <c r="O100" s="165" t="str">
        <f>+IF(fieldcreatorv2!E104="selectlist",M100&amp;$E$6&amp;fieldcreatorv2!C104&amp;$E$7&amp;fieldcreatorv2!AU104&amp;$F$1&amp;fieldcreatorv2!C104&amp;$F$2&amp;fieldcreatorv2!C104&amp;$F$3&amp;N100,"")</f>
        <v/>
      </c>
      <c r="P100" s="165" t="str">
        <f>+IF(fieldcreatorv2!E104="check",$E$1&amp;A100&amp;$D$5&amp;A100&amp;$E$2&amp;A100&amp;$E$3&amp;A100,"")</f>
        <v/>
      </c>
      <c r="Q100" s="165" t="str">
        <f>+IF(AND(R99&lt;&gt;"",fieldcreatorv2!I104="si"),fieldcreatorv2!CS104&amp;I100&amp;J100&amp;fieldcreatorv2!CT104,IF(AND(C100="yes",fieldcreatorv2!I104&lt;&gt;"si"),I100&amp;J100,""))</f>
        <v/>
      </c>
      <c r="R100" s="145" t="str">
        <f>IF(OR(C100=$P$1,AND(R99&lt;&gt;"",fieldcreatorv2!E104="radio",fieldcreatorv2!BA104=fieldcreatorv2!BA103),AND(R99&lt;&gt;"",fieldcreatorv2!E104="selectlist",fieldcreatorv2!AU104=fieldcreatorv2!AU103)),K100&amp;L100&amp;O100&amp;P100,"")&amp;Q100</f>
        <v/>
      </c>
      <c r="S100" s="55" t="str">
        <f>IF(AND(C100=$P$2,fieldcreatorv2!I104&lt;&gt;"si"),fieldcreatorv2!B104&amp;":  "&amp;$F$5&amp;A100&amp;$F$6,"")</f>
        <v/>
      </c>
      <c r="T100" s="253" t="str">
        <f>+IF(fieldcreatorv2!I104="si",$G$4&amp;A100&amp;$G$5,"")&amp;U100</f>
        <v/>
      </c>
      <c r="U100" s="61" t="str">
        <f>+IF(AND(fieldcreatorv2!I104="si",fieldcreatorv2!E103="radio"),+$G$6&amp;fieldcreatorv2!C103&amp;$G$7&amp;fieldcreatorv2!C103&amp;$H$1&amp;$H$2&amp;fieldcreatorv2!C103&amp;$H$3&amp;A100&amp;$H$4,"")</f>
        <v/>
      </c>
      <c r="V100" s="61" t="str">
        <f>+IF(R100&lt;&gt;"",fieldcreatorv2!CY104,"")</f>
        <v/>
      </c>
      <c r="W100" s="55" t="str">
        <f>+IF(OR(fieldcreatorv2!I105="si",AND(W101&lt;&gt;"",fieldcreatorv2!E104="radio")),1,"")</f>
        <v/>
      </c>
      <c r="X100" s="55" t="str">
        <f>+IF(AND(W100=1,W101=""),fieldcreatorv2!C104,IF(AND(W100=1,W101=1),X101,""))</f>
        <v/>
      </c>
      <c r="Y100" s="55" t="str">
        <f>+IF(AND(W99=1,fieldcreatorv2!I104="si"),A100,IF(W100=1,Y101,""))</f>
        <v/>
      </c>
      <c r="Z100" s="254" t="str">
        <f t="shared" si="21"/>
        <v/>
      </c>
      <c r="AA100" s="165" t="str">
        <f t="shared" si="24"/>
        <v/>
      </c>
      <c r="AB100" s="238" t="str">
        <f>+IF(V100&lt;&gt;"",$K$4&amp;fieldcreatorv2!C104&amp;$K$5&amp;fieldcreatorv2!BX104&amp;$K$6&amp;fieldcreatorv2!C105&amp;$K$7,"")</f>
        <v/>
      </c>
      <c r="AC100" s="238" t="str">
        <f>IF(AND(C100="yes",fieldcreatorv2!E104="check"),A100&amp;$L$1&amp;A100&amp;$L$2,"")</f>
        <v/>
      </c>
      <c r="AD100" s="238" t="str">
        <f>+IF(AND(R100&lt;&gt;"",OR(fieldcreatorv2!E104="date",fieldcreatorv2!E104="bigtext",fieldcreatorv2!E104="texto",AND(fieldcreatorv2!E104="selectlist",A100&lt;&gt;""))),"var "&amp;A100&amp;$L$3&amp;A100&amp;$L$4,"")</f>
        <v/>
      </c>
      <c r="AE100" s="61" t="str">
        <f t="shared" si="25"/>
        <v/>
      </c>
      <c r="AF100" s="12">
        <f t="shared" si="26"/>
        <v>0</v>
      </c>
      <c r="AG100" s="12">
        <f t="shared" si="22"/>
        <v>0</v>
      </c>
      <c r="AH100" s="12" t="str">
        <f t="shared" si="28"/>
        <v/>
      </c>
      <c r="AI100" s="61" t="str">
        <f t="shared" si="20"/>
        <v/>
      </c>
      <c r="AJ100" s="55" t="str">
        <f t="shared" si="29"/>
        <v/>
      </c>
      <c r="AK100" s="38" t="str">
        <f t="shared" si="23"/>
        <v/>
      </c>
      <c r="AL100" s="55" t="str">
        <f t="shared" si="27"/>
        <v/>
      </c>
    </row>
    <row r="101" spans="1:38">
      <c r="A101" s="216" t="str">
        <f>IF(fieldcreatorv2!BX105&lt;&gt;"",fieldcreatorv2!BX105,"")</f>
        <v/>
      </c>
      <c r="B101" s="255"/>
      <c r="C101" s="255"/>
      <c r="D101" s="165" t="str">
        <f>+IF(AND(B101="y",A101&lt;&gt;"",fieldcreatorv2!I105&lt;&gt;"si"),$A$1&amp;A101&amp;$A$2,"")</f>
        <v/>
      </c>
      <c r="E101" s="165" t="str">
        <f>+IF(AND(A101&lt;&gt;"",B101="y"),fieldcreatorv2!E105,"")</f>
        <v/>
      </c>
      <c r="F101" s="165" t="str">
        <f t="shared" si="19"/>
        <v/>
      </c>
      <c r="G101" s="55" t="str">
        <f>+IF(fieldcreatorv2!I105="si",$F$7&amp;fieldcreatorv2!BA104&amp;$F$1&amp;fieldcreatorv2!C104&amp;$G$1&amp;fieldcreatorv2!BA104&amp;$G$2&amp;A101&amp;$G$3,"")</f>
        <v/>
      </c>
      <c r="H101" s="145" t="str">
        <f>+IF(AND(A101&lt;&gt;"",B101="y",fieldcreatorv2!I105&lt;&gt;"si"),+$B$4&amp;A101&amp;$B$5,"")</f>
        <v/>
      </c>
      <c r="I101" s="252" t="str">
        <f>+IF(AND(fieldcreatorv2!E105="bigtext"),"&lt;br/&gt;"&amp;fieldcreatorv2!B105&amp;$C$2&amp;A101&amp;$C$3&amp;A101&amp;$C$4,"")</f>
        <v/>
      </c>
      <c r="J101" s="165" t="str">
        <f>+IF(fieldcreatorv2!E105="texto",fieldcreatorv2!B105&amp;": "&amp;$C$5&amp;A101&amp;$C$6&amp;A101&amp;$C$7,"")</f>
        <v/>
      </c>
      <c r="K101" s="165" t="str">
        <f>+IF(AND(fieldcreatorv2!E105="date",C101="yes"),fieldcreatorv2!B105&amp;": "&amp;$D$1&amp;A101&amp;$D$2&amp;A101&amp;$D$3,"")</f>
        <v/>
      </c>
      <c r="L101" s="165" t="str">
        <f>+IF(fieldcreatorv2!E105="radio",fieldcreatorv2!B105&amp;" &lt;br/&gt;"&amp;fieldcreatorv2!C105&amp;$D$4&amp;fieldcreatorv2!BA105&amp;$D$5&amp;fieldcreatorv2!C105&amp;$D$6&amp;fieldcreatorv2!C105&amp;$D$7&amp;fieldcreatorv2!BA105&amp;$F$1&amp;fieldcreatorv2!C105&amp;$F$4,"")</f>
        <v/>
      </c>
      <c r="M101" s="165" t="str">
        <f>+IF(AND(fieldcreatorv2!E105="selectlist",A101&lt;&gt;""),"&lt;br/&gt;"&amp;A101&amp;$E$4&amp;A101&amp;$D$5&amp;A101&amp;$E$5,"")</f>
        <v/>
      </c>
      <c r="N101" s="165" t="str">
        <f>+IF(AND(fieldcreatorv2!AU105&lt;&gt;fieldcreatorv2!AU106,fieldcreatorv2!E105="selectlist"),"&lt;/select&gt;","")</f>
        <v/>
      </c>
      <c r="O101" s="165" t="str">
        <f>+IF(fieldcreatorv2!E105="selectlist",M101&amp;$E$6&amp;fieldcreatorv2!C105&amp;$E$7&amp;fieldcreatorv2!AU105&amp;$F$1&amp;fieldcreatorv2!C105&amp;$F$2&amp;fieldcreatorv2!C105&amp;$F$3&amp;N101,"")</f>
        <v/>
      </c>
      <c r="P101" s="165" t="str">
        <f>+IF(fieldcreatorv2!E105="check",$E$1&amp;A101&amp;$D$5&amp;A101&amp;$E$2&amp;A101&amp;$E$3&amp;A101,"")</f>
        <v/>
      </c>
      <c r="Q101" s="165" t="str">
        <f>+IF(AND(R100&lt;&gt;"",fieldcreatorv2!I105="si"),fieldcreatorv2!CS105&amp;I101&amp;J101&amp;fieldcreatorv2!CT105,IF(AND(C101="yes",fieldcreatorv2!I105&lt;&gt;"si"),I101&amp;J101,""))</f>
        <v/>
      </c>
      <c r="R101" s="145" t="str">
        <f>IF(OR(C101=$P$1,AND(R100&lt;&gt;"",fieldcreatorv2!E105="radio",fieldcreatorv2!BA105=fieldcreatorv2!BA104),AND(R100&lt;&gt;"",fieldcreatorv2!E105="selectlist",fieldcreatorv2!AU105=fieldcreatorv2!AU104)),K101&amp;L101&amp;O101&amp;P101,"")&amp;Q101</f>
        <v/>
      </c>
      <c r="S101" s="55" t="str">
        <f>IF(AND(C101=$P$2,fieldcreatorv2!I105&lt;&gt;"si"),fieldcreatorv2!B105&amp;":  "&amp;$F$5&amp;A101&amp;$F$6,"")</f>
        <v/>
      </c>
      <c r="T101" s="253" t="str">
        <f>+IF(fieldcreatorv2!I105="si",$G$4&amp;A101&amp;$G$5,"")&amp;U101</f>
        <v/>
      </c>
      <c r="U101" s="61" t="str">
        <f>+IF(AND(fieldcreatorv2!I105="si",fieldcreatorv2!E104="radio"),+$G$6&amp;fieldcreatorv2!C104&amp;$G$7&amp;fieldcreatorv2!C104&amp;$H$1&amp;$H$2&amp;fieldcreatorv2!C104&amp;$H$3&amp;A101&amp;$H$4,"")</f>
        <v/>
      </c>
      <c r="V101" s="61" t="str">
        <f>+IF(R101&lt;&gt;"",fieldcreatorv2!CY105,"")</f>
        <v/>
      </c>
      <c r="W101" s="55" t="str">
        <f>+IF(OR(fieldcreatorv2!I106="si",AND(W102&lt;&gt;"",fieldcreatorv2!E105="radio")),1,"")</f>
        <v/>
      </c>
      <c r="X101" s="55" t="str">
        <f>+IF(AND(W101=1,W102=""),fieldcreatorv2!C105,IF(AND(W101=1,W102=1),X102,""))</f>
        <v/>
      </c>
      <c r="Y101" s="55" t="str">
        <f>+IF(AND(W100=1,fieldcreatorv2!I105="si"),A101,IF(W101=1,Y102,""))</f>
        <v/>
      </c>
      <c r="Z101" s="254" t="str">
        <f t="shared" si="21"/>
        <v/>
      </c>
      <c r="AA101" s="165" t="str">
        <f t="shared" si="24"/>
        <v/>
      </c>
      <c r="AB101" s="238" t="str">
        <f>+IF(V101&lt;&gt;"",$K$4&amp;fieldcreatorv2!C105&amp;$K$5&amp;fieldcreatorv2!BX105&amp;$K$6&amp;fieldcreatorv2!C106&amp;$K$7,"")</f>
        <v/>
      </c>
      <c r="AC101" s="238" t="str">
        <f>IF(AND(C101="yes",fieldcreatorv2!E105="check"),A101&amp;$L$1&amp;A101&amp;$L$2,"")</f>
        <v/>
      </c>
      <c r="AD101" s="238" t="str">
        <f>+IF(AND(R101&lt;&gt;"",OR(fieldcreatorv2!E105="date",fieldcreatorv2!E105="bigtext",fieldcreatorv2!E105="texto",AND(fieldcreatorv2!E105="selectlist",A101&lt;&gt;""))),"var "&amp;A101&amp;$L$3&amp;A101&amp;$L$4,"")</f>
        <v/>
      </c>
      <c r="AE101" s="61" t="str">
        <f t="shared" si="25"/>
        <v/>
      </c>
      <c r="AF101" s="12">
        <f t="shared" si="26"/>
        <v>0</v>
      </c>
      <c r="AG101" s="12">
        <f t="shared" si="22"/>
        <v>0</v>
      </c>
      <c r="AH101" s="12" t="str">
        <f t="shared" si="28"/>
        <v/>
      </c>
      <c r="AI101" s="61" t="str">
        <f t="shared" si="20"/>
        <v/>
      </c>
      <c r="AJ101" s="55" t="str">
        <f t="shared" si="29"/>
        <v/>
      </c>
      <c r="AK101" s="38" t="str">
        <f t="shared" si="23"/>
        <v/>
      </c>
      <c r="AL101" s="55" t="str">
        <f t="shared" si="27"/>
        <v/>
      </c>
    </row>
    <row r="102" spans="1:38">
      <c r="A102" s="216" t="str">
        <f>IF(fieldcreatorv2!BX106&lt;&gt;"",fieldcreatorv2!BX106,"")</f>
        <v/>
      </c>
      <c r="B102" s="255"/>
      <c r="C102" s="255"/>
      <c r="D102" s="165" t="str">
        <f>+IF(AND(B102="y",A102&lt;&gt;"",fieldcreatorv2!I106&lt;&gt;"si"),$A$1&amp;A102&amp;$A$2,"")</f>
        <v/>
      </c>
      <c r="E102" s="165" t="str">
        <f>+IF(AND(A102&lt;&gt;"",B102="y"),fieldcreatorv2!E106,"")</f>
        <v/>
      </c>
      <c r="F102" s="165" t="str">
        <f t="shared" si="19"/>
        <v/>
      </c>
      <c r="G102" s="55" t="str">
        <f>+IF(fieldcreatorv2!I106="si",$F$7&amp;fieldcreatorv2!BA105&amp;$F$1&amp;fieldcreatorv2!C105&amp;$G$1&amp;fieldcreatorv2!BA105&amp;$G$2&amp;A102&amp;$G$3,"")</f>
        <v/>
      </c>
      <c r="H102" s="145" t="str">
        <f>+IF(AND(A102&lt;&gt;"",B102="y",fieldcreatorv2!I106&lt;&gt;"si"),+$B$4&amp;A102&amp;$B$5,"")</f>
        <v/>
      </c>
      <c r="I102" s="252" t="str">
        <f>+IF(AND(fieldcreatorv2!E106="bigtext"),"&lt;br/&gt;"&amp;fieldcreatorv2!B106&amp;$C$2&amp;A102&amp;$C$3&amp;A102&amp;$C$4,"")</f>
        <v/>
      </c>
      <c r="J102" s="165" t="str">
        <f>+IF(fieldcreatorv2!E106="texto",fieldcreatorv2!B106&amp;": "&amp;$C$5&amp;A102&amp;$C$6&amp;A102&amp;$C$7,"")</f>
        <v/>
      </c>
      <c r="K102" s="165" t="str">
        <f>+IF(AND(fieldcreatorv2!E106="date",C102="yes"),fieldcreatorv2!B106&amp;": "&amp;$D$1&amp;A102&amp;$D$2&amp;A102&amp;$D$3,"")</f>
        <v/>
      </c>
      <c r="L102" s="165" t="str">
        <f>+IF(fieldcreatorv2!E106="radio",fieldcreatorv2!B106&amp;" &lt;br/&gt;"&amp;fieldcreatorv2!C106&amp;$D$4&amp;fieldcreatorv2!BA106&amp;$D$5&amp;fieldcreatorv2!C106&amp;$D$6&amp;fieldcreatorv2!C106&amp;$D$7&amp;fieldcreatorv2!BA106&amp;$F$1&amp;fieldcreatorv2!C106&amp;$F$4,"")</f>
        <v/>
      </c>
      <c r="M102" s="165" t="str">
        <f>+IF(AND(fieldcreatorv2!E106="selectlist",A102&lt;&gt;""),"&lt;br/&gt;"&amp;A102&amp;$E$4&amp;A102&amp;$D$5&amp;A102&amp;$E$5,"")</f>
        <v/>
      </c>
      <c r="N102" s="165" t="str">
        <f>+IF(AND(fieldcreatorv2!AU106&lt;&gt;fieldcreatorv2!AU107,fieldcreatorv2!E106="selectlist"),"&lt;/select&gt;","")</f>
        <v/>
      </c>
      <c r="O102" s="165" t="str">
        <f>+IF(fieldcreatorv2!E106="selectlist",M102&amp;$E$6&amp;fieldcreatorv2!C106&amp;$E$7&amp;fieldcreatorv2!AU106&amp;$F$1&amp;fieldcreatorv2!C106&amp;$F$2&amp;fieldcreatorv2!C106&amp;$F$3&amp;N102,"")</f>
        <v/>
      </c>
      <c r="P102" s="165" t="str">
        <f>+IF(fieldcreatorv2!E106="check",$E$1&amp;A102&amp;$D$5&amp;A102&amp;$E$2&amp;A102&amp;$E$3&amp;A102,"")</f>
        <v/>
      </c>
      <c r="Q102" s="165" t="str">
        <f>+IF(AND(R101&lt;&gt;"",fieldcreatorv2!I106="si"),fieldcreatorv2!CS106&amp;I102&amp;J102&amp;fieldcreatorv2!CT106,IF(AND(C102="yes",fieldcreatorv2!I106&lt;&gt;"si"),I102&amp;J102,""))</f>
        <v/>
      </c>
      <c r="R102" s="145" t="str">
        <f>IF(OR(C102=$P$1,AND(R101&lt;&gt;"",fieldcreatorv2!E106="radio",fieldcreatorv2!BA106=fieldcreatorv2!BA105),AND(R101&lt;&gt;"",fieldcreatorv2!E106="selectlist",fieldcreatorv2!AU106=fieldcreatorv2!AU105)),K102&amp;L102&amp;O102&amp;P102,"")&amp;Q102</f>
        <v/>
      </c>
      <c r="S102" s="55" t="str">
        <f>IF(AND(C102=$P$2,fieldcreatorv2!I106&lt;&gt;"si"),fieldcreatorv2!B106&amp;":  "&amp;$F$5&amp;A102&amp;$F$6,"")</f>
        <v/>
      </c>
      <c r="T102" s="253" t="str">
        <f>+IF(fieldcreatorv2!I106="si",$G$4&amp;A102&amp;$G$5,"")&amp;U102</f>
        <v/>
      </c>
      <c r="U102" s="61" t="str">
        <f>+IF(AND(fieldcreatorv2!I106="si",fieldcreatorv2!E105="radio"),+$G$6&amp;fieldcreatorv2!C105&amp;$G$7&amp;fieldcreatorv2!C105&amp;$H$1&amp;$H$2&amp;fieldcreatorv2!C105&amp;$H$3&amp;A102&amp;$H$4,"")</f>
        <v/>
      </c>
      <c r="V102" s="61" t="str">
        <f>+IF(R102&lt;&gt;"",fieldcreatorv2!CY106,"")</f>
        <v/>
      </c>
      <c r="W102" s="55" t="str">
        <f>+IF(OR(fieldcreatorv2!I107="si",AND(W103&lt;&gt;"",fieldcreatorv2!E106="radio")),1,"")</f>
        <v/>
      </c>
      <c r="X102" s="55" t="str">
        <f>+IF(AND(W102=1,W103=""),fieldcreatorv2!C106,IF(AND(W102=1,W103=1),X103,""))</f>
        <v/>
      </c>
      <c r="Y102" s="55" t="str">
        <f>+IF(AND(W101=1,fieldcreatorv2!I106="si"),A102,IF(W102=1,Y103,""))</f>
        <v/>
      </c>
      <c r="Z102" s="254" t="str">
        <f t="shared" si="21"/>
        <v/>
      </c>
      <c r="AA102" s="165" t="str">
        <f t="shared" si="24"/>
        <v/>
      </c>
      <c r="AB102" s="238" t="str">
        <f>+IF(V102&lt;&gt;"",$K$4&amp;fieldcreatorv2!C106&amp;$K$5&amp;fieldcreatorv2!BX106&amp;$K$6&amp;fieldcreatorv2!C107&amp;$K$7,"")</f>
        <v/>
      </c>
      <c r="AC102" s="238" t="str">
        <f>IF(AND(C102="yes",fieldcreatorv2!E106="check"),A102&amp;$L$1&amp;A102&amp;$L$2,"")</f>
        <v/>
      </c>
      <c r="AD102" s="238" t="str">
        <f>+IF(AND(R102&lt;&gt;"",OR(fieldcreatorv2!E106="date",fieldcreatorv2!E106="bigtext",fieldcreatorv2!E106="texto",AND(fieldcreatorv2!E106="selectlist",A102&lt;&gt;""))),"var "&amp;A102&amp;$L$3&amp;A102&amp;$L$4,"")</f>
        <v/>
      </c>
      <c r="AE102" s="61" t="str">
        <f t="shared" si="25"/>
        <v/>
      </c>
      <c r="AF102" s="12">
        <f t="shared" si="26"/>
        <v>0</v>
      </c>
      <c r="AG102" s="12">
        <f t="shared" si="22"/>
        <v>0</v>
      </c>
      <c r="AH102" s="12" t="str">
        <f t="shared" si="28"/>
        <v/>
      </c>
      <c r="AI102" s="61" t="str">
        <f t="shared" si="20"/>
        <v/>
      </c>
      <c r="AJ102" s="55" t="str">
        <f t="shared" si="29"/>
        <v/>
      </c>
      <c r="AK102" s="38" t="str">
        <f t="shared" si="23"/>
        <v/>
      </c>
      <c r="AL102" s="55" t="str">
        <f t="shared" si="27"/>
        <v/>
      </c>
    </row>
    <row r="103" spans="1:38">
      <c r="A103" s="216" t="str">
        <f>IF(fieldcreatorv2!BX107&lt;&gt;"",fieldcreatorv2!BX107,"")</f>
        <v/>
      </c>
      <c r="B103" s="255"/>
      <c r="C103" s="255"/>
      <c r="D103" s="165" t="str">
        <f>+IF(AND(B103="y",A103&lt;&gt;"",fieldcreatorv2!I107&lt;&gt;"si"),$A$1&amp;A103&amp;$A$2,"")</f>
        <v/>
      </c>
      <c r="E103" s="165" t="str">
        <f>+IF(AND(A103&lt;&gt;"",B103="y"),fieldcreatorv2!E107,"")</f>
        <v/>
      </c>
      <c r="F103" s="165" t="str">
        <f t="shared" si="19"/>
        <v/>
      </c>
      <c r="G103" s="55" t="str">
        <f>+IF(fieldcreatorv2!I107="si",$F$7&amp;fieldcreatorv2!BA106&amp;$F$1&amp;fieldcreatorv2!C106&amp;$G$1&amp;fieldcreatorv2!BA106&amp;$G$2&amp;A103&amp;$G$3,"")</f>
        <v/>
      </c>
      <c r="H103" s="145" t="str">
        <f>+IF(AND(A103&lt;&gt;"",B103="y",fieldcreatorv2!I107&lt;&gt;"si"),+$B$4&amp;A103&amp;$B$5,"")</f>
        <v/>
      </c>
      <c r="I103" s="252" t="str">
        <f>+IF(AND(fieldcreatorv2!E107="bigtext"),"&lt;br/&gt;"&amp;fieldcreatorv2!B107&amp;$C$2&amp;A103&amp;$C$3&amp;A103&amp;$C$4,"")</f>
        <v/>
      </c>
      <c r="J103" s="165" t="str">
        <f>+IF(fieldcreatorv2!E107="texto",fieldcreatorv2!B107&amp;": "&amp;$C$5&amp;A103&amp;$C$6&amp;A103&amp;$C$7,"")</f>
        <v/>
      </c>
      <c r="K103" s="165" t="str">
        <f>+IF(AND(fieldcreatorv2!E107="date",C103="yes"),fieldcreatorv2!B107&amp;": "&amp;$D$1&amp;A103&amp;$D$2&amp;A103&amp;$D$3,"")</f>
        <v/>
      </c>
      <c r="L103" s="165" t="str">
        <f>+IF(fieldcreatorv2!E107="radio",fieldcreatorv2!B107&amp;" &lt;br/&gt;"&amp;fieldcreatorv2!C107&amp;$D$4&amp;fieldcreatorv2!BA107&amp;$D$5&amp;fieldcreatorv2!C107&amp;$D$6&amp;fieldcreatorv2!C107&amp;$D$7&amp;fieldcreatorv2!BA107&amp;$F$1&amp;fieldcreatorv2!C107&amp;$F$4,"")</f>
        <v/>
      </c>
      <c r="M103" s="165" t="str">
        <f>+IF(AND(fieldcreatorv2!E107="selectlist",A103&lt;&gt;""),"&lt;br/&gt;"&amp;A103&amp;$E$4&amp;A103&amp;$D$5&amp;A103&amp;$E$5,"")</f>
        <v/>
      </c>
      <c r="N103" s="165" t="str">
        <f>+IF(AND(fieldcreatorv2!AU107&lt;&gt;fieldcreatorv2!AU108,fieldcreatorv2!E107="selectlist"),"&lt;/select&gt;","")</f>
        <v/>
      </c>
      <c r="O103" s="165" t="str">
        <f>+IF(fieldcreatorv2!E107="selectlist",M103&amp;$E$6&amp;fieldcreatorv2!C107&amp;$E$7&amp;fieldcreatorv2!AU107&amp;$F$1&amp;fieldcreatorv2!C107&amp;$F$2&amp;fieldcreatorv2!C107&amp;$F$3&amp;N103,"")</f>
        <v/>
      </c>
      <c r="P103" s="165" t="str">
        <f>+IF(fieldcreatorv2!E107="check",$E$1&amp;A103&amp;$D$5&amp;A103&amp;$E$2&amp;A103&amp;$E$3&amp;A103,"")</f>
        <v/>
      </c>
      <c r="Q103" s="165" t="str">
        <f>+IF(AND(R102&lt;&gt;"",fieldcreatorv2!I107="si"),fieldcreatorv2!CS107&amp;I103&amp;J103&amp;fieldcreatorv2!CT107,IF(AND(C103="yes",fieldcreatorv2!I107&lt;&gt;"si"),I103&amp;J103,""))</f>
        <v/>
      </c>
      <c r="R103" s="145" t="str">
        <f>IF(OR(C103=$P$1,AND(R102&lt;&gt;"",fieldcreatorv2!E107="radio",fieldcreatorv2!BA107=fieldcreatorv2!BA106),AND(R102&lt;&gt;"",fieldcreatorv2!E107="selectlist",fieldcreatorv2!AU107=fieldcreatorv2!AU106)),K103&amp;L103&amp;O103&amp;P103,"")&amp;Q103</f>
        <v/>
      </c>
      <c r="S103" s="55" t="str">
        <f>IF(AND(C103=$P$2,fieldcreatorv2!I107&lt;&gt;"si"),fieldcreatorv2!B107&amp;":  "&amp;$F$5&amp;A103&amp;$F$6,"")</f>
        <v/>
      </c>
      <c r="T103" s="253" t="str">
        <f>+IF(fieldcreatorv2!I107="si",$G$4&amp;A103&amp;$G$5,"")&amp;U103</f>
        <v/>
      </c>
      <c r="U103" s="61" t="str">
        <f>+IF(AND(fieldcreatorv2!I107="si",fieldcreatorv2!E106="radio"),+$G$6&amp;fieldcreatorv2!C106&amp;$G$7&amp;fieldcreatorv2!C106&amp;$H$1&amp;$H$2&amp;fieldcreatorv2!C106&amp;$H$3&amp;A103&amp;$H$4,"")</f>
        <v/>
      </c>
      <c r="V103" s="61" t="str">
        <f>+IF(R103&lt;&gt;"",fieldcreatorv2!CY107,"")</f>
        <v/>
      </c>
      <c r="W103" s="55" t="str">
        <f>+IF(OR(fieldcreatorv2!I108="si",AND(W104&lt;&gt;"",fieldcreatorv2!E107="radio")),1,"")</f>
        <v/>
      </c>
      <c r="X103" s="55" t="str">
        <f>+IF(AND(W103=1,W104=""),fieldcreatorv2!C107,IF(AND(W103=1,W104=1),X104,""))</f>
        <v/>
      </c>
      <c r="Y103" s="55" t="str">
        <f>+IF(AND(W102=1,fieldcreatorv2!I107="si"),A103,IF(W103=1,Y104,""))</f>
        <v/>
      </c>
      <c r="Z103" s="254" t="str">
        <f t="shared" si="21"/>
        <v/>
      </c>
      <c r="AA103" s="165" t="str">
        <f t="shared" si="24"/>
        <v/>
      </c>
      <c r="AB103" s="238" t="str">
        <f>+IF(V103&lt;&gt;"",$K$4&amp;fieldcreatorv2!C107&amp;$K$5&amp;fieldcreatorv2!BX107&amp;$K$6&amp;fieldcreatorv2!C108&amp;$K$7,"")</f>
        <v/>
      </c>
      <c r="AC103" s="238" t="str">
        <f>IF(AND(C103="yes",fieldcreatorv2!E107="check"),A103&amp;$L$1&amp;A103&amp;$L$2,"")</f>
        <v/>
      </c>
      <c r="AD103" s="238" t="str">
        <f>+IF(AND(R103&lt;&gt;"",OR(fieldcreatorv2!E107="date",fieldcreatorv2!E107="bigtext",fieldcreatorv2!E107="texto",AND(fieldcreatorv2!E107="selectlist",A103&lt;&gt;""))),"var "&amp;A103&amp;$L$3&amp;A103&amp;$L$4,"")</f>
        <v/>
      </c>
      <c r="AE103" s="61" t="str">
        <f t="shared" si="25"/>
        <v/>
      </c>
      <c r="AF103" s="12">
        <f t="shared" si="26"/>
        <v>0</v>
      </c>
      <c r="AG103" s="12">
        <f t="shared" si="22"/>
        <v>0</v>
      </c>
      <c r="AH103" s="12" t="str">
        <f t="shared" si="28"/>
        <v/>
      </c>
      <c r="AI103" s="61" t="str">
        <f t="shared" si="20"/>
        <v/>
      </c>
      <c r="AJ103" s="55" t="str">
        <f t="shared" si="29"/>
        <v/>
      </c>
      <c r="AK103" s="38" t="str">
        <f t="shared" si="23"/>
        <v/>
      </c>
      <c r="AL103" s="55" t="str">
        <f t="shared" si="27"/>
        <v/>
      </c>
    </row>
    <row r="104" spans="1:38">
      <c r="A104" s="216" t="str">
        <f>IF(fieldcreatorv2!BX108&lt;&gt;"",fieldcreatorv2!BX108,"")</f>
        <v/>
      </c>
      <c r="B104" s="255"/>
      <c r="C104" s="255"/>
      <c r="D104" s="165" t="str">
        <f>+IF(AND(B104="y",A104&lt;&gt;"",fieldcreatorv2!I108&lt;&gt;"si"),$A$1&amp;A104&amp;$A$2,"")</f>
        <v/>
      </c>
      <c r="E104" s="165" t="str">
        <f>+IF(AND(A104&lt;&gt;"",B104="y"),fieldcreatorv2!E108,"")</f>
        <v/>
      </c>
      <c r="F104" s="165" t="str">
        <f t="shared" si="19"/>
        <v/>
      </c>
      <c r="G104" s="55" t="str">
        <f>+IF(fieldcreatorv2!I108="si",$F$7&amp;fieldcreatorv2!BA107&amp;$F$1&amp;fieldcreatorv2!C107&amp;$G$1&amp;fieldcreatorv2!BA107&amp;$G$2&amp;A104&amp;$G$3,"")</f>
        <v/>
      </c>
      <c r="H104" s="145" t="str">
        <f>+IF(AND(A104&lt;&gt;"",B104="y",fieldcreatorv2!I108&lt;&gt;"si"),+$B$4&amp;A104&amp;$B$5,"")</f>
        <v/>
      </c>
      <c r="I104" s="252" t="str">
        <f>+IF(AND(fieldcreatorv2!E108="bigtext"),"&lt;br/&gt;"&amp;fieldcreatorv2!B108&amp;$C$2&amp;A104&amp;$C$3&amp;A104&amp;$C$4,"")</f>
        <v/>
      </c>
      <c r="J104" s="165" t="str">
        <f>+IF(fieldcreatorv2!E108="texto",fieldcreatorv2!B108&amp;": "&amp;$C$5&amp;A104&amp;$C$6&amp;A104&amp;$C$7,"")</f>
        <v/>
      </c>
      <c r="K104" s="165" t="str">
        <f>+IF(AND(fieldcreatorv2!E108="date",C104="yes"),fieldcreatorv2!B108&amp;": "&amp;$D$1&amp;A104&amp;$D$2&amp;A104&amp;$D$3,"")</f>
        <v/>
      </c>
      <c r="L104" s="165" t="str">
        <f>+IF(fieldcreatorv2!E108="radio",fieldcreatorv2!B108&amp;" &lt;br/&gt;"&amp;fieldcreatorv2!C108&amp;$D$4&amp;fieldcreatorv2!BA108&amp;$D$5&amp;fieldcreatorv2!C108&amp;$D$6&amp;fieldcreatorv2!C108&amp;$D$7&amp;fieldcreatorv2!BA108&amp;$F$1&amp;fieldcreatorv2!C108&amp;$F$4,"")</f>
        <v/>
      </c>
      <c r="M104" s="165" t="str">
        <f>+IF(AND(fieldcreatorv2!E108="selectlist",A104&lt;&gt;""),"&lt;br/&gt;"&amp;A104&amp;$E$4&amp;A104&amp;$D$5&amp;A104&amp;$E$5,"")</f>
        <v/>
      </c>
      <c r="N104" s="165" t="str">
        <f>+IF(AND(fieldcreatorv2!AU108&lt;&gt;fieldcreatorv2!AU109,fieldcreatorv2!E108="selectlist"),"&lt;/select&gt;","")</f>
        <v/>
      </c>
      <c r="O104" s="165" t="str">
        <f>+IF(fieldcreatorv2!E108="selectlist",M104&amp;$E$6&amp;fieldcreatorv2!C108&amp;$E$7&amp;fieldcreatorv2!AU108&amp;$F$1&amp;fieldcreatorv2!C108&amp;$F$2&amp;fieldcreatorv2!C108&amp;$F$3&amp;N104,"")</f>
        <v/>
      </c>
      <c r="P104" s="165" t="str">
        <f>+IF(fieldcreatorv2!E108="check",$E$1&amp;A104&amp;$D$5&amp;A104&amp;$E$2&amp;A104&amp;$E$3&amp;A104,"")</f>
        <v/>
      </c>
      <c r="Q104" s="165" t="str">
        <f>+IF(AND(R103&lt;&gt;"",fieldcreatorv2!I108="si"),fieldcreatorv2!CS108&amp;I104&amp;J104&amp;fieldcreatorv2!CT108,IF(AND(C104="yes",fieldcreatorv2!I108&lt;&gt;"si"),I104&amp;J104,""))</f>
        <v/>
      </c>
      <c r="R104" s="145" t="str">
        <f>IF(OR(C104=$P$1,AND(R103&lt;&gt;"",fieldcreatorv2!E108="radio",fieldcreatorv2!BA108=fieldcreatorv2!BA107),AND(R103&lt;&gt;"",fieldcreatorv2!E108="selectlist",fieldcreatorv2!AU108=fieldcreatorv2!AU107)),K104&amp;L104&amp;O104&amp;P104,"")&amp;Q104</f>
        <v/>
      </c>
      <c r="S104" s="55" t="str">
        <f>IF(AND(C104=$P$2,fieldcreatorv2!I108&lt;&gt;"si"),fieldcreatorv2!B108&amp;":  "&amp;$F$5&amp;A104&amp;$F$6,"")</f>
        <v/>
      </c>
      <c r="T104" s="253" t="str">
        <f>+IF(fieldcreatorv2!I108="si",$G$4&amp;A104&amp;$G$5,"")&amp;U104</f>
        <v/>
      </c>
      <c r="U104" s="61" t="str">
        <f>+IF(AND(fieldcreatorv2!I108="si",fieldcreatorv2!E107="radio"),+$G$6&amp;fieldcreatorv2!C107&amp;$G$7&amp;fieldcreatorv2!C107&amp;$H$1&amp;$H$2&amp;fieldcreatorv2!C107&amp;$H$3&amp;A104&amp;$H$4,"")</f>
        <v/>
      </c>
      <c r="V104" s="61" t="str">
        <f>+IF(R104&lt;&gt;"",fieldcreatorv2!CY108,"")</f>
        <v/>
      </c>
      <c r="W104" s="55" t="str">
        <f>+IF(OR(fieldcreatorv2!I109="si",AND(W105&lt;&gt;"",fieldcreatorv2!E108="radio")),1,"")</f>
        <v/>
      </c>
      <c r="X104" s="55" t="str">
        <f>+IF(AND(W104=1,W105=""),fieldcreatorv2!C108,IF(AND(W104=1,W105=1),X105,""))</f>
        <v/>
      </c>
      <c r="Y104" s="55" t="str">
        <f>+IF(AND(W103=1,fieldcreatorv2!I108="si"),A104,IF(W104=1,Y105,""))</f>
        <v/>
      </c>
      <c r="Z104" s="254" t="str">
        <f t="shared" si="21"/>
        <v/>
      </c>
      <c r="AA104" s="165" t="str">
        <f t="shared" si="24"/>
        <v/>
      </c>
      <c r="AB104" s="238" t="str">
        <f>+IF(V104&lt;&gt;"",$K$4&amp;fieldcreatorv2!C108&amp;$K$5&amp;fieldcreatorv2!BX108&amp;$K$6&amp;fieldcreatorv2!C109&amp;$K$7,"")</f>
        <v/>
      </c>
      <c r="AC104" s="238" t="str">
        <f>IF(AND(C104="yes",fieldcreatorv2!E108="check"),A104&amp;$L$1&amp;A104&amp;$L$2,"")</f>
        <v/>
      </c>
      <c r="AD104" s="238" t="str">
        <f>+IF(AND(R104&lt;&gt;"",OR(fieldcreatorv2!E108="date",fieldcreatorv2!E108="bigtext",fieldcreatorv2!E108="texto",AND(fieldcreatorv2!E108="selectlist",A104&lt;&gt;""))),"var "&amp;A104&amp;$L$3&amp;A104&amp;$L$4,"")</f>
        <v/>
      </c>
      <c r="AE104" s="61" t="str">
        <f t="shared" si="25"/>
        <v/>
      </c>
      <c r="AF104" s="12">
        <f t="shared" si="26"/>
        <v>0</v>
      </c>
      <c r="AG104" s="12">
        <f t="shared" si="22"/>
        <v>0</v>
      </c>
      <c r="AH104" s="12" t="str">
        <f t="shared" si="28"/>
        <v/>
      </c>
      <c r="AI104" s="61" t="str">
        <f t="shared" si="20"/>
        <v/>
      </c>
      <c r="AJ104" s="55" t="str">
        <f t="shared" si="29"/>
        <v/>
      </c>
      <c r="AK104" s="38" t="str">
        <f t="shared" si="23"/>
        <v/>
      </c>
      <c r="AL104" s="55" t="str">
        <f t="shared" si="27"/>
        <v/>
      </c>
    </row>
    <row r="105" spans="1:38">
      <c r="A105" s="216" t="str">
        <f>IF(fieldcreatorv2!BX109&lt;&gt;"",fieldcreatorv2!BX109,"")</f>
        <v/>
      </c>
      <c r="B105" s="255"/>
      <c r="C105" s="255"/>
      <c r="D105" s="165" t="str">
        <f>+IF(AND(B105="y",A105&lt;&gt;"",fieldcreatorv2!I109&lt;&gt;"si"),$A$1&amp;A105&amp;$A$2,"")</f>
        <v/>
      </c>
      <c r="E105" s="165" t="str">
        <f>+IF(AND(A105&lt;&gt;"",B105="y"),fieldcreatorv2!E109,"")</f>
        <v/>
      </c>
      <c r="F105" s="165" t="str">
        <f t="shared" si="19"/>
        <v/>
      </c>
      <c r="G105" s="55" t="str">
        <f>+IF(fieldcreatorv2!I109="si",$F$7&amp;fieldcreatorv2!BA108&amp;$F$1&amp;fieldcreatorv2!C108&amp;$G$1&amp;fieldcreatorv2!BA108&amp;$G$2&amp;A105&amp;$G$3,"")</f>
        <v/>
      </c>
      <c r="H105" s="145" t="str">
        <f>+IF(AND(A105&lt;&gt;"",B105="y",fieldcreatorv2!I109&lt;&gt;"si"),+$B$4&amp;A105&amp;$B$5,"")</f>
        <v/>
      </c>
      <c r="I105" s="252" t="str">
        <f>+IF(AND(fieldcreatorv2!E109="bigtext"),"&lt;br/&gt;"&amp;fieldcreatorv2!B109&amp;$C$2&amp;A105&amp;$C$3&amp;A105&amp;$C$4,"")</f>
        <v/>
      </c>
      <c r="J105" s="165" t="str">
        <f>+IF(fieldcreatorv2!E109="texto",fieldcreatorv2!B109&amp;": "&amp;$C$5&amp;A105&amp;$C$6&amp;A105&amp;$C$7,"")</f>
        <v/>
      </c>
      <c r="K105" s="165" t="str">
        <f>+IF(AND(fieldcreatorv2!E109="date",C105="yes"),fieldcreatorv2!B109&amp;": "&amp;$D$1&amp;A105&amp;$D$2&amp;A105&amp;$D$3,"")</f>
        <v/>
      </c>
      <c r="L105" s="165" t="str">
        <f>+IF(fieldcreatorv2!E109="radio",fieldcreatorv2!B109&amp;" &lt;br/&gt;"&amp;fieldcreatorv2!C109&amp;$D$4&amp;fieldcreatorv2!BA109&amp;$D$5&amp;fieldcreatorv2!C109&amp;$D$6&amp;fieldcreatorv2!C109&amp;$D$7&amp;fieldcreatorv2!BA109&amp;$F$1&amp;fieldcreatorv2!C109&amp;$F$4,"")</f>
        <v/>
      </c>
      <c r="M105" s="165" t="str">
        <f>+IF(AND(fieldcreatorv2!E109="selectlist",A105&lt;&gt;""),"&lt;br/&gt;"&amp;A105&amp;$E$4&amp;A105&amp;$D$5&amp;A105&amp;$E$5,"")</f>
        <v/>
      </c>
      <c r="N105" s="165" t="str">
        <f>+IF(AND(fieldcreatorv2!AU109&lt;&gt;fieldcreatorv2!AU110,fieldcreatorv2!E109="selectlist"),"&lt;/select&gt;","")</f>
        <v/>
      </c>
      <c r="O105" s="165" t="str">
        <f>+IF(fieldcreatorv2!E109="selectlist",M105&amp;$E$6&amp;fieldcreatorv2!C109&amp;$E$7&amp;fieldcreatorv2!AU109&amp;$F$1&amp;fieldcreatorv2!C109&amp;$F$2&amp;fieldcreatorv2!C109&amp;$F$3&amp;N105,"")</f>
        <v/>
      </c>
      <c r="P105" s="165" t="str">
        <f>+IF(fieldcreatorv2!E109="check",$E$1&amp;A105&amp;$D$5&amp;A105&amp;$E$2&amp;A105&amp;$E$3&amp;A105,"")</f>
        <v/>
      </c>
      <c r="Q105" s="165" t="str">
        <f>+IF(AND(R104&lt;&gt;"",fieldcreatorv2!I109="si"),fieldcreatorv2!CS109&amp;I105&amp;J105&amp;fieldcreatorv2!CT109,IF(AND(C105="yes",fieldcreatorv2!I109&lt;&gt;"si"),I105&amp;J105,""))</f>
        <v/>
      </c>
      <c r="R105" s="145" t="str">
        <f>IF(OR(C105=$P$1,AND(R104&lt;&gt;"",fieldcreatorv2!E109="radio",fieldcreatorv2!BA109=fieldcreatorv2!BA108),AND(R104&lt;&gt;"",fieldcreatorv2!E109="selectlist",fieldcreatorv2!AU109=fieldcreatorv2!AU108)),K105&amp;L105&amp;O105&amp;P105,"")&amp;Q105</f>
        <v/>
      </c>
      <c r="S105" s="55" t="str">
        <f>IF(AND(C105=$P$2,fieldcreatorv2!I109&lt;&gt;"si"),fieldcreatorv2!B109&amp;":  "&amp;$F$5&amp;A105&amp;$F$6,"")</f>
        <v/>
      </c>
      <c r="T105" s="253" t="str">
        <f>+IF(fieldcreatorv2!I109="si",$G$4&amp;A105&amp;$G$5,"")&amp;U105</f>
        <v/>
      </c>
      <c r="U105" s="61" t="str">
        <f>+IF(AND(fieldcreatorv2!I109="si",fieldcreatorv2!E108="radio"),+$G$6&amp;fieldcreatorv2!C108&amp;$G$7&amp;fieldcreatorv2!C108&amp;$H$1&amp;$H$2&amp;fieldcreatorv2!C108&amp;$H$3&amp;A105&amp;$H$4,"")</f>
        <v/>
      </c>
      <c r="V105" s="61" t="str">
        <f>+IF(R105&lt;&gt;"",fieldcreatorv2!CY109,"")</f>
        <v/>
      </c>
      <c r="W105" s="55" t="str">
        <f>+IF(OR(fieldcreatorv2!I110="si",AND(W106&lt;&gt;"",fieldcreatorv2!E109="radio")),1,"")</f>
        <v/>
      </c>
      <c r="X105" s="55" t="str">
        <f>+IF(AND(W105=1,W106=""),fieldcreatorv2!C109,IF(AND(W105=1,W106=1),X106,""))</f>
        <v/>
      </c>
      <c r="Y105" s="55" t="str">
        <f>+IF(AND(W104=1,fieldcreatorv2!I109="si"),A105,IF(W105=1,Y106,""))</f>
        <v/>
      </c>
      <c r="Z105" s="254" t="str">
        <f t="shared" si="21"/>
        <v/>
      </c>
      <c r="AA105" s="165" t="str">
        <f t="shared" si="24"/>
        <v/>
      </c>
      <c r="AB105" s="238" t="str">
        <f>+IF(V105&lt;&gt;"",$K$4&amp;fieldcreatorv2!C109&amp;$K$5&amp;fieldcreatorv2!BX109&amp;$K$6&amp;fieldcreatorv2!C110&amp;$K$7,"")</f>
        <v/>
      </c>
      <c r="AC105" s="238" t="str">
        <f>IF(AND(C105="yes",fieldcreatorv2!E109="check"),A105&amp;$L$1&amp;A105&amp;$L$2,"")</f>
        <v/>
      </c>
      <c r="AD105" s="238" t="str">
        <f>+IF(AND(R105&lt;&gt;"",OR(fieldcreatorv2!E109="date",fieldcreatorv2!E109="bigtext",fieldcreatorv2!E109="texto",AND(fieldcreatorv2!E109="selectlist",A105&lt;&gt;""))),"var "&amp;A105&amp;$L$3&amp;A105&amp;$L$4,"")</f>
        <v/>
      </c>
      <c r="AE105" s="61" t="str">
        <f t="shared" si="25"/>
        <v/>
      </c>
      <c r="AF105" s="12">
        <f t="shared" si="26"/>
        <v>0</v>
      </c>
      <c r="AG105" s="12">
        <f t="shared" si="22"/>
        <v>0</v>
      </c>
      <c r="AH105" s="12" t="str">
        <f t="shared" si="28"/>
        <v/>
      </c>
      <c r="AI105" s="61" t="str">
        <f t="shared" si="20"/>
        <v/>
      </c>
      <c r="AJ105" s="55" t="str">
        <f t="shared" si="29"/>
        <v/>
      </c>
      <c r="AK105" s="38" t="str">
        <f t="shared" si="23"/>
        <v/>
      </c>
      <c r="AL105" s="55" t="str">
        <f t="shared" si="27"/>
        <v/>
      </c>
    </row>
    <row r="106" spans="1:38">
      <c r="A106" s="216" t="str">
        <f>IF(fieldcreatorv2!BX110&lt;&gt;"",fieldcreatorv2!BX110,"")</f>
        <v/>
      </c>
      <c r="B106" s="255"/>
      <c r="C106" s="255"/>
      <c r="D106" s="165" t="str">
        <f>+IF(AND(B106="y",A106&lt;&gt;"",fieldcreatorv2!I110&lt;&gt;"si"),$A$1&amp;A106&amp;$A$2,"")</f>
        <v/>
      </c>
      <c r="E106" s="165" t="str">
        <f>+IF(AND(A106&lt;&gt;"",B106="y"),fieldcreatorv2!E110,"")</f>
        <v/>
      </c>
      <c r="F106" s="165" t="str">
        <f t="shared" si="19"/>
        <v/>
      </c>
      <c r="G106" s="55" t="str">
        <f>+IF(fieldcreatorv2!I110="si",$F$7&amp;fieldcreatorv2!BA109&amp;$F$1&amp;fieldcreatorv2!C109&amp;$G$1&amp;fieldcreatorv2!BA109&amp;$G$2&amp;A106&amp;$G$3,"")</f>
        <v/>
      </c>
      <c r="H106" s="145" t="str">
        <f>+IF(AND(A106&lt;&gt;"",B106="y",fieldcreatorv2!I110&lt;&gt;"si"),+$B$4&amp;A106&amp;$B$5,"")</f>
        <v/>
      </c>
      <c r="I106" s="252" t="str">
        <f>+IF(AND(fieldcreatorv2!E110="bigtext"),"&lt;br/&gt;"&amp;fieldcreatorv2!B110&amp;$C$2&amp;A106&amp;$C$3&amp;A106&amp;$C$4,"")</f>
        <v/>
      </c>
      <c r="J106" s="165" t="str">
        <f>+IF(fieldcreatorv2!E110="texto",fieldcreatorv2!B110&amp;": "&amp;$C$5&amp;A106&amp;$C$6&amp;A106&amp;$C$7,"")</f>
        <v/>
      </c>
      <c r="K106" s="165" t="str">
        <f>+IF(AND(fieldcreatorv2!E110="date",C106="yes"),fieldcreatorv2!B110&amp;": "&amp;$D$1&amp;A106&amp;$D$2&amp;A106&amp;$D$3,"")</f>
        <v/>
      </c>
      <c r="L106" s="165" t="str">
        <f>+IF(fieldcreatorv2!E110="radio",fieldcreatorv2!B110&amp;" &lt;br/&gt;"&amp;fieldcreatorv2!C110&amp;$D$4&amp;fieldcreatorv2!BA110&amp;$D$5&amp;fieldcreatorv2!C110&amp;$D$6&amp;fieldcreatorv2!C110&amp;$D$7&amp;fieldcreatorv2!BA110&amp;$F$1&amp;fieldcreatorv2!C110&amp;$F$4,"")</f>
        <v/>
      </c>
      <c r="M106" s="165" t="str">
        <f>+IF(AND(fieldcreatorv2!E110="selectlist",A106&lt;&gt;""),"&lt;br/&gt;"&amp;A106&amp;$E$4&amp;A106&amp;$D$5&amp;A106&amp;$E$5,"")</f>
        <v/>
      </c>
      <c r="N106" s="165" t="str">
        <f>+IF(AND(fieldcreatorv2!AU110&lt;&gt;fieldcreatorv2!AU111,fieldcreatorv2!E110="selectlist"),"&lt;/select&gt;","")</f>
        <v/>
      </c>
      <c r="O106" s="165" t="str">
        <f>+IF(fieldcreatorv2!E110="selectlist",M106&amp;$E$6&amp;fieldcreatorv2!C110&amp;$E$7&amp;fieldcreatorv2!AU110&amp;$F$1&amp;fieldcreatorv2!C110&amp;$F$2&amp;fieldcreatorv2!C110&amp;$F$3&amp;N106,"")</f>
        <v/>
      </c>
      <c r="P106" s="165" t="str">
        <f>+IF(fieldcreatorv2!E110="check",$E$1&amp;A106&amp;$D$5&amp;A106&amp;$E$2&amp;A106&amp;$E$3&amp;A106,"")</f>
        <v/>
      </c>
      <c r="Q106" s="165" t="str">
        <f>+IF(AND(R105&lt;&gt;"",fieldcreatorv2!I110="si"),fieldcreatorv2!CS110&amp;I106&amp;J106&amp;fieldcreatorv2!CT110,IF(AND(C106="yes",fieldcreatorv2!I110&lt;&gt;"si"),I106&amp;J106,""))</f>
        <v/>
      </c>
      <c r="R106" s="145" t="str">
        <f>IF(OR(C106=$P$1,AND(R105&lt;&gt;"",fieldcreatorv2!E110="radio",fieldcreatorv2!BA110=fieldcreatorv2!BA109),AND(R105&lt;&gt;"",fieldcreatorv2!E110="selectlist",fieldcreatorv2!AU110=fieldcreatorv2!AU109)),K106&amp;L106&amp;O106&amp;P106,"")&amp;Q106</f>
        <v/>
      </c>
      <c r="S106" s="55" t="str">
        <f>IF(AND(C106=$P$2,fieldcreatorv2!I110&lt;&gt;"si"),fieldcreatorv2!B110&amp;":  "&amp;$F$5&amp;A106&amp;$F$6,"")</f>
        <v/>
      </c>
      <c r="T106" s="253" t="str">
        <f>+IF(fieldcreatorv2!I110="si",$G$4&amp;A106&amp;$G$5,"")&amp;U106</f>
        <v/>
      </c>
      <c r="U106" s="61" t="str">
        <f>+IF(AND(fieldcreatorv2!I110="si",fieldcreatorv2!E109="radio"),+$G$6&amp;fieldcreatorv2!C109&amp;$G$7&amp;fieldcreatorv2!C109&amp;$H$1&amp;$H$2&amp;fieldcreatorv2!C109&amp;$H$3&amp;A106&amp;$H$4,"")</f>
        <v/>
      </c>
      <c r="V106" s="61" t="str">
        <f>+IF(R106&lt;&gt;"",fieldcreatorv2!CY110,"")</f>
        <v/>
      </c>
      <c r="W106" s="55" t="str">
        <f>+IF(OR(fieldcreatorv2!I111="si",AND(W107&lt;&gt;"",fieldcreatorv2!E110="radio")),1,"")</f>
        <v/>
      </c>
      <c r="X106" s="55" t="str">
        <f>+IF(AND(W106=1,W107=""),fieldcreatorv2!C110,IF(AND(W106=1,W107=1),X107,""))</f>
        <v/>
      </c>
      <c r="Y106" s="55" t="str">
        <f>+IF(AND(W105=1,fieldcreatorv2!I110="si"),A106,IF(W106=1,Y107,""))</f>
        <v/>
      </c>
      <c r="Z106" s="254" t="str">
        <f t="shared" si="21"/>
        <v/>
      </c>
      <c r="AA106" s="165" t="str">
        <f t="shared" si="24"/>
        <v/>
      </c>
      <c r="AB106" s="238" t="str">
        <f>+IF(V106&lt;&gt;"",$K$4&amp;fieldcreatorv2!C110&amp;$K$5&amp;fieldcreatorv2!BX110&amp;$K$6&amp;fieldcreatorv2!C111&amp;$K$7,"")</f>
        <v/>
      </c>
      <c r="AC106" s="238" t="str">
        <f>IF(AND(C106="yes",fieldcreatorv2!E110="check"),A106&amp;$L$1&amp;A106&amp;$L$2,"")</f>
        <v/>
      </c>
      <c r="AD106" s="238" t="str">
        <f>+IF(AND(R106&lt;&gt;"",OR(fieldcreatorv2!E110="date",fieldcreatorv2!E110="bigtext",fieldcreatorv2!E110="texto",AND(fieldcreatorv2!E110="selectlist",A106&lt;&gt;""))),"var "&amp;A106&amp;$L$3&amp;A106&amp;$L$4,"")</f>
        <v/>
      </c>
      <c r="AE106" s="61" t="str">
        <f t="shared" si="25"/>
        <v/>
      </c>
      <c r="AF106" s="12">
        <f t="shared" si="26"/>
        <v>0</v>
      </c>
      <c r="AG106" s="12">
        <f t="shared" si="22"/>
        <v>0</v>
      </c>
      <c r="AH106" s="12" t="str">
        <f t="shared" si="28"/>
        <v/>
      </c>
      <c r="AI106" s="61" t="str">
        <f t="shared" si="20"/>
        <v/>
      </c>
      <c r="AJ106" s="55" t="str">
        <f t="shared" si="29"/>
        <v/>
      </c>
      <c r="AK106" s="38" t="str">
        <f t="shared" si="23"/>
        <v/>
      </c>
      <c r="AL106" s="55" t="str">
        <f t="shared" si="27"/>
        <v/>
      </c>
    </row>
    <row r="107" spans="1:38">
      <c r="A107" s="216" t="str">
        <f>IF(fieldcreatorv2!BX111&lt;&gt;"",fieldcreatorv2!BX111,"")</f>
        <v/>
      </c>
      <c r="B107" s="255"/>
      <c r="C107" s="255"/>
      <c r="D107" s="165" t="str">
        <f>+IF(AND(B107="y",A107&lt;&gt;"",fieldcreatorv2!I111&lt;&gt;"si"),$A$1&amp;A107&amp;$A$2,"")</f>
        <v/>
      </c>
      <c r="E107" s="165" t="str">
        <f>+IF(AND(A107&lt;&gt;"",B107="y"),fieldcreatorv2!E111,"")</f>
        <v/>
      </c>
      <c r="F107" s="165" t="str">
        <f t="shared" ref="F107:F110" si="30">+IF(E107="check",$A$6&amp;A107&amp;$A$7&amp;A107&amp;$B$1&amp;A107&amp;$B$2&amp;A107&amp;$B$3,"")</f>
        <v/>
      </c>
      <c r="G107" s="55" t="str">
        <f>+IF(fieldcreatorv2!I111="si",$F$7&amp;fieldcreatorv2!BA110&amp;$F$1&amp;fieldcreatorv2!C110&amp;$G$1&amp;fieldcreatorv2!BA110&amp;$G$2&amp;A107&amp;$G$3,"")</f>
        <v/>
      </c>
      <c r="H107" s="145" t="str">
        <f>+IF(AND(A107&lt;&gt;"",B107="y",fieldcreatorv2!I111&lt;&gt;"si"),+$B$4&amp;A107&amp;$B$5,"")</f>
        <v/>
      </c>
      <c r="I107" s="252" t="str">
        <f>+IF(AND(fieldcreatorv2!E111="bigtext"),"&lt;br/&gt;"&amp;fieldcreatorv2!B111&amp;$C$2&amp;A107&amp;$C$3&amp;A107&amp;$C$4,"")</f>
        <v/>
      </c>
      <c r="J107" s="165" t="str">
        <f>+IF(fieldcreatorv2!E111="texto",fieldcreatorv2!B111&amp;": "&amp;$C$5&amp;A107&amp;$C$6&amp;A107&amp;$C$7,"")</f>
        <v/>
      </c>
      <c r="K107" s="165" t="str">
        <f>+IF(AND(fieldcreatorv2!E111="date",C107="yes"),fieldcreatorv2!B111&amp;": "&amp;$D$1&amp;A107&amp;$D$2&amp;A107&amp;$D$3,"")</f>
        <v/>
      </c>
      <c r="L107" s="165" t="str">
        <f>+IF(fieldcreatorv2!E111="radio",fieldcreatorv2!B111&amp;" &lt;br/&gt;"&amp;fieldcreatorv2!C111&amp;$D$4&amp;fieldcreatorv2!BA111&amp;$D$5&amp;fieldcreatorv2!C111&amp;$D$6&amp;fieldcreatorv2!C111&amp;$D$7&amp;fieldcreatorv2!BA111&amp;$F$1&amp;fieldcreatorv2!C111&amp;$F$4,"")</f>
        <v/>
      </c>
      <c r="M107" s="165" t="str">
        <f>+IF(AND(fieldcreatorv2!E111="selectlist",A107&lt;&gt;""),"&lt;br/&gt;"&amp;A107&amp;$E$4&amp;A107&amp;$D$5&amp;A107&amp;$E$5,"")</f>
        <v/>
      </c>
      <c r="N107" s="165" t="str">
        <f>+IF(AND(fieldcreatorv2!AU111&lt;&gt;fieldcreatorv2!AU112,fieldcreatorv2!E111="selectlist"),"&lt;/select&gt;","")</f>
        <v/>
      </c>
      <c r="O107" s="165" t="str">
        <f>+IF(fieldcreatorv2!E111="selectlist",M107&amp;$E$6&amp;fieldcreatorv2!C111&amp;$E$7&amp;fieldcreatorv2!AU111&amp;$F$1&amp;fieldcreatorv2!C111&amp;$F$2&amp;fieldcreatorv2!C111&amp;$F$3&amp;N107,"")</f>
        <v/>
      </c>
      <c r="P107" s="165" t="str">
        <f>+IF(fieldcreatorv2!E111="check",$E$1&amp;A107&amp;$D$5&amp;A107&amp;$E$2&amp;A107&amp;$E$3&amp;A107,"")</f>
        <v/>
      </c>
      <c r="Q107" s="165" t="str">
        <f>+IF(AND(R106&lt;&gt;"",fieldcreatorv2!I111="si"),fieldcreatorv2!CS111&amp;I107&amp;J107&amp;fieldcreatorv2!CT111,IF(AND(C107="yes",fieldcreatorv2!I111&lt;&gt;"si"),I107&amp;J107,""))</f>
        <v/>
      </c>
      <c r="R107" s="145" t="str">
        <f>IF(OR(C107=$P$1,AND(R106&lt;&gt;"",fieldcreatorv2!E111="radio",fieldcreatorv2!BA111=fieldcreatorv2!BA110),AND(R106&lt;&gt;"",fieldcreatorv2!E111="selectlist",fieldcreatorv2!AU111=fieldcreatorv2!AU110)),K107&amp;L107&amp;O107&amp;P107,"")&amp;Q107</f>
        <v/>
      </c>
      <c r="S107" s="55" t="str">
        <f>IF(AND(C107=$P$2,fieldcreatorv2!I111&lt;&gt;"si"),fieldcreatorv2!B111&amp;":  "&amp;$F$5&amp;A107&amp;$F$6,"")</f>
        <v/>
      </c>
      <c r="T107" s="253" t="str">
        <f>+IF(fieldcreatorv2!I111="si",$G$4&amp;A107&amp;$G$5,"")&amp;U107</f>
        <v/>
      </c>
      <c r="U107" s="61" t="str">
        <f>+IF(AND(fieldcreatorv2!I111="si",fieldcreatorv2!E110="radio"),+$G$6&amp;fieldcreatorv2!C110&amp;$G$7&amp;fieldcreatorv2!C110&amp;$H$1&amp;$H$2&amp;fieldcreatorv2!C110&amp;$H$3&amp;A107&amp;$H$4,"")</f>
        <v/>
      </c>
      <c r="V107" s="61" t="str">
        <f>+IF(R107&lt;&gt;"",fieldcreatorv2!CY111,"")</f>
        <v/>
      </c>
      <c r="W107" s="55" t="str">
        <f>+IF(OR(fieldcreatorv2!I112="si",AND(W108&lt;&gt;"",fieldcreatorv2!E111="radio")),1,"")</f>
        <v/>
      </c>
      <c r="X107" s="55" t="str">
        <f>+IF(AND(W107=1,W108=""),fieldcreatorv2!C111,IF(AND(W107=1,W108=1),X108,""))</f>
        <v/>
      </c>
      <c r="Y107" s="55" t="str">
        <f>+IF(AND(W106=1,fieldcreatorv2!I111="si"),A107,IF(W107=1,Y108,""))</f>
        <v/>
      </c>
      <c r="Z107" s="254" t="str">
        <f t="shared" si="21"/>
        <v/>
      </c>
      <c r="AA107" s="165" t="str">
        <f t="shared" si="24"/>
        <v/>
      </c>
      <c r="AB107" s="238" t="str">
        <f>+IF(V107&lt;&gt;"",$K$4&amp;fieldcreatorv2!C111&amp;$K$5&amp;fieldcreatorv2!BX111&amp;$K$6&amp;fieldcreatorv2!C112&amp;$K$7,"")</f>
        <v/>
      </c>
      <c r="AC107" s="238" t="str">
        <f>IF(AND(C107="yes",fieldcreatorv2!E111="check"),A107&amp;$L$1&amp;A107&amp;$L$2,"")</f>
        <v/>
      </c>
      <c r="AD107" s="238" t="str">
        <f>+IF(AND(R107&lt;&gt;"",OR(fieldcreatorv2!E111="date",fieldcreatorv2!E111="bigtext",fieldcreatorv2!E111="texto",AND(fieldcreatorv2!E111="selectlist",A107&lt;&gt;""))),"var "&amp;A107&amp;$L$3&amp;A107&amp;$L$4,"")</f>
        <v/>
      </c>
      <c r="AE107" s="61" t="str">
        <f t="shared" si="25"/>
        <v/>
      </c>
      <c r="AF107" s="12">
        <f t="shared" si="26"/>
        <v>0</v>
      </c>
      <c r="AG107" s="12">
        <f t="shared" si="22"/>
        <v>0</v>
      </c>
      <c r="AH107" s="12" t="str">
        <f t="shared" si="28"/>
        <v/>
      </c>
      <c r="AI107" s="61" t="str">
        <f t="shared" si="20"/>
        <v/>
      </c>
      <c r="AJ107" s="55" t="str">
        <f t="shared" si="29"/>
        <v/>
      </c>
      <c r="AK107" s="38" t="str">
        <f t="shared" si="23"/>
        <v/>
      </c>
      <c r="AL107" s="55" t="str">
        <f t="shared" si="27"/>
        <v/>
      </c>
    </row>
    <row r="108" spans="1:38">
      <c r="A108" s="216" t="str">
        <f>IF(fieldcreatorv2!BX112&lt;&gt;"",fieldcreatorv2!BX112,"")</f>
        <v/>
      </c>
      <c r="B108" s="255"/>
      <c r="C108" s="255"/>
      <c r="D108" s="165" t="str">
        <f>+IF(AND(B108="y",A108&lt;&gt;"",fieldcreatorv2!I112&lt;&gt;"si"),$A$1&amp;A108&amp;$A$2,"")</f>
        <v/>
      </c>
      <c r="E108" s="165" t="str">
        <f>+IF(AND(A108&lt;&gt;"",B108="y"),fieldcreatorv2!E112,"")</f>
        <v/>
      </c>
      <c r="F108" s="165" t="str">
        <f t="shared" si="30"/>
        <v/>
      </c>
      <c r="G108" s="55" t="str">
        <f>+IF(fieldcreatorv2!I112="si",$F$7&amp;fieldcreatorv2!BA111&amp;$F$1&amp;fieldcreatorv2!C111&amp;$G$1&amp;fieldcreatorv2!BA111&amp;$G$2&amp;A108&amp;$G$3,"")</f>
        <v/>
      </c>
      <c r="H108" s="145" t="str">
        <f>+IF(AND(A108&lt;&gt;"",B108="y",fieldcreatorv2!I112&lt;&gt;"si"),+$B$4&amp;A108&amp;$B$5,"")</f>
        <v/>
      </c>
      <c r="I108" s="252" t="str">
        <f>+IF(AND(fieldcreatorv2!E112="bigtext"),"&lt;br/&gt;"&amp;fieldcreatorv2!B112&amp;$C$2&amp;A108&amp;$C$3&amp;A108&amp;$C$4,"")</f>
        <v/>
      </c>
      <c r="J108" s="165" t="str">
        <f>+IF(fieldcreatorv2!E112="texto",fieldcreatorv2!B112&amp;": "&amp;$C$5&amp;A108&amp;$C$6&amp;A108&amp;$C$7,"")</f>
        <v/>
      </c>
      <c r="K108" s="165" t="str">
        <f>+IF(AND(fieldcreatorv2!E112="date",C108="yes"),fieldcreatorv2!B112&amp;": "&amp;$D$1&amp;A108&amp;$D$2&amp;A108&amp;$D$3,"")</f>
        <v/>
      </c>
      <c r="L108" s="165" t="str">
        <f>+IF(fieldcreatorv2!E112="radio",fieldcreatorv2!B112&amp;" &lt;br/&gt;"&amp;fieldcreatorv2!C112&amp;$D$4&amp;fieldcreatorv2!BA112&amp;$D$5&amp;fieldcreatorv2!C112&amp;$D$6&amp;fieldcreatorv2!C112&amp;$D$7&amp;fieldcreatorv2!BA112&amp;$F$1&amp;fieldcreatorv2!C112&amp;$F$4,"")</f>
        <v/>
      </c>
      <c r="M108" s="165" t="str">
        <f>+IF(AND(fieldcreatorv2!E112="selectlist",A108&lt;&gt;""),"&lt;br/&gt;"&amp;A108&amp;$E$4&amp;A108&amp;$D$5&amp;A108&amp;$E$5,"")</f>
        <v/>
      </c>
      <c r="N108" s="165" t="str">
        <f>+IF(AND(fieldcreatorv2!AU112&lt;&gt;fieldcreatorv2!AU113,fieldcreatorv2!E112="selectlist"),"&lt;/select&gt;","")</f>
        <v/>
      </c>
      <c r="O108" s="165" t="str">
        <f>+IF(fieldcreatorv2!E112="selectlist",M108&amp;$E$6&amp;fieldcreatorv2!C112&amp;$E$7&amp;fieldcreatorv2!AU112&amp;$F$1&amp;fieldcreatorv2!C112&amp;$F$2&amp;fieldcreatorv2!C112&amp;$F$3&amp;N108,"")</f>
        <v/>
      </c>
      <c r="P108" s="165" t="str">
        <f>+IF(fieldcreatorv2!E112="check",$E$1&amp;A108&amp;$D$5&amp;A108&amp;$E$2&amp;A108&amp;$E$3&amp;A108,"")</f>
        <v/>
      </c>
      <c r="Q108" s="165" t="str">
        <f>+IF(AND(R107&lt;&gt;"",fieldcreatorv2!I112="si"),fieldcreatorv2!CS112&amp;I108&amp;J108&amp;fieldcreatorv2!CT112,IF(AND(C108="yes",fieldcreatorv2!I112&lt;&gt;"si"),I108&amp;J108,""))</f>
        <v/>
      </c>
      <c r="R108" s="145" t="str">
        <f>IF(OR(C108=$P$1,AND(R107&lt;&gt;"",fieldcreatorv2!E112="radio",fieldcreatorv2!BA112=fieldcreatorv2!BA111),AND(R107&lt;&gt;"",fieldcreatorv2!E112="selectlist",fieldcreatorv2!AU112=fieldcreatorv2!AU111)),K108&amp;L108&amp;O108&amp;P108,"")&amp;Q108</f>
        <v/>
      </c>
      <c r="S108" s="55" t="str">
        <f>IF(AND(C108=$P$2,fieldcreatorv2!I112&lt;&gt;"si"),fieldcreatorv2!B112&amp;":  "&amp;$F$5&amp;A108&amp;$F$6,"")</f>
        <v/>
      </c>
      <c r="T108" s="253" t="str">
        <f>+IF(fieldcreatorv2!I112="si",$G$4&amp;A108&amp;$G$5,"")&amp;U108</f>
        <v/>
      </c>
      <c r="U108" s="61" t="str">
        <f>+IF(AND(fieldcreatorv2!I112="si",fieldcreatorv2!E111="radio"),+$G$6&amp;fieldcreatorv2!C111&amp;$G$7&amp;fieldcreatorv2!C111&amp;$H$1&amp;$H$2&amp;fieldcreatorv2!C111&amp;$H$3&amp;A108&amp;$H$4,"")</f>
        <v/>
      </c>
      <c r="V108" s="61" t="str">
        <f>+IF(R108&lt;&gt;"",fieldcreatorv2!CY112,"")</f>
        <v/>
      </c>
      <c r="W108" s="55" t="str">
        <f>+IF(OR(fieldcreatorv2!I113="si",AND(W109&lt;&gt;"",fieldcreatorv2!E112="radio")),1,"")</f>
        <v/>
      </c>
      <c r="X108" s="55" t="str">
        <f>+IF(AND(W108=1,W109=""),fieldcreatorv2!C112,IF(AND(W108=1,W109=1),X109,""))</f>
        <v/>
      </c>
      <c r="Y108" s="55" t="str">
        <f>+IF(AND(W107=1,fieldcreatorv2!I112="si"),A108,IF(W108=1,Y109,""))</f>
        <v/>
      </c>
      <c r="Z108" s="254" t="str">
        <f t="shared" si="21"/>
        <v/>
      </c>
      <c r="AA108" s="165" t="str">
        <f t="shared" si="24"/>
        <v/>
      </c>
      <c r="AB108" s="238" t="str">
        <f>+IF(V108&lt;&gt;"",$K$4&amp;fieldcreatorv2!C112&amp;$K$5&amp;fieldcreatorv2!BX112&amp;$K$6&amp;fieldcreatorv2!C113&amp;$K$7,"")</f>
        <v/>
      </c>
      <c r="AC108" s="238" t="str">
        <f>IF(AND(C108="yes",fieldcreatorv2!E112="check"),A108&amp;$L$1&amp;A108&amp;$L$2,"")</f>
        <v/>
      </c>
      <c r="AD108" s="238" t="str">
        <f>+IF(AND(R108&lt;&gt;"",OR(fieldcreatorv2!E112="date",fieldcreatorv2!E112="bigtext",fieldcreatorv2!E112="texto",AND(fieldcreatorv2!E112="selectlist",A108&lt;&gt;""))),"var "&amp;A108&amp;$L$3&amp;A108&amp;$L$4,"")</f>
        <v/>
      </c>
      <c r="AE108" s="61" t="str">
        <f t="shared" si="25"/>
        <v/>
      </c>
      <c r="AF108" s="12">
        <f t="shared" si="26"/>
        <v>0</v>
      </c>
      <c r="AG108" s="12">
        <f t="shared" si="22"/>
        <v>0</v>
      </c>
      <c r="AH108" s="12" t="str">
        <f t="shared" si="28"/>
        <v/>
      </c>
      <c r="AI108" s="61" t="str">
        <f t="shared" si="20"/>
        <v/>
      </c>
      <c r="AJ108" s="55" t="str">
        <f t="shared" si="29"/>
        <v/>
      </c>
      <c r="AK108" s="38" t="str">
        <f t="shared" si="23"/>
        <v/>
      </c>
      <c r="AL108" s="55" t="str">
        <f t="shared" si="27"/>
        <v/>
      </c>
    </row>
    <row r="109" spans="1:38">
      <c r="A109" s="216" t="str">
        <f>IF(fieldcreatorv2!BX113&lt;&gt;"",fieldcreatorv2!BX113,"")</f>
        <v/>
      </c>
      <c r="B109" s="255"/>
      <c r="C109" s="255"/>
      <c r="D109" s="165" t="str">
        <f>+IF(AND(B109="y",A109&lt;&gt;"",fieldcreatorv2!I113&lt;&gt;"si"),$A$1&amp;A109&amp;$A$2,"")</f>
        <v/>
      </c>
      <c r="E109" s="165" t="str">
        <f>+IF(AND(A109&lt;&gt;"",B109="y"),fieldcreatorv2!E113,"")</f>
        <v/>
      </c>
      <c r="F109" s="165" t="str">
        <f t="shared" si="30"/>
        <v/>
      </c>
      <c r="G109" s="55" t="str">
        <f>+IF(fieldcreatorv2!I113="si",$F$7&amp;fieldcreatorv2!BA112&amp;$F$1&amp;fieldcreatorv2!C112&amp;$G$1&amp;fieldcreatorv2!BA112&amp;$G$2&amp;A109&amp;$G$3,"")</f>
        <v/>
      </c>
      <c r="H109" s="145" t="str">
        <f>+IF(AND(A109&lt;&gt;"",B109="y",fieldcreatorv2!I113&lt;&gt;"si"),+$B$4&amp;A109&amp;$B$5,"")</f>
        <v/>
      </c>
      <c r="I109" s="252" t="str">
        <f>+IF(AND(fieldcreatorv2!E113="bigtext"),"&lt;br/&gt;"&amp;fieldcreatorv2!B113&amp;$C$2&amp;A109&amp;$C$3&amp;A109&amp;$C$4,"")</f>
        <v/>
      </c>
      <c r="J109" s="165" t="str">
        <f>+IF(fieldcreatorv2!E113="texto",fieldcreatorv2!B113&amp;": "&amp;$C$5&amp;A109&amp;$C$6&amp;A109&amp;$C$7,"")</f>
        <v/>
      </c>
      <c r="K109" s="165" t="str">
        <f>+IF(AND(fieldcreatorv2!E113="date",C109="yes"),fieldcreatorv2!B113&amp;": "&amp;$D$1&amp;A109&amp;$D$2&amp;A109&amp;$D$3,"")</f>
        <v/>
      </c>
      <c r="L109" s="165" t="str">
        <f>+IF(fieldcreatorv2!E113="radio",fieldcreatorv2!B113&amp;" &lt;br/&gt;"&amp;fieldcreatorv2!C113&amp;$D$4&amp;fieldcreatorv2!BA113&amp;$D$5&amp;fieldcreatorv2!C113&amp;$D$6&amp;fieldcreatorv2!C113&amp;$D$7&amp;fieldcreatorv2!BA113&amp;$F$1&amp;fieldcreatorv2!C113&amp;$F$4,"")</f>
        <v/>
      </c>
      <c r="M109" s="165" t="str">
        <f>+IF(AND(fieldcreatorv2!E113="selectlist",A109&lt;&gt;""),"&lt;br/&gt;"&amp;A109&amp;$E$4&amp;A109&amp;$D$5&amp;A109&amp;$E$5,"")</f>
        <v/>
      </c>
      <c r="N109" s="165" t="str">
        <f>+IF(AND(fieldcreatorv2!AU113&lt;&gt;fieldcreatorv2!AU114,fieldcreatorv2!E113="selectlist"),"&lt;/select&gt;","")</f>
        <v/>
      </c>
      <c r="O109" s="165" t="str">
        <f>+IF(fieldcreatorv2!E113="selectlist",M109&amp;$E$6&amp;fieldcreatorv2!C113&amp;$E$7&amp;fieldcreatorv2!AU113&amp;$F$1&amp;fieldcreatorv2!C113&amp;$F$2&amp;fieldcreatorv2!C113&amp;$F$3&amp;N109,"")</f>
        <v/>
      </c>
      <c r="P109" s="165" t="str">
        <f>+IF(fieldcreatorv2!E113="check",$E$1&amp;A109&amp;$D$5&amp;A109&amp;$E$2&amp;A109&amp;$E$3&amp;A109,"")</f>
        <v/>
      </c>
      <c r="Q109" s="165" t="str">
        <f>+IF(AND(R108&lt;&gt;"",fieldcreatorv2!I113="si"),fieldcreatorv2!CS113&amp;I109&amp;J109&amp;fieldcreatorv2!CT113,IF(AND(C109="yes",fieldcreatorv2!I113&lt;&gt;"si"),I109&amp;J109,""))</f>
        <v/>
      </c>
      <c r="R109" s="145" t="str">
        <f>IF(OR(C109=$P$1,AND(R108&lt;&gt;"",fieldcreatorv2!E113="radio",fieldcreatorv2!BA113=fieldcreatorv2!BA112),AND(R108&lt;&gt;"",fieldcreatorv2!E113="selectlist",fieldcreatorv2!AU113=fieldcreatorv2!AU112)),K109&amp;L109&amp;O109&amp;P109,"")&amp;Q109</f>
        <v/>
      </c>
      <c r="S109" s="55" t="str">
        <f>IF(AND(C109=$P$2,fieldcreatorv2!I113&lt;&gt;"si"),fieldcreatorv2!B113&amp;":  "&amp;$F$5&amp;A109&amp;$F$6,"")</f>
        <v/>
      </c>
      <c r="T109" s="253" t="str">
        <f>+IF(fieldcreatorv2!I113="si",$G$4&amp;A109&amp;$G$5,"")&amp;U109</f>
        <v/>
      </c>
      <c r="U109" s="61" t="str">
        <f>+IF(AND(fieldcreatorv2!I113="si",fieldcreatorv2!E112="radio"),+$G$6&amp;fieldcreatorv2!C112&amp;$G$7&amp;fieldcreatorv2!C112&amp;$H$1&amp;$H$2&amp;fieldcreatorv2!C112&amp;$H$3&amp;A109&amp;$H$4,"")</f>
        <v/>
      </c>
      <c r="V109" s="61" t="str">
        <f>+IF(R109&lt;&gt;"",fieldcreatorv2!CY113,"")</f>
        <v/>
      </c>
      <c r="W109" s="55" t="str">
        <f>+IF(OR(fieldcreatorv2!I114="si",AND(W110&lt;&gt;"",fieldcreatorv2!E113="radio")),1,"")</f>
        <v/>
      </c>
      <c r="X109" s="55" t="str">
        <f>+IF(AND(W109=1,W110=""),fieldcreatorv2!C113,IF(AND(W109=1,W110=1),X110,""))</f>
        <v/>
      </c>
      <c r="Y109" s="55" t="str">
        <f>+IF(AND(W108=1,fieldcreatorv2!I113="si"),A109,IF(W109=1,Y110,""))</f>
        <v/>
      </c>
      <c r="Z109" s="254" t="str">
        <f t="shared" si="21"/>
        <v/>
      </c>
      <c r="AA109" s="165" t="str">
        <f t="shared" si="24"/>
        <v/>
      </c>
      <c r="AB109" s="238" t="str">
        <f>+IF(V109&lt;&gt;"",$K$4&amp;fieldcreatorv2!C113&amp;$K$5&amp;fieldcreatorv2!BX113&amp;$K$6&amp;fieldcreatorv2!C114&amp;$K$7,"")</f>
        <v/>
      </c>
      <c r="AC109" s="238" t="str">
        <f>IF(AND(C109="yes",fieldcreatorv2!E113="check"),A109&amp;$L$1&amp;A109&amp;$L$2,"")</f>
        <v/>
      </c>
      <c r="AD109" s="238" t="str">
        <f>+IF(AND(R109&lt;&gt;"",OR(fieldcreatorv2!E113="date",fieldcreatorv2!E113="bigtext",fieldcreatorv2!E113="texto",AND(fieldcreatorv2!E113="selectlist",A109&lt;&gt;""))),"var "&amp;A109&amp;$L$3&amp;A109&amp;$L$4,"")</f>
        <v/>
      </c>
      <c r="AE109" s="61" t="str">
        <f t="shared" si="25"/>
        <v/>
      </c>
      <c r="AF109" s="12">
        <f t="shared" si="26"/>
        <v>0</v>
      </c>
      <c r="AG109" s="12">
        <f t="shared" si="22"/>
        <v>0</v>
      </c>
      <c r="AH109" s="12" t="str">
        <f t="shared" si="28"/>
        <v/>
      </c>
      <c r="AI109" s="61" t="str">
        <f t="shared" si="20"/>
        <v/>
      </c>
      <c r="AJ109" s="55" t="str">
        <f t="shared" si="29"/>
        <v/>
      </c>
      <c r="AK109" s="38" t="str">
        <f t="shared" si="23"/>
        <v/>
      </c>
      <c r="AL109" s="55" t="str">
        <f t="shared" si="27"/>
        <v/>
      </c>
    </row>
    <row r="110" spans="1:38">
      <c r="A110" s="216" t="str">
        <f>IF(fieldcreatorv2!BX114&lt;&gt;"",fieldcreatorv2!BX114,"")</f>
        <v/>
      </c>
      <c r="B110" s="255"/>
      <c r="C110" s="255"/>
      <c r="D110" s="165" t="str">
        <f>+IF(AND(B110="y",A110&lt;&gt;"",fieldcreatorv2!I114&lt;&gt;"si"),$A$1&amp;A110&amp;$A$2,"")</f>
        <v/>
      </c>
      <c r="E110" s="165" t="str">
        <f>+IF(AND(A110&lt;&gt;"",B110="y"),fieldcreatorv2!E114,"")</f>
        <v/>
      </c>
      <c r="F110" s="165" t="str">
        <f t="shared" si="30"/>
        <v/>
      </c>
      <c r="G110" s="55" t="str">
        <f>+IF(fieldcreatorv2!I114="si",$F$7&amp;fieldcreatorv2!BA113&amp;$F$1&amp;fieldcreatorv2!C113&amp;$G$1&amp;fieldcreatorv2!BA113&amp;$G$2&amp;A110&amp;$G$3,"")</f>
        <v/>
      </c>
      <c r="H110" s="145" t="str">
        <f>+IF(AND(A110&lt;&gt;"",B110="y",fieldcreatorv2!I114&lt;&gt;"si"),+$B$4&amp;A110&amp;$B$5,"")</f>
        <v/>
      </c>
      <c r="I110" s="252" t="str">
        <f>+IF(AND(fieldcreatorv2!E114="bigtext"),"&lt;br/&gt;"&amp;fieldcreatorv2!B114&amp;$C$2&amp;A110&amp;$C$3&amp;A110&amp;$C$4,"")</f>
        <v/>
      </c>
      <c r="J110" s="165" t="str">
        <f>+IF(fieldcreatorv2!E114="texto",fieldcreatorv2!B114&amp;": "&amp;$C$5&amp;A110&amp;$C$6&amp;A110&amp;$C$7,"")</f>
        <v/>
      </c>
      <c r="K110" s="165" t="str">
        <f>+IF(AND(fieldcreatorv2!E114="date",C110="yes"),fieldcreatorv2!B114&amp;": "&amp;$D$1&amp;A110&amp;$D$2&amp;A110&amp;$D$3,"")</f>
        <v/>
      </c>
      <c r="L110" s="165" t="str">
        <f>+IF(fieldcreatorv2!E114="radio",fieldcreatorv2!B114&amp;" &lt;br/&gt;"&amp;fieldcreatorv2!C114&amp;$D$4&amp;fieldcreatorv2!BA114&amp;$D$5&amp;fieldcreatorv2!C114&amp;$D$6&amp;fieldcreatorv2!C114&amp;$D$7&amp;fieldcreatorv2!BA114&amp;$F$1&amp;fieldcreatorv2!C114&amp;$F$4,"")</f>
        <v/>
      </c>
      <c r="M110" s="165" t="str">
        <f>+IF(AND(fieldcreatorv2!E114="selectlist",A110&lt;&gt;""),"&lt;br/&gt;"&amp;A110&amp;$E$4&amp;A110&amp;$D$5&amp;A110&amp;$E$5,"")</f>
        <v/>
      </c>
      <c r="N110" s="165" t="str">
        <f>+IF(AND(fieldcreatorv2!AU114&lt;&gt;fieldcreatorv2!AU115,fieldcreatorv2!E114="selectlist"),"&lt;/select&gt;","")</f>
        <v/>
      </c>
      <c r="O110" s="165" t="str">
        <f>+IF(fieldcreatorv2!E114="selectlist",M110&amp;$E$6&amp;fieldcreatorv2!C114&amp;$E$7&amp;fieldcreatorv2!AU114&amp;$F$1&amp;fieldcreatorv2!C114&amp;$F$2&amp;fieldcreatorv2!C114&amp;$F$3&amp;N110,"")</f>
        <v/>
      </c>
      <c r="P110" s="165" t="str">
        <f>+IF(fieldcreatorv2!E114="check",$E$1&amp;A110&amp;$D$5&amp;A110&amp;$E$2&amp;A110&amp;$E$3&amp;A110,"")</f>
        <v/>
      </c>
      <c r="Q110" s="165" t="str">
        <f>+IF(AND(R109&lt;&gt;"",fieldcreatorv2!I114="si"),fieldcreatorv2!CS114&amp;I110&amp;J110&amp;fieldcreatorv2!CT114,IF(AND(C110="yes",fieldcreatorv2!I114&lt;&gt;"si"),I110&amp;J110,""))</f>
        <v/>
      </c>
      <c r="R110" s="145" t="str">
        <f>IF(OR(C110=$P$1,AND(R109&lt;&gt;"",fieldcreatorv2!E114="radio",fieldcreatorv2!BA114=fieldcreatorv2!BA113),AND(R109&lt;&gt;"",fieldcreatorv2!E114="selectlist",fieldcreatorv2!AU114=fieldcreatorv2!AU113)),K110&amp;L110&amp;O110&amp;P110,"")&amp;Q110</f>
        <v/>
      </c>
      <c r="S110" s="55" t="str">
        <f>IF(AND(C110=$P$2,fieldcreatorv2!I114&lt;&gt;"si"),fieldcreatorv2!B114&amp;":  "&amp;$F$5&amp;A110&amp;$F$6,"")</f>
        <v/>
      </c>
      <c r="T110" s="253" t="str">
        <f>+IF(fieldcreatorv2!I114="si",$G$4&amp;A110&amp;$G$5,"")&amp;U110</f>
        <v/>
      </c>
      <c r="U110" s="61" t="str">
        <f>+IF(AND(fieldcreatorv2!I114="si",fieldcreatorv2!E113="radio"),+$G$6&amp;fieldcreatorv2!C113&amp;$G$7&amp;fieldcreatorv2!C113&amp;$H$1&amp;$H$2&amp;fieldcreatorv2!C113&amp;$H$3&amp;A110&amp;$H$4,"")</f>
        <v/>
      </c>
      <c r="V110" s="61" t="str">
        <f>+IF(R110&lt;&gt;"",fieldcreatorv2!CY114,"")</f>
        <v/>
      </c>
      <c r="W110" s="55" t="str">
        <f>+IF(OR(fieldcreatorv2!I115="si",AND(W111&lt;&gt;"",fieldcreatorv2!E114="radio")),1,"")</f>
        <v/>
      </c>
      <c r="X110" s="55" t="str">
        <f>+IF(AND(W110=1,W111=""),fieldcreatorv2!C114,IF(AND(W110=1,W111=1),X111,""))</f>
        <v/>
      </c>
      <c r="Y110" s="55" t="str">
        <f>+IF(AND(W109=1,fieldcreatorv2!I114="si"),A110,IF(W110=1,Y111,""))</f>
        <v/>
      </c>
      <c r="Z110" s="254" t="str">
        <f t="shared" si="21"/>
        <v/>
      </c>
      <c r="AA110" s="165" t="str">
        <f t="shared" si="24"/>
        <v/>
      </c>
      <c r="AB110" s="238" t="str">
        <f>+IF(V110&lt;&gt;"",$K$4&amp;fieldcreatorv2!C114&amp;$K$5&amp;fieldcreatorv2!BX114&amp;$K$6&amp;fieldcreatorv2!C115&amp;$K$7,"")</f>
        <v/>
      </c>
      <c r="AC110" s="238" t="str">
        <f>IF(AND(C110="yes",fieldcreatorv2!E114="check"),A110&amp;$L$1&amp;A110&amp;$L$2,"")</f>
        <v/>
      </c>
      <c r="AD110" s="238" t="str">
        <f>+IF(AND(R110&lt;&gt;"",OR(fieldcreatorv2!E114="date",fieldcreatorv2!E114="bigtext",fieldcreatorv2!E114="texto",AND(fieldcreatorv2!E114="selectlist",A110&lt;&gt;""))),"var "&amp;A110&amp;$L$3&amp;A110&amp;$L$4,"")</f>
        <v/>
      </c>
      <c r="AE110" s="61" t="str">
        <f t="shared" si="25"/>
        <v/>
      </c>
      <c r="AF110" s="12">
        <f>+IF(AND(R110&lt;&gt;"",A110&lt;&gt;""),1,0)</f>
        <v>0</v>
      </c>
      <c r="AG110" s="12">
        <f t="shared" si="22"/>
        <v>0</v>
      </c>
      <c r="AH110" s="12" t="str">
        <f t="shared" si="28"/>
        <v/>
      </c>
      <c r="AI110" s="61" t="str">
        <f t="shared" si="20"/>
        <v/>
      </c>
      <c r="AJ110" s="55" t="str">
        <f t="shared" si="29"/>
        <v/>
      </c>
      <c r="AK110" s="38" t="str">
        <f t="shared" si="23"/>
        <v/>
      </c>
      <c r="AL110" s="55" t="str">
        <f t="shared" si="27"/>
        <v/>
      </c>
    </row>
    <row r="111" spans="1:38">
      <c r="A111" s="230"/>
    </row>
    <row r="112" spans="1:38">
      <c r="A112" s="230"/>
    </row>
    <row r="113" spans="1:11">
      <c r="A113" s="13" t="s">
        <v>1153</v>
      </c>
    </row>
    <row r="114" spans="1:11">
      <c r="A114" s="13" t="s">
        <v>1205</v>
      </c>
    </row>
    <row r="115" spans="1:11">
      <c r="A115" s="247" t="str">
        <f>"&lt;? /* edit"&amp;fieldcreatorv2!N15&amp;"*/ ?&gt;"</f>
        <v>&lt;? /* editJesus1.php*/ ?&gt;</v>
      </c>
    </row>
    <row r="116" spans="1:11">
      <c r="A116" s="221" t="str">
        <f>+fieldcreatorv2!B264</f>
        <v>&lt;? include ("Jesusb_SecureLayer.php");  ?&gt;</v>
      </c>
    </row>
    <row r="117" spans="1:11">
      <c r="A117" s="242" t="s">
        <v>593</v>
      </c>
    </row>
    <row r="118" spans="1:11">
      <c r="A118" s="242" t="s">
        <v>594</v>
      </c>
    </row>
    <row r="119" spans="1:11">
      <c r="A119" s="242" t="s">
        <v>595</v>
      </c>
    </row>
    <row r="120" spans="1:11">
      <c r="A120" s="165" t="s">
        <v>1271</v>
      </c>
    </row>
    <row r="121" spans="1:11">
      <c r="A121" s="179" t="str">
        <f>+fieldcreatorv2!B291</f>
        <v>&lt;link rel="stylesheet" type="text/css" href="healmy5_praystyle.css" /&gt;</v>
      </c>
      <c r="B121" s="179"/>
      <c r="C121" s="179"/>
      <c r="D121" s="179"/>
      <c r="E121" s="179"/>
      <c r="F121" s="179"/>
    </row>
    <row r="122" spans="1:11" hidden="1">
      <c r="A122" s="179" t="str">
        <f>+fieldcreatorv2!B152</f>
        <v>&lt;script type="text/javascript" src="//ajax.googleapis.com/ajax/libs/jquery/1.7.1/jquery.min.js"&gt;&lt;/script&gt;</v>
      </c>
      <c r="B122" s="179"/>
      <c r="C122" s="179"/>
      <c r="D122" s="179"/>
      <c r="E122" s="179"/>
      <c r="F122" s="179"/>
      <c r="G122" s="179"/>
      <c r="H122" s="179"/>
      <c r="I122" s="179"/>
      <c r="J122" s="179"/>
      <c r="K122" s="179"/>
    </row>
    <row r="123" spans="1:11">
      <c r="A123" s="165" t="s">
        <v>1270</v>
      </c>
    </row>
    <row r="124" spans="1:11">
      <c r="A124" s="165" t="s">
        <v>609</v>
      </c>
    </row>
    <row r="125" spans="1:11">
      <c r="A125" s="165" t="s">
        <v>610</v>
      </c>
    </row>
    <row r="126" spans="1:11">
      <c r="A126" s="165" t="s">
        <v>611</v>
      </c>
    </row>
    <row r="127" spans="1:11" s="193" customFormat="1">
      <c r="A127" s="262" t="s">
        <v>1328</v>
      </c>
      <c r="B127" s="12"/>
    </row>
    <row r="128" spans="1:11" s="193" customFormat="1">
      <c r="A128" s="262" t="s">
        <v>1329</v>
      </c>
      <c r="B128" s="12"/>
    </row>
    <row r="129" spans="1:2" s="193" customFormat="1">
      <c r="A129" s="262" t="s">
        <v>1330</v>
      </c>
      <c r="B129" s="12"/>
    </row>
    <row r="130" spans="1:2" s="193" customFormat="1">
      <c r="A130" s="262" t="s">
        <v>96</v>
      </c>
      <c r="B130" s="12"/>
    </row>
    <row r="131" spans="1:2">
      <c r="A131" s="165" t="s">
        <v>1274</v>
      </c>
    </row>
    <row r="132" spans="1:2">
      <c r="A132" s="165" t="s">
        <v>616</v>
      </c>
    </row>
    <row r="133" spans="1:2">
      <c r="A133" s="165" t="s">
        <v>1275</v>
      </c>
    </row>
    <row r="134" spans="1:2">
      <c r="A134" s="165" t="s">
        <v>625</v>
      </c>
    </row>
    <row r="135" spans="1:2">
      <c r="A135" s="165" t="str">
        <f>+"           "&amp;N4&amp;"a01"&amp;fieldcreatorv2!N15&amp;N3&amp;"Ingresar nuevo registro &lt;/a&gt;&lt;br/&gt;"</f>
        <v xml:space="preserve">           &lt;a class="menu" href="a01Jesus1.php"&gt;Ingresar nuevo registro &lt;/a&gt;&lt;br/&gt;</v>
      </c>
    </row>
    <row r="136" spans="1:2">
      <c r="A136" s="165" t="str">
        <f>+"           "&amp;N4&amp;fieldcreatorv2!L15&amp;"_logout.php"&amp;N3&amp;"Salida segura&lt;/a&gt;"</f>
        <v xml:space="preserve">           &lt;a class="menu" href="Jesus_logout.php"&gt;Salida segura&lt;/a&gt;</v>
      </c>
    </row>
    <row r="137" spans="1:2">
      <c r="A137" s="165" t="s">
        <v>1334</v>
      </c>
    </row>
    <row r="138" spans="1:2">
      <c r="A138" s="131" t="s">
        <v>1149</v>
      </c>
    </row>
    <row r="139" spans="1:2">
      <c r="A139" s="131" t="s">
        <v>1150</v>
      </c>
    </row>
    <row r="140" spans="1:2" hidden="1">
      <c r="A140" s="131" t="str">
        <f>"      "&amp;D11</f>
        <v xml:space="preserve">      </v>
      </c>
    </row>
    <row r="141" spans="1:2" hidden="1">
      <c r="A141" s="131" t="str">
        <f t="shared" ref="A141:A204" si="31">"      "&amp;D12</f>
        <v xml:space="preserve">      </v>
      </c>
    </row>
    <row r="142" spans="1:2" hidden="1">
      <c r="A142" s="131" t="str">
        <f t="shared" si="31"/>
        <v xml:space="preserve">      </v>
      </c>
    </row>
    <row r="143" spans="1:2" hidden="1">
      <c r="A143" s="131" t="str">
        <f t="shared" si="31"/>
        <v xml:space="preserve">      </v>
      </c>
    </row>
    <row r="144" spans="1:2">
      <c r="A144" s="131" t="str">
        <f t="shared" si="31"/>
        <v xml:space="preserve">      </v>
      </c>
    </row>
    <row r="145" spans="1:1" hidden="1">
      <c r="A145" s="131" t="str">
        <f t="shared" si="31"/>
        <v xml:space="preserve">      </v>
      </c>
    </row>
    <row r="146" spans="1:1" hidden="1">
      <c r="A146" s="131" t="str">
        <f t="shared" si="31"/>
        <v xml:space="preserve">      </v>
      </c>
    </row>
    <row r="147" spans="1:1" hidden="1">
      <c r="A147" s="131" t="str">
        <f t="shared" si="31"/>
        <v xml:space="preserve">      </v>
      </c>
    </row>
    <row r="148" spans="1:1" hidden="1">
      <c r="A148" s="131" t="str">
        <f t="shared" si="31"/>
        <v xml:space="preserve">      </v>
      </c>
    </row>
    <row r="149" spans="1:1" hidden="1">
      <c r="A149" s="131" t="str">
        <f t="shared" si="31"/>
        <v xml:space="preserve">      </v>
      </c>
    </row>
    <row r="150" spans="1:1" hidden="1">
      <c r="A150" s="131" t="str">
        <f t="shared" si="31"/>
        <v xml:space="preserve">      </v>
      </c>
    </row>
    <row r="151" spans="1:1" hidden="1">
      <c r="A151" s="131" t="str">
        <f t="shared" si="31"/>
        <v xml:space="preserve">      </v>
      </c>
    </row>
    <row r="152" spans="1:1" hidden="1">
      <c r="A152" s="131" t="str">
        <f t="shared" si="31"/>
        <v xml:space="preserve">      </v>
      </c>
    </row>
    <row r="153" spans="1:1" hidden="1">
      <c r="A153" s="131" t="str">
        <f t="shared" si="31"/>
        <v xml:space="preserve">      </v>
      </c>
    </row>
    <row r="154" spans="1:1" hidden="1">
      <c r="A154" s="131" t="str">
        <f t="shared" si="31"/>
        <v xml:space="preserve">      </v>
      </c>
    </row>
    <row r="155" spans="1:1" hidden="1">
      <c r="A155" s="131" t="str">
        <f t="shared" si="31"/>
        <v xml:space="preserve">      </v>
      </c>
    </row>
    <row r="156" spans="1:1" hidden="1">
      <c r="A156" s="131" t="str">
        <f t="shared" si="31"/>
        <v xml:space="preserve">      </v>
      </c>
    </row>
    <row r="157" spans="1:1" hidden="1">
      <c r="A157" s="131" t="str">
        <f t="shared" si="31"/>
        <v xml:space="preserve">      </v>
      </c>
    </row>
    <row r="158" spans="1:1" hidden="1">
      <c r="A158" s="131" t="str">
        <f t="shared" si="31"/>
        <v xml:space="preserve">      </v>
      </c>
    </row>
    <row r="159" spans="1:1">
      <c r="A159" s="131" t="str">
        <f t="shared" si="31"/>
        <v xml:space="preserve">      </v>
      </c>
    </row>
    <row r="160" spans="1:1">
      <c r="A160" s="131" t="str">
        <f t="shared" si="31"/>
        <v xml:space="preserve">      </v>
      </c>
    </row>
    <row r="161" spans="1:1" hidden="1">
      <c r="A161" s="131" t="str">
        <f t="shared" si="31"/>
        <v xml:space="preserve">      </v>
      </c>
    </row>
    <row r="162" spans="1:1" hidden="1">
      <c r="A162" s="131" t="str">
        <f t="shared" si="31"/>
        <v xml:space="preserve">      </v>
      </c>
    </row>
    <row r="163" spans="1:1" hidden="1">
      <c r="A163" s="131" t="str">
        <f t="shared" si="31"/>
        <v xml:space="preserve">      </v>
      </c>
    </row>
    <row r="164" spans="1:1" hidden="1">
      <c r="A164" s="131" t="str">
        <f t="shared" si="31"/>
        <v xml:space="preserve">      </v>
      </c>
    </row>
    <row r="165" spans="1:1" hidden="1">
      <c r="A165" s="131" t="str">
        <f t="shared" si="31"/>
        <v xml:space="preserve">      </v>
      </c>
    </row>
    <row r="166" spans="1:1" hidden="1">
      <c r="A166" s="131" t="str">
        <f t="shared" si="31"/>
        <v xml:space="preserve">      </v>
      </c>
    </row>
    <row r="167" spans="1:1" hidden="1">
      <c r="A167" s="131" t="str">
        <f t="shared" si="31"/>
        <v xml:space="preserve">      </v>
      </c>
    </row>
    <row r="168" spans="1:1" hidden="1">
      <c r="A168" s="131" t="str">
        <f t="shared" si="31"/>
        <v xml:space="preserve">      </v>
      </c>
    </row>
    <row r="169" spans="1:1" hidden="1">
      <c r="A169" s="131" t="str">
        <f t="shared" si="31"/>
        <v xml:space="preserve">      </v>
      </c>
    </row>
    <row r="170" spans="1:1" hidden="1">
      <c r="A170" s="131" t="str">
        <f t="shared" si="31"/>
        <v xml:space="preserve">      </v>
      </c>
    </row>
    <row r="171" spans="1:1" hidden="1">
      <c r="A171" s="131" t="str">
        <f t="shared" si="31"/>
        <v xml:space="preserve">      </v>
      </c>
    </row>
    <row r="172" spans="1:1" hidden="1">
      <c r="A172" s="131" t="str">
        <f t="shared" si="31"/>
        <v xml:space="preserve">      </v>
      </c>
    </row>
    <row r="173" spans="1:1" hidden="1">
      <c r="A173" s="131" t="str">
        <f t="shared" si="31"/>
        <v xml:space="preserve">      </v>
      </c>
    </row>
    <row r="174" spans="1:1" hidden="1">
      <c r="A174" s="131" t="str">
        <f t="shared" si="31"/>
        <v xml:space="preserve">      </v>
      </c>
    </row>
    <row r="175" spans="1:1" hidden="1">
      <c r="A175" s="131" t="str">
        <f t="shared" si="31"/>
        <v xml:space="preserve">      </v>
      </c>
    </row>
    <row r="176" spans="1:1" hidden="1">
      <c r="A176" s="131" t="str">
        <f t="shared" si="31"/>
        <v xml:space="preserve">      </v>
      </c>
    </row>
    <row r="177" spans="1:1" hidden="1">
      <c r="A177" s="131" t="str">
        <f t="shared" si="31"/>
        <v xml:space="preserve">      </v>
      </c>
    </row>
    <row r="178" spans="1:1" hidden="1">
      <c r="A178" s="131" t="str">
        <f t="shared" si="31"/>
        <v xml:space="preserve">      </v>
      </c>
    </row>
    <row r="179" spans="1:1" hidden="1">
      <c r="A179" s="131" t="str">
        <f t="shared" si="31"/>
        <v xml:space="preserve">      </v>
      </c>
    </row>
    <row r="180" spans="1:1" hidden="1">
      <c r="A180" s="131" t="str">
        <f t="shared" si="31"/>
        <v xml:space="preserve">      </v>
      </c>
    </row>
    <row r="181" spans="1:1" hidden="1">
      <c r="A181" s="131" t="str">
        <f t="shared" si="31"/>
        <v xml:space="preserve">      </v>
      </c>
    </row>
    <row r="182" spans="1:1" hidden="1">
      <c r="A182" s="131" t="str">
        <f t="shared" si="31"/>
        <v xml:space="preserve">      </v>
      </c>
    </row>
    <row r="183" spans="1:1" hidden="1">
      <c r="A183" s="131" t="str">
        <f t="shared" si="31"/>
        <v xml:space="preserve">      </v>
      </c>
    </row>
    <row r="184" spans="1:1" hidden="1">
      <c r="A184" s="131" t="str">
        <f t="shared" si="31"/>
        <v xml:space="preserve">      </v>
      </c>
    </row>
    <row r="185" spans="1:1" hidden="1">
      <c r="A185" s="131" t="str">
        <f t="shared" si="31"/>
        <v xml:space="preserve">      </v>
      </c>
    </row>
    <row r="186" spans="1:1" hidden="1">
      <c r="A186" s="131" t="str">
        <f t="shared" si="31"/>
        <v xml:space="preserve">      </v>
      </c>
    </row>
    <row r="187" spans="1:1" hidden="1">
      <c r="A187" s="131" t="str">
        <f t="shared" si="31"/>
        <v xml:space="preserve">      </v>
      </c>
    </row>
    <row r="188" spans="1:1" hidden="1">
      <c r="A188" s="131" t="str">
        <f t="shared" si="31"/>
        <v xml:space="preserve">      </v>
      </c>
    </row>
    <row r="189" spans="1:1" hidden="1">
      <c r="A189" s="131" t="str">
        <f t="shared" si="31"/>
        <v xml:space="preserve">      </v>
      </c>
    </row>
    <row r="190" spans="1:1" hidden="1">
      <c r="A190" s="131" t="str">
        <f t="shared" si="31"/>
        <v xml:space="preserve">      </v>
      </c>
    </row>
    <row r="191" spans="1:1" hidden="1">
      <c r="A191" s="131" t="str">
        <f t="shared" si="31"/>
        <v xml:space="preserve">      </v>
      </c>
    </row>
    <row r="192" spans="1:1" hidden="1">
      <c r="A192" s="131" t="str">
        <f t="shared" si="31"/>
        <v xml:space="preserve">      </v>
      </c>
    </row>
    <row r="193" spans="1:1" hidden="1">
      <c r="A193" s="131" t="str">
        <f t="shared" si="31"/>
        <v xml:space="preserve">      </v>
      </c>
    </row>
    <row r="194" spans="1:1" hidden="1">
      <c r="A194" s="131" t="str">
        <f t="shared" si="31"/>
        <v xml:space="preserve">      </v>
      </c>
    </row>
    <row r="195" spans="1:1" hidden="1">
      <c r="A195" s="131" t="str">
        <f t="shared" si="31"/>
        <v xml:space="preserve">      </v>
      </c>
    </row>
    <row r="196" spans="1:1" hidden="1">
      <c r="A196" s="131" t="str">
        <f t="shared" si="31"/>
        <v xml:space="preserve">      </v>
      </c>
    </row>
    <row r="197" spans="1:1" hidden="1">
      <c r="A197" s="131" t="str">
        <f t="shared" si="31"/>
        <v xml:space="preserve">      </v>
      </c>
    </row>
    <row r="198" spans="1:1" hidden="1">
      <c r="A198" s="131" t="str">
        <f t="shared" si="31"/>
        <v xml:space="preserve">      </v>
      </c>
    </row>
    <row r="199" spans="1:1" hidden="1">
      <c r="A199" s="131" t="str">
        <f t="shared" si="31"/>
        <v xml:space="preserve">      </v>
      </c>
    </row>
    <row r="200" spans="1:1" hidden="1">
      <c r="A200" s="131" t="str">
        <f t="shared" si="31"/>
        <v xml:space="preserve">      </v>
      </c>
    </row>
    <row r="201" spans="1:1" hidden="1">
      <c r="A201" s="131" t="str">
        <f t="shared" si="31"/>
        <v xml:space="preserve">      </v>
      </c>
    </row>
    <row r="202" spans="1:1" hidden="1">
      <c r="A202" s="131" t="str">
        <f t="shared" si="31"/>
        <v xml:space="preserve">      </v>
      </c>
    </row>
    <row r="203" spans="1:1" hidden="1">
      <c r="A203" s="131" t="str">
        <f t="shared" si="31"/>
        <v xml:space="preserve">      </v>
      </c>
    </row>
    <row r="204" spans="1:1" hidden="1">
      <c r="A204" s="131" t="str">
        <f t="shared" si="31"/>
        <v xml:space="preserve">      </v>
      </c>
    </row>
    <row r="205" spans="1:1" hidden="1">
      <c r="A205" s="131" t="str">
        <f t="shared" ref="A205:A239" si="32">"      "&amp;D76</f>
        <v xml:space="preserve">      </v>
      </c>
    </row>
    <row r="206" spans="1:1" hidden="1">
      <c r="A206" s="131" t="str">
        <f t="shared" si="32"/>
        <v xml:space="preserve">      </v>
      </c>
    </row>
    <row r="207" spans="1:1" hidden="1">
      <c r="A207" s="131" t="str">
        <f t="shared" si="32"/>
        <v xml:space="preserve">      </v>
      </c>
    </row>
    <row r="208" spans="1:1" hidden="1">
      <c r="A208" s="131" t="str">
        <f t="shared" si="32"/>
        <v xml:space="preserve">      </v>
      </c>
    </row>
    <row r="209" spans="1:1" hidden="1">
      <c r="A209" s="131" t="str">
        <f t="shared" si="32"/>
        <v xml:space="preserve">      </v>
      </c>
    </row>
    <row r="210" spans="1:1" hidden="1">
      <c r="A210" s="131" t="str">
        <f t="shared" si="32"/>
        <v xml:space="preserve">      </v>
      </c>
    </row>
    <row r="211" spans="1:1" hidden="1">
      <c r="A211" s="131" t="str">
        <f t="shared" si="32"/>
        <v xml:space="preserve">      </v>
      </c>
    </row>
    <row r="212" spans="1:1" hidden="1">
      <c r="A212" s="131" t="str">
        <f t="shared" si="32"/>
        <v xml:space="preserve">      </v>
      </c>
    </row>
    <row r="213" spans="1:1" hidden="1">
      <c r="A213" s="131" t="str">
        <f t="shared" si="32"/>
        <v xml:space="preserve">      </v>
      </c>
    </row>
    <row r="214" spans="1:1" hidden="1">
      <c r="A214" s="131" t="str">
        <f t="shared" si="32"/>
        <v xml:space="preserve">      </v>
      </c>
    </row>
    <row r="215" spans="1:1" hidden="1">
      <c r="A215" s="131" t="str">
        <f t="shared" si="32"/>
        <v xml:space="preserve">      </v>
      </c>
    </row>
    <row r="216" spans="1:1" hidden="1">
      <c r="A216" s="131" t="str">
        <f t="shared" si="32"/>
        <v xml:space="preserve">      </v>
      </c>
    </row>
    <row r="217" spans="1:1" hidden="1">
      <c r="A217" s="131" t="str">
        <f t="shared" si="32"/>
        <v xml:space="preserve">      </v>
      </c>
    </row>
    <row r="218" spans="1:1" hidden="1">
      <c r="A218" s="131" t="str">
        <f t="shared" si="32"/>
        <v xml:space="preserve">      </v>
      </c>
    </row>
    <row r="219" spans="1:1" hidden="1">
      <c r="A219" s="131" t="str">
        <f t="shared" si="32"/>
        <v xml:space="preserve">      </v>
      </c>
    </row>
    <row r="220" spans="1:1" hidden="1">
      <c r="A220" s="131" t="str">
        <f t="shared" si="32"/>
        <v xml:space="preserve">      </v>
      </c>
    </row>
    <row r="221" spans="1:1" hidden="1">
      <c r="A221" s="131" t="str">
        <f t="shared" si="32"/>
        <v xml:space="preserve">      </v>
      </c>
    </row>
    <row r="222" spans="1:1" hidden="1">
      <c r="A222" s="131" t="str">
        <f t="shared" si="32"/>
        <v xml:space="preserve">      </v>
      </c>
    </row>
    <row r="223" spans="1:1" hidden="1">
      <c r="A223" s="131" t="str">
        <f t="shared" si="32"/>
        <v xml:space="preserve">      </v>
      </c>
    </row>
    <row r="224" spans="1:1" hidden="1">
      <c r="A224" s="131" t="str">
        <f t="shared" si="32"/>
        <v xml:space="preserve">      </v>
      </c>
    </row>
    <row r="225" spans="1:1" hidden="1">
      <c r="A225" s="131" t="str">
        <f t="shared" si="32"/>
        <v xml:space="preserve">      </v>
      </c>
    </row>
    <row r="226" spans="1:1" hidden="1">
      <c r="A226" s="131" t="str">
        <f t="shared" si="32"/>
        <v xml:space="preserve">      </v>
      </c>
    </row>
    <row r="227" spans="1:1" hidden="1">
      <c r="A227" s="131" t="str">
        <f t="shared" si="32"/>
        <v xml:space="preserve">      </v>
      </c>
    </row>
    <row r="228" spans="1:1" hidden="1">
      <c r="A228" s="131" t="str">
        <f t="shared" si="32"/>
        <v xml:space="preserve">      </v>
      </c>
    </row>
    <row r="229" spans="1:1" hidden="1">
      <c r="A229" s="131" t="str">
        <f t="shared" si="32"/>
        <v xml:space="preserve">      </v>
      </c>
    </row>
    <row r="230" spans="1:1" hidden="1">
      <c r="A230" s="131" t="str">
        <f t="shared" si="32"/>
        <v xml:space="preserve">      </v>
      </c>
    </row>
    <row r="231" spans="1:1" hidden="1">
      <c r="A231" s="131" t="str">
        <f t="shared" si="32"/>
        <v xml:space="preserve">      </v>
      </c>
    </row>
    <row r="232" spans="1:1" hidden="1">
      <c r="A232" s="131" t="str">
        <f t="shared" si="32"/>
        <v xml:space="preserve">      </v>
      </c>
    </row>
    <row r="233" spans="1:1" hidden="1">
      <c r="A233" s="131" t="str">
        <f t="shared" si="32"/>
        <v xml:space="preserve">      </v>
      </c>
    </row>
    <row r="234" spans="1:1" hidden="1">
      <c r="A234" s="131" t="str">
        <f t="shared" si="32"/>
        <v xml:space="preserve">      </v>
      </c>
    </row>
    <row r="235" spans="1:1" hidden="1">
      <c r="A235" s="131" t="str">
        <f t="shared" si="32"/>
        <v xml:space="preserve">      </v>
      </c>
    </row>
    <row r="236" spans="1:1" hidden="1">
      <c r="A236" s="131" t="str">
        <f t="shared" si="32"/>
        <v xml:space="preserve">      </v>
      </c>
    </row>
    <row r="237" spans="1:1" hidden="1">
      <c r="A237" s="131" t="str">
        <f t="shared" si="32"/>
        <v xml:space="preserve">      </v>
      </c>
    </row>
    <row r="238" spans="1:1" hidden="1">
      <c r="A238" s="131" t="str">
        <f t="shared" si="32"/>
        <v xml:space="preserve">      </v>
      </c>
    </row>
    <row r="239" spans="1:1" hidden="1">
      <c r="A239" s="131" t="str">
        <f t="shared" si="32"/>
        <v xml:space="preserve">      </v>
      </c>
    </row>
    <row r="240" spans="1:1">
      <c r="A240" s="131" t="s">
        <v>1169</v>
      </c>
    </row>
    <row r="241" spans="1:6">
      <c r="A241" s="131" t="s">
        <v>1154</v>
      </c>
    </row>
    <row r="242" spans="1:6">
      <c r="A242" s="55" t="s">
        <v>1056</v>
      </c>
    </row>
    <row r="243" spans="1:6">
      <c r="A243" s="55" t="e">
        <f>+#REF!</f>
        <v>#REF!</v>
      </c>
    </row>
    <row r="244" spans="1:6">
      <c r="A244" s="55" t="e">
        <f>+#REF!</f>
        <v>#REF!</v>
      </c>
    </row>
    <row r="245" spans="1:6">
      <c r="A245" s="244" t="str">
        <f>+sessioncreator!B125</f>
        <v>mysql_select_db('healmy5_pray', $con);</v>
      </c>
      <c r="B245" s="166"/>
      <c r="C245" s="166"/>
      <c r="D245" s="166"/>
      <c r="E245" s="166"/>
      <c r="F245" s="166"/>
    </row>
    <row r="246" spans="1:6">
      <c r="A246" s="55" t="str">
        <f>+A3&amp;fieldcreatorv2!L15&amp;fieldcreatorv2!L19&amp;A4</f>
        <v>$result = mysql_query("SELECT * FROM Jesus1 ORDER BY id DESC");</v>
      </c>
    </row>
    <row r="247" spans="1:6">
      <c r="A247" s="55" t="str">
        <f>+A5</f>
        <v>while($row = mysql_fetch_array($result)) {</v>
      </c>
    </row>
    <row r="248" spans="1:6">
      <c r="A248" s="55" t="s">
        <v>1212</v>
      </c>
    </row>
    <row r="249" spans="1:6" hidden="1">
      <c r="A249" s="183" t="str">
        <f t="shared" ref="A249:A280" si="33">"      "&amp;G11</f>
        <v xml:space="preserve">      </v>
      </c>
    </row>
    <row r="250" spans="1:6" hidden="1">
      <c r="A250" s="183" t="str">
        <f t="shared" si="33"/>
        <v xml:space="preserve">      </v>
      </c>
    </row>
    <row r="251" spans="1:6" hidden="1">
      <c r="A251" s="183" t="str">
        <f t="shared" si="33"/>
        <v xml:space="preserve">      </v>
      </c>
    </row>
    <row r="252" spans="1:6" hidden="1">
      <c r="A252" s="183" t="str">
        <f t="shared" si="33"/>
        <v xml:space="preserve">      </v>
      </c>
    </row>
    <row r="253" spans="1:6" hidden="1">
      <c r="A253" s="183" t="str">
        <f t="shared" si="33"/>
        <v xml:space="preserve">      </v>
      </c>
    </row>
    <row r="254" spans="1:6" hidden="1">
      <c r="A254" s="183" t="str">
        <f t="shared" si="33"/>
        <v xml:space="preserve">      </v>
      </c>
    </row>
    <row r="255" spans="1:6" hidden="1">
      <c r="A255" s="183" t="str">
        <f t="shared" si="33"/>
        <v xml:space="preserve">      </v>
      </c>
    </row>
    <row r="256" spans="1:6" hidden="1">
      <c r="A256" s="183" t="str">
        <f t="shared" si="33"/>
        <v xml:space="preserve">      </v>
      </c>
    </row>
    <row r="257" spans="1:1" hidden="1">
      <c r="A257" s="183" t="str">
        <f t="shared" si="33"/>
        <v xml:space="preserve">      </v>
      </c>
    </row>
    <row r="258" spans="1:1" hidden="1">
      <c r="A258" s="183" t="str">
        <f t="shared" si="33"/>
        <v xml:space="preserve">      </v>
      </c>
    </row>
    <row r="259" spans="1:1" hidden="1">
      <c r="A259" s="183" t="str">
        <f t="shared" si="33"/>
        <v xml:space="preserve">      </v>
      </c>
    </row>
    <row r="260" spans="1:1" hidden="1">
      <c r="A260" s="183" t="str">
        <f t="shared" si="33"/>
        <v xml:space="preserve">      </v>
      </c>
    </row>
    <row r="261" spans="1:1" hidden="1">
      <c r="A261" s="183" t="str">
        <f t="shared" si="33"/>
        <v xml:space="preserve">      </v>
      </c>
    </row>
    <row r="262" spans="1:1" hidden="1">
      <c r="A262" s="183" t="str">
        <f t="shared" si="33"/>
        <v xml:space="preserve">      </v>
      </c>
    </row>
    <row r="263" spans="1:1" hidden="1">
      <c r="A263" s="183" t="str">
        <f t="shared" si="33"/>
        <v xml:space="preserve">      </v>
      </c>
    </row>
    <row r="264" spans="1:1" hidden="1">
      <c r="A264" s="183" t="str">
        <f t="shared" si="33"/>
        <v xml:space="preserve">      </v>
      </c>
    </row>
    <row r="265" spans="1:1" hidden="1">
      <c r="A265" s="183" t="str">
        <f t="shared" si="33"/>
        <v xml:space="preserve">      </v>
      </c>
    </row>
    <row r="266" spans="1:1" hidden="1">
      <c r="A266" s="183" t="str">
        <f t="shared" si="33"/>
        <v xml:space="preserve">      </v>
      </c>
    </row>
    <row r="267" spans="1:1" hidden="1">
      <c r="A267" s="183" t="str">
        <f t="shared" si="33"/>
        <v xml:space="preserve">      </v>
      </c>
    </row>
    <row r="268" spans="1:1" hidden="1">
      <c r="A268" s="183" t="str">
        <f t="shared" si="33"/>
        <v xml:space="preserve">      </v>
      </c>
    </row>
    <row r="269" spans="1:1" hidden="1">
      <c r="A269" s="183" t="str">
        <f t="shared" si="33"/>
        <v xml:space="preserve">      </v>
      </c>
    </row>
    <row r="270" spans="1:1" hidden="1">
      <c r="A270" s="183" t="str">
        <f t="shared" si="33"/>
        <v xml:space="preserve">      </v>
      </c>
    </row>
    <row r="271" spans="1:1" hidden="1">
      <c r="A271" s="183" t="str">
        <f t="shared" si="33"/>
        <v xml:space="preserve">      </v>
      </c>
    </row>
    <row r="272" spans="1:1" hidden="1">
      <c r="A272" s="183" t="str">
        <f t="shared" si="33"/>
        <v xml:space="preserve">      </v>
      </c>
    </row>
    <row r="273" spans="1:1" hidden="1">
      <c r="A273" s="183" t="str">
        <f t="shared" si="33"/>
        <v xml:space="preserve">      </v>
      </c>
    </row>
    <row r="274" spans="1:1" hidden="1">
      <c r="A274" s="183" t="str">
        <f t="shared" si="33"/>
        <v xml:space="preserve">      </v>
      </c>
    </row>
    <row r="275" spans="1:1" hidden="1">
      <c r="A275" s="183" t="str">
        <f t="shared" si="33"/>
        <v xml:space="preserve">      </v>
      </c>
    </row>
    <row r="276" spans="1:1" hidden="1">
      <c r="A276" s="183" t="str">
        <f t="shared" si="33"/>
        <v xml:space="preserve">      </v>
      </c>
    </row>
    <row r="277" spans="1:1" hidden="1">
      <c r="A277" s="183" t="str">
        <f t="shared" si="33"/>
        <v xml:space="preserve">      </v>
      </c>
    </row>
    <row r="278" spans="1:1" hidden="1">
      <c r="A278" s="183" t="str">
        <f t="shared" si="33"/>
        <v xml:space="preserve">      </v>
      </c>
    </row>
    <row r="279" spans="1:1" hidden="1">
      <c r="A279" s="183" t="str">
        <f t="shared" si="33"/>
        <v xml:space="preserve">      </v>
      </c>
    </row>
    <row r="280" spans="1:1" hidden="1">
      <c r="A280" s="183" t="str">
        <f t="shared" si="33"/>
        <v xml:space="preserve">      </v>
      </c>
    </row>
    <row r="281" spans="1:1" hidden="1">
      <c r="A281" s="183" t="str">
        <f t="shared" ref="A281:A312" si="34">"      "&amp;G43</f>
        <v xml:space="preserve">      </v>
      </c>
    </row>
    <row r="282" spans="1:1" hidden="1">
      <c r="A282" s="183" t="str">
        <f t="shared" si="34"/>
        <v xml:space="preserve">      </v>
      </c>
    </row>
    <row r="283" spans="1:1" hidden="1">
      <c r="A283" s="183" t="str">
        <f t="shared" si="34"/>
        <v xml:space="preserve">      </v>
      </c>
    </row>
    <row r="284" spans="1:1" hidden="1">
      <c r="A284" s="183" t="str">
        <f t="shared" si="34"/>
        <v xml:space="preserve">      </v>
      </c>
    </row>
    <row r="285" spans="1:1" hidden="1">
      <c r="A285" s="183" t="str">
        <f t="shared" si="34"/>
        <v xml:space="preserve">      </v>
      </c>
    </row>
    <row r="286" spans="1:1" hidden="1">
      <c r="A286" s="183" t="str">
        <f t="shared" si="34"/>
        <v xml:space="preserve">      </v>
      </c>
    </row>
    <row r="287" spans="1:1" hidden="1">
      <c r="A287" s="183" t="str">
        <f t="shared" si="34"/>
        <v xml:space="preserve">      </v>
      </c>
    </row>
    <row r="288" spans="1:1" hidden="1">
      <c r="A288" s="183" t="str">
        <f t="shared" si="34"/>
        <v xml:space="preserve">      </v>
      </c>
    </row>
    <row r="289" spans="1:1" hidden="1">
      <c r="A289" s="183" t="str">
        <f t="shared" si="34"/>
        <v xml:space="preserve">      </v>
      </c>
    </row>
    <row r="290" spans="1:1" hidden="1">
      <c r="A290" s="183" t="str">
        <f t="shared" si="34"/>
        <v xml:space="preserve">      </v>
      </c>
    </row>
    <row r="291" spans="1:1" hidden="1">
      <c r="A291" s="183" t="str">
        <f t="shared" si="34"/>
        <v xml:space="preserve">      </v>
      </c>
    </row>
    <row r="292" spans="1:1" hidden="1">
      <c r="A292" s="183" t="str">
        <f t="shared" si="34"/>
        <v xml:space="preserve">      </v>
      </c>
    </row>
    <row r="293" spans="1:1" hidden="1">
      <c r="A293" s="183" t="str">
        <f t="shared" si="34"/>
        <v xml:space="preserve">      </v>
      </c>
    </row>
    <row r="294" spans="1:1" hidden="1">
      <c r="A294" s="183" t="str">
        <f t="shared" si="34"/>
        <v xml:space="preserve">      </v>
      </c>
    </row>
    <row r="295" spans="1:1" hidden="1">
      <c r="A295" s="183" t="str">
        <f t="shared" si="34"/>
        <v xml:space="preserve">      </v>
      </c>
    </row>
    <row r="296" spans="1:1" hidden="1">
      <c r="A296" s="183" t="str">
        <f t="shared" si="34"/>
        <v xml:space="preserve">      </v>
      </c>
    </row>
    <row r="297" spans="1:1" hidden="1">
      <c r="A297" s="183" t="str">
        <f t="shared" si="34"/>
        <v xml:space="preserve">      </v>
      </c>
    </row>
    <row r="298" spans="1:1" hidden="1">
      <c r="A298" s="183" t="str">
        <f t="shared" si="34"/>
        <v xml:space="preserve">      </v>
      </c>
    </row>
    <row r="299" spans="1:1" hidden="1">
      <c r="A299" s="183" t="str">
        <f t="shared" si="34"/>
        <v xml:space="preserve">      </v>
      </c>
    </row>
    <row r="300" spans="1:1" hidden="1">
      <c r="A300" s="183" t="str">
        <f t="shared" si="34"/>
        <v xml:space="preserve">      </v>
      </c>
    </row>
    <row r="301" spans="1:1" hidden="1">
      <c r="A301" s="183" t="str">
        <f t="shared" si="34"/>
        <v xml:space="preserve">      </v>
      </c>
    </row>
    <row r="302" spans="1:1" hidden="1">
      <c r="A302" s="183" t="str">
        <f t="shared" si="34"/>
        <v xml:space="preserve">      </v>
      </c>
    </row>
    <row r="303" spans="1:1" hidden="1">
      <c r="A303" s="183" t="str">
        <f t="shared" si="34"/>
        <v xml:space="preserve">      </v>
      </c>
    </row>
    <row r="304" spans="1:1" hidden="1">
      <c r="A304" s="183" t="str">
        <f t="shared" si="34"/>
        <v xml:space="preserve">      </v>
      </c>
    </row>
    <row r="305" spans="1:1" hidden="1">
      <c r="A305" s="183" t="str">
        <f t="shared" si="34"/>
        <v xml:space="preserve">      </v>
      </c>
    </row>
    <row r="306" spans="1:1" hidden="1">
      <c r="A306" s="183" t="str">
        <f t="shared" si="34"/>
        <v xml:space="preserve">      </v>
      </c>
    </row>
    <row r="307" spans="1:1" hidden="1">
      <c r="A307" s="183" t="str">
        <f t="shared" si="34"/>
        <v xml:space="preserve">      </v>
      </c>
    </row>
    <row r="308" spans="1:1" hidden="1">
      <c r="A308" s="183" t="str">
        <f t="shared" si="34"/>
        <v xml:space="preserve">      </v>
      </c>
    </row>
    <row r="309" spans="1:1" hidden="1">
      <c r="A309" s="183" t="str">
        <f t="shared" si="34"/>
        <v xml:space="preserve">      </v>
      </c>
    </row>
    <row r="310" spans="1:1" hidden="1">
      <c r="A310" s="183" t="str">
        <f t="shared" si="34"/>
        <v xml:space="preserve">      </v>
      </c>
    </row>
    <row r="311" spans="1:1" hidden="1">
      <c r="A311" s="183" t="str">
        <f t="shared" si="34"/>
        <v xml:space="preserve">      </v>
      </c>
    </row>
    <row r="312" spans="1:1" hidden="1">
      <c r="A312" s="183" t="str">
        <f t="shared" si="34"/>
        <v xml:space="preserve">      </v>
      </c>
    </row>
    <row r="313" spans="1:1" hidden="1">
      <c r="A313" s="183" t="str">
        <f t="shared" ref="A313:A344" si="35">"      "&amp;G75</f>
        <v xml:space="preserve">      </v>
      </c>
    </row>
    <row r="314" spans="1:1" hidden="1">
      <c r="A314" s="183" t="str">
        <f t="shared" si="35"/>
        <v xml:space="preserve">      </v>
      </c>
    </row>
    <row r="315" spans="1:1" hidden="1">
      <c r="A315" s="183" t="str">
        <f t="shared" si="35"/>
        <v xml:space="preserve">      </v>
      </c>
    </row>
    <row r="316" spans="1:1" hidden="1">
      <c r="A316" s="183" t="str">
        <f t="shared" si="35"/>
        <v xml:space="preserve">      </v>
      </c>
    </row>
    <row r="317" spans="1:1" hidden="1">
      <c r="A317" s="183" t="str">
        <f t="shared" si="35"/>
        <v xml:space="preserve">      </v>
      </c>
    </row>
    <row r="318" spans="1:1" hidden="1">
      <c r="A318" s="183" t="str">
        <f t="shared" si="35"/>
        <v xml:space="preserve">      </v>
      </c>
    </row>
    <row r="319" spans="1:1" hidden="1">
      <c r="A319" s="183" t="str">
        <f t="shared" si="35"/>
        <v xml:space="preserve">      </v>
      </c>
    </row>
    <row r="320" spans="1:1" hidden="1">
      <c r="A320" s="183" t="str">
        <f t="shared" si="35"/>
        <v xml:space="preserve">      </v>
      </c>
    </row>
    <row r="321" spans="1:1" hidden="1">
      <c r="A321" s="183" t="str">
        <f t="shared" si="35"/>
        <v xml:space="preserve">      </v>
      </c>
    </row>
    <row r="322" spans="1:1" hidden="1">
      <c r="A322" s="183" t="str">
        <f t="shared" si="35"/>
        <v xml:space="preserve">      </v>
      </c>
    </row>
    <row r="323" spans="1:1" hidden="1">
      <c r="A323" s="183" t="str">
        <f t="shared" si="35"/>
        <v xml:space="preserve">      </v>
      </c>
    </row>
    <row r="324" spans="1:1" hidden="1">
      <c r="A324" s="183" t="str">
        <f t="shared" si="35"/>
        <v xml:space="preserve">      </v>
      </c>
    </row>
    <row r="325" spans="1:1" hidden="1">
      <c r="A325" s="183" t="str">
        <f t="shared" si="35"/>
        <v xml:space="preserve">      </v>
      </c>
    </row>
    <row r="326" spans="1:1" hidden="1">
      <c r="A326" s="183" t="str">
        <f t="shared" si="35"/>
        <v xml:space="preserve">      </v>
      </c>
    </row>
    <row r="327" spans="1:1" hidden="1">
      <c r="A327" s="183" t="str">
        <f t="shared" si="35"/>
        <v xml:space="preserve">      </v>
      </c>
    </row>
    <row r="328" spans="1:1" hidden="1">
      <c r="A328" s="183" t="str">
        <f t="shared" si="35"/>
        <v xml:space="preserve">      </v>
      </c>
    </row>
    <row r="329" spans="1:1" hidden="1">
      <c r="A329" s="183" t="str">
        <f t="shared" si="35"/>
        <v xml:space="preserve">      </v>
      </c>
    </row>
    <row r="330" spans="1:1" hidden="1">
      <c r="A330" s="183" t="str">
        <f t="shared" si="35"/>
        <v xml:space="preserve">      </v>
      </c>
    </row>
    <row r="331" spans="1:1" hidden="1">
      <c r="A331" s="183" t="str">
        <f t="shared" si="35"/>
        <v xml:space="preserve">      </v>
      </c>
    </row>
    <row r="332" spans="1:1" hidden="1">
      <c r="A332" s="183" t="str">
        <f t="shared" si="35"/>
        <v xml:space="preserve">      </v>
      </c>
    </row>
    <row r="333" spans="1:1" hidden="1">
      <c r="A333" s="183" t="str">
        <f t="shared" si="35"/>
        <v xml:space="preserve">      </v>
      </c>
    </row>
    <row r="334" spans="1:1" hidden="1">
      <c r="A334" s="183" t="str">
        <f t="shared" si="35"/>
        <v xml:space="preserve">      </v>
      </c>
    </row>
    <row r="335" spans="1:1" hidden="1">
      <c r="A335" s="183" t="str">
        <f t="shared" si="35"/>
        <v xml:space="preserve">      </v>
      </c>
    </row>
    <row r="336" spans="1:1" hidden="1">
      <c r="A336" s="183" t="str">
        <f t="shared" si="35"/>
        <v xml:space="preserve">      </v>
      </c>
    </row>
    <row r="337" spans="1:1" hidden="1">
      <c r="A337" s="183" t="str">
        <f t="shared" si="35"/>
        <v xml:space="preserve">      </v>
      </c>
    </row>
    <row r="338" spans="1:1" hidden="1">
      <c r="A338" s="183" t="str">
        <f t="shared" si="35"/>
        <v xml:space="preserve">      </v>
      </c>
    </row>
    <row r="339" spans="1:1" hidden="1">
      <c r="A339" s="183" t="str">
        <f t="shared" si="35"/>
        <v xml:space="preserve">      </v>
      </c>
    </row>
    <row r="340" spans="1:1" hidden="1">
      <c r="A340" s="183" t="str">
        <f t="shared" si="35"/>
        <v xml:space="preserve">      </v>
      </c>
    </row>
    <row r="341" spans="1:1" hidden="1">
      <c r="A341" s="183" t="str">
        <f t="shared" si="35"/>
        <v xml:space="preserve">      </v>
      </c>
    </row>
    <row r="342" spans="1:1" hidden="1">
      <c r="A342" s="183" t="str">
        <f t="shared" si="35"/>
        <v xml:space="preserve">      </v>
      </c>
    </row>
    <row r="343" spans="1:1" hidden="1">
      <c r="A343" s="183" t="str">
        <f t="shared" si="35"/>
        <v xml:space="preserve">      </v>
      </c>
    </row>
    <row r="344" spans="1:1" hidden="1">
      <c r="A344" s="183" t="str">
        <f t="shared" si="35"/>
        <v xml:space="preserve">      </v>
      </c>
    </row>
    <row r="345" spans="1:1" hidden="1">
      <c r="A345" s="183" t="str">
        <f t="shared" ref="A345:A348" si="36">"      "&amp;G107</f>
        <v xml:space="preserve">      </v>
      </c>
    </row>
    <row r="346" spans="1:1" hidden="1">
      <c r="A346" s="183" t="str">
        <f t="shared" si="36"/>
        <v xml:space="preserve">      </v>
      </c>
    </row>
    <row r="347" spans="1:1" hidden="1">
      <c r="A347" s="183" t="str">
        <f t="shared" si="36"/>
        <v xml:space="preserve">      </v>
      </c>
    </row>
    <row r="348" spans="1:1" hidden="1">
      <c r="A348" s="183" t="str">
        <f t="shared" si="36"/>
        <v xml:space="preserve">      </v>
      </c>
    </row>
    <row r="349" spans="1:1">
      <c r="A349" s="55" t="s">
        <v>1163</v>
      </c>
    </row>
    <row r="350" spans="1:1" hidden="1">
      <c r="A350" s="183" t="str">
        <f t="shared" ref="A350:A381" si="37">"      "&amp;F11</f>
        <v xml:space="preserve">      </v>
      </c>
    </row>
    <row r="351" spans="1:1" hidden="1">
      <c r="A351" s="183" t="str">
        <f t="shared" si="37"/>
        <v xml:space="preserve">      </v>
      </c>
    </row>
    <row r="352" spans="1:1" hidden="1">
      <c r="A352" s="183" t="str">
        <f t="shared" si="37"/>
        <v xml:space="preserve">      </v>
      </c>
    </row>
    <row r="353" spans="1:1" hidden="1">
      <c r="A353" s="183" t="str">
        <f t="shared" si="37"/>
        <v xml:space="preserve">      </v>
      </c>
    </row>
    <row r="354" spans="1:1" hidden="1">
      <c r="A354" s="183" t="str">
        <f t="shared" si="37"/>
        <v xml:space="preserve">      </v>
      </c>
    </row>
    <row r="355" spans="1:1" hidden="1">
      <c r="A355" s="183" t="str">
        <f t="shared" si="37"/>
        <v xml:space="preserve">      </v>
      </c>
    </row>
    <row r="356" spans="1:1" hidden="1">
      <c r="A356" s="183" t="str">
        <f t="shared" si="37"/>
        <v xml:space="preserve">      </v>
      </c>
    </row>
    <row r="357" spans="1:1" hidden="1">
      <c r="A357" s="183" t="str">
        <f t="shared" si="37"/>
        <v xml:space="preserve">      </v>
      </c>
    </row>
    <row r="358" spans="1:1" hidden="1">
      <c r="A358" s="183" t="str">
        <f t="shared" si="37"/>
        <v xml:space="preserve">      </v>
      </c>
    </row>
    <row r="359" spans="1:1" hidden="1">
      <c r="A359" s="183" t="str">
        <f t="shared" si="37"/>
        <v xml:space="preserve">      </v>
      </c>
    </row>
    <row r="360" spans="1:1" hidden="1">
      <c r="A360" s="183" t="str">
        <f t="shared" si="37"/>
        <v xml:space="preserve">      </v>
      </c>
    </row>
    <row r="361" spans="1:1" hidden="1">
      <c r="A361" s="183" t="str">
        <f t="shared" si="37"/>
        <v xml:space="preserve">      </v>
      </c>
    </row>
    <row r="362" spans="1:1" hidden="1">
      <c r="A362" s="183" t="str">
        <f t="shared" si="37"/>
        <v xml:space="preserve">      </v>
      </c>
    </row>
    <row r="363" spans="1:1" hidden="1">
      <c r="A363" s="183" t="str">
        <f t="shared" si="37"/>
        <v xml:space="preserve">      </v>
      </c>
    </row>
    <row r="364" spans="1:1" hidden="1">
      <c r="A364" s="183" t="str">
        <f t="shared" si="37"/>
        <v xml:space="preserve">      </v>
      </c>
    </row>
    <row r="365" spans="1:1" hidden="1">
      <c r="A365" s="183" t="str">
        <f t="shared" si="37"/>
        <v xml:space="preserve">      </v>
      </c>
    </row>
    <row r="366" spans="1:1" hidden="1">
      <c r="A366" s="183" t="str">
        <f t="shared" si="37"/>
        <v xml:space="preserve">      </v>
      </c>
    </row>
    <row r="367" spans="1:1" hidden="1">
      <c r="A367" s="183" t="str">
        <f t="shared" si="37"/>
        <v xml:space="preserve">      </v>
      </c>
    </row>
    <row r="368" spans="1:1" hidden="1">
      <c r="A368" s="183" t="str">
        <f t="shared" si="37"/>
        <v xml:space="preserve">      </v>
      </c>
    </row>
    <row r="369" spans="1:1" hidden="1">
      <c r="A369" s="183" t="str">
        <f t="shared" si="37"/>
        <v xml:space="preserve">      </v>
      </c>
    </row>
    <row r="370" spans="1:1" hidden="1">
      <c r="A370" s="183" t="str">
        <f t="shared" si="37"/>
        <v xml:space="preserve">      </v>
      </c>
    </row>
    <row r="371" spans="1:1" hidden="1">
      <c r="A371" s="183" t="str">
        <f t="shared" si="37"/>
        <v xml:space="preserve">      </v>
      </c>
    </row>
    <row r="372" spans="1:1" hidden="1">
      <c r="A372" s="183" t="str">
        <f t="shared" si="37"/>
        <v xml:space="preserve">      </v>
      </c>
    </row>
    <row r="373" spans="1:1" hidden="1">
      <c r="A373" s="183" t="str">
        <f t="shared" si="37"/>
        <v xml:space="preserve">      </v>
      </c>
    </row>
    <row r="374" spans="1:1" hidden="1">
      <c r="A374" s="183" t="str">
        <f t="shared" si="37"/>
        <v xml:space="preserve">      </v>
      </c>
    </row>
    <row r="375" spans="1:1" hidden="1">
      <c r="A375" s="183" t="str">
        <f t="shared" si="37"/>
        <v xml:space="preserve">      </v>
      </c>
    </row>
    <row r="376" spans="1:1" hidden="1">
      <c r="A376" s="183" t="str">
        <f t="shared" si="37"/>
        <v xml:space="preserve">      </v>
      </c>
    </row>
    <row r="377" spans="1:1" hidden="1">
      <c r="A377" s="183" t="str">
        <f t="shared" si="37"/>
        <v xml:space="preserve">      </v>
      </c>
    </row>
    <row r="378" spans="1:1" hidden="1">
      <c r="A378" s="183" t="str">
        <f t="shared" si="37"/>
        <v xml:space="preserve">      </v>
      </c>
    </row>
    <row r="379" spans="1:1" hidden="1">
      <c r="A379" s="183" t="str">
        <f t="shared" si="37"/>
        <v xml:space="preserve">      </v>
      </c>
    </row>
    <row r="380" spans="1:1" hidden="1">
      <c r="A380" s="183" t="str">
        <f t="shared" si="37"/>
        <v xml:space="preserve">      </v>
      </c>
    </row>
    <row r="381" spans="1:1" hidden="1">
      <c r="A381" s="183" t="str">
        <f t="shared" si="37"/>
        <v xml:space="preserve">      </v>
      </c>
    </row>
    <row r="382" spans="1:1" hidden="1">
      <c r="A382" s="183" t="str">
        <f t="shared" ref="A382:A413" si="38">"      "&amp;F43</f>
        <v xml:space="preserve">      </v>
      </c>
    </row>
    <row r="383" spans="1:1" hidden="1">
      <c r="A383" s="183" t="str">
        <f t="shared" si="38"/>
        <v xml:space="preserve">      </v>
      </c>
    </row>
    <row r="384" spans="1:1" hidden="1">
      <c r="A384" s="183" t="str">
        <f t="shared" si="38"/>
        <v xml:space="preserve">      </v>
      </c>
    </row>
    <row r="385" spans="1:1" hidden="1">
      <c r="A385" s="183" t="str">
        <f t="shared" si="38"/>
        <v xml:space="preserve">      </v>
      </c>
    </row>
    <row r="386" spans="1:1" hidden="1">
      <c r="A386" s="183" t="str">
        <f t="shared" si="38"/>
        <v xml:space="preserve">      </v>
      </c>
    </row>
    <row r="387" spans="1:1" hidden="1">
      <c r="A387" s="183" t="str">
        <f t="shared" si="38"/>
        <v xml:space="preserve">      </v>
      </c>
    </row>
    <row r="388" spans="1:1" hidden="1">
      <c r="A388" s="183" t="str">
        <f t="shared" si="38"/>
        <v xml:space="preserve">      </v>
      </c>
    </row>
    <row r="389" spans="1:1" hidden="1">
      <c r="A389" s="183" t="str">
        <f t="shared" si="38"/>
        <v xml:space="preserve">      </v>
      </c>
    </row>
    <row r="390" spans="1:1" hidden="1">
      <c r="A390" s="183" t="str">
        <f t="shared" si="38"/>
        <v xml:space="preserve">      </v>
      </c>
    </row>
    <row r="391" spans="1:1" hidden="1">
      <c r="A391" s="183" t="str">
        <f t="shared" si="38"/>
        <v xml:space="preserve">      </v>
      </c>
    </row>
    <row r="392" spans="1:1" hidden="1">
      <c r="A392" s="183" t="str">
        <f t="shared" si="38"/>
        <v xml:space="preserve">      </v>
      </c>
    </row>
    <row r="393" spans="1:1" hidden="1">
      <c r="A393" s="183" t="str">
        <f t="shared" si="38"/>
        <v xml:space="preserve">      </v>
      </c>
    </row>
    <row r="394" spans="1:1" hidden="1">
      <c r="A394" s="183" t="str">
        <f t="shared" si="38"/>
        <v xml:space="preserve">      </v>
      </c>
    </row>
    <row r="395" spans="1:1" hidden="1">
      <c r="A395" s="183" t="str">
        <f t="shared" si="38"/>
        <v xml:space="preserve">      </v>
      </c>
    </row>
    <row r="396" spans="1:1" hidden="1">
      <c r="A396" s="183" t="str">
        <f t="shared" si="38"/>
        <v xml:space="preserve">      </v>
      </c>
    </row>
    <row r="397" spans="1:1" hidden="1">
      <c r="A397" s="183" t="str">
        <f t="shared" si="38"/>
        <v xml:space="preserve">      </v>
      </c>
    </row>
    <row r="398" spans="1:1" hidden="1">
      <c r="A398" s="183" t="str">
        <f t="shared" si="38"/>
        <v xml:space="preserve">      </v>
      </c>
    </row>
    <row r="399" spans="1:1" hidden="1">
      <c r="A399" s="183" t="str">
        <f t="shared" si="38"/>
        <v xml:space="preserve">      </v>
      </c>
    </row>
    <row r="400" spans="1:1" hidden="1">
      <c r="A400" s="183" t="str">
        <f t="shared" si="38"/>
        <v xml:space="preserve">      </v>
      </c>
    </row>
    <row r="401" spans="1:1" hidden="1">
      <c r="A401" s="183" t="str">
        <f t="shared" si="38"/>
        <v xml:space="preserve">      </v>
      </c>
    </row>
    <row r="402" spans="1:1" hidden="1">
      <c r="A402" s="183" t="str">
        <f t="shared" si="38"/>
        <v xml:space="preserve">      </v>
      </c>
    </row>
    <row r="403" spans="1:1" hidden="1">
      <c r="A403" s="183" t="str">
        <f t="shared" si="38"/>
        <v xml:space="preserve">      </v>
      </c>
    </row>
    <row r="404" spans="1:1" hidden="1">
      <c r="A404" s="183" t="str">
        <f t="shared" si="38"/>
        <v xml:space="preserve">      </v>
      </c>
    </row>
    <row r="405" spans="1:1" hidden="1">
      <c r="A405" s="183" t="str">
        <f t="shared" si="38"/>
        <v xml:space="preserve">      </v>
      </c>
    </row>
    <row r="406" spans="1:1" hidden="1">
      <c r="A406" s="183" t="str">
        <f t="shared" si="38"/>
        <v xml:space="preserve">      </v>
      </c>
    </row>
    <row r="407" spans="1:1" hidden="1">
      <c r="A407" s="183" t="str">
        <f t="shared" si="38"/>
        <v xml:space="preserve">      </v>
      </c>
    </row>
    <row r="408" spans="1:1" hidden="1">
      <c r="A408" s="183" t="str">
        <f t="shared" si="38"/>
        <v xml:space="preserve">      </v>
      </c>
    </row>
    <row r="409" spans="1:1" hidden="1">
      <c r="A409" s="183" t="str">
        <f t="shared" si="38"/>
        <v xml:space="preserve">      </v>
      </c>
    </row>
    <row r="410" spans="1:1" hidden="1">
      <c r="A410" s="183" t="str">
        <f t="shared" si="38"/>
        <v xml:space="preserve">      </v>
      </c>
    </row>
    <row r="411" spans="1:1" hidden="1">
      <c r="A411" s="183" t="str">
        <f t="shared" si="38"/>
        <v xml:space="preserve">      </v>
      </c>
    </row>
    <row r="412" spans="1:1" hidden="1">
      <c r="A412" s="183" t="str">
        <f t="shared" si="38"/>
        <v xml:space="preserve">      </v>
      </c>
    </row>
    <row r="413" spans="1:1" hidden="1">
      <c r="A413" s="183" t="str">
        <f t="shared" si="38"/>
        <v xml:space="preserve">      </v>
      </c>
    </row>
    <row r="414" spans="1:1" hidden="1">
      <c r="A414" s="183" t="str">
        <f t="shared" ref="A414:A445" si="39">"      "&amp;F75</f>
        <v xml:space="preserve">      </v>
      </c>
    </row>
    <row r="415" spans="1:1" hidden="1">
      <c r="A415" s="183" t="str">
        <f t="shared" si="39"/>
        <v xml:space="preserve">      </v>
      </c>
    </row>
    <row r="416" spans="1:1" hidden="1">
      <c r="A416" s="183" t="str">
        <f t="shared" si="39"/>
        <v xml:space="preserve">      </v>
      </c>
    </row>
    <row r="417" spans="1:1" hidden="1">
      <c r="A417" s="183" t="str">
        <f t="shared" si="39"/>
        <v xml:space="preserve">      </v>
      </c>
    </row>
    <row r="418" spans="1:1" hidden="1">
      <c r="A418" s="183" t="str">
        <f t="shared" si="39"/>
        <v xml:space="preserve">      </v>
      </c>
    </row>
    <row r="419" spans="1:1" hidden="1">
      <c r="A419" s="183" t="str">
        <f t="shared" si="39"/>
        <v xml:space="preserve">      </v>
      </c>
    </row>
    <row r="420" spans="1:1" hidden="1">
      <c r="A420" s="183" t="str">
        <f t="shared" si="39"/>
        <v xml:space="preserve">      </v>
      </c>
    </row>
    <row r="421" spans="1:1" hidden="1">
      <c r="A421" s="183" t="str">
        <f t="shared" si="39"/>
        <v xml:space="preserve">      </v>
      </c>
    </row>
    <row r="422" spans="1:1" hidden="1">
      <c r="A422" s="183" t="str">
        <f t="shared" si="39"/>
        <v xml:space="preserve">      </v>
      </c>
    </row>
    <row r="423" spans="1:1" hidden="1">
      <c r="A423" s="183" t="str">
        <f t="shared" si="39"/>
        <v xml:space="preserve">      </v>
      </c>
    </row>
    <row r="424" spans="1:1" hidden="1">
      <c r="A424" s="183" t="str">
        <f t="shared" si="39"/>
        <v xml:space="preserve">      </v>
      </c>
    </row>
    <row r="425" spans="1:1" hidden="1">
      <c r="A425" s="183" t="str">
        <f t="shared" si="39"/>
        <v xml:space="preserve">      </v>
      </c>
    </row>
    <row r="426" spans="1:1" hidden="1">
      <c r="A426" s="183" t="str">
        <f t="shared" si="39"/>
        <v xml:space="preserve">      </v>
      </c>
    </row>
    <row r="427" spans="1:1" hidden="1">
      <c r="A427" s="183" t="str">
        <f t="shared" si="39"/>
        <v xml:space="preserve">      </v>
      </c>
    </row>
    <row r="428" spans="1:1" hidden="1">
      <c r="A428" s="183" t="str">
        <f t="shared" si="39"/>
        <v xml:space="preserve">      </v>
      </c>
    </row>
    <row r="429" spans="1:1" hidden="1">
      <c r="A429" s="183" t="str">
        <f t="shared" si="39"/>
        <v xml:space="preserve">      </v>
      </c>
    </row>
    <row r="430" spans="1:1" hidden="1">
      <c r="A430" s="183" t="str">
        <f t="shared" si="39"/>
        <v xml:space="preserve">      </v>
      </c>
    </row>
    <row r="431" spans="1:1" hidden="1">
      <c r="A431" s="183" t="str">
        <f t="shared" si="39"/>
        <v xml:space="preserve">      </v>
      </c>
    </row>
    <row r="432" spans="1:1" hidden="1">
      <c r="A432" s="183" t="str">
        <f t="shared" si="39"/>
        <v xml:space="preserve">      </v>
      </c>
    </row>
    <row r="433" spans="1:1" hidden="1">
      <c r="A433" s="183" t="str">
        <f t="shared" si="39"/>
        <v xml:space="preserve">      </v>
      </c>
    </row>
    <row r="434" spans="1:1" hidden="1">
      <c r="A434" s="183" t="str">
        <f t="shared" si="39"/>
        <v xml:space="preserve">      </v>
      </c>
    </row>
    <row r="435" spans="1:1" hidden="1">
      <c r="A435" s="183" t="str">
        <f t="shared" si="39"/>
        <v xml:space="preserve">      </v>
      </c>
    </row>
    <row r="436" spans="1:1" hidden="1">
      <c r="A436" s="183" t="str">
        <f t="shared" si="39"/>
        <v xml:space="preserve">      </v>
      </c>
    </row>
    <row r="437" spans="1:1" hidden="1">
      <c r="A437" s="183" t="str">
        <f t="shared" si="39"/>
        <v xml:space="preserve">      </v>
      </c>
    </row>
    <row r="438" spans="1:1" hidden="1">
      <c r="A438" s="183" t="str">
        <f t="shared" si="39"/>
        <v xml:space="preserve">      </v>
      </c>
    </row>
    <row r="439" spans="1:1" hidden="1">
      <c r="A439" s="183" t="str">
        <f t="shared" si="39"/>
        <v xml:space="preserve">      </v>
      </c>
    </row>
    <row r="440" spans="1:1" hidden="1">
      <c r="A440" s="183" t="str">
        <f t="shared" si="39"/>
        <v xml:space="preserve">      </v>
      </c>
    </row>
    <row r="441" spans="1:1" hidden="1">
      <c r="A441" s="183" t="str">
        <f t="shared" si="39"/>
        <v xml:space="preserve">      </v>
      </c>
    </row>
    <row r="442" spans="1:1" hidden="1">
      <c r="A442" s="183" t="str">
        <f t="shared" si="39"/>
        <v xml:space="preserve">      </v>
      </c>
    </row>
    <row r="443" spans="1:1" hidden="1">
      <c r="A443" s="183" t="str">
        <f t="shared" si="39"/>
        <v xml:space="preserve">      </v>
      </c>
    </row>
    <row r="444" spans="1:1" hidden="1">
      <c r="A444" s="183" t="str">
        <f t="shared" si="39"/>
        <v xml:space="preserve">      </v>
      </c>
    </row>
    <row r="445" spans="1:1" hidden="1">
      <c r="A445" s="183" t="str">
        <f t="shared" si="39"/>
        <v xml:space="preserve">      </v>
      </c>
    </row>
    <row r="446" spans="1:1" hidden="1">
      <c r="A446" s="183" t="str">
        <f t="shared" ref="A446:A449" si="40">"      "&amp;F107</f>
        <v xml:space="preserve">      </v>
      </c>
    </row>
    <row r="447" spans="1:1" hidden="1">
      <c r="A447" s="183" t="str">
        <f t="shared" si="40"/>
        <v xml:space="preserve">      </v>
      </c>
    </row>
    <row r="448" spans="1:1" hidden="1">
      <c r="A448" s="183" t="str">
        <f t="shared" si="40"/>
        <v xml:space="preserve">      </v>
      </c>
    </row>
    <row r="449" spans="1:1" hidden="1">
      <c r="A449" s="183" t="str">
        <f t="shared" si="40"/>
        <v xml:space="preserve">      </v>
      </c>
    </row>
    <row r="450" spans="1:1">
      <c r="A450" s="55" t="s">
        <v>1167</v>
      </c>
    </row>
    <row r="451" spans="1:1" hidden="1">
      <c r="A451" s="55" t="str">
        <f>"            "&amp;H11</f>
        <v xml:space="preserve">            </v>
      </c>
    </row>
    <row r="452" spans="1:1" hidden="1">
      <c r="A452" s="55" t="str">
        <f t="shared" ref="A452:A515" si="41">"            "&amp;H12</f>
        <v xml:space="preserve">            </v>
      </c>
    </row>
    <row r="453" spans="1:1" hidden="1">
      <c r="A453" s="55" t="str">
        <f t="shared" si="41"/>
        <v xml:space="preserve">            </v>
      </c>
    </row>
    <row r="454" spans="1:1" hidden="1">
      <c r="A454" s="55" t="str">
        <f t="shared" si="41"/>
        <v xml:space="preserve">            </v>
      </c>
    </row>
    <row r="455" spans="1:1">
      <c r="A455" s="55" t="str">
        <f t="shared" si="41"/>
        <v xml:space="preserve">            </v>
      </c>
    </row>
    <row r="456" spans="1:1" hidden="1">
      <c r="A456" s="55" t="str">
        <f t="shared" si="41"/>
        <v xml:space="preserve">            </v>
      </c>
    </row>
    <row r="457" spans="1:1" hidden="1">
      <c r="A457" s="55" t="str">
        <f t="shared" si="41"/>
        <v xml:space="preserve">            </v>
      </c>
    </row>
    <row r="458" spans="1:1" hidden="1">
      <c r="A458" s="55" t="str">
        <f t="shared" si="41"/>
        <v xml:space="preserve">            </v>
      </c>
    </row>
    <row r="459" spans="1:1" hidden="1">
      <c r="A459" s="55" t="str">
        <f t="shared" si="41"/>
        <v xml:space="preserve">            </v>
      </c>
    </row>
    <row r="460" spans="1:1" hidden="1">
      <c r="A460" s="55" t="str">
        <f t="shared" si="41"/>
        <v xml:space="preserve">            </v>
      </c>
    </row>
    <row r="461" spans="1:1" hidden="1">
      <c r="A461" s="55" t="str">
        <f t="shared" si="41"/>
        <v xml:space="preserve">            </v>
      </c>
    </row>
    <row r="462" spans="1:1" hidden="1">
      <c r="A462" s="55" t="str">
        <f t="shared" si="41"/>
        <v xml:space="preserve">            </v>
      </c>
    </row>
    <row r="463" spans="1:1" hidden="1">
      <c r="A463" s="55" t="str">
        <f t="shared" si="41"/>
        <v xml:space="preserve">            </v>
      </c>
    </row>
    <row r="464" spans="1:1" hidden="1">
      <c r="A464" s="55" t="str">
        <f t="shared" si="41"/>
        <v xml:space="preserve">            </v>
      </c>
    </row>
    <row r="465" spans="1:1" hidden="1">
      <c r="A465" s="55" t="str">
        <f t="shared" si="41"/>
        <v xml:space="preserve">            </v>
      </c>
    </row>
    <row r="466" spans="1:1" hidden="1">
      <c r="A466" s="55" t="str">
        <f t="shared" si="41"/>
        <v xml:space="preserve">            </v>
      </c>
    </row>
    <row r="467" spans="1:1" hidden="1">
      <c r="A467" s="55" t="str">
        <f t="shared" si="41"/>
        <v xml:space="preserve">            </v>
      </c>
    </row>
    <row r="468" spans="1:1" hidden="1">
      <c r="A468" s="55" t="str">
        <f t="shared" si="41"/>
        <v xml:space="preserve">            </v>
      </c>
    </row>
    <row r="469" spans="1:1" hidden="1">
      <c r="A469" s="55" t="str">
        <f t="shared" si="41"/>
        <v xml:space="preserve">            </v>
      </c>
    </row>
    <row r="470" spans="1:1">
      <c r="A470" s="55" t="str">
        <f t="shared" si="41"/>
        <v xml:space="preserve">            </v>
      </c>
    </row>
    <row r="471" spans="1:1">
      <c r="A471" s="55" t="str">
        <f t="shared" si="41"/>
        <v xml:space="preserve">            </v>
      </c>
    </row>
    <row r="472" spans="1:1" hidden="1">
      <c r="A472" s="55" t="str">
        <f t="shared" si="41"/>
        <v xml:space="preserve">            </v>
      </c>
    </row>
    <row r="473" spans="1:1" hidden="1">
      <c r="A473" s="55" t="str">
        <f t="shared" si="41"/>
        <v xml:space="preserve">            </v>
      </c>
    </row>
    <row r="474" spans="1:1" hidden="1">
      <c r="A474" s="55" t="str">
        <f t="shared" si="41"/>
        <v xml:space="preserve">            </v>
      </c>
    </row>
    <row r="475" spans="1:1" hidden="1">
      <c r="A475" s="55" t="str">
        <f t="shared" si="41"/>
        <v xml:space="preserve">            </v>
      </c>
    </row>
    <row r="476" spans="1:1" hidden="1">
      <c r="A476" s="55" t="str">
        <f t="shared" si="41"/>
        <v xml:space="preserve">            </v>
      </c>
    </row>
    <row r="477" spans="1:1" hidden="1">
      <c r="A477" s="55" t="str">
        <f t="shared" si="41"/>
        <v xml:space="preserve">            </v>
      </c>
    </row>
    <row r="478" spans="1:1" hidden="1">
      <c r="A478" s="55" t="str">
        <f t="shared" si="41"/>
        <v xml:space="preserve">            </v>
      </c>
    </row>
    <row r="479" spans="1:1" hidden="1">
      <c r="A479" s="55" t="str">
        <f t="shared" si="41"/>
        <v xml:space="preserve">            </v>
      </c>
    </row>
    <row r="480" spans="1:1" hidden="1">
      <c r="A480" s="55" t="str">
        <f t="shared" si="41"/>
        <v xml:space="preserve">            </v>
      </c>
    </row>
    <row r="481" spans="1:1" hidden="1">
      <c r="A481" s="55" t="str">
        <f t="shared" si="41"/>
        <v xml:space="preserve">            </v>
      </c>
    </row>
    <row r="482" spans="1:1" hidden="1">
      <c r="A482" s="55" t="str">
        <f t="shared" si="41"/>
        <v xml:space="preserve">            </v>
      </c>
    </row>
    <row r="483" spans="1:1" hidden="1">
      <c r="A483" s="55" t="str">
        <f t="shared" si="41"/>
        <v xml:space="preserve">            </v>
      </c>
    </row>
    <row r="484" spans="1:1" hidden="1">
      <c r="A484" s="55" t="str">
        <f t="shared" si="41"/>
        <v xml:space="preserve">            </v>
      </c>
    </row>
    <row r="485" spans="1:1" hidden="1">
      <c r="A485" s="55" t="str">
        <f t="shared" si="41"/>
        <v xml:space="preserve">            </v>
      </c>
    </row>
    <row r="486" spans="1:1" hidden="1">
      <c r="A486" s="55" t="str">
        <f t="shared" si="41"/>
        <v xml:space="preserve">            </v>
      </c>
    </row>
    <row r="487" spans="1:1" hidden="1">
      <c r="A487" s="55" t="str">
        <f t="shared" si="41"/>
        <v xml:space="preserve">            </v>
      </c>
    </row>
    <row r="488" spans="1:1" hidden="1">
      <c r="A488" s="55" t="str">
        <f t="shared" si="41"/>
        <v xml:space="preserve">            </v>
      </c>
    </row>
    <row r="489" spans="1:1" hidden="1">
      <c r="A489" s="55" t="str">
        <f t="shared" si="41"/>
        <v xml:space="preserve">            </v>
      </c>
    </row>
    <row r="490" spans="1:1" hidden="1">
      <c r="A490" s="55" t="str">
        <f t="shared" si="41"/>
        <v xml:space="preserve">            </v>
      </c>
    </row>
    <row r="491" spans="1:1" hidden="1">
      <c r="A491" s="55" t="str">
        <f t="shared" si="41"/>
        <v xml:space="preserve">            </v>
      </c>
    </row>
    <row r="492" spans="1:1" hidden="1">
      <c r="A492" s="55" t="str">
        <f t="shared" si="41"/>
        <v xml:space="preserve">            </v>
      </c>
    </row>
    <row r="493" spans="1:1" hidden="1">
      <c r="A493" s="55" t="str">
        <f t="shared" si="41"/>
        <v xml:space="preserve">            </v>
      </c>
    </row>
    <row r="494" spans="1:1" hidden="1">
      <c r="A494" s="55" t="str">
        <f t="shared" si="41"/>
        <v xml:space="preserve">            </v>
      </c>
    </row>
    <row r="495" spans="1:1" hidden="1">
      <c r="A495" s="55" t="str">
        <f t="shared" si="41"/>
        <v xml:space="preserve">            </v>
      </c>
    </row>
    <row r="496" spans="1:1" hidden="1">
      <c r="A496" s="55" t="str">
        <f t="shared" si="41"/>
        <v xml:space="preserve">            </v>
      </c>
    </row>
    <row r="497" spans="1:1" hidden="1">
      <c r="A497" s="55" t="str">
        <f t="shared" si="41"/>
        <v xml:space="preserve">            </v>
      </c>
    </row>
    <row r="498" spans="1:1" hidden="1">
      <c r="A498" s="55" t="str">
        <f t="shared" si="41"/>
        <v xml:space="preserve">            </v>
      </c>
    </row>
    <row r="499" spans="1:1" hidden="1">
      <c r="A499" s="55" t="str">
        <f t="shared" si="41"/>
        <v xml:space="preserve">            </v>
      </c>
    </row>
    <row r="500" spans="1:1" hidden="1">
      <c r="A500" s="55" t="str">
        <f t="shared" si="41"/>
        <v xml:space="preserve">            </v>
      </c>
    </row>
    <row r="501" spans="1:1" hidden="1">
      <c r="A501" s="55" t="str">
        <f t="shared" si="41"/>
        <v xml:space="preserve">            </v>
      </c>
    </row>
    <row r="502" spans="1:1" hidden="1">
      <c r="A502" s="55" t="str">
        <f t="shared" si="41"/>
        <v xml:space="preserve">            </v>
      </c>
    </row>
    <row r="503" spans="1:1" hidden="1">
      <c r="A503" s="55" t="str">
        <f t="shared" si="41"/>
        <v xml:space="preserve">            </v>
      </c>
    </row>
    <row r="504" spans="1:1" hidden="1">
      <c r="A504" s="55" t="str">
        <f t="shared" si="41"/>
        <v xml:space="preserve">            </v>
      </c>
    </row>
    <row r="505" spans="1:1" hidden="1">
      <c r="A505" s="55" t="str">
        <f t="shared" si="41"/>
        <v xml:space="preserve">            </v>
      </c>
    </row>
    <row r="506" spans="1:1" hidden="1">
      <c r="A506" s="55" t="str">
        <f t="shared" si="41"/>
        <v xml:space="preserve">            </v>
      </c>
    </row>
    <row r="507" spans="1:1" hidden="1">
      <c r="A507" s="55" t="str">
        <f t="shared" si="41"/>
        <v xml:space="preserve">            </v>
      </c>
    </row>
    <row r="508" spans="1:1" hidden="1">
      <c r="A508" s="55" t="str">
        <f t="shared" si="41"/>
        <v xml:space="preserve">            </v>
      </c>
    </row>
    <row r="509" spans="1:1" hidden="1">
      <c r="A509" s="55" t="str">
        <f t="shared" si="41"/>
        <v xml:space="preserve">            </v>
      </c>
    </row>
    <row r="510" spans="1:1" hidden="1">
      <c r="A510" s="55" t="str">
        <f t="shared" si="41"/>
        <v xml:space="preserve">            </v>
      </c>
    </row>
    <row r="511" spans="1:1" hidden="1">
      <c r="A511" s="55" t="str">
        <f t="shared" si="41"/>
        <v xml:space="preserve">            </v>
      </c>
    </row>
    <row r="512" spans="1:1" hidden="1">
      <c r="A512" s="55" t="str">
        <f t="shared" si="41"/>
        <v xml:space="preserve">            </v>
      </c>
    </row>
    <row r="513" spans="1:1" hidden="1">
      <c r="A513" s="55" t="str">
        <f t="shared" si="41"/>
        <v xml:space="preserve">            </v>
      </c>
    </row>
    <row r="514" spans="1:1" hidden="1">
      <c r="A514" s="55" t="str">
        <f t="shared" si="41"/>
        <v xml:space="preserve">            </v>
      </c>
    </row>
    <row r="515" spans="1:1" hidden="1">
      <c r="A515" s="55" t="str">
        <f t="shared" si="41"/>
        <v xml:space="preserve">            </v>
      </c>
    </row>
    <row r="516" spans="1:1" hidden="1">
      <c r="A516" s="55" t="str">
        <f t="shared" ref="A516:A550" si="42">"            "&amp;H76</f>
        <v xml:space="preserve">            </v>
      </c>
    </row>
    <row r="517" spans="1:1" hidden="1">
      <c r="A517" s="55" t="str">
        <f t="shared" si="42"/>
        <v xml:space="preserve">            </v>
      </c>
    </row>
    <row r="518" spans="1:1" hidden="1">
      <c r="A518" s="55" t="str">
        <f t="shared" si="42"/>
        <v xml:space="preserve">            </v>
      </c>
    </row>
    <row r="519" spans="1:1" hidden="1">
      <c r="A519" s="55" t="str">
        <f t="shared" si="42"/>
        <v xml:space="preserve">            </v>
      </c>
    </row>
    <row r="520" spans="1:1" hidden="1">
      <c r="A520" s="55" t="str">
        <f t="shared" si="42"/>
        <v xml:space="preserve">            </v>
      </c>
    </row>
    <row r="521" spans="1:1" hidden="1">
      <c r="A521" s="55" t="str">
        <f t="shared" si="42"/>
        <v xml:space="preserve">            </v>
      </c>
    </row>
    <row r="522" spans="1:1" hidden="1">
      <c r="A522" s="55" t="str">
        <f t="shared" si="42"/>
        <v xml:space="preserve">            </v>
      </c>
    </row>
    <row r="523" spans="1:1" hidden="1">
      <c r="A523" s="55" t="str">
        <f t="shared" si="42"/>
        <v xml:space="preserve">            </v>
      </c>
    </row>
    <row r="524" spans="1:1" hidden="1">
      <c r="A524" s="55" t="str">
        <f t="shared" si="42"/>
        <v xml:space="preserve">            </v>
      </c>
    </row>
    <row r="525" spans="1:1" hidden="1">
      <c r="A525" s="55" t="str">
        <f t="shared" si="42"/>
        <v xml:space="preserve">            </v>
      </c>
    </row>
    <row r="526" spans="1:1" hidden="1">
      <c r="A526" s="55" t="str">
        <f t="shared" si="42"/>
        <v xml:space="preserve">            </v>
      </c>
    </row>
    <row r="527" spans="1:1" hidden="1">
      <c r="A527" s="55" t="str">
        <f t="shared" si="42"/>
        <v xml:space="preserve">            </v>
      </c>
    </row>
    <row r="528" spans="1:1" hidden="1">
      <c r="A528" s="55" t="str">
        <f t="shared" si="42"/>
        <v xml:space="preserve">            </v>
      </c>
    </row>
    <row r="529" spans="1:1" hidden="1">
      <c r="A529" s="55" t="str">
        <f t="shared" si="42"/>
        <v xml:space="preserve">            </v>
      </c>
    </row>
    <row r="530" spans="1:1" hidden="1">
      <c r="A530" s="55" t="str">
        <f t="shared" si="42"/>
        <v xml:space="preserve">            </v>
      </c>
    </row>
    <row r="531" spans="1:1" hidden="1">
      <c r="A531" s="55" t="str">
        <f t="shared" si="42"/>
        <v xml:space="preserve">            </v>
      </c>
    </row>
    <row r="532" spans="1:1" hidden="1">
      <c r="A532" s="55" t="str">
        <f t="shared" si="42"/>
        <v xml:space="preserve">            </v>
      </c>
    </row>
    <row r="533" spans="1:1" hidden="1">
      <c r="A533" s="55" t="str">
        <f t="shared" si="42"/>
        <v xml:space="preserve">            </v>
      </c>
    </row>
    <row r="534" spans="1:1" hidden="1">
      <c r="A534" s="55" t="str">
        <f t="shared" si="42"/>
        <v xml:space="preserve">            </v>
      </c>
    </row>
    <row r="535" spans="1:1" hidden="1">
      <c r="A535" s="55" t="str">
        <f t="shared" si="42"/>
        <v xml:space="preserve">            </v>
      </c>
    </row>
    <row r="536" spans="1:1" hidden="1">
      <c r="A536" s="55" t="str">
        <f t="shared" si="42"/>
        <v xml:space="preserve">            </v>
      </c>
    </row>
    <row r="537" spans="1:1" hidden="1">
      <c r="A537" s="55" t="str">
        <f t="shared" si="42"/>
        <v xml:space="preserve">            </v>
      </c>
    </row>
    <row r="538" spans="1:1" hidden="1">
      <c r="A538" s="55" t="str">
        <f t="shared" si="42"/>
        <v xml:space="preserve">            </v>
      </c>
    </row>
    <row r="539" spans="1:1" hidden="1">
      <c r="A539" s="55" t="str">
        <f t="shared" si="42"/>
        <v xml:space="preserve">            </v>
      </c>
    </row>
    <row r="540" spans="1:1" hidden="1">
      <c r="A540" s="55" t="str">
        <f t="shared" si="42"/>
        <v xml:space="preserve">            </v>
      </c>
    </row>
    <row r="541" spans="1:1" hidden="1">
      <c r="A541" s="55" t="str">
        <f t="shared" si="42"/>
        <v xml:space="preserve">            </v>
      </c>
    </row>
    <row r="542" spans="1:1" hidden="1">
      <c r="A542" s="55" t="str">
        <f t="shared" si="42"/>
        <v xml:space="preserve">            </v>
      </c>
    </row>
    <row r="543" spans="1:1" hidden="1">
      <c r="A543" s="55" t="str">
        <f t="shared" si="42"/>
        <v xml:space="preserve">            </v>
      </c>
    </row>
    <row r="544" spans="1:1" hidden="1">
      <c r="A544" s="55" t="str">
        <f t="shared" si="42"/>
        <v xml:space="preserve">            </v>
      </c>
    </row>
    <row r="545" spans="1:25" hidden="1">
      <c r="A545" s="55" t="str">
        <f t="shared" si="42"/>
        <v xml:space="preserve">            </v>
      </c>
    </row>
    <row r="546" spans="1:25" hidden="1">
      <c r="A546" s="55" t="str">
        <f t="shared" si="42"/>
        <v xml:space="preserve">            </v>
      </c>
    </row>
    <row r="547" spans="1:25" hidden="1">
      <c r="A547" s="55" t="str">
        <f t="shared" si="42"/>
        <v xml:space="preserve">            </v>
      </c>
    </row>
    <row r="548" spans="1:25" hidden="1">
      <c r="A548" s="55" t="str">
        <f t="shared" si="42"/>
        <v xml:space="preserve">            </v>
      </c>
    </row>
    <row r="549" spans="1:25" hidden="1">
      <c r="A549" s="55" t="str">
        <f t="shared" si="42"/>
        <v xml:space="preserve">            </v>
      </c>
    </row>
    <row r="550" spans="1:25" hidden="1">
      <c r="A550" s="55" t="str">
        <f t="shared" si="42"/>
        <v xml:space="preserve">            </v>
      </c>
    </row>
    <row r="551" spans="1:25">
      <c r="A551" s="55" t="str">
        <f>+"            "&amp;B6&amp;fieldcreatorv2!N15&amp;B7</f>
        <v xml:space="preserve">            &lt;td class="cel"&gt;&lt;a href="edit_recordJesus1.php?record_id='.$row['id'].'"&gt;';?&gt;</v>
      </c>
    </row>
    <row r="552" spans="1:25">
      <c r="A552" s="55" t="s">
        <v>1355</v>
      </c>
    </row>
    <row r="553" spans="1:25">
      <c r="A553" s="55" t="s">
        <v>1168</v>
      </c>
    </row>
    <row r="554" spans="1:25" s="165" customFormat="1">
      <c r="A554" s="165" t="s">
        <v>626</v>
      </c>
      <c r="I554" s="12"/>
      <c r="J554" s="12"/>
      <c r="W554" s="12"/>
      <c r="X554" s="12"/>
      <c r="Y554" s="12"/>
    </row>
    <row r="555" spans="1:25">
      <c r="A555" s="165" t="s">
        <v>615</v>
      </c>
    </row>
    <row r="556" spans="1:25">
      <c r="A556" s="165" t="s">
        <v>628</v>
      </c>
    </row>
    <row r="557" spans="1:25" s="193" customFormat="1">
      <c r="A557" s="262" t="s">
        <v>1328</v>
      </c>
      <c r="B557" s="12"/>
    </row>
    <row r="558" spans="1:25" s="193" customFormat="1">
      <c r="A558" s="262" t="s">
        <v>1329</v>
      </c>
      <c r="B558" s="12"/>
    </row>
    <row r="559" spans="1:25" s="193" customFormat="1">
      <c r="A559" s="262" t="s">
        <v>1331</v>
      </c>
      <c r="B559" s="12"/>
    </row>
    <row r="560" spans="1:25" s="193" customFormat="1">
      <c r="A560" s="262" t="s">
        <v>96</v>
      </c>
      <c r="B560" s="12"/>
    </row>
    <row r="561" spans="1:1">
      <c r="A561" s="165" t="s">
        <v>1274</v>
      </c>
    </row>
    <row r="562" spans="1:1">
      <c r="A562" s="165" t="s">
        <v>1273</v>
      </c>
    </row>
    <row r="563" spans="1:1">
      <c r="A563" s="165" t="s">
        <v>1272</v>
      </c>
    </row>
    <row r="564" spans="1:1">
      <c r="A564" s="165" t="s">
        <v>634</v>
      </c>
    </row>
    <row r="565" spans="1:1">
      <c r="A565" s="13" t="s">
        <v>1170</v>
      </c>
    </row>
    <row r="566" spans="1:1">
      <c r="A566" s="13" t="s">
        <v>1204</v>
      </c>
    </row>
    <row r="567" spans="1:1">
      <c r="A567" s="55" t="str">
        <f>"&lt;?  /* edit_record"&amp;fieldcreatorv2!N15&amp;"  */  ?&gt;"</f>
        <v>&lt;?  /* edit_recordJesus1.php  */  ?&gt;</v>
      </c>
    </row>
    <row r="568" spans="1:1">
      <c r="A568" s="55" t="str">
        <f>+fieldcreatorv2!B264</f>
        <v>&lt;? include ("Jesusb_SecureLayer.php");  ?&gt;</v>
      </c>
    </row>
    <row r="569" spans="1:1">
      <c r="A569" s="55" t="str">
        <f>"&lt;? "&amp;$M$5&amp;fieldcreatorv2!N15&amp;$M$6</f>
        <v>&lt;? if (isset($_GET['record_id'])) $record_id=$_GET['record_id']; else header("Location:editJesus1.php"); // Redirect if no record is choosen</v>
      </c>
    </row>
    <row r="570" spans="1:1">
      <c r="A570" s="55" t="e">
        <f>+A243</f>
        <v>#REF!</v>
      </c>
    </row>
    <row r="571" spans="1:1">
      <c r="A571" s="55" t="e">
        <f>+A244</f>
        <v>#REF!</v>
      </c>
    </row>
    <row r="572" spans="1:1">
      <c r="A572" s="55" t="s">
        <v>107</v>
      </c>
    </row>
    <row r="573" spans="1:1">
      <c r="A573" s="165" t="s">
        <v>593</v>
      </c>
    </row>
    <row r="574" spans="1:1">
      <c r="A574" s="165" t="s">
        <v>594</v>
      </c>
    </row>
    <row r="575" spans="1:1">
      <c r="A575" s="165" t="s">
        <v>595</v>
      </c>
    </row>
    <row r="576" spans="1:1">
      <c r="A576" s="131" t="s">
        <v>1174</v>
      </c>
    </row>
    <row r="577" spans="1:2">
      <c r="A577" s="131" t="s">
        <v>1175</v>
      </c>
    </row>
    <row r="578" spans="1:2">
      <c r="A578" s="131" t="str">
        <f>+fieldcreatorv2!B150</f>
        <v>&lt;link rel="stylesheet" type="text/css" href="healmy5_praystyle.css" /&gt;</v>
      </c>
    </row>
    <row r="579" spans="1:2" hidden="1">
      <c r="A579" s="131" t="str">
        <f>+fieldcreatorv2!B151</f>
        <v>&lt;link href="http://ajax.googleapis.com/ajax/libs/jqueryui/1.8/themes/base/jquery-ui.css" rel="stylesheet" type="text/css"/&gt;</v>
      </c>
    </row>
    <row r="580" spans="1:2" hidden="1">
      <c r="A580" s="131" t="str">
        <f>+fieldcreatorv2!B152</f>
        <v>&lt;script type="text/javascript" src="//ajax.googleapis.com/ajax/libs/jquery/1.7.1/jquery.min.js"&gt;&lt;/script&gt;</v>
      </c>
    </row>
    <row r="581" spans="1:2" hidden="1">
      <c r="A581" s="131" t="str">
        <f>+fieldcreatorv2!B153</f>
        <v>&lt;script src="http://ajax.googleapis.com/ajax/libs/jqueryui/1.8/jquery-ui.min.js"&gt;&lt;/script&gt;</v>
      </c>
    </row>
    <row r="582" spans="1:2" hidden="1">
      <c r="A582" s="131" t="str">
        <f>+fieldcreatorv2!B154</f>
        <v>&lt;script&gt;  $(function() {  $( ".datepicker" ).datepicker({dateFormat: 'yy/mm/dd',changeMonth : true,changeYear : true,yearRange: '-110y:c+nn',}); }); &lt;/script&gt;</v>
      </c>
    </row>
    <row r="583" spans="1:2" hidden="1">
      <c r="A583" s="131" t="str">
        <f>+fieldcreatorv2!B155</f>
        <v>&lt;/head&gt;</v>
      </c>
    </row>
    <row r="584" spans="1:2">
      <c r="A584" s="131" t="s">
        <v>609</v>
      </c>
    </row>
    <row r="585" spans="1:2">
      <c r="A585" s="165" t="s">
        <v>610</v>
      </c>
    </row>
    <row r="586" spans="1:2">
      <c r="A586" s="165" t="s">
        <v>611</v>
      </c>
    </row>
    <row r="587" spans="1:2" s="193" customFormat="1">
      <c r="A587" s="262" t="s">
        <v>1328</v>
      </c>
      <c r="B587" s="12"/>
    </row>
    <row r="588" spans="1:2" s="193" customFormat="1">
      <c r="A588" s="262" t="s">
        <v>1329</v>
      </c>
      <c r="B588" s="12"/>
    </row>
    <row r="589" spans="1:2" s="193" customFormat="1">
      <c r="A589" s="262" t="s">
        <v>1330</v>
      </c>
      <c r="B589" s="12"/>
    </row>
    <row r="590" spans="1:2" s="193" customFormat="1">
      <c r="A590" s="262" t="s">
        <v>96</v>
      </c>
      <c r="B590" s="12"/>
    </row>
    <row r="591" spans="1:2">
      <c r="A591" s="165" t="s">
        <v>1274</v>
      </c>
    </row>
    <row r="592" spans="1:2">
      <c r="A592" s="165" t="s">
        <v>616</v>
      </c>
    </row>
    <row r="593" spans="1:21">
      <c r="A593" s="165" t="s">
        <v>1275</v>
      </c>
    </row>
    <row r="594" spans="1:21">
      <c r="A594" s="165" t="s">
        <v>625</v>
      </c>
    </row>
    <row r="595" spans="1:21">
      <c r="A595" s="260" t="s">
        <v>1335</v>
      </c>
      <c r="B595" s="259"/>
      <c r="C595" s="259"/>
      <c r="D595" s="259"/>
      <c r="E595" s="259"/>
      <c r="G595" s="259"/>
      <c r="H595" s="259"/>
      <c r="I595" s="244"/>
      <c r="J595" s="244"/>
      <c r="K595" s="259"/>
      <c r="L595" s="259"/>
      <c r="M595" s="259"/>
      <c r="N595" s="259"/>
      <c r="O595" s="259"/>
      <c r="P595" s="259"/>
      <c r="R595" s="259"/>
      <c r="S595" s="259"/>
      <c r="T595" s="259"/>
      <c r="U595" s="259"/>
    </row>
    <row r="596" spans="1:21">
      <c r="A596" s="244" t="str">
        <f ca="1">IF(fieldcreatorv2!B595="","&lt;?",fieldcreatorv2!B595)</f>
        <v>&lt;? $user=$_SESSION["standard141509_Virgin_Mary_user"];</v>
      </c>
      <c r="B596" s="244"/>
      <c r="C596" s="244"/>
      <c r="D596" s="244"/>
      <c r="E596" s="244"/>
      <c r="F596" s="166"/>
      <c r="G596" s="244"/>
      <c r="H596" s="244"/>
      <c r="I596" s="244"/>
      <c r="J596" s="244"/>
      <c r="K596" s="244"/>
      <c r="L596" s="244"/>
      <c r="M596" s="244"/>
      <c r="N596" s="244"/>
      <c r="O596" s="244"/>
      <c r="P596" s="244"/>
      <c r="Q596" s="166"/>
      <c r="R596" s="244"/>
      <c r="S596" s="244"/>
      <c r="T596" s="244"/>
      <c r="U596" s="244"/>
    </row>
    <row r="597" spans="1:21">
      <c r="A597" s="244" t="e">
        <f>+fieldcreatorv2!B596</f>
        <v>#REF!</v>
      </c>
      <c r="B597" s="244"/>
      <c r="C597" s="244"/>
      <c r="D597" s="244"/>
      <c r="E597" s="244"/>
      <c r="F597" s="166"/>
      <c r="G597" s="244"/>
      <c r="H597" s="244"/>
      <c r="I597" s="244"/>
      <c r="J597" s="244"/>
      <c r="K597" s="244"/>
      <c r="L597" s="244"/>
      <c r="M597" s="244"/>
      <c r="N597" s="244"/>
      <c r="O597" s="244"/>
      <c r="P597" s="244"/>
      <c r="Q597" s="166"/>
      <c r="R597" s="244"/>
      <c r="S597" s="244"/>
      <c r="T597" s="244"/>
      <c r="U597" s="244"/>
    </row>
    <row r="598" spans="1:21">
      <c r="A598" s="244" t="e">
        <f>+fieldcreatorv2!B597</f>
        <v>#REF!</v>
      </c>
      <c r="B598" s="244"/>
      <c r="C598" s="244"/>
      <c r="D598" s="244"/>
      <c r="E598" s="244"/>
      <c r="F598" s="166"/>
      <c r="G598" s="244"/>
      <c r="H598" s="244"/>
      <c r="I598" s="244"/>
      <c r="J598" s="244"/>
      <c r="K598" s="244"/>
      <c r="L598" s="244"/>
      <c r="M598" s="244"/>
      <c r="N598" s="244"/>
      <c r="O598" s="244"/>
      <c r="P598" s="244"/>
      <c r="Q598" s="166"/>
      <c r="R598" s="244"/>
      <c r="S598" s="244"/>
      <c r="T598" s="244"/>
      <c r="U598" s="244"/>
    </row>
    <row r="599" spans="1:21">
      <c r="A599" s="244" t="str">
        <f>IF(fieldcreatorv2!B598="",#REF!,fieldcreatorv2!B598)</f>
        <v>mysql_select_db("healmy5_pray", $con);$result = mysql_query("SELECT * FROM session WHERE user='$user'");</v>
      </c>
      <c r="B599" s="244"/>
      <c r="C599" s="244"/>
      <c r="D599" s="244"/>
      <c r="E599" s="244"/>
      <c r="F599" s="166"/>
      <c r="G599" s="244"/>
      <c r="H599" s="244"/>
      <c r="I599" s="244"/>
      <c r="J599" s="244"/>
      <c r="K599" s="244"/>
      <c r="L599" s="244"/>
      <c r="M599" s="244"/>
      <c r="N599" s="244"/>
      <c r="O599" s="244"/>
      <c r="P599" s="244"/>
      <c r="Q599" s="166"/>
      <c r="R599" s="244"/>
      <c r="S599" s="244"/>
      <c r="T599" s="244"/>
      <c r="U599" s="244"/>
    </row>
    <row r="600" spans="1:21" hidden="1">
      <c r="A600" s="244" t="str">
        <f>+fieldcreatorv2!B599</f>
        <v>$row = mysql_fetch_array($result);</v>
      </c>
      <c r="B600" s="244"/>
      <c r="C600" s="244"/>
      <c r="D600" s="244"/>
      <c r="E600" s="244"/>
      <c r="F600" s="166"/>
      <c r="G600" s="244"/>
      <c r="H600" s="244"/>
      <c r="I600" s="244"/>
      <c r="J600" s="244"/>
      <c r="K600" s="244"/>
      <c r="L600" s="244"/>
      <c r="M600" s="244"/>
      <c r="N600" s="244"/>
      <c r="O600" s="244"/>
      <c r="P600" s="244"/>
      <c r="Q600" s="166"/>
      <c r="R600" s="244"/>
      <c r="S600" s="244"/>
      <c r="T600" s="244"/>
      <c r="U600" s="244"/>
    </row>
    <row r="601" spans="1:21" hidden="1">
      <c r="A601" s="244" t="str">
        <f>+fieldcreatorv2!B600</f>
        <v>echo $row['name'].' '.$row['surname'];</v>
      </c>
      <c r="B601" s="244"/>
      <c r="C601" s="244"/>
      <c r="D601" s="244"/>
      <c r="E601" s="244"/>
      <c r="F601" s="166"/>
      <c r="G601" s="244"/>
      <c r="H601" s="244"/>
      <c r="I601" s="244"/>
      <c r="J601" s="244"/>
      <c r="K601" s="244"/>
      <c r="L601" s="244"/>
      <c r="M601" s="244"/>
      <c r="N601" s="244"/>
      <c r="O601" s="244"/>
      <c r="P601" s="244"/>
      <c r="Q601" s="166"/>
      <c r="R601" s="244"/>
      <c r="S601" s="244"/>
      <c r="T601" s="244"/>
      <c r="U601" s="244"/>
    </row>
    <row r="602" spans="1:21">
      <c r="A602" s="55" t="str">
        <f>+A3&amp;fieldcreatorv2!L15&amp;fieldcreatorv2!L19&amp;C1</f>
        <v>$result = mysql_query("SELECT * FROM Jesus1 WHERE id='$record_id'");</v>
      </c>
    </row>
    <row r="603" spans="1:21">
      <c r="A603" s="55" t="s">
        <v>478</v>
      </c>
    </row>
    <row r="604" spans="1:21">
      <c r="A604" s="55" t="s">
        <v>107</v>
      </c>
    </row>
    <row r="605" spans="1:21">
      <c r="A605" s="165" t="s">
        <v>1336</v>
      </c>
    </row>
    <row r="606" spans="1:21">
      <c r="A606" s="165" t="s">
        <v>1337</v>
      </c>
    </row>
    <row r="607" spans="1:21">
      <c r="A607" s="165" t="str">
        <f>+$N$4&amp;"edit"&amp;fieldcreatorv2!N15&amp;N3&amp;"Volver a tabla de registros&lt;/a&gt;"</f>
        <v>&lt;a class="menu" href="editJesus1.php"&gt;Volver a tabla de registros&lt;/a&gt;</v>
      </c>
    </row>
    <row r="608" spans="1:21">
      <c r="A608" s="165" t="str">
        <f>+$N$4&amp;fieldcreatorv2!L15&amp;"_logout.php"&amp;N3&amp;"Salida segura&lt;/a&gt;"</f>
        <v>&lt;a class="menu" href="Jesus_logout.php"&gt;Salida segura&lt;/a&gt;</v>
      </c>
    </row>
    <row r="609" spans="1:1">
      <c r="A609" s="165" t="s">
        <v>1338</v>
      </c>
    </row>
    <row r="610" spans="1:1">
      <c r="A610" s="165" t="s">
        <v>1237</v>
      </c>
    </row>
    <row r="611" spans="1:1" hidden="1">
      <c r="A611" s="165" t="str">
        <f t="shared" ref="A611:A642" si="43">"      "&amp;AA11</f>
        <v xml:space="preserve">      </v>
      </c>
    </row>
    <row r="612" spans="1:1" hidden="1">
      <c r="A612" s="165" t="str">
        <f t="shared" si="43"/>
        <v xml:space="preserve">      </v>
      </c>
    </row>
    <row r="613" spans="1:1" hidden="1">
      <c r="A613" s="165" t="str">
        <f t="shared" si="43"/>
        <v xml:space="preserve">      </v>
      </c>
    </row>
    <row r="614" spans="1:1" hidden="1">
      <c r="A614" s="165" t="str">
        <f t="shared" si="43"/>
        <v xml:space="preserve">      </v>
      </c>
    </row>
    <row r="615" spans="1:1">
      <c r="A615" s="165" t="str">
        <f t="shared" si="43"/>
        <v xml:space="preserve">      </v>
      </c>
    </row>
    <row r="616" spans="1:1" hidden="1">
      <c r="A616" s="165" t="str">
        <f t="shared" si="43"/>
        <v xml:space="preserve">      </v>
      </c>
    </row>
    <row r="617" spans="1:1" hidden="1">
      <c r="A617" s="165" t="str">
        <f t="shared" si="43"/>
        <v xml:space="preserve">      </v>
      </c>
    </row>
    <row r="618" spans="1:1" hidden="1">
      <c r="A618" s="165" t="str">
        <f t="shared" si="43"/>
        <v xml:space="preserve">      </v>
      </c>
    </row>
    <row r="619" spans="1:1" hidden="1">
      <c r="A619" s="165" t="str">
        <f t="shared" si="43"/>
        <v xml:space="preserve">      </v>
      </c>
    </row>
    <row r="620" spans="1:1" hidden="1">
      <c r="A620" s="165" t="str">
        <f t="shared" si="43"/>
        <v xml:space="preserve">      </v>
      </c>
    </row>
    <row r="621" spans="1:1" hidden="1">
      <c r="A621" s="165" t="str">
        <f t="shared" si="43"/>
        <v xml:space="preserve">      </v>
      </c>
    </row>
    <row r="622" spans="1:1" hidden="1">
      <c r="A622" s="165" t="str">
        <f t="shared" si="43"/>
        <v xml:space="preserve">      </v>
      </c>
    </row>
    <row r="623" spans="1:1" hidden="1">
      <c r="A623" s="165" t="str">
        <f t="shared" si="43"/>
        <v xml:space="preserve">      </v>
      </c>
    </row>
    <row r="624" spans="1:1" hidden="1">
      <c r="A624" s="165" t="str">
        <f t="shared" si="43"/>
        <v xml:space="preserve">      </v>
      </c>
    </row>
    <row r="625" spans="1:1" hidden="1">
      <c r="A625" s="165" t="str">
        <f t="shared" si="43"/>
        <v xml:space="preserve">      </v>
      </c>
    </row>
    <row r="626" spans="1:1" hidden="1">
      <c r="A626" s="165" t="str">
        <f t="shared" si="43"/>
        <v xml:space="preserve">      </v>
      </c>
    </row>
    <row r="627" spans="1:1" hidden="1">
      <c r="A627" s="165" t="str">
        <f t="shared" si="43"/>
        <v xml:space="preserve">      </v>
      </c>
    </row>
    <row r="628" spans="1:1" hidden="1">
      <c r="A628" s="165" t="str">
        <f t="shared" si="43"/>
        <v xml:space="preserve">      </v>
      </c>
    </row>
    <row r="629" spans="1:1" hidden="1">
      <c r="A629" s="165" t="str">
        <f t="shared" si="43"/>
        <v xml:space="preserve">      </v>
      </c>
    </row>
    <row r="630" spans="1:1">
      <c r="A630" s="165" t="str">
        <f t="shared" si="43"/>
        <v xml:space="preserve">      </v>
      </c>
    </row>
    <row r="631" spans="1:1">
      <c r="A631" s="165" t="str">
        <f t="shared" si="43"/>
        <v xml:space="preserve">      </v>
      </c>
    </row>
    <row r="632" spans="1:1">
      <c r="A632" s="165" t="str">
        <f t="shared" si="43"/>
        <v xml:space="preserve">      </v>
      </c>
    </row>
    <row r="633" spans="1:1">
      <c r="A633" s="165" t="str">
        <f t="shared" si="43"/>
        <v xml:space="preserve">      </v>
      </c>
    </row>
    <row r="634" spans="1:1">
      <c r="A634" s="165" t="str">
        <f t="shared" si="43"/>
        <v xml:space="preserve">      </v>
      </c>
    </row>
    <row r="635" spans="1:1" hidden="1">
      <c r="A635" s="165" t="str">
        <f t="shared" si="43"/>
        <v xml:space="preserve">      </v>
      </c>
    </row>
    <row r="636" spans="1:1" hidden="1">
      <c r="A636" s="165" t="str">
        <f t="shared" si="43"/>
        <v xml:space="preserve">      </v>
      </c>
    </row>
    <row r="637" spans="1:1" hidden="1">
      <c r="A637" s="165" t="str">
        <f t="shared" si="43"/>
        <v xml:space="preserve">      </v>
      </c>
    </row>
    <row r="638" spans="1:1" hidden="1">
      <c r="A638" s="165" t="str">
        <f t="shared" si="43"/>
        <v xml:space="preserve">      </v>
      </c>
    </row>
    <row r="639" spans="1:1" hidden="1">
      <c r="A639" s="165" t="str">
        <f t="shared" si="43"/>
        <v xml:space="preserve">      </v>
      </c>
    </row>
    <row r="640" spans="1:1" hidden="1">
      <c r="A640" s="165" t="str">
        <f t="shared" si="43"/>
        <v xml:space="preserve">      </v>
      </c>
    </row>
    <row r="641" spans="1:1" hidden="1">
      <c r="A641" s="165" t="str">
        <f t="shared" si="43"/>
        <v xml:space="preserve">      </v>
      </c>
    </row>
    <row r="642" spans="1:1" hidden="1">
      <c r="A642" s="165" t="str">
        <f t="shared" si="43"/>
        <v xml:space="preserve">      </v>
      </c>
    </row>
    <row r="643" spans="1:1" hidden="1">
      <c r="A643" s="165" t="str">
        <f t="shared" ref="A643:A674" si="44">"      "&amp;AA43</f>
        <v xml:space="preserve">      </v>
      </c>
    </row>
    <row r="644" spans="1:1" hidden="1">
      <c r="A644" s="165" t="str">
        <f t="shared" si="44"/>
        <v xml:space="preserve">      </v>
      </c>
    </row>
    <row r="645" spans="1:1" hidden="1">
      <c r="A645" s="165" t="str">
        <f t="shared" si="44"/>
        <v xml:space="preserve">      </v>
      </c>
    </row>
    <row r="646" spans="1:1" hidden="1">
      <c r="A646" s="165" t="str">
        <f t="shared" si="44"/>
        <v xml:space="preserve">      </v>
      </c>
    </row>
    <row r="647" spans="1:1" hidden="1">
      <c r="A647" s="165" t="str">
        <f t="shared" si="44"/>
        <v xml:space="preserve">      </v>
      </c>
    </row>
    <row r="648" spans="1:1" hidden="1">
      <c r="A648" s="165" t="str">
        <f t="shared" si="44"/>
        <v xml:space="preserve">      </v>
      </c>
    </row>
    <row r="649" spans="1:1" hidden="1">
      <c r="A649" s="165" t="str">
        <f t="shared" si="44"/>
        <v xml:space="preserve">      </v>
      </c>
    </row>
    <row r="650" spans="1:1" hidden="1">
      <c r="A650" s="165" t="str">
        <f t="shared" si="44"/>
        <v xml:space="preserve">      </v>
      </c>
    </row>
    <row r="651" spans="1:1" hidden="1">
      <c r="A651" s="165" t="str">
        <f t="shared" si="44"/>
        <v xml:space="preserve">      </v>
      </c>
    </row>
    <row r="652" spans="1:1" hidden="1">
      <c r="A652" s="165" t="str">
        <f t="shared" si="44"/>
        <v xml:space="preserve">      </v>
      </c>
    </row>
    <row r="653" spans="1:1" hidden="1">
      <c r="A653" s="165" t="str">
        <f t="shared" si="44"/>
        <v xml:space="preserve">      </v>
      </c>
    </row>
    <row r="654" spans="1:1" hidden="1">
      <c r="A654" s="165" t="str">
        <f t="shared" si="44"/>
        <v xml:space="preserve">      </v>
      </c>
    </row>
    <row r="655" spans="1:1" hidden="1">
      <c r="A655" s="165" t="str">
        <f t="shared" si="44"/>
        <v xml:space="preserve">      </v>
      </c>
    </row>
    <row r="656" spans="1:1" hidden="1">
      <c r="A656" s="165" t="str">
        <f t="shared" si="44"/>
        <v xml:space="preserve">      </v>
      </c>
    </row>
    <row r="657" spans="1:1" hidden="1">
      <c r="A657" s="165" t="str">
        <f t="shared" si="44"/>
        <v xml:space="preserve">      </v>
      </c>
    </row>
    <row r="658" spans="1:1" hidden="1">
      <c r="A658" s="165" t="str">
        <f t="shared" si="44"/>
        <v xml:space="preserve">      </v>
      </c>
    </row>
    <row r="659" spans="1:1" hidden="1">
      <c r="A659" s="165" t="str">
        <f t="shared" si="44"/>
        <v xml:space="preserve">      </v>
      </c>
    </row>
    <row r="660" spans="1:1" hidden="1">
      <c r="A660" s="165" t="str">
        <f t="shared" si="44"/>
        <v xml:space="preserve">      </v>
      </c>
    </row>
    <row r="661" spans="1:1" hidden="1">
      <c r="A661" s="165" t="str">
        <f t="shared" si="44"/>
        <v xml:space="preserve">      </v>
      </c>
    </row>
    <row r="662" spans="1:1" hidden="1">
      <c r="A662" s="165" t="str">
        <f t="shared" si="44"/>
        <v xml:space="preserve">      </v>
      </c>
    </row>
    <row r="663" spans="1:1" hidden="1">
      <c r="A663" s="165" t="str">
        <f t="shared" si="44"/>
        <v xml:space="preserve">      </v>
      </c>
    </row>
    <row r="664" spans="1:1" hidden="1">
      <c r="A664" s="165" t="str">
        <f t="shared" si="44"/>
        <v xml:space="preserve">      </v>
      </c>
    </row>
    <row r="665" spans="1:1" hidden="1">
      <c r="A665" s="165" t="str">
        <f t="shared" si="44"/>
        <v xml:space="preserve">      </v>
      </c>
    </row>
    <row r="666" spans="1:1" hidden="1">
      <c r="A666" s="165" t="str">
        <f t="shared" si="44"/>
        <v xml:space="preserve">      </v>
      </c>
    </row>
    <row r="667" spans="1:1" hidden="1">
      <c r="A667" s="165" t="str">
        <f t="shared" si="44"/>
        <v xml:space="preserve">      </v>
      </c>
    </row>
    <row r="668" spans="1:1" hidden="1">
      <c r="A668" s="165" t="str">
        <f t="shared" si="44"/>
        <v xml:space="preserve">      </v>
      </c>
    </row>
    <row r="669" spans="1:1" hidden="1">
      <c r="A669" s="165" t="str">
        <f t="shared" si="44"/>
        <v xml:space="preserve">      </v>
      </c>
    </row>
    <row r="670" spans="1:1" hidden="1">
      <c r="A670" s="165" t="str">
        <f t="shared" si="44"/>
        <v xml:space="preserve">      </v>
      </c>
    </row>
    <row r="671" spans="1:1" hidden="1">
      <c r="A671" s="165" t="str">
        <f t="shared" si="44"/>
        <v xml:space="preserve">      </v>
      </c>
    </row>
    <row r="672" spans="1:1" hidden="1">
      <c r="A672" s="165" t="str">
        <f t="shared" si="44"/>
        <v xml:space="preserve">      </v>
      </c>
    </row>
    <row r="673" spans="1:1" hidden="1">
      <c r="A673" s="165" t="str">
        <f t="shared" si="44"/>
        <v xml:space="preserve">      </v>
      </c>
    </row>
    <row r="674" spans="1:1" hidden="1">
      <c r="A674" s="165" t="str">
        <f t="shared" si="44"/>
        <v xml:space="preserve">      </v>
      </c>
    </row>
    <row r="675" spans="1:1" hidden="1">
      <c r="A675" s="165" t="str">
        <f t="shared" ref="A675:A706" si="45">"      "&amp;AA75</f>
        <v xml:space="preserve">      </v>
      </c>
    </row>
    <row r="676" spans="1:1" hidden="1">
      <c r="A676" s="165" t="str">
        <f t="shared" si="45"/>
        <v xml:space="preserve">      </v>
      </c>
    </row>
    <row r="677" spans="1:1" hidden="1">
      <c r="A677" s="165" t="str">
        <f t="shared" si="45"/>
        <v xml:space="preserve">      </v>
      </c>
    </row>
    <row r="678" spans="1:1" hidden="1">
      <c r="A678" s="165" t="str">
        <f t="shared" si="45"/>
        <v xml:space="preserve">      </v>
      </c>
    </row>
    <row r="679" spans="1:1" hidden="1">
      <c r="A679" s="165" t="str">
        <f t="shared" si="45"/>
        <v xml:space="preserve">      </v>
      </c>
    </row>
    <row r="680" spans="1:1" hidden="1">
      <c r="A680" s="165" t="str">
        <f t="shared" si="45"/>
        <v xml:space="preserve">      </v>
      </c>
    </row>
    <row r="681" spans="1:1" hidden="1">
      <c r="A681" s="165" t="str">
        <f t="shared" si="45"/>
        <v xml:space="preserve">      </v>
      </c>
    </row>
    <row r="682" spans="1:1" hidden="1">
      <c r="A682" s="165" t="str">
        <f t="shared" si="45"/>
        <v xml:space="preserve">      </v>
      </c>
    </row>
    <row r="683" spans="1:1" hidden="1">
      <c r="A683" s="165" t="str">
        <f t="shared" si="45"/>
        <v xml:space="preserve">      </v>
      </c>
    </row>
    <row r="684" spans="1:1" hidden="1">
      <c r="A684" s="165" t="str">
        <f t="shared" si="45"/>
        <v xml:space="preserve">      </v>
      </c>
    </row>
    <row r="685" spans="1:1" hidden="1">
      <c r="A685" s="165" t="str">
        <f t="shared" si="45"/>
        <v xml:space="preserve">      </v>
      </c>
    </row>
    <row r="686" spans="1:1" hidden="1">
      <c r="A686" s="165" t="str">
        <f t="shared" si="45"/>
        <v xml:space="preserve">      </v>
      </c>
    </row>
    <row r="687" spans="1:1" hidden="1">
      <c r="A687" s="165" t="str">
        <f t="shared" si="45"/>
        <v xml:space="preserve">      </v>
      </c>
    </row>
    <row r="688" spans="1:1" hidden="1">
      <c r="A688" s="165" t="str">
        <f t="shared" si="45"/>
        <v xml:space="preserve">      </v>
      </c>
    </row>
    <row r="689" spans="1:1" hidden="1">
      <c r="A689" s="165" t="str">
        <f t="shared" si="45"/>
        <v xml:space="preserve">      </v>
      </c>
    </row>
    <row r="690" spans="1:1" hidden="1">
      <c r="A690" s="165" t="str">
        <f t="shared" si="45"/>
        <v xml:space="preserve">      </v>
      </c>
    </row>
    <row r="691" spans="1:1" hidden="1">
      <c r="A691" s="165" t="str">
        <f t="shared" si="45"/>
        <v xml:space="preserve">      </v>
      </c>
    </row>
    <row r="692" spans="1:1" hidden="1">
      <c r="A692" s="165" t="str">
        <f t="shared" si="45"/>
        <v xml:space="preserve">      </v>
      </c>
    </row>
    <row r="693" spans="1:1" hidden="1">
      <c r="A693" s="165" t="str">
        <f t="shared" si="45"/>
        <v xml:space="preserve">      </v>
      </c>
    </row>
    <row r="694" spans="1:1" hidden="1">
      <c r="A694" s="165" t="str">
        <f t="shared" si="45"/>
        <v xml:space="preserve">      </v>
      </c>
    </row>
    <row r="695" spans="1:1" hidden="1">
      <c r="A695" s="165" t="str">
        <f t="shared" si="45"/>
        <v xml:space="preserve">      </v>
      </c>
    </row>
    <row r="696" spans="1:1" hidden="1">
      <c r="A696" s="165" t="str">
        <f t="shared" si="45"/>
        <v xml:space="preserve">      </v>
      </c>
    </row>
    <row r="697" spans="1:1" hidden="1">
      <c r="A697" s="165" t="str">
        <f t="shared" si="45"/>
        <v xml:space="preserve">      </v>
      </c>
    </row>
    <row r="698" spans="1:1" hidden="1">
      <c r="A698" s="165" t="str">
        <f t="shared" si="45"/>
        <v xml:space="preserve">      </v>
      </c>
    </row>
    <row r="699" spans="1:1" hidden="1">
      <c r="A699" s="165" t="str">
        <f t="shared" si="45"/>
        <v xml:space="preserve">      </v>
      </c>
    </row>
    <row r="700" spans="1:1" hidden="1">
      <c r="A700" s="165" t="str">
        <f t="shared" si="45"/>
        <v xml:space="preserve">      </v>
      </c>
    </row>
    <row r="701" spans="1:1" hidden="1">
      <c r="A701" s="165" t="str">
        <f t="shared" si="45"/>
        <v xml:space="preserve">      </v>
      </c>
    </row>
    <row r="702" spans="1:1" hidden="1">
      <c r="A702" s="165" t="str">
        <f t="shared" si="45"/>
        <v xml:space="preserve">      </v>
      </c>
    </row>
    <row r="703" spans="1:1" hidden="1">
      <c r="A703" s="165" t="str">
        <f t="shared" si="45"/>
        <v xml:space="preserve">      </v>
      </c>
    </row>
    <row r="704" spans="1:1" hidden="1">
      <c r="A704" s="165" t="str">
        <f t="shared" si="45"/>
        <v xml:space="preserve">      </v>
      </c>
    </row>
    <row r="705" spans="1:2" hidden="1">
      <c r="A705" s="165" t="str">
        <f t="shared" si="45"/>
        <v xml:space="preserve">      </v>
      </c>
    </row>
    <row r="706" spans="1:2" hidden="1">
      <c r="A706" s="165" t="str">
        <f t="shared" si="45"/>
        <v xml:space="preserve">      </v>
      </c>
    </row>
    <row r="707" spans="1:2" hidden="1">
      <c r="A707" s="165" t="str">
        <f t="shared" ref="A707:A710" si="46">"      "&amp;AA107</f>
        <v xml:space="preserve">      </v>
      </c>
    </row>
    <row r="708" spans="1:2" hidden="1">
      <c r="A708" s="165" t="str">
        <f t="shared" si="46"/>
        <v xml:space="preserve">      </v>
      </c>
    </row>
    <row r="709" spans="1:2" hidden="1">
      <c r="A709" s="165" t="str">
        <f t="shared" si="46"/>
        <v xml:space="preserve">      </v>
      </c>
    </row>
    <row r="710" spans="1:2" hidden="1">
      <c r="A710" s="165" t="str">
        <f t="shared" si="46"/>
        <v xml:space="preserve">      </v>
      </c>
    </row>
    <row r="711" spans="1:2">
      <c r="A711" s="165" t="s">
        <v>1236</v>
      </c>
    </row>
    <row r="712" spans="1:2">
      <c r="A712" s="165" t="s">
        <v>6</v>
      </c>
    </row>
    <row r="713" spans="1:2">
      <c r="A713" s="165" t="s">
        <v>1258</v>
      </c>
    </row>
    <row r="714" spans="1:2">
      <c r="A714" s="165" t="s">
        <v>1238</v>
      </c>
    </row>
    <row r="715" spans="1:2">
      <c r="A715" s="165" t="s">
        <v>1274</v>
      </c>
    </row>
    <row r="716" spans="1:2">
      <c r="A716" s="165" t="s">
        <v>1327</v>
      </c>
    </row>
    <row r="717" spans="1:2">
      <c r="A717" s="165" t="s">
        <v>1274</v>
      </c>
    </row>
    <row r="718" spans="1:2">
      <c r="A718" s="165" t="s">
        <v>628</v>
      </c>
    </row>
    <row r="719" spans="1:2" s="193" customFormat="1">
      <c r="A719" s="262" t="s">
        <v>1328</v>
      </c>
      <c r="B719" s="12"/>
    </row>
    <row r="720" spans="1:2" s="193" customFormat="1">
      <c r="A720" s="262" t="s">
        <v>1329</v>
      </c>
      <c r="B720" s="12"/>
    </row>
    <row r="721" spans="1:2" s="193" customFormat="1">
      <c r="A721" s="262" t="s">
        <v>1331</v>
      </c>
      <c r="B721" s="12"/>
    </row>
    <row r="722" spans="1:2" s="193" customFormat="1">
      <c r="A722" s="262" t="s">
        <v>96</v>
      </c>
      <c r="B722" s="12"/>
    </row>
    <row r="723" spans="1:2">
      <c r="A723" s="165" t="s">
        <v>1274</v>
      </c>
    </row>
    <row r="724" spans="1:2">
      <c r="A724" s="61" t="s">
        <v>1220</v>
      </c>
    </row>
    <row r="725" spans="1:2">
      <c r="A725" s="61" t="s">
        <v>1229</v>
      </c>
    </row>
    <row r="726" spans="1:2" hidden="1">
      <c r="A726" s="61" t="str">
        <f t="shared" ref="A726:A757" si="47">"      "&amp;T11</f>
        <v xml:space="preserve">      </v>
      </c>
    </row>
    <row r="727" spans="1:2" hidden="1">
      <c r="A727" s="61" t="str">
        <f t="shared" si="47"/>
        <v xml:space="preserve">      </v>
      </c>
    </row>
    <row r="728" spans="1:2" hidden="1">
      <c r="A728" s="61" t="str">
        <f t="shared" si="47"/>
        <v xml:space="preserve">      </v>
      </c>
    </row>
    <row r="729" spans="1:2" hidden="1">
      <c r="A729" s="61" t="str">
        <f t="shared" si="47"/>
        <v xml:space="preserve">      </v>
      </c>
    </row>
    <row r="730" spans="1:2" hidden="1">
      <c r="A730" s="61" t="str">
        <f t="shared" si="47"/>
        <v xml:space="preserve">      </v>
      </c>
    </row>
    <row r="731" spans="1:2" hidden="1">
      <c r="A731" s="61" t="str">
        <f t="shared" si="47"/>
        <v xml:space="preserve">      </v>
      </c>
    </row>
    <row r="732" spans="1:2" hidden="1">
      <c r="A732" s="61" t="str">
        <f t="shared" si="47"/>
        <v xml:space="preserve">      </v>
      </c>
    </row>
    <row r="733" spans="1:2" hidden="1">
      <c r="A733" s="61" t="str">
        <f t="shared" si="47"/>
        <v xml:space="preserve">      </v>
      </c>
    </row>
    <row r="734" spans="1:2" hidden="1">
      <c r="A734" s="61" t="str">
        <f t="shared" si="47"/>
        <v xml:space="preserve">      </v>
      </c>
    </row>
    <row r="735" spans="1:2" hidden="1">
      <c r="A735" s="61" t="str">
        <f t="shared" si="47"/>
        <v xml:space="preserve">      </v>
      </c>
    </row>
    <row r="736" spans="1:2" hidden="1">
      <c r="A736" s="61" t="str">
        <f t="shared" si="47"/>
        <v xml:space="preserve">      </v>
      </c>
    </row>
    <row r="737" spans="1:1" hidden="1">
      <c r="A737" s="61" t="str">
        <f t="shared" si="47"/>
        <v xml:space="preserve">      </v>
      </c>
    </row>
    <row r="738" spans="1:1" hidden="1">
      <c r="A738" s="61" t="str">
        <f t="shared" si="47"/>
        <v xml:space="preserve">      </v>
      </c>
    </row>
    <row r="739" spans="1:1" hidden="1">
      <c r="A739" s="61" t="str">
        <f t="shared" si="47"/>
        <v xml:space="preserve">      </v>
      </c>
    </row>
    <row r="740" spans="1:1" hidden="1">
      <c r="A740" s="61" t="str">
        <f t="shared" si="47"/>
        <v xml:space="preserve">      </v>
      </c>
    </row>
    <row r="741" spans="1:1" hidden="1">
      <c r="A741" s="61" t="str">
        <f t="shared" si="47"/>
        <v xml:space="preserve">      </v>
      </c>
    </row>
    <row r="742" spans="1:1" hidden="1">
      <c r="A742" s="61" t="str">
        <f t="shared" si="47"/>
        <v xml:space="preserve">      </v>
      </c>
    </row>
    <row r="743" spans="1:1" hidden="1">
      <c r="A743" s="61" t="str">
        <f t="shared" si="47"/>
        <v xml:space="preserve">      </v>
      </c>
    </row>
    <row r="744" spans="1:1" hidden="1">
      <c r="A744" s="61" t="str">
        <f t="shared" si="47"/>
        <v xml:space="preserve">      </v>
      </c>
    </row>
    <row r="745" spans="1:1" hidden="1">
      <c r="A745" s="61" t="str">
        <f t="shared" si="47"/>
        <v xml:space="preserve">      </v>
      </c>
    </row>
    <row r="746" spans="1:1" hidden="1">
      <c r="A746" s="61" t="str">
        <f t="shared" si="47"/>
        <v xml:space="preserve">      </v>
      </c>
    </row>
    <row r="747" spans="1:1" hidden="1">
      <c r="A747" s="61" t="str">
        <f t="shared" si="47"/>
        <v xml:space="preserve">      </v>
      </c>
    </row>
    <row r="748" spans="1:1" hidden="1">
      <c r="A748" s="61" t="str">
        <f t="shared" si="47"/>
        <v xml:space="preserve">      </v>
      </c>
    </row>
    <row r="749" spans="1:1" hidden="1">
      <c r="A749" s="61" t="str">
        <f t="shared" si="47"/>
        <v xml:space="preserve">      </v>
      </c>
    </row>
    <row r="750" spans="1:1" hidden="1">
      <c r="A750" s="61" t="str">
        <f t="shared" si="47"/>
        <v xml:space="preserve">      </v>
      </c>
    </row>
    <row r="751" spans="1:1" hidden="1">
      <c r="A751" s="61" t="str">
        <f t="shared" si="47"/>
        <v xml:space="preserve">      </v>
      </c>
    </row>
    <row r="752" spans="1:1" hidden="1">
      <c r="A752" s="61" t="str">
        <f t="shared" si="47"/>
        <v xml:space="preserve">      </v>
      </c>
    </row>
    <row r="753" spans="1:1" hidden="1">
      <c r="A753" s="61" t="str">
        <f t="shared" si="47"/>
        <v xml:space="preserve">      </v>
      </c>
    </row>
    <row r="754" spans="1:1" hidden="1">
      <c r="A754" s="61" t="str">
        <f t="shared" si="47"/>
        <v xml:space="preserve">      </v>
      </c>
    </row>
    <row r="755" spans="1:1" hidden="1">
      <c r="A755" s="61" t="str">
        <f t="shared" si="47"/>
        <v xml:space="preserve">      </v>
      </c>
    </row>
    <row r="756" spans="1:1" hidden="1">
      <c r="A756" s="61" t="str">
        <f t="shared" si="47"/>
        <v xml:space="preserve">      </v>
      </c>
    </row>
    <row r="757" spans="1:1" hidden="1">
      <c r="A757" s="61" t="str">
        <f t="shared" si="47"/>
        <v xml:space="preserve">      </v>
      </c>
    </row>
    <row r="758" spans="1:1" hidden="1">
      <c r="A758" s="61" t="str">
        <f t="shared" ref="A758:A789" si="48">"      "&amp;T43</f>
        <v xml:space="preserve">      </v>
      </c>
    </row>
    <row r="759" spans="1:1" hidden="1">
      <c r="A759" s="61" t="str">
        <f t="shared" si="48"/>
        <v xml:space="preserve">      </v>
      </c>
    </row>
    <row r="760" spans="1:1" hidden="1">
      <c r="A760" s="61" t="str">
        <f t="shared" si="48"/>
        <v xml:space="preserve">      </v>
      </c>
    </row>
    <row r="761" spans="1:1" hidden="1">
      <c r="A761" s="61" t="str">
        <f t="shared" si="48"/>
        <v xml:space="preserve">      </v>
      </c>
    </row>
    <row r="762" spans="1:1" hidden="1">
      <c r="A762" s="61" t="str">
        <f t="shared" si="48"/>
        <v xml:space="preserve">      </v>
      </c>
    </row>
    <row r="763" spans="1:1" hidden="1">
      <c r="A763" s="61" t="str">
        <f t="shared" si="48"/>
        <v xml:space="preserve">      </v>
      </c>
    </row>
    <row r="764" spans="1:1" hidden="1">
      <c r="A764" s="61" t="str">
        <f t="shared" si="48"/>
        <v xml:space="preserve">      </v>
      </c>
    </row>
    <row r="765" spans="1:1" hidden="1">
      <c r="A765" s="61" t="str">
        <f t="shared" si="48"/>
        <v xml:space="preserve">      </v>
      </c>
    </row>
    <row r="766" spans="1:1" hidden="1">
      <c r="A766" s="61" t="str">
        <f t="shared" si="48"/>
        <v xml:space="preserve">      </v>
      </c>
    </row>
    <row r="767" spans="1:1" hidden="1">
      <c r="A767" s="61" t="str">
        <f t="shared" si="48"/>
        <v xml:space="preserve">      </v>
      </c>
    </row>
    <row r="768" spans="1:1" hidden="1">
      <c r="A768" s="61" t="str">
        <f t="shared" si="48"/>
        <v xml:space="preserve">      </v>
      </c>
    </row>
    <row r="769" spans="1:1" hidden="1">
      <c r="A769" s="61" t="str">
        <f t="shared" si="48"/>
        <v xml:space="preserve">      </v>
      </c>
    </row>
    <row r="770" spans="1:1" hidden="1">
      <c r="A770" s="61" t="str">
        <f t="shared" si="48"/>
        <v xml:space="preserve">      </v>
      </c>
    </row>
    <row r="771" spans="1:1" hidden="1">
      <c r="A771" s="61" t="str">
        <f t="shared" si="48"/>
        <v xml:space="preserve">      </v>
      </c>
    </row>
    <row r="772" spans="1:1" hidden="1">
      <c r="A772" s="61" t="str">
        <f t="shared" si="48"/>
        <v xml:space="preserve">      </v>
      </c>
    </row>
    <row r="773" spans="1:1" hidden="1">
      <c r="A773" s="61" t="str">
        <f t="shared" si="48"/>
        <v xml:space="preserve">      </v>
      </c>
    </row>
    <row r="774" spans="1:1" hidden="1">
      <c r="A774" s="61" t="str">
        <f t="shared" si="48"/>
        <v xml:space="preserve">      </v>
      </c>
    </row>
    <row r="775" spans="1:1" hidden="1">
      <c r="A775" s="61" t="str">
        <f t="shared" si="48"/>
        <v xml:space="preserve">      </v>
      </c>
    </row>
    <row r="776" spans="1:1" hidden="1">
      <c r="A776" s="61" t="str">
        <f t="shared" si="48"/>
        <v xml:space="preserve">      </v>
      </c>
    </row>
    <row r="777" spans="1:1" hidden="1">
      <c r="A777" s="61" t="str">
        <f t="shared" si="48"/>
        <v xml:space="preserve">      </v>
      </c>
    </row>
    <row r="778" spans="1:1" hidden="1">
      <c r="A778" s="61" t="str">
        <f t="shared" si="48"/>
        <v xml:space="preserve">      </v>
      </c>
    </row>
    <row r="779" spans="1:1" hidden="1">
      <c r="A779" s="61" t="str">
        <f t="shared" si="48"/>
        <v xml:space="preserve">      </v>
      </c>
    </row>
    <row r="780" spans="1:1" hidden="1">
      <c r="A780" s="61" t="str">
        <f t="shared" si="48"/>
        <v xml:space="preserve">      </v>
      </c>
    </row>
    <row r="781" spans="1:1" hidden="1">
      <c r="A781" s="61" t="str">
        <f t="shared" si="48"/>
        <v xml:space="preserve">      </v>
      </c>
    </row>
    <row r="782" spans="1:1" hidden="1">
      <c r="A782" s="61" t="str">
        <f t="shared" si="48"/>
        <v xml:space="preserve">      </v>
      </c>
    </row>
    <row r="783" spans="1:1" hidden="1">
      <c r="A783" s="61" t="str">
        <f t="shared" si="48"/>
        <v xml:space="preserve">      </v>
      </c>
    </row>
    <row r="784" spans="1:1" hidden="1">
      <c r="A784" s="61" t="str">
        <f t="shared" si="48"/>
        <v xml:space="preserve">      </v>
      </c>
    </row>
    <row r="785" spans="1:1" hidden="1">
      <c r="A785" s="61" t="str">
        <f t="shared" si="48"/>
        <v xml:space="preserve">      </v>
      </c>
    </row>
    <row r="786" spans="1:1" hidden="1">
      <c r="A786" s="61" t="str">
        <f t="shared" si="48"/>
        <v xml:space="preserve">      </v>
      </c>
    </row>
    <row r="787" spans="1:1" hidden="1">
      <c r="A787" s="61" t="str">
        <f t="shared" si="48"/>
        <v xml:space="preserve">      </v>
      </c>
    </row>
    <row r="788" spans="1:1" hidden="1">
      <c r="A788" s="61" t="str">
        <f t="shared" si="48"/>
        <v xml:space="preserve">      </v>
      </c>
    </row>
    <row r="789" spans="1:1" hidden="1">
      <c r="A789" s="61" t="str">
        <f t="shared" si="48"/>
        <v xml:space="preserve">      </v>
      </c>
    </row>
    <row r="790" spans="1:1" hidden="1">
      <c r="A790" s="61" t="str">
        <f t="shared" ref="A790:A821" si="49">"      "&amp;T75</f>
        <v xml:space="preserve">      </v>
      </c>
    </row>
    <row r="791" spans="1:1" hidden="1">
      <c r="A791" s="61" t="str">
        <f t="shared" si="49"/>
        <v xml:space="preserve">      </v>
      </c>
    </row>
    <row r="792" spans="1:1" hidden="1">
      <c r="A792" s="61" t="str">
        <f t="shared" si="49"/>
        <v xml:space="preserve">      </v>
      </c>
    </row>
    <row r="793" spans="1:1" hidden="1">
      <c r="A793" s="61" t="str">
        <f t="shared" si="49"/>
        <v xml:space="preserve">      </v>
      </c>
    </row>
    <row r="794" spans="1:1" hidden="1">
      <c r="A794" s="61" t="str">
        <f t="shared" si="49"/>
        <v xml:space="preserve">      </v>
      </c>
    </row>
    <row r="795" spans="1:1" hidden="1">
      <c r="A795" s="61" t="str">
        <f t="shared" si="49"/>
        <v xml:space="preserve">      </v>
      </c>
    </row>
    <row r="796" spans="1:1" hidden="1">
      <c r="A796" s="61" t="str">
        <f t="shared" si="49"/>
        <v xml:space="preserve">      </v>
      </c>
    </row>
    <row r="797" spans="1:1" hidden="1">
      <c r="A797" s="61" t="str">
        <f t="shared" si="49"/>
        <v xml:space="preserve">      </v>
      </c>
    </row>
    <row r="798" spans="1:1" hidden="1">
      <c r="A798" s="61" t="str">
        <f t="shared" si="49"/>
        <v xml:space="preserve">      </v>
      </c>
    </row>
    <row r="799" spans="1:1" hidden="1">
      <c r="A799" s="61" t="str">
        <f t="shared" si="49"/>
        <v xml:space="preserve">      </v>
      </c>
    </row>
    <row r="800" spans="1:1" hidden="1">
      <c r="A800" s="61" t="str">
        <f t="shared" si="49"/>
        <v xml:space="preserve">      </v>
      </c>
    </row>
    <row r="801" spans="1:1" hidden="1">
      <c r="A801" s="61" t="str">
        <f t="shared" si="49"/>
        <v xml:space="preserve">      </v>
      </c>
    </row>
    <row r="802" spans="1:1" hidden="1">
      <c r="A802" s="61" t="str">
        <f t="shared" si="49"/>
        <v xml:space="preserve">      </v>
      </c>
    </row>
    <row r="803" spans="1:1" hidden="1">
      <c r="A803" s="61" t="str">
        <f t="shared" si="49"/>
        <v xml:space="preserve">      </v>
      </c>
    </row>
    <row r="804" spans="1:1" hidden="1">
      <c r="A804" s="61" t="str">
        <f t="shared" si="49"/>
        <v xml:space="preserve">      </v>
      </c>
    </row>
    <row r="805" spans="1:1" hidden="1">
      <c r="A805" s="61" t="str">
        <f t="shared" si="49"/>
        <v xml:space="preserve">      </v>
      </c>
    </row>
    <row r="806" spans="1:1" hidden="1">
      <c r="A806" s="61" t="str">
        <f t="shared" si="49"/>
        <v xml:space="preserve">      </v>
      </c>
    </row>
    <row r="807" spans="1:1" hidden="1">
      <c r="A807" s="61" t="str">
        <f t="shared" si="49"/>
        <v xml:space="preserve">      </v>
      </c>
    </row>
    <row r="808" spans="1:1" hidden="1">
      <c r="A808" s="61" t="str">
        <f t="shared" si="49"/>
        <v xml:space="preserve">      </v>
      </c>
    </row>
    <row r="809" spans="1:1" hidden="1">
      <c r="A809" s="61" t="str">
        <f t="shared" si="49"/>
        <v xml:space="preserve">      </v>
      </c>
    </row>
    <row r="810" spans="1:1" hidden="1">
      <c r="A810" s="61" t="str">
        <f t="shared" si="49"/>
        <v xml:space="preserve">      </v>
      </c>
    </row>
    <row r="811" spans="1:1" hidden="1">
      <c r="A811" s="61" t="str">
        <f t="shared" si="49"/>
        <v xml:space="preserve">      </v>
      </c>
    </row>
    <row r="812" spans="1:1" hidden="1">
      <c r="A812" s="61" t="str">
        <f t="shared" si="49"/>
        <v xml:space="preserve">      </v>
      </c>
    </row>
    <row r="813" spans="1:1" hidden="1">
      <c r="A813" s="61" t="str">
        <f t="shared" si="49"/>
        <v xml:space="preserve">      </v>
      </c>
    </row>
    <row r="814" spans="1:1" hidden="1">
      <c r="A814" s="61" t="str">
        <f t="shared" si="49"/>
        <v xml:space="preserve">      </v>
      </c>
    </row>
    <row r="815" spans="1:1" hidden="1">
      <c r="A815" s="61" t="str">
        <f t="shared" si="49"/>
        <v xml:space="preserve">      </v>
      </c>
    </row>
    <row r="816" spans="1:1" hidden="1">
      <c r="A816" s="61" t="str">
        <f t="shared" si="49"/>
        <v xml:space="preserve">      </v>
      </c>
    </row>
    <row r="817" spans="1:1" hidden="1">
      <c r="A817" s="61" t="str">
        <f t="shared" si="49"/>
        <v xml:space="preserve">      </v>
      </c>
    </row>
    <row r="818" spans="1:1" hidden="1">
      <c r="A818" s="61" t="str">
        <f t="shared" si="49"/>
        <v xml:space="preserve">      </v>
      </c>
    </row>
    <row r="819" spans="1:1" hidden="1">
      <c r="A819" s="61" t="str">
        <f t="shared" si="49"/>
        <v xml:space="preserve">      </v>
      </c>
    </row>
    <row r="820" spans="1:1" hidden="1">
      <c r="A820" s="61" t="str">
        <f t="shared" si="49"/>
        <v xml:space="preserve">      </v>
      </c>
    </row>
    <row r="821" spans="1:1" hidden="1">
      <c r="A821" s="61" t="str">
        <f t="shared" si="49"/>
        <v xml:space="preserve">      </v>
      </c>
    </row>
    <row r="822" spans="1:1" hidden="1">
      <c r="A822" s="61" t="str">
        <f t="shared" ref="A822:A825" si="50">"      "&amp;T107</f>
        <v xml:space="preserve">      </v>
      </c>
    </row>
    <row r="823" spans="1:1" hidden="1">
      <c r="A823" s="61" t="str">
        <f t="shared" si="50"/>
        <v xml:space="preserve">      </v>
      </c>
    </row>
    <row r="824" spans="1:1" hidden="1">
      <c r="A824" s="61" t="str">
        <f t="shared" si="50"/>
        <v xml:space="preserve">      </v>
      </c>
    </row>
    <row r="825" spans="1:1" hidden="1">
      <c r="A825" s="61" t="str">
        <f t="shared" si="50"/>
        <v xml:space="preserve">      </v>
      </c>
    </row>
    <row r="826" spans="1:1">
      <c r="A826" s="61" t="s">
        <v>1230</v>
      </c>
    </row>
    <row r="827" spans="1:1" hidden="1">
      <c r="A827" s="61" t="str">
        <f t="shared" ref="A827:A858" si="51">"      "&amp;V11</f>
        <v xml:space="preserve">      </v>
      </c>
    </row>
    <row r="828" spans="1:1" hidden="1">
      <c r="A828" s="61" t="str">
        <f t="shared" si="51"/>
        <v xml:space="preserve">      </v>
      </c>
    </row>
    <row r="829" spans="1:1" hidden="1">
      <c r="A829" s="61" t="str">
        <f t="shared" si="51"/>
        <v xml:space="preserve">      </v>
      </c>
    </row>
    <row r="830" spans="1:1" hidden="1">
      <c r="A830" s="61" t="str">
        <f t="shared" si="51"/>
        <v xml:space="preserve">      </v>
      </c>
    </row>
    <row r="831" spans="1:1" hidden="1">
      <c r="A831" s="61" t="str">
        <f t="shared" si="51"/>
        <v xml:space="preserve">      </v>
      </c>
    </row>
    <row r="832" spans="1:1" hidden="1">
      <c r="A832" s="61" t="str">
        <f t="shared" si="51"/>
        <v xml:space="preserve">      </v>
      </c>
    </row>
    <row r="833" spans="1:1" hidden="1">
      <c r="A833" s="61" t="str">
        <f t="shared" si="51"/>
        <v xml:space="preserve">      </v>
      </c>
    </row>
    <row r="834" spans="1:1" hidden="1">
      <c r="A834" s="61" t="str">
        <f t="shared" si="51"/>
        <v xml:space="preserve">      </v>
      </c>
    </row>
    <row r="835" spans="1:1" hidden="1">
      <c r="A835" s="61" t="str">
        <f t="shared" si="51"/>
        <v xml:space="preserve">      </v>
      </c>
    </row>
    <row r="836" spans="1:1" hidden="1">
      <c r="A836" s="61" t="str">
        <f t="shared" si="51"/>
        <v xml:space="preserve">      </v>
      </c>
    </row>
    <row r="837" spans="1:1" hidden="1">
      <c r="A837" s="61" t="str">
        <f t="shared" si="51"/>
        <v xml:space="preserve">      </v>
      </c>
    </row>
    <row r="838" spans="1:1" hidden="1">
      <c r="A838" s="61" t="str">
        <f t="shared" si="51"/>
        <v xml:space="preserve">      </v>
      </c>
    </row>
    <row r="839" spans="1:1" hidden="1">
      <c r="A839" s="61" t="str">
        <f t="shared" si="51"/>
        <v xml:space="preserve">      </v>
      </c>
    </row>
    <row r="840" spans="1:1" hidden="1">
      <c r="A840" s="61" t="str">
        <f t="shared" si="51"/>
        <v xml:space="preserve">      </v>
      </c>
    </row>
    <row r="841" spans="1:1" hidden="1">
      <c r="A841" s="61" t="str">
        <f t="shared" si="51"/>
        <v xml:space="preserve">      </v>
      </c>
    </row>
    <row r="842" spans="1:1" hidden="1">
      <c r="A842" s="61" t="str">
        <f t="shared" si="51"/>
        <v xml:space="preserve">      </v>
      </c>
    </row>
    <row r="843" spans="1:1" hidden="1">
      <c r="A843" s="61" t="str">
        <f t="shared" si="51"/>
        <v xml:space="preserve">      </v>
      </c>
    </row>
    <row r="844" spans="1:1" hidden="1">
      <c r="A844" s="61" t="str">
        <f t="shared" si="51"/>
        <v xml:space="preserve">      </v>
      </c>
    </row>
    <row r="845" spans="1:1" hidden="1">
      <c r="A845" s="61" t="str">
        <f t="shared" si="51"/>
        <v xml:space="preserve">      </v>
      </c>
    </row>
    <row r="846" spans="1:1" hidden="1">
      <c r="A846" s="61" t="str">
        <f t="shared" si="51"/>
        <v xml:space="preserve">      </v>
      </c>
    </row>
    <row r="847" spans="1:1" hidden="1">
      <c r="A847" s="61" t="str">
        <f t="shared" si="51"/>
        <v xml:space="preserve">      </v>
      </c>
    </row>
    <row r="848" spans="1:1" hidden="1">
      <c r="A848" s="61" t="str">
        <f t="shared" si="51"/>
        <v xml:space="preserve">      </v>
      </c>
    </row>
    <row r="849" spans="1:1" hidden="1">
      <c r="A849" s="61" t="str">
        <f t="shared" si="51"/>
        <v xml:space="preserve">      </v>
      </c>
    </row>
    <row r="850" spans="1:1" hidden="1">
      <c r="A850" s="61" t="str">
        <f t="shared" si="51"/>
        <v xml:space="preserve">      </v>
      </c>
    </row>
    <row r="851" spans="1:1" hidden="1">
      <c r="A851" s="61" t="str">
        <f t="shared" si="51"/>
        <v xml:space="preserve">      </v>
      </c>
    </row>
    <row r="852" spans="1:1" hidden="1">
      <c r="A852" s="61" t="str">
        <f t="shared" si="51"/>
        <v xml:space="preserve">      </v>
      </c>
    </row>
    <row r="853" spans="1:1" hidden="1">
      <c r="A853" s="61" t="str">
        <f t="shared" si="51"/>
        <v xml:space="preserve">      </v>
      </c>
    </row>
    <row r="854" spans="1:1" hidden="1">
      <c r="A854" s="61" t="str">
        <f t="shared" si="51"/>
        <v xml:space="preserve">      </v>
      </c>
    </row>
    <row r="855" spans="1:1" hidden="1">
      <c r="A855" s="61" t="str">
        <f t="shared" si="51"/>
        <v xml:space="preserve">      </v>
      </c>
    </row>
    <row r="856" spans="1:1" hidden="1">
      <c r="A856" s="61" t="str">
        <f t="shared" si="51"/>
        <v xml:space="preserve">      </v>
      </c>
    </row>
    <row r="857" spans="1:1" hidden="1">
      <c r="A857" s="61" t="str">
        <f t="shared" si="51"/>
        <v xml:space="preserve">      </v>
      </c>
    </row>
    <row r="858" spans="1:1" hidden="1">
      <c r="A858" s="61" t="str">
        <f t="shared" si="51"/>
        <v xml:space="preserve">      </v>
      </c>
    </row>
    <row r="859" spans="1:1" hidden="1">
      <c r="A859" s="61" t="str">
        <f t="shared" ref="A859:A890" si="52">"      "&amp;V43</f>
        <v xml:space="preserve">      </v>
      </c>
    </row>
    <row r="860" spans="1:1" hidden="1">
      <c r="A860" s="61" t="str">
        <f t="shared" si="52"/>
        <v xml:space="preserve">      </v>
      </c>
    </row>
    <row r="861" spans="1:1" hidden="1">
      <c r="A861" s="61" t="str">
        <f t="shared" si="52"/>
        <v xml:space="preserve">      </v>
      </c>
    </row>
    <row r="862" spans="1:1" hidden="1">
      <c r="A862" s="61" t="str">
        <f t="shared" si="52"/>
        <v xml:space="preserve">      </v>
      </c>
    </row>
    <row r="863" spans="1:1" hidden="1">
      <c r="A863" s="61" t="str">
        <f t="shared" si="52"/>
        <v xml:space="preserve">      </v>
      </c>
    </row>
    <row r="864" spans="1:1" hidden="1">
      <c r="A864" s="61" t="str">
        <f t="shared" si="52"/>
        <v xml:space="preserve">      </v>
      </c>
    </row>
    <row r="865" spans="1:1" hidden="1">
      <c r="A865" s="61" t="str">
        <f t="shared" si="52"/>
        <v xml:space="preserve">      </v>
      </c>
    </row>
    <row r="866" spans="1:1" hidden="1">
      <c r="A866" s="61" t="str">
        <f t="shared" si="52"/>
        <v xml:space="preserve">      </v>
      </c>
    </row>
    <row r="867" spans="1:1" hidden="1">
      <c r="A867" s="61" t="str">
        <f t="shared" si="52"/>
        <v xml:space="preserve">      </v>
      </c>
    </row>
    <row r="868" spans="1:1" hidden="1">
      <c r="A868" s="61" t="str">
        <f t="shared" si="52"/>
        <v xml:space="preserve">      </v>
      </c>
    </row>
    <row r="869" spans="1:1" hidden="1">
      <c r="A869" s="61" t="str">
        <f t="shared" si="52"/>
        <v xml:space="preserve">      </v>
      </c>
    </row>
    <row r="870" spans="1:1" hidden="1">
      <c r="A870" s="61" t="str">
        <f t="shared" si="52"/>
        <v xml:space="preserve">      </v>
      </c>
    </row>
    <row r="871" spans="1:1" hidden="1">
      <c r="A871" s="61" t="str">
        <f t="shared" si="52"/>
        <v xml:space="preserve">      </v>
      </c>
    </row>
    <row r="872" spans="1:1" hidden="1">
      <c r="A872" s="61" t="str">
        <f t="shared" si="52"/>
        <v xml:space="preserve">      </v>
      </c>
    </row>
    <row r="873" spans="1:1" hidden="1">
      <c r="A873" s="61" t="str">
        <f t="shared" si="52"/>
        <v xml:space="preserve">      </v>
      </c>
    </row>
    <row r="874" spans="1:1" hidden="1">
      <c r="A874" s="61" t="str">
        <f t="shared" si="52"/>
        <v xml:space="preserve">      </v>
      </c>
    </row>
    <row r="875" spans="1:1" hidden="1">
      <c r="A875" s="61" t="str">
        <f t="shared" si="52"/>
        <v xml:space="preserve">      </v>
      </c>
    </row>
    <row r="876" spans="1:1" hidden="1">
      <c r="A876" s="61" t="str">
        <f t="shared" si="52"/>
        <v xml:space="preserve">      </v>
      </c>
    </row>
    <row r="877" spans="1:1" hidden="1">
      <c r="A877" s="61" t="str">
        <f t="shared" si="52"/>
        <v xml:space="preserve">      </v>
      </c>
    </row>
    <row r="878" spans="1:1" hidden="1">
      <c r="A878" s="61" t="str">
        <f t="shared" si="52"/>
        <v xml:space="preserve">      </v>
      </c>
    </row>
    <row r="879" spans="1:1" hidden="1">
      <c r="A879" s="61" t="str">
        <f t="shared" si="52"/>
        <v xml:space="preserve">      </v>
      </c>
    </row>
    <row r="880" spans="1:1" hidden="1">
      <c r="A880" s="61" t="str">
        <f t="shared" si="52"/>
        <v xml:space="preserve">      </v>
      </c>
    </row>
    <row r="881" spans="1:1" hidden="1">
      <c r="A881" s="61" t="str">
        <f t="shared" si="52"/>
        <v xml:space="preserve">      </v>
      </c>
    </row>
    <row r="882" spans="1:1" hidden="1">
      <c r="A882" s="61" t="str">
        <f t="shared" si="52"/>
        <v xml:space="preserve">      </v>
      </c>
    </row>
    <row r="883" spans="1:1" hidden="1">
      <c r="A883" s="61" t="str">
        <f t="shared" si="52"/>
        <v xml:space="preserve">      </v>
      </c>
    </row>
    <row r="884" spans="1:1" hidden="1">
      <c r="A884" s="61" t="str">
        <f t="shared" si="52"/>
        <v xml:space="preserve">      </v>
      </c>
    </row>
    <row r="885" spans="1:1" hidden="1">
      <c r="A885" s="61" t="str">
        <f t="shared" si="52"/>
        <v xml:space="preserve">      </v>
      </c>
    </row>
    <row r="886" spans="1:1" hidden="1">
      <c r="A886" s="61" t="str">
        <f t="shared" si="52"/>
        <v xml:space="preserve">      </v>
      </c>
    </row>
    <row r="887" spans="1:1" hidden="1">
      <c r="A887" s="61" t="str">
        <f t="shared" si="52"/>
        <v xml:space="preserve">      </v>
      </c>
    </row>
    <row r="888" spans="1:1" hidden="1">
      <c r="A888" s="61" t="str">
        <f t="shared" si="52"/>
        <v xml:space="preserve">      </v>
      </c>
    </row>
    <row r="889" spans="1:1" hidden="1">
      <c r="A889" s="61" t="str">
        <f t="shared" si="52"/>
        <v xml:space="preserve">      </v>
      </c>
    </row>
    <row r="890" spans="1:1" hidden="1">
      <c r="A890" s="61" t="str">
        <f t="shared" si="52"/>
        <v xml:space="preserve">      </v>
      </c>
    </row>
    <row r="891" spans="1:1" hidden="1">
      <c r="A891" s="61" t="str">
        <f t="shared" ref="A891:A922" si="53">"      "&amp;V75</f>
        <v xml:space="preserve">      </v>
      </c>
    </row>
    <row r="892" spans="1:1" hidden="1">
      <c r="A892" s="61" t="str">
        <f t="shared" si="53"/>
        <v xml:space="preserve">      </v>
      </c>
    </row>
    <row r="893" spans="1:1" hidden="1">
      <c r="A893" s="61" t="str">
        <f t="shared" si="53"/>
        <v xml:space="preserve">      </v>
      </c>
    </row>
    <row r="894" spans="1:1" hidden="1">
      <c r="A894" s="61" t="str">
        <f t="shared" si="53"/>
        <v xml:space="preserve">      </v>
      </c>
    </row>
    <row r="895" spans="1:1" hidden="1">
      <c r="A895" s="61" t="str">
        <f t="shared" si="53"/>
        <v xml:space="preserve">      </v>
      </c>
    </row>
    <row r="896" spans="1:1" hidden="1">
      <c r="A896" s="61" t="str">
        <f t="shared" si="53"/>
        <v xml:space="preserve">      </v>
      </c>
    </row>
    <row r="897" spans="1:1" hidden="1">
      <c r="A897" s="61" t="str">
        <f t="shared" si="53"/>
        <v xml:space="preserve">      </v>
      </c>
    </row>
    <row r="898" spans="1:1" hidden="1">
      <c r="A898" s="61" t="str">
        <f t="shared" si="53"/>
        <v xml:space="preserve">      </v>
      </c>
    </row>
    <row r="899" spans="1:1" hidden="1">
      <c r="A899" s="61" t="str">
        <f t="shared" si="53"/>
        <v xml:space="preserve">      </v>
      </c>
    </row>
    <row r="900" spans="1:1" hidden="1">
      <c r="A900" s="61" t="str">
        <f t="shared" si="53"/>
        <v xml:space="preserve">      </v>
      </c>
    </row>
    <row r="901" spans="1:1" hidden="1">
      <c r="A901" s="61" t="str">
        <f t="shared" si="53"/>
        <v xml:space="preserve">      </v>
      </c>
    </row>
    <row r="902" spans="1:1" hidden="1">
      <c r="A902" s="61" t="str">
        <f t="shared" si="53"/>
        <v xml:space="preserve">      </v>
      </c>
    </row>
    <row r="903" spans="1:1" hidden="1">
      <c r="A903" s="61" t="str">
        <f t="shared" si="53"/>
        <v xml:space="preserve">      </v>
      </c>
    </row>
    <row r="904" spans="1:1" hidden="1">
      <c r="A904" s="61" t="str">
        <f t="shared" si="53"/>
        <v xml:space="preserve">      </v>
      </c>
    </row>
    <row r="905" spans="1:1" hidden="1">
      <c r="A905" s="61" t="str">
        <f t="shared" si="53"/>
        <v xml:space="preserve">      </v>
      </c>
    </row>
    <row r="906" spans="1:1" hidden="1">
      <c r="A906" s="61" t="str">
        <f t="shared" si="53"/>
        <v xml:space="preserve">      </v>
      </c>
    </row>
    <row r="907" spans="1:1" hidden="1">
      <c r="A907" s="61" t="str">
        <f t="shared" si="53"/>
        <v xml:space="preserve">      </v>
      </c>
    </row>
    <row r="908" spans="1:1" hidden="1">
      <c r="A908" s="61" t="str">
        <f t="shared" si="53"/>
        <v xml:space="preserve">      </v>
      </c>
    </row>
    <row r="909" spans="1:1" hidden="1">
      <c r="A909" s="61" t="str">
        <f t="shared" si="53"/>
        <v xml:space="preserve">      </v>
      </c>
    </row>
    <row r="910" spans="1:1" hidden="1">
      <c r="A910" s="61" t="str">
        <f t="shared" si="53"/>
        <v xml:space="preserve">      </v>
      </c>
    </row>
    <row r="911" spans="1:1" hidden="1">
      <c r="A911" s="61" t="str">
        <f t="shared" si="53"/>
        <v xml:space="preserve">      </v>
      </c>
    </row>
    <row r="912" spans="1:1" hidden="1">
      <c r="A912" s="61" t="str">
        <f t="shared" si="53"/>
        <v xml:space="preserve">      </v>
      </c>
    </row>
    <row r="913" spans="1:1" hidden="1">
      <c r="A913" s="61" t="str">
        <f t="shared" si="53"/>
        <v xml:space="preserve">      </v>
      </c>
    </row>
    <row r="914" spans="1:1" hidden="1">
      <c r="A914" s="61" t="str">
        <f t="shared" si="53"/>
        <v xml:space="preserve">      </v>
      </c>
    </row>
    <row r="915" spans="1:1" hidden="1">
      <c r="A915" s="61" t="str">
        <f t="shared" si="53"/>
        <v xml:space="preserve">      </v>
      </c>
    </row>
    <row r="916" spans="1:1" hidden="1">
      <c r="A916" s="61" t="str">
        <f t="shared" si="53"/>
        <v xml:space="preserve">      </v>
      </c>
    </row>
    <row r="917" spans="1:1" hidden="1">
      <c r="A917" s="61" t="str">
        <f t="shared" si="53"/>
        <v xml:space="preserve">      </v>
      </c>
    </row>
    <row r="918" spans="1:1" hidden="1">
      <c r="A918" s="61" t="str">
        <f t="shared" si="53"/>
        <v xml:space="preserve">      </v>
      </c>
    </row>
    <row r="919" spans="1:1" hidden="1">
      <c r="A919" s="61" t="str">
        <f t="shared" si="53"/>
        <v xml:space="preserve">      </v>
      </c>
    </row>
    <row r="920" spans="1:1" hidden="1">
      <c r="A920" s="61" t="str">
        <f t="shared" si="53"/>
        <v xml:space="preserve">      </v>
      </c>
    </row>
    <row r="921" spans="1:1" hidden="1">
      <c r="A921" s="61" t="str">
        <f t="shared" si="53"/>
        <v xml:space="preserve">      </v>
      </c>
    </row>
    <row r="922" spans="1:1" hidden="1">
      <c r="A922" s="61" t="str">
        <f t="shared" si="53"/>
        <v xml:space="preserve">      </v>
      </c>
    </row>
    <row r="923" spans="1:1" hidden="1">
      <c r="A923" s="61" t="str">
        <f t="shared" ref="A923:A926" si="54">"      "&amp;V107</f>
        <v xml:space="preserve">      </v>
      </c>
    </row>
    <row r="924" spans="1:1" hidden="1">
      <c r="A924" s="61" t="str">
        <f t="shared" si="54"/>
        <v xml:space="preserve">      </v>
      </c>
    </row>
    <row r="925" spans="1:1" hidden="1">
      <c r="A925" s="61" t="str">
        <f t="shared" si="54"/>
        <v xml:space="preserve">      </v>
      </c>
    </row>
    <row r="926" spans="1:1" hidden="1">
      <c r="A926" s="61" t="str">
        <f t="shared" si="54"/>
        <v xml:space="preserve">      </v>
      </c>
    </row>
    <row r="927" spans="1:1">
      <c r="A927" s="61" t="s">
        <v>1221</v>
      </c>
    </row>
    <row r="928" spans="1:1">
      <c r="A928" s="61" t="s">
        <v>893</v>
      </c>
    </row>
    <row r="929" spans="1:28">
      <c r="A929" s="61" t="s">
        <v>1239</v>
      </c>
    </row>
    <row r="930" spans="1:28">
      <c r="A930" s="61" t="s">
        <v>1245</v>
      </c>
    </row>
    <row r="931" spans="1:28">
      <c r="A931" s="61" t="s">
        <v>1257</v>
      </c>
    </row>
    <row r="932" spans="1:28" hidden="1">
      <c r="A932" s="61" t="str">
        <f t="shared" ref="A932:A963" si="55">"      "&amp;AE11</f>
        <v xml:space="preserve">      </v>
      </c>
    </row>
    <row r="933" spans="1:28" hidden="1">
      <c r="A933" s="61" t="str">
        <f t="shared" si="55"/>
        <v xml:space="preserve">      </v>
      </c>
    </row>
    <row r="934" spans="1:28" hidden="1">
      <c r="A934" s="61" t="str">
        <f t="shared" si="55"/>
        <v xml:space="preserve">      </v>
      </c>
    </row>
    <row r="935" spans="1:28" hidden="1">
      <c r="A935" s="61" t="str">
        <f t="shared" si="55"/>
        <v xml:space="preserve">      </v>
      </c>
    </row>
    <row r="936" spans="1:28" hidden="1">
      <c r="A936" s="61" t="str">
        <f t="shared" si="55"/>
        <v xml:space="preserve">      </v>
      </c>
    </row>
    <row r="937" spans="1:28" hidden="1">
      <c r="A937" s="61" t="str">
        <f t="shared" si="55"/>
        <v xml:space="preserve">      </v>
      </c>
    </row>
    <row r="938" spans="1:28" hidden="1">
      <c r="A938" s="61" t="str">
        <f t="shared" si="55"/>
        <v xml:space="preserve">      </v>
      </c>
    </row>
    <row r="939" spans="1:28" hidden="1">
      <c r="A939" s="61" t="str">
        <f t="shared" si="55"/>
        <v xml:space="preserve">      </v>
      </c>
    </row>
    <row r="940" spans="1:28" hidden="1">
      <c r="A940" s="61" t="str">
        <f t="shared" si="55"/>
        <v xml:space="preserve">      </v>
      </c>
    </row>
    <row r="941" spans="1:28" hidden="1">
      <c r="A941" s="61" t="str">
        <f t="shared" si="55"/>
        <v xml:space="preserve">      </v>
      </c>
      <c r="AB941" s="12" t="str">
        <f>+AB42</f>
        <v/>
      </c>
    </row>
    <row r="942" spans="1:28" hidden="1">
      <c r="A942" s="61" t="str">
        <f t="shared" si="55"/>
        <v xml:space="preserve">      </v>
      </c>
    </row>
    <row r="943" spans="1:28" hidden="1">
      <c r="A943" s="61" t="str">
        <f t="shared" si="55"/>
        <v xml:space="preserve">      </v>
      </c>
      <c r="AB943" s="12" t="str">
        <f>+$K$4&amp;fieldcreatorv2!C46</f>
        <v>if (document.getElementById("</v>
      </c>
    </row>
    <row r="944" spans="1:28" hidden="1">
      <c r="A944" s="61" t="str">
        <f t="shared" si="55"/>
        <v xml:space="preserve">      </v>
      </c>
    </row>
    <row r="945" spans="1:28" hidden="1">
      <c r="A945" s="61" t="str">
        <f t="shared" si="55"/>
        <v xml:space="preserve">      </v>
      </c>
      <c r="AB945" s="12">
        <f>+fieldcreatorv2!BA46</f>
        <v>0</v>
      </c>
    </row>
    <row r="946" spans="1:28" hidden="1">
      <c r="A946" s="61" t="str">
        <f t="shared" si="55"/>
        <v xml:space="preserve">      </v>
      </c>
    </row>
    <row r="947" spans="1:28" hidden="1">
      <c r="A947" s="61" t="str">
        <f t="shared" si="55"/>
        <v xml:space="preserve">      </v>
      </c>
    </row>
    <row r="948" spans="1:28" hidden="1">
      <c r="A948" s="61" t="str">
        <f t="shared" si="55"/>
        <v xml:space="preserve">      </v>
      </c>
    </row>
    <row r="949" spans="1:28" hidden="1">
      <c r="A949" s="61" t="str">
        <f t="shared" si="55"/>
        <v xml:space="preserve">      </v>
      </c>
    </row>
    <row r="950" spans="1:28" hidden="1">
      <c r="A950" s="61" t="str">
        <f t="shared" si="55"/>
        <v xml:space="preserve">      </v>
      </c>
    </row>
    <row r="951" spans="1:28" hidden="1">
      <c r="A951" s="61" t="str">
        <f t="shared" si="55"/>
        <v xml:space="preserve">      </v>
      </c>
    </row>
    <row r="952" spans="1:28">
      <c r="A952" s="61" t="str">
        <f t="shared" si="55"/>
        <v xml:space="preserve">      </v>
      </c>
    </row>
    <row r="953" spans="1:28" hidden="1">
      <c r="A953" s="61" t="str">
        <f t="shared" si="55"/>
        <v xml:space="preserve">      </v>
      </c>
    </row>
    <row r="954" spans="1:28" hidden="1">
      <c r="A954" s="61" t="str">
        <f t="shared" si="55"/>
        <v xml:space="preserve">      </v>
      </c>
    </row>
    <row r="955" spans="1:28" hidden="1">
      <c r="A955" s="61" t="str">
        <f t="shared" si="55"/>
        <v xml:space="preserve">      </v>
      </c>
    </row>
    <row r="956" spans="1:28" hidden="1">
      <c r="A956" s="61" t="str">
        <f t="shared" si="55"/>
        <v xml:space="preserve">      </v>
      </c>
    </row>
    <row r="957" spans="1:28" hidden="1">
      <c r="A957" s="61" t="str">
        <f t="shared" si="55"/>
        <v xml:space="preserve">      </v>
      </c>
    </row>
    <row r="958" spans="1:28" hidden="1">
      <c r="A958" s="61" t="str">
        <f t="shared" si="55"/>
        <v xml:space="preserve">      </v>
      </c>
    </row>
    <row r="959" spans="1:28" hidden="1">
      <c r="A959" s="61" t="str">
        <f t="shared" si="55"/>
        <v xml:space="preserve">      </v>
      </c>
    </row>
    <row r="960" spans="1:28" hidden="1">
      <c r="A960" s="61" t="str">
        <f t="shared" si="55"/>
        <v xml:space="preserve">      </v>
      </c>
    </row>
    <row r="961" spans="1:1" hidden="1">
      <c r="A961" s="61" t="str">
        <f t="shared" si="55"/>
        <v xml:space="preserve">      </v>
      </c>
    </row>
    <row r="962" spans="1:1" hidden="1">
      <c r="A962" s="61" t="str">
        <f t="shared" si="55"/>
        <v xml:space="preserve">      </v>
      </c>
    </row>
    <row r="963" spans="1:1" hidden="1">
      <c r="A963" s="61" t="str">
        <f t="shared" si="55"/>
        <v xml:space="preserve">      </v>
      </c>
    </row>
    <row r="964" spans="1:1" hidden="1">
      <c r="A964" s="61" t="str">
        <f t="shared" ref="A964:A995" si="56">"      "&amp;AE43</f>
        <v xml:space="preserve">      </v>
      </c>
    </row>
    <row r="965" spans="1:1" hidden="1">
      <c r="A965" s="61" t="str">
        <f t="shared" si="56"/>
        <v xml:space="preserve">      </v>
      </c>
    </row>
    <row r="966" spans="1:1" hidden="1">
      <c r="A966" s="61" t="str">
        <f t="shared" si="56"/>
        <v xml:space="preserve">      </v>
      </c>
    </row>
    <row r="967" spans="1:1" hidden="1">
      <c r="A967" s="61" t="str">
        <f t="shared" si="56"/>
        <v xml:space="preserve">      </v>
      </c>
    </row>
    <row r="968" spans="1:1" hidden="1">
      <c r="A968" s="61" t="str">
        <f t="shared" si="56"/>
        <v xml:space="preserve">      </v>
      </c>
    </row>
    <row r="969" spans="1:1" hidden="1">
      <c r="A969" s="61" t="str">
        <f t="shared" si="56"/>
        <v xml:space="preserve">      </v>
      </c>
    </row>
    <row r="970" spans="1:1" hidden="1">
      <c r="A970" s="61" t="str">
        <f t="shared" si="56"/>
        <v xml:space="preserve">      </v>
      </c>
    </row>
    <row r="971" spans="1:1" hidden="1">
      <c r="A971" s="61" t="str">
        <f t="shared" si="56"/>
        <v xml:space="preserve">      </v>
      </c>
    </row>
    <row r="972" spans="1:1" hidden="1">
      <c r="A972" s="61" t="str">
        <f t="shared" si="56"/>
        <v xml:space="preserve">      </v>
      </c>
    </row>
    <row r="973" spans="1:1" hidden="1">
      <c r="A973" s="61" t="str">
        <f t="shared" si="56"/>
        <v xml:space="preserve">      </v>
      </c>
    </row>
    <row r="974" spans="1:1" hidden="1">
      <c r="A974" s="61" t="str">
        <f t="shared" si="56"/>
        <v xml:space="preserve">      </v>
      </c>
    </row>
    <row r="975" spans="1:1" hidden="1">
      <c r="A975" s="61" t="str">
        <f t="shared" si="56"/>
        <v xml:space="preserve">      </v>
      </c>
    </row>
    <row r="976" spans="1:1" hidden="1">
      <c r="A976" s="61" t="str">
        <f t="shared" si="56"/>
        <v xml:space="preserve">      </v>
      </c>
    </row>
    <row r="977" spans="1:1" hidden="1">
      <c r="A977" s="61" t="str">
        <f t="shared" si="56"/>
        <v xml:space="preserve">      </v>
      </c>
    </row>
    <row r="978" spans="1:1" hidden="1">
      <c r="A978" s="61" t="str">
        <f t="shared" si="56"/>
        <v xml:space="preserve">      </v>
      </c>
    </row>
    <row r="979" spans="1:1" hidden="1">
      <c r="A979" s="61" t="str">
        <f t="shared" si="56"/>
        <v xml:space="preserve">      </v>
      </c>
    </row>
    <row r="980" spans="1:1" hidden="1">
      <c r="A980" s="61" t="str">
        <f t="shared" si="56"/>
        <v xml:space="preserve">      </v>
      </c>
    </row>
    <row r="981" spans="1:1" hidden="1">
      <c r="A981" s="61" t="str">
        <f t="shared" si="56"/>
        <v xml:space="preserve">      </v>
      </c>
    </row>
    <row r="982" spans="1:1" hidden="1">
      <c r="A982" s="61" t="str">
        <f t="shared" si="56"/>
        <v xml:space="preserve">      </v>
      </c>
    </row>
    <row r="983" spans="1:1" hidden="1">
      <c r="A983" s="61" t="str">
        <f t="shared" si="56"/>
        <v xml:space="preserve">      </v>
      </c>
    </row>
    <row r="984" spans="1:1" hidden="1">
      <c r="A984" s="61" t="str">
        <f t="shared" si="56"/>
        <v xml:space="preserve">      </v>
      </c>
    </row>
    <row r="985" spans="1:1" hidden="1">
      <c r="A985" s="61" t="str">
        <f t="shared" si="56"/>
        <v xml:space="preserve">      </v>
      </c>
    </row>
    <row r="986" spans="1:1" hidden="1">
      <c r="A986" s="61" t="str">
        <f t="shared" si="56"/>
        <v xml:space="preserve">      </v>
      </c>
    </row>
    <row r="987" spans="1:1" hidden="1">
      <c r="A987" s="61" t="str">
        <f t="shared" si="56"/>
        <v xml:space="preserve">      </v>
      </c>
    </row>
    <row r="988" spans="1:1" hidden="1">
      <c r="A988" s="61" t="str">
        <f t="shared" si="56"/>
        <v xml:space="preserve">      </v>
      </c>
    </row>
    <row r="989" spans="1:1" hidden="1">
      <c r="A989" s="61" t="str">
        <f t="shared" si="56"/>
        <v xml:space="preserve">      </v>
      </c>
    </row>
    <row r="990" spans="1:1" hidden="1">
      <c r="A990" s="61" t="str">
        <f t="shared" si="56"/>
        <v xml:space="preserve">      </v>
      </c>
    </row>
    <row r="991" spans="1:1" hidden="1">
      <c r="A991" s="61" t="str">
        <f t="shared" si="56"/>
        <v xml:space="preserve">      </v>
      </c>
    </row>
    <row r="992" spans="1:1" hidden="1">
      <c r="A992" s="61" t="str">
        <f t="shared" si="56"/>
        <v xml:space="preserve">      </v>
      </c>
    </row>
    <row r="993" spans="1:1" hidden="1">
      <c r="A993" s="61" t="str">
        <f t="shared" si="56"/>
        <v xml:space="preserve">      </v>
      </c>
    </row>
    <row r="994" spans="1:1" hidden="1">
      <c r="A994" s="61" t="str">
        <f t="shared" si="56"/>
        <v xml:space="preserve">      </v>
      </c>
    </row>
    <row r="995" spans="1:1" hidden="1">
      <c r="A995" s="61" t="str">
        <f t="shared" si="56"/>
        <v xml:space="preserve">      </v>
      </c>
    </row>
    <row r="996" spans="1:1" hidden="1">
      <c r="A996" s="61" t="str">
        <f t="shared" ref="A996:A1027" si="57">"      "&amp;AE75</f>
        <v xml:space="preserve">      </v>
      </c>
    </row>
    <row r="997" spans="1:1" hidden="1">
      <c r="A997" s="61" t="str">
        <f t="shared" si="57"/>
        <v xml:space="preserve">      </v>
      </c>
    </row>
    <row r="998" spans="1:1" hidden="1">
      <c r="A998" s="61" t="str">
        <f t="shared" si="57"/>
        <v xml:space="preserve">      </v>
      </c>
    </row>
    <row r="999" spans="1:1" hidden="1">
      <c r="A999" s="61" t="str">
        <f t="shared" si="57"/>
        <v xml:space="preserve">      </v>
      </c>
    </row>
    <row r="1000" spans="1:1" hidden="1">
      <c r="A1000" s="61" t="str">
        <f t="shared" si="57"/>
        <v xml:space="preserve">      </v>
      </c>
    </row>
    <row r="1001" spans="1:1" hidden="1">
      <c r="A1001" s="61" t="str">
        <f t="shared" si="57"/>
        <v xml:space="preserve">      </v>
      </c>
    </row>
    <row r="1002" spans="1:1" hidden="1">
      <c r="A1002" s="61" t="str">
        <f t="shared" si="57"/>
        <v xml:space="preserve">      </v>
      </c>
    </row>
    <row r="1003" spans="1:1" hidden="1">
      <c r="A1003" s="61" t="str">
        <f t="shared" si="57"/>
        <v xml:space="preserve">      </v>
      </c>
    </row>
    <row r="1004" spans="1:1" hidden="1">
      <c r="A1004" s="61" t="str">
        <f t="shared" si="57"/>
        <v xml:space="preserve">      </v>
      </c>
    </row>
    <row r="1005" spans="1:1" hidden="1">
      <c r="A1005" s="61" t="str">
        <f t="shared" si="57"/>
        <v xml:space="preserve">      </v>
      </c>
    </row>
    <row r="1006" spans="1:1" hidden="1">
      <c r="A1006" s="61" t="str">
        <f t="shared" si="57"/>
        <v xml:space="preserve">      </v>
      </c>
    </row>
    <row r="1007" spans="1:1" hidden="1">
      <c r="A1007" s="61" t="str">
        <f t="shared" si="57"/>
        <v xml:space="preserve">      </v>
      </c>
    </row>
    <row r="1008" spans="1:1" hidden="1">
      <c r="A1008" s="61" t="str">
        <f t="shared" si="57"/>
        <v xml:space="preserve">      </v>
      </c>
    </row>
    <row r="1009" spans="1:1" hidden="1">
      <c r="A1009" s="61" t="str">
        <f t="shared" si="57"/>
        <v xml:space="preserve">      </v>
      </c>
    </row>
    <row r="1010" spans="1:1" hidden="1">
      <c r="A1010" s="61" t="str">
        <f t="shared" si="57"/>
        <v xml:space="preserve">      </v>
      </c>
    </row>
    <row r="1011" spans="1:1" hidden="1">
      <c r="A1011" s="61" t="str">
        <f t="shared" si="57"/>
        <v xml:space="preserve">      </v>
      </c>
    </row>
    <row r="1012" spans="1:1" hidden="1">
      <c r="A1012" s="61" t="str">
        <f t="shared" si="57"/>
        <v xml:space="preserve">      </v>
      </c>
    </row>
    <row r="1013" spans="1:1" hidden="1">
      <c r="A1013" s="61" t="str">
        <f t="shared" si="57"/>
        <v xml:space="preserve">      </v>
      </c>
    </row>
    <row r="1014" spans="1:1" hidden="1">
      <c r="A1014" s="61" t="str">
        <f t="shared" si="57"/>
        <v xml:space="preserve">      </v>
      </c>
    </row>
    <row r="1015" spans="1:1" hidden="1">
      <c r="A1015" s="61" t="str">
        <f t="shared" si="57"/>
        <v xml:space="preserve">      </v>
      </c>
    </row>
    <row r="1016" spans="1:1" hidden="1">
      <c r="A1016" s="61" t="str">
        <f t="shared" si="57"/>
        <v xml:space="preserve">      </v>
      </c>
    </row>
    <row r="1017" spans="1:1" hidden="1">
      <c r="A1017" s="61" t="str">
        <f t="shared" si="57"/>
        <v xml:space="preserve">      </v>
      </c>
    </row>
    <row r="1018" spans="1:1" hidden="1">
      <c r="A1018" s="61" t="str">
        <f t="shared" si="57"/>
        <v xml:space="preserve">      </v>
      </c>
    </row>
    <row r="1019" spans="1:1" hidden="1">
      <c r="A1019" s="61" t="str">
        <f t="shared" si="57"/>
        <v xml:space="preserve">      </v>
      </c>
    </row>
    <row r="1020" spans="1:1" hidden="1">
      <c r="A1020" s="61" t="str">
        <f t="shared" si="57"/>
        <v xml:space="preserve">      </v>
      </c>
    </row>
    <row r="1021" spans="1:1" hidden="1">
      <c r="A1021" s="61" t="str">
        <f t="shared" si="57"/>
        <v xml:space="preserve">      </v>
      </c>
    </row>
    <row r="1022" spans="1:1" hidden="1">
      <c r="A1022" s="61" t="str">
        <f t="shared" si="57"/>
        <v xml:space="preserve">      </v>
      </c>
    </row>
    <row r="1023" spans="1:1" hidden="1">
      <c r="A1023" s="61" t="str">
        <f t="shared" si="57"/>
        <v xml:space="preserve">      </v>
      </c>
    </row>
    <row r="1024" spans="1:1" hidden="1">
      <c r="A1024" s="61" t="str">
        <f t="shared" si="57"/>
        <v xml:space="preserve">      </v>
      </c>
    </row>
    <row r="1025" spans="1:1" hidden="1">
      <c r="A1025" s="61" t="str">
        <f t="shared" si="57"/>
        <v xml:space="preserve">      </v>
      </c>
    </row>
    <row r="1026" spans="1:1" hidden="1">
      <c r="A1026" s="61" t="str">
        <f t="shared" si="57"/>
        <v xml:space="preserve">      </v>
      </c>
    </row>
    <row r="1027" spans="1:1" hidden="1">
      <c r="A1027" s="61" t="str">
        <f t="shared" si="57"/>
        <v xml:space="preserve">      </v>
      </c>
    </row>
    <row r="1028" spans="1:1" hidden="1">
      <c r="A1028" s="61" t="str">
        <f t="shared" ref="A1028:A1031" si="58">"      "&amp;AE107</f>
        <v xml:space="preserve">      </v>
      </c>
    </row>
    <row r="1029" spans="1:1" hidden="1">
      <c r="A1029" s="61" t="str">
        <f t="shared" si="58"/>
        <v xml:space="preserve">      </v>
      </c>
    </row>
    <row r="1030" spans="1:1" hidden="1">
      <c r="A1030" s="61" t="str">
        <f t="shared" si="58"/>
        <v xml:space="preserve">      </v>
      </c>
    </row>
    <row r="1031" spans="1:1" hidden="1">
      <c r="A1031" s="61" t="str">
        <f t="shared" si="58"/>
        <v xml:space="preserve">      </v>
      </c>
    </row>
    <row r="1032" spans="1:1">
      <c r="A1032" s="61" t="str">
        <f>+L5&amp;fieldcreatorv2!N15&amp;$L$6</f>
        <v>$.post("update_recordJesus1.php", {</v>
      </c>
    </row>
    <row r="1033" spans="1:1" hidden="1">
      <c r="A1033" s="61" t="str">
        <f t="shared" ref="A1033:A1064" si="59">"      "&amp;AI11</f>
        <v xml:space="preserve">      </v>
      </c>
    </row>
    <row r="1034" spans="1:1" hidden="1">
      <c r="A1034" s="61" t="str">
        <f t="shared" si="59"/>
        <v xml:space="preserve">      </v>
      </c>
    </row>
    <row r="1035" spans="1:1" hidden="1">
      <c r="A1035" s="61" t="str">
        <f t="shared" si="59"/>
        <v xml:space="preserve">      </v>
      </c>
    </row>
    <row r="1036" spans="1:1" hidden="1">
      <c r="A1036" s="61" t="str">
        <f t="shared" si="59"/>
        <v xml:space="preserve">      </v>
      </c>
    </row>
    <row r="1037" spans="1:1" hidden="1">
      <c r="A1037" s="61" t="str">
        <f t="shared" si="59"/>
        <v xml:space="preserve">      </v>
      </c>
    </row>
    <row r="1038" spans="1:1" hidden="1">
      <c r="A1038" s="61" t="str">
        <f t="shared" si="59"/>
        <v xml:space="preserve">      </v>
      </c>
    </row>
    <row r="1039" spans="1:1" hidden="1">
      <c r="A1039" s="61" t="str">
        <f t="shared" si="59"/>
        <v xml:space="preserve">      </v>
      </c>
    </row>
    <row r="1040" spans="1:1" hidden="1">
      <c r="A1040" s="61" t="str">
        <f t="shared" si="59"/>
        <v xml:space="preserve">      </v>
      </c>
    </row>
    <row r="1041" spans="1:1" hidden="1">
      <c r="A1041" s="61" t="str">
        <f t="shared" si="59"/>
        <v xml:space="preserve">      </v>
      </c>
    </row>
    <row r="1042" spans="1:1" hidden="1">
      <c r="A1042" s="61" t="str">
        <f t="shared" si="59"/>
        <v xml:space="preserve">      </v>
      </c>
    </row>
    <row r="1043" spans="1:1" hidden="1">
      <c r="A1043" s="61" t="str">
        <f t="shared" si="59"/>
        <v xml:space="preserve">      </v>
      </c>
    </row>
    <row r="1044" spans="1:1" hidden="1">
      <c r="A1044" s="61" t="str">
        <f t="shared" si="59"/>
        <v xml:space="preserve">      </v>
      </c>
    </row>
    <row r="1045" spans="1:1" hidden="1">
      <c r="A1045" s="61" t="str">
        <f t="shared" si="59"/>
        <v xml:space="preserve">      </v>
      </c>
    </row>
    <row r="1046" spans="1:1" hidden="1">
      <c r="A1046" s="61" t="str">
        <f t="shared" si="59"/>
        <v xml:space="preserve">      </v>
      </c>
    </row>
    <row r="1047" spans="1:1" hidden="1">
      <c r="A1047" s="61" t="str">
        <f t="shared" si="59"/>
        <v xml:space="preserve">      </v>
      </c>
    </row>
    <row r="1048" spans="1:1" hidden="1">
      <c r="A1048" s="61" t="str">
        <f t="shared" si="59"/>
        <v xml:space="preserve">      </v>
      </c>
    </row>
    <row r="1049" spans="1:1" hidden="1">
      <c r="A1049" s="61" t="str">
        <f t="shared" si="59"/>
        <v xml:space="preserve">      </v>
      </c>
    </row>
    <row r="1050" spans="1:1" hidden="1">
      <c r="A1050" s="61" t="str">
        <f t="shared" si="59"/>
        <v xml:space="preserve">      </v>
      </c>
    </row>
    <row r="1051" spans="1:1" hidden="1">
      <c r="A1051" s="61" t="str">
        <f t="shared" si="59"/>
        <v xml:space="preserve">      </v>
      </c>
    </row>
    <row r="1052" spans="1:1" hidden="1">
      <c r="A1052" s="61" t="str">
        <f t="shared" si="59"/>
        <v xml:space="preserve">      </v>
      </c>
    </row>
    <row r="1053" spans="1:1">
      <c r="A1053" s="61" t="str">
        <f t="shared" si="59"/>
        <v xml:space="preserve">      </v>
      </c>
    </row>
    <row r="1054" spans="1:1" hidden="1">
      <c r="A1054" s="61" t="str">
        <f t="shared" si="59"/>
        <v xml:space="preserve">      </v>
      </c>
    </row>
    <row r="1055" spans="1:1" hidden="1">
      <c r="A1055" s="61" t="str">
        <f t="shared" si="59"/>
        <v xml:space="preserve">      </v>
      </c>
    </row>
    <row r="1056" spans="1:1" hidden="1">
      <c r="A1056" s="61" t="str">
        <f t="shared" si="59"/>
        <v xml:space="preserve">      </v>
      </c>
    </row>
    <row r="1057" spans="1:1" hidden="1">
      <c r="A1057" s="61" t="str">
        <f t="shared" si="59"/>
        <v xml:space="preserve">      </v>
      </c>
    </row>
    <row r="1058" spans="1:1" hidden="1">
      <c r="A1058" s="61" t="str">
        <f t="shared" si="59"/>
        <v xml:space="preserve">      </v>
      </c>
    </row>
    <row r="1059" spans="1:1" hidden="1">
      <c r="A1059" s="61" t="str">
        <f t="shared" si="59"/>
        <v xml:space="preserve">      </v>
      </c>
    </row>
    <row r="1060" spans="1:1" hidden="1">
      <c r="A1060" s="61" t="str">
        <f t="shared" si="59"/>
        <v xml:space="preserve">      </v>
      </c>
    </row>
    <row r="1061" spans="1:1" hidden="1">
      <c r="A1061" s="61" t="str">
        <f t="shared" si="59"/>
        <v xml:space="preserve">      </v>
      </c>
    </row>
    <row r="1062" spans="1:1" hidden="1">
      <c r="A1062" s="61" t="str">
        <f t="shared" si="59"/>
        <v xml:space="preserve">      </v>
      </c>
    </row>
    <row r="1063" spans="1:1" hidden="1">
      <c r="A1063" s="61" t="str">
        <f t="shared" si="59"/>
        <v xml:space="preserve">      </v>
      </c>
    </row>
    <row r="1064" spans="1:1" hidden="1">
      <c r="A1064" s="61" t="str">
        <f t="shared" si="59"/>
        <v xml:space="preserve">      </v>
      </c>
    </row>
    <row r="1065" spans="1:1" hidden="1">
      <c r="A1065" s="61" t="str">
        <f t="shared" ref="A1065:A1096" si="60">"      "&amp;AI43</f>
        <v xml:space="preserve">      </v>
      </c>
    </row>
    <row r="1066" spans="1:1" hidden="1">
      <c r="A1066" s="61" t="str">
        <f t="shared" si="60"/>
        <v xml:space="preserve">      </v>
      </c>
    </row>
    <row r="1067" spans="1:1" hidden="1">
      <c r="A1067" s="61" t="str">
        <f t="shared" si="60"/>
        <v xml:space="preserve">      </v>
      </c>
    </row>
    <row r="1068" spans="1:1" hidden="1">
      <c r="A1068" s="61" t="str">
        <f t="shared" si="60"/>
        <v xml:space="preserve">      </v>
      </c>
    </row>
    <row r="1069" spans="1:1" hidden="1">
      <c r="A1069" s="61" t="str">
        <f t="shared" si="60"/>
        <v xml:space="preserve">      </v>
      </c>
    </row>
    <row r="1070" spans="1:1" hidden="1">
      <c r="A1070" s="61" t="str">
        <f t="shared" si="60"/>
        <v xml:space="preserve">      </v>
      </c>
    </row>
    <row r="1071" spans="1:1" hidden="1">
      <c r="A1071" s="61" t="str">
        <f t="shared" si="60"/>
        <v xml:space="preserve">      </v>
      </c>
    </row>
    <row r="1072" spans="1:1" hidden="1">
      <c r="A1072" s="61" t="str">
        <f t="shared" si="60"/>
        <v xml:space="preserve">      </v>
      </c>
    </row>
    <row r="1073" spans="1:1" hidden="1">
      <c r="A1073" s="61" t="str">
        <f t="shared" si="60"/>
        <v xml:space="preserve">      </v>
      </c>
    </row>
    <row r="1074" spans="1:1" hidden="1">
      <c r="A1074" s="61" t="str">
        <f t="shared" si="60"/>
        <v xml:space="preserve">      </v>
      </c>
    </row>
    <row r="1075" spans="1:1" hidden="1">
      <c r="A1075" s="61" t="str">
        <f t="shared" si="60"/>
        <v xml:space="preserve">      </v>
      </c>
    </row>
    <row r="1076" spans="1:1" hidden="1">
      <c r="A1076" s="61" t="str">
        <f t="shared" si="60"/>
        <v xml:space="preserve">      </v>
      </c>
    </row>
    <row r="1077" spans="1:1" hidden="1">
      <c r="A1077" s="61" t="str">
        <f t="shared" si="60"/>
        <v xml:space="preserve">      </v>
      </c>
    </row>
    <row r="1078" spans="1:1" hidden="1">
      <c r="A1078" s="61" t="str">
        <f t="shared" si="60"/>
        <v xml:space="preserve">      </v>
      </c>
    </row>
    <row r="1079" spans="1:1" hidden="1">
      <c r="A1079" s="61" t="str">
        <f t="shared" si="60"/>
        <v xml:space="preserve">      </v>
      </c>
    </row>
    <row r="1080" spans="1:1" hidden="1">
      <c r="A1080" s="61" t="str">
        <f t="shared" si="60"/>
        <v xml:space="preserve">      </v>
      </c>
    </row>
    <row r="1081" spans="1:1" hidden="1">
      <c r="A1081" s="61" t="str">
        <f t="shared" si="60"/>
        <v xml:space="preserve">      </v>
      </c>
    </row>
    <row r="1082" spans="1:1" hidden="1">
      <c r="A1082" s="61" t="str">
        <f t="shared" si="60"/>
        <v xml:space="preserve">      </v>
      </c>
    </row>
    <row r="1083" spans="1:1" hidden="1">
      <c r="A1083" s="61" t="str">
        <f t="shared" si="60"/>
        <v xml:space="preserve">      </v>
      </c>
    </row>
    <row r="1084" spans="1:1" hidden="1">
      <c r="A1084" s="61" t="str">
        <f t="shared" si="60"/>
        <v xml:space="preserve">      </v>
      </c>
    </row>
    <row r="1085" spans="1:1" hidden="1">
      <c r="A1085" s="61" t="str">
        <f t="shared" si="60"/>
        <v xml:space="preserve">      </v>
      </c>
    </row>
    <row r="1086" spans="1:1" hidden="1">
      <c r="A1086" s="61" t="str">
        <f t="shared" si="60"/>
        <v xml:space="preserve">      </v>
      </c>
    </row>
    <row r="1087" spans="1:1" hidden="1">
      <c r="A1087" s="61" t="str">
        <f t="shared" si="60"/>
        <v xml:space="preserve">      </v>
      </c>
    </row>
    <row r="1088" spans="1:1" hidden="1">
      <c r="A1088" s="61" t="str">
        <f t="shared" si="60"/>
        <v xml:space="preserve">      </v>
      </c>
    </row>
    <row r="1089" spans="1:1" hidden="1">
      <c r="A1089" s="61" t="str">
        <f t="shared" si="60"/>
        <v xml:space="preserve">      </v>
      </c>
    </row>
    <row r="1090" spans="1:1" hidden="1">
      <c r="A1090" s="61" t="str">
        <f t="shared" si="60"/>
        <v xml:space="preserve">      </v>
      </c>
    </row>
    <row r="1091" spans="1:1" hidden="1">
      <c r="A1091" s="61" t="str">
        <f t="shared" si="60"/>
        <v xml:space="preserve">      </v>
      </c>
    </row>
    <row r="1092" spans="1:1" hidden="1">
      <c r="A1092" s="61" t="str">
        <f t="shared" si="60"/>
        <v xml:space="preserve">      </v>
      </c>
    </row>
    <row r="1093" spans="1:1" hidden="1">
      <c r="A1093" s="61" t="str">
        <f t="shared" si="60"/>
        <v xml:space="preserve">      </v>
      </c>
    </row>
    <row r="1094" spans="1:1" hidden="1">
      <c r="A1094" s="61" t="str">
        <f t="shared" si="60"/>
        <v xml:space="preserve">      </v>
      </c>
    </row>
    <row r="1095" spans="1:1" hidden="1">
      <c r="A1095" s="61" t="str">
        <f t="shared" si="60"/>
        <v xml:space="preserve">      </v>
      </c>
    </row>
    <row r="1096" spans="1:1" hidden="1">
      <c r="A1096" s="61" t="str">
        <f t="shared" si="60"/>
        <v xml:space="preserve">      </v>
      </c>
    </row>
    <row r="1097" spans="1:1" hidden="1">
      <c r="A1097" s="61" t="str">
        <f t="shared" ref="A1097:A1128" si="61">"      "&amp;AI75</f>
        <v xml:space="preserve">      </v>
      </c>
    </row>
    <row r="1098" spans="1:1" hidden="1">
      <c r="A1098" s="61" t="str">
        <f t="shared" si="61"/>
        <v xml:space="preserve">      </v>
      </c>
    </row>
    <row r="1099" spans="1:1" hidden="1">
      <c r="A1099" s="61" t="str">
        <f t="shared" si="61"/>
        <v xml:space="preserve">      </v>
      </c>
    </row>
    <row r="1100" spans="1:1" hidden="1">
      <c r="A1100" s="61" t="str">
        <f t="shared" si="61"/>
        <v xml:space="preserve">      </v>
      </c>
    </row>
    <row r="1101" spans="1:1" hidden="1">
      <c r="A1101" s="61" t="str">
        <f t="shared" si="61"/>
        <v xml:space="preserve">      </v>
      </c>
    </row>
    <row r="1102" spans="1:1" hidden="1">
      <c r="A1102" s="61" t="str">
        <f t="shared" si="61"/>
        <v xml:space="preserve">      </v>
      </c>
    </row>
    <row r="1103" spans="1:1" hidden="1">
      <c r="A1103" s="61" t="str">
        <f t="shared" si="61"/>
        <v xml:space="preserve">      </v>
      </c>
    </row>
    <row r="1104" spans="1:1" hidden="1">
      <c r="A1104" s="61" t="str">
        <f t="shared" si="61"/>
        <v xml:space="preserve">      </v>
      </c>
    </row>
    <row r="1105" spans="1:1" hidden="1">
      <c r="A1105" s="61" t="str">
        <f t="shared" si="61"/>
        <v xml:space="preserve">      </v>
      </c>
    </row>
    <row r="1106" spans="1:1" hidden="1">
      <c r="A1106" s="61" t="str">
        <f t="shared" si="61"/>
        <v xml:space="preserve">      </v>
      </c>
    </row>
    <row r="1107" spans="1:1" hidden="1">
      <c r="A1107" s="61" t="str">
        <f t="shared" si="61"/>
        <v xml:space="preserve">      </v>
      </c>
    </row>
    <row r="1108" spans="1:1" hidden="1">
      <c r="A1108" s="61" t="str">
        <f t="shared" si="61"/>
        <v xml:space="preserve">      </v>
      </c>
    </row>
    <row r="1109" spans="1:1" hidden="1">
      <c r="A1109" s="61" t="str">
        <f t="shared" si="61"/>
        <v xml:space="preserve">      </v>
      </c>
    </row>
    <row r="1110" spans="1:1" hidden="1">
      <c r="A1110" s="61" t="str">
        <f t="shared" si="61"/>
        <v xml:space="preserve">      </v>
      </c>
    </row>
    <row r="1111" spans="1:1" hidden="1">
      <c r="A1111" s="61" t="str">
        <f t="shared" si="61"/>
        <v xml:space="preserve">      </v>
      </c>
    </row>
    <row r="1112" spans="1:1" hidden="1">
      <c r="A1112" s="61" t="str">
        <f t="shared" si="61"/>
        <v xml:space="preserve">      </v>
      </c>
    </row>
    <row r="1113" spans="1:1" hidden="1">
      <c r="A1113" s="61" t="str">
        <f t="shared" si="61"/>
        <v xml:space="preserve">      </v>
      </c>
    </row>
    <row r="1114" spans="1:1" hidden="1">
      <c r="A1114" s="61" t="str">
        <f t="shared" si="61"/>
        <v xml:space="preserve">      </v>
      </c>
    </row>
    <row r="1115" spans="1:1" hidden="1">
      <c r="A1115" s="61" t="str">
        <f t="shared" si="61"/>
        <v xml:space="preserve">      </v>
      </c>
    </row>
    <row r="1116" spans="1:1" hidden="1">
      <c r="A1116" s="61" t="str">
        <f t="shared" si="61"/>
        <v xml:space="preserve">      </v>
      </c>
    </row>
    <row r="1117" spans="1:1" hidden="1">
      <c r="A1117" s="61" t="str">
        <f t="shared" si="61"/>
        <v xml:space="preserve">      </v>
      </c>
    </row>
    <row r="1118" spans="1:1" hidden="1">
      <c r="A1118" s="61" t="str">
        <f t="shared" si="61"/>
        <v xml:space="preserve">      </v>
      </c>
    </row>
    <row r="1119" spans="1:1" hidden="1">
      <c r="A1119" s="61" t="str">
        <f t="shared" si="61"/>
        <v xml:space="preserve">      </v>
      </c>
    </row>
    <row r="1120" spans="1:1" hidden="1">
      <c r="A1120" s="61" t="str">
        <f t="shared" si="61"/>
        <v xml:space="preserve">      </v>
      </c>
    </row>
    <row r="1121" spans="1:1" hidden="1">
      <c r="A1121" s="61" t="str">
        <f t="shared" si="61"/>
        <v xml:space="preserve">      </v>
      </c>
    </row>
    <row r="1122" spans="1:1" hidden="1">
      <c r="A1122" s="61" t="str">
        <f t="shared" si="61"/>
        <v xml:space="preserve">      </v>
      </c>
    </row>
    <row r="1123" spans="1:1" hidden="1">
      <c r="A1123" s="61" t="str">
        <f t="shared" si="61"/>
        <v xml:space="preserve">      </v>
      </c>
    </row>
    <row r="1124" spans="1:1" hidden="1">
      <c r="A1124" s="61" t="str">
        <f t="shared" si="61"/>
        <v xml:space="preserve">      </v>
      </c>
    </row>
    <row r="1125" spans="1:1" hidden="1">
      <c r="A1125" s="61" t="str">
        <f t="shared" si="61"/>
        <v xml:space="preserve">      </v>
      </c>
    </row>
    <row r="1126" spans="1:1" hidden="1">
      <c r="A1126" s="61" t="str">
        <f t="shared" si="61"/>
        <v xml:space="preserve">      </v>
      </c>
    </row>
    <row r="1127" spans="1:1" hidden="1">
      <c r="A1127" s="61" t="str">
        <f t="shared" si="61"/>
        <v xml:space="preserve">      </v>
      </c>
    </row>
    <row r="1128" spans="1:1" hidden="1">
      <c r="A1128" s="61" t="str">
        <f t="shared" si="61"/>
        <v xml:space="preserve">      </v>
      </c>
    </row>
    <row r="1129" spans="1:1" hidden="1">
      <c r="A1129" s="61" t="str">
        <f t="shared" ref="A1129:A1132" si="62">"      "&amp;AI107</f>
        <v xml:space="preserve">      </v>
      </c>
    </row>
    <row r="1130" spans="1:1" hidden="1">
      <c r="A1130" s="61" t="str">
        <f t="shared" si="62"/>
        <v xml:space="preserve">      </v>
      </c>
    </row>
    <row r="1131" spans="1:1" hidden="1">
      <c r="A1131" s="61" t="str">
        <f t="shared" si="62"/>
        <v xml:space="preserve">      </v>
      </c>
    </row>
    <row r="1132" spans="1:1" hidden="1">
      <c r="A1132" s="61" t="str">
        <f t="shared" si="62"/>
        <v xml:space="preserve">      </v>
      </c>
    </row>
    <row r="1133" spans="1:1">
      <c r="A1133" s="61" t="s">
        <v>1259</v>
      </c>
    </row>
    <row r="1134" spans="1:1">
      <c r="A1134" s="61" t="s">
        <v>884</v>
      </c>
    </row>
    <row r="1135" spans="1:1">
      <c r="A1135" s="61" t="s">
        <v>96</v>
      </c>
    </row>
    <row r="1136" spans="1:1">
      <c r="A1136" s="165" t="s">
        <v>6</v>
      </c>
    </row>
    <row r="1137" spans="1:1">
      <c r="A1137" s="165" t="s">
        <v>633</v>
      </c>
    </row>
    <row r="1138" spans="1:1">
      <c r="A1138" s="165" t="s">
        <v>634</v>
      </c>
    </row>
    <row r="1139" spans="1:1">
      <c r="A1139" s="13" t="s">
        <v>1170</v>
      </c>
    </row>
    <row r="1140" spans="1:1">
      <c r="A1140" s="13" t="s">
        <v>1249</v>
      </c>
    </row>
    <row r="1141" spans="1:1">
      <c r="A1141" s="55" t="str">
        <f>+"&lt;? /*  update_record"&amp;fieldcreatorv2!N15&amp;"   */  session_start();"</f>
        <v>&lt;? /*  update_recordJesus1.php   */  session_start();</v>
      </c>
    </row>
    <row r="1142" spans="1:1">
      <c r="A1142" s="55" t="s">
        <v>1256</v>
      </c>
    </row>
    <row r="1143" spans="1:1">
      <c r="A1143" s="55" t="str">
        <f>+"      "&amp;M7&amp;fieldcreatorv2!N15&amp;M6</f>
        <v xml:space="preserve">      if (isset($_POST['record_id'])) $record_id=$_POST['record_id']; else header("Location:editJesus1.php"); // Redirect if no record is choosen</v>
      </c>
    </row>
    <row r="1144" spans="1:1">
      <c r="A1144" s="55" t="s">
        <v>1256</v>
      </c>
    </row>
    <row r="1145" spans="1:1">
      <c r="A1145" s="55" t="e">
        <f>"      $last_update_by="&amp;#REF!&amp;";"</f>
        <v>#REF!</v>
      </c>
    </row>
    <row r="1146" spans="1:1">
      <c r="A1146" s="55" t="s">
        <v>1255</v>
      </c>
    </row>
    <row r="1147" spans="1:1" hidden="1">
      <c r="A1147" s="55" t="str">
        <f t="shared" ref="A1147:A1178" si="63">"      "&amp;AJ11</f>
        <v xml:space="preserve">      </v>
      </c>
    </row>
    <row r="1148" spans="1:1" hidden="1">
      <c r="A1148" s="55" t="str">
        <f t="shared" si="63"/>
        <v xml:space="preserve">      </v>
      </c>
    </row>
    <row r="1149" spans="1:1" hidden="1">
      <c r="A1149" s="55" t="str">
        <f t="shared" si="63"/>
        <v xml:space="preserve">      </v>
      </c>
    </row>
    <row r="1150" spans="1:1" hidden="1">
      <c r="A1150" s="55" t="str">
        <f t="shared" si="63"/>
        <v xml:space="preserve">      </v>
      </c>
    </row>
    <row r="1151" spans="1:1" hidden="1">
      <c r="A1151" s="55" t="str">
        <f t="shared" si="63"/>
        <v xml:space="preserve">      </v>
      </c>
    </row>
    <row r="1152" spans="1:1" hidden="1">
      <c r="A1152" s="55" t="str">
        <f t="shared" si="63"/>
        <v xml:space="preserve">      </v>
      </c>
    </row>
    <row r="1153" spans="1:1" hidden="1">
      <c r="A1153" s="55" t="str">
        <f t="shared" si="63"/>
        <v xml:space="preserve">      </v>
      </c>
    </row>
    <row r="1154" spans="1:1" hidden="1">
      <c r="A1154" s="55" t="str">
        <f t="shared" si="63"/>
        <v xml:space="preserve">      </v>
      </c>
    </row>
    <row r="1155" spans="1:1" hidden="1">
      <c r="A1155" s="55" t="str">
        <f t="shared" si="63"/>
        <v xml:space="preserve">      </v>
      </c>
    </row>
    <row r="1156" spans="1:1" hidden="1">
      <c r="A1156" s="55" t="str">
        <f t="shared" si="63"/>
        <v xml:space="preserve">      </v>
      </c>
    </row>
    <row r="1157" spans="1:1" hidden="1">
      <c r="A1157" s="55" t="str">
        <f t="shared" si="63"/>
        <v xml:space="preserve">      </v>
      </c>
    </row>
    <row r="1158" spans="1:1" hidden="1">
      <c r="A1158" s="55" t="str">
        <f t="shared" si="63"/>
        <v xml:space="preserve">      </v>
      </c>
    </row>
    <row r="1159" spans="1:1" hidden="1">
      <c r="A1159" s="55" t="str">
        <f t="shared" si="63"/>
        <v xml:space="preserve">      </v>
      </c>
    </row>
    <row r="1160" spans="1:1" hidden="1">
      <c r="A1160" s="55" t="str">
        <f t="shared" si="63"/>
        <v xml:space="preserve">      </v>
      </c>
    </row>
    <row r="1161" spans="1:1" hidden="1">
      <c r="A1161" s="55" t="str">
        <f t="shared" si="63"/>
        <v xml:space="preserve">      </v>
      </c>
    </row>
    <row r="1162" spans="1:1" hidden="1">
      <c r="A1162" s="55" t="str">
        <f t="shared" si="63"/>
        <v xml:space="preserve">      </v>
      </c>
    </row>
    <row r="1163" spans="1:1" hidden="1">
      <c r="A1163" s="55" t="str">
        <f t="shared" si="63"/>
        <v xml:space="preserve">      </v>
      </c>
    </row>
    <row r="1164" spans="1:1" hidden="1">
      <c r="A1164" s="55" t="str">
        <f t="shared" si="63"/>
        <v xml:space="preserve">      </v>
      </c>
    </row>
    <row r="1165" spans="1:1" hidden="1">
      <c r="A1165" s="55" t="str">
        <f t="shared" si="63"/>
        <v xml:space="preserve">      </v>
      </c>
    </row>
    <row r="1166" spans="1:1" hidden="1">
      <c r="A1166" s="55" t="str">
        <f t="shared" si="63"/>
        <v xml:space="preserve">      </v>
      </c>
    </row>
    <row r="1167" spans="1:1">
      <c r="A1167" s="55" t="str">
        <f t="shared" si="63"/>
        <v xml:space="preserve">      </v>
      </c>
    </row>
    <row r="1168" spans="1:1" hidden="1">
      <c r="A1168" s="55" t="str">
        <f t="shared" si="63"/>
        <v xml:space="preserve">      </v>
      </c>
    </row>
    <row r="1169" spans="1:1" hidden="1">
      <c r="A1169" s="55" t="str">
        <f t="shared" si="63"/>
        <v xml:space="preserve">      </v>
      </c>
    </row>
    <row r="1170" spans="1:1" hidden="1">
      <c r="A1170" s="55" t="str">
        <f t="shared" si="63"/>
        <v xml:space="preserve">      </v>
      </c>
    </row>
    <row r="1171" spans="1:1" hidden="1">
      <c r="A1171" s="55" t="str">
        <f t="shared" si="63"/>
        <v xml:space="preserve">      </v>
      </c>
    </row>
    <row r="1172" spans="1:1" hidden="1">
      <c r="A1172" s="55" t="str">
        <f t="shared" si="63"/>
        <v xml:space="preserve">      </v>
      </c>
    </row>
    <row r="1173" spans="1:1" hidden="1">
      <c r="A1173" s="55" t="str">
        <f t="shared" si="63"/>
        <v xml:space="preserve">      </v>
      </c>
    </row>
    <row r="1174" spans="1:1" hidden="1">
      <c r="A1174" s="55" t="str">
        <f t="shared" si="63"/>
        <v xml:space="preserve">      </v>
      </c>
    </row>
    <row r="1175" spans="1:1" hidden="1">
      <c r="A1175" s="55" t="str">
        <f t="shared" si="63"/>
        <v xml:space="preserve">      </v>
      </c>
    </row>
    <row r="1176" spans="1:1" hidden="1">
      <c r="A1176" s="55" t="str">
        <f t="shared" si="63"/>
        <v xml:space="preserve">      </v>
      </c>
    </row>
    <row r="1177" spans="1:1" hidden="1">
      <c r="A1177" s="55" t="str">
        <f t="shared" si="63"/>
        <v xml:space="preserve">      </v>
      </c>
    </row>
    <row r="1178" spans="1:1" hidden="1">
      <c r="A1178" s="55" t="str">
        <f t="shared" si="63"/>
        <v xml:space="preserve">      </v>
      </c>
    </row>
    <row r="1179" spans="1:1" hidden="1">
      <c r="A1179" s="55" t="str">
        <f t="shared" ref="A1179:A1210" si="64">"      "&amp;AJ43</f>
        <v xml:space="preserve">      </v>
      </c>
    </row>
    <row r="1180" spans="1:1" hidden="1">
      <c r="A1180" s="55" t="str">
        <f t="shared" si="64"/>
        <v xml:space="preserve">      </v>
      </c>
    </row>
    <row r="1181" spans="1:1" hidden="1">
      <c r="A1181" s="55" t="str">
        <f t="shared" si="64"/>
        <v xml:space="preserve">      </v>
      </c>
    </row>
    <row r="1182" spans="1:1" hidden="1">
      <c r="A1182" s="55" t="str">
        <f t="shared" si="64"/>
        <v xml:space="preserve">      </v>
      </c>
    </row>
    <row r="1183" spans="1:1" hidden="1">
      <c r="A1183" s="55" t="str">
        <f t="shared" si="64"/>
        <v xml:space="preserve">      </v>
      </c>
    </row>
    <row r="1184" spans="1:1" hidden="1">
      <c r="A1184" s="55" t="str">
        <f t="shared" si="64"/>
        <v xml:space="preserve">      </v>
      </c>
    </row>
    <row r="1185" spans="1:1" hidden="1">
      <c r="A1185" s="55" t="str">
        <f t="shared" si="64"/>
        <v xml:space="preserve">      </v>
      </c>
    </row>
    <row r="1186" spans="1:1" hidden="1">
      <c r="A1186" s="55" t="str">
        <f t="shared" si="64"/>
        <v xml:space="preserve">      </v>
      </c>
    </row>
    <row r="1187" spans="1:1" hidden="1">
      <c r="A1187" s="55" t="str">
        <f t="shared" si="64"/>
        <v xml:space="preserve">      </v>
      </c>
    </row>
    <row r="1188" spans="1:1" hidden="1">
      <c r="A1188" s="55" t="str">
        <f t="shared" si="64"/>
        <v xml:space="preserve">      </v>
      </c>
    </row>
    <row r="1189" spans="1:1" hidden="1">
      <c r="A1189" s="55" t="str">
        <f t="shared" si="64"/>
        <v xml:space="preserve">      </v>
      </c>
    </row>
    <row r="1190" spans="1:1" hidden="1">
      <c r="A1190" s="55" t="str">
        <f t="shared" si="64"/>
        <v xml:space="preserve">      </v>
      </c>
    </row>
    <row r="1191" spans="1:1" hidden="1">
      <c r="A1191" s="55" t="str">
        <f t="shared" si="64"/>
        <v xml:space="preserve">      </v>
      </c>
    </row>
    <row r="1192" spans="1:1" hidden="1">
      <c r="A1192" s="55" t="str">
        <f t="shared" si="64"/>
        <v xml:space="preserve">      </v>
      </c>
    </row>
    <row r="1193" spans="1:1" hidden="1">
      <c r="A1193" s="55" t="str">
        <f t="shared" si="64"/>
        <v xml:space="preserve">      </v>
      </c>
    </row>
    <row r="1194" spans="1:1" hidden="1">
      <c r="A1194" s="55" t="str">
        <f t="shared" si="64"/>
        <v xml:space="preserve">      </v>
      </c>
    </row>
    <row r="1195" spans="1:1" hidden="1">
      <c r="A1195" s="55" t="str">
        <f t="shared" si="64"/>
        <v xml:space="preserve">      </v>
      </c>
    </row>
    <row r="1196" spans="1:1" hidden="1">
      <c r="A1196" s="55" t="str">
        <f t="shared" si="64"/>
        <v xml:space="preserve">      </v>
      </c>
    </row>
    <row r="1197" spans="1:1" hidden="1">
      <c r="A1197" s="55" t="str">
        <f t="shared" si="64"/>
        <v xml:space="preserve">      </v>
      </c>
    </row>
    <row r="1198" spans="1:1" hidden="1">
      <c r="A1198" s="55" t="str">
        <f t="shared" si="64"/>
        <v xml:space="preserve">      </v>
      </c>
    </row>
    <row r="1199" spans="1:1" hidden="1">
      <c r="A1199" s="55" t="str">
        <f t="shared" si="64"/>
        <v xml:space="preserve">      </v>
      </c>
    </row>
    <row r="1200" spans="1:1" hidden="1">
      <c r="A1200" s="55" t="str">
        <f t="shared" si="64"/>
        <v xml:space="preserve">      </v>
      </c>
    </row>
    <row r="1201" spans="1:1" hidden="1">
      <c r="A1201" s="55" t="str">
        <f t="shared" si="64"/>
        <v xml:space="preserve">      </v>
      </c>
    </row>
    <row r="1202" spans="1:1" hidden="1">
      <c r="A1202" s="55" t="str">
        <f t="shared" si="64"/>
        <v xml:space="preserve">      </v>
      </c>
    </row>
    <row r="1203" spans="1:1" hidden="1">
      <c r="A1203" s="55" t="str">
        <f t="shared" si="64"/>
        <v xml:space="preserve">      </v>
      </c>
    </row>
    <row r="1204" spans="1:1" hidden="1">
      <c r="A1204" s="55" t="str">
        <f t="shared" si="64"/>
        <v xml:space="preserve">      </v>
      </c>
    </row>
    <row r="1205" spans="1:1" hidden="1">
      <c r="A1205" s="55" t="str">
        <f t="shared" si="64"/>
        <v xml:space="preserve">      </v>
      </c>
    </row>
    <row r="1206" spans="1:1" hidden="1">
      <c r="A1206" s="55" t="str">
        <f t="shared" si="64"/>
        <v xml:space="preserve">      </v>
      </c>
    </row>
    <row r="1207" spans="1:1" hidden="1">
      <c r="A1207" s="55" t="str">
        <f t="shared" si="64"/>
        <v xml:space="preserve">      </v>
      </c>
    </row>
    <row r="1208" spans="1:1" hidden="1">
      <c r="A1208" s="55" t="str">
        <f t="shared" si="64"/>
        <v xml:space="preserve">      </v>
      </c>
    </row>
    <row r="1209" spans="1:1" hidden="1">
      <c r="A1209" s="55" t="str">
        <f t="shared" si="64"/>
        <v xml:space="preserve">      </v>
      </c>
    </row>
    <row r="1210" spans="1:1" hidden="1">
      <c r="A1210" s="55" t="str">
        <f t="shared" si="64"/>
        <v xml:space="preserve">      </v>
      </c>
    </row>
    <row r="1211" spans="1:1" hidden="1">
      <c r="A1211" s="55" t="str">
        <f t="shared" ref="A1211:A1242" si="65">"      "&amp;AJ75</f>
        <v xml:space="preserve">      </v>
      </c>
    </row>
    <row r="1212" spans="1:1" hidden="1">
      <c r="A1212" s="55" t="str">
        <f t="shared" si="65"/>
        <v xml:space="preserve">      </v>
      </c>
    </row>
    <row r="1213" spans="1:1" hidden="1">
      <c r="A1213" s="55" t="str">
        <f t="shared" si="65"/>
        <v xml:space="preserve">      </v>
      </c>
    </row>
    <row r="1214" spans="1:1" hidden="1">
      <c r="A1214" s="55" t="str">
        <f t="shared" si="65"/>
        <v xml:space="preserve">      </v>
      </c>
    </row>
    <row r="1215" spans="1:1" hidden="1">
      <c r="A1215" s="55" t="str">
        <f t="shared" si="65"/>
        <v xml:space="preserve">      </v>
      </c>
    </row>
    <row r="1216" spans="1:1" hidden="1">
      <c r="A1216" s="55" t="str">
        <f t="shared" si="65"/>
        <v xml:space="preserve">      </v>
      </c>
    </row>
    <row r="1217" spans="1:1" hidden="1">
      <c r="A1217" s="55" t="str">
        <f t="shared" si="65"/>
        <v xml:space="preserve">      </v>
      </c>
    </row>
    <row r="1218" spans="1:1" hidden="1">
      <c r="A1218" s="55" t="str">
        <f t="shared" si="65"/>
        <v xml:space="preserve">      </v>
      </c>
    </row>
    <row r="1219" spans="1:1" hidden="1">
      <c r="A1219" s="55" t="str">
        <f t="shared" si="65"/>
        <v xml:space="preserve">      </v>
      </c>
    </row>
    <row r="1220" spans="1:1" hidden="1">
      <c r="A1220" s="55" t="str">
        <f t="shared" si="65"/>
        <v xml:space="preserve">      </v>
      </c>
    </row>
    <row r="1221" spans="1:1" hidden="1">
      <c r="A1221" s="55" t="str">
        <f t="shared" si="65"/>
        <v xml:space="preserve">      </v>
      </c>
    </row>
    <row r="1222" spans="1:1" hidden="1">
      <c r="A1222" s="55" t="str">
        <f t="shared" si="65"/>
        <v xml:space="preserve">      </v>
      </c>
    </row>
    <row r="1223" spans="1:1" hidden="1">
      <c r="A1223" s="55" t="str">
        <f t="shared" si="65"/>
        <v xml:space="preserve">      </v>
      </c>
    </row>
    <row r="1224" spans="1:1" hidden="1">
      <c r="A1224" s="55" t="str">
        <f t="shared" si="65"/>
        <v xml:space="preserve">      </v>
      </c>
    </row>
    <row r="1225" spans="1:1" hidden="1">
      <c r="A1225" s="55" t="str">
        <f t="shared" si="65"/>
        <v xml:space="preserve">      </v>
      </c>
    </row>
    <row r="1226" spans="1:1" hidden="1">
      <c r="A1226" s="55" t="str">
        <f t="shared" si="65"/>
        <v xml:space="preserve">      </v>
      </c>
    </row>
    <row r="1227" spans="1:1" hidden="1">
      <c r="A1227" s="55" t="str">
        <f t="shared" si="65"/>
        <v xml:space="preserve">      </v>
      </c>
    </row>
    <row r="1228" spans="1:1" hidden="1">
      <c r="A1228" s="55" t="str">
        <f t="shared" si="65"/>
        <v xml:space="preserve">      </v>
      </c>
    </row>
    <row r="1229" spans="1:1" hidden="1">
      <c r="A1229" s="55" t="str">
        <f t="shared" si="65"/>
        <v xml:space="preserve">      </v>
      </c>
    </row>
    <row r="1230" spans="1:1" hidden="1">
      <c r="A1230" s="55" t="str">
        <f t="shared" si="65"/>
        <v xml:space="preserve">      </v>
      </c>
    </row>
    <row r="1231" spans="1:1" hidden="1">
      <c r="A1231" s="55" t="str">
        <f t="shared" si="65"/>
        <v xml:space="preserve">      </v>
      </c>
    </row>
    <row r="1232" spans="1:1" hidden="1">
      <c r="A1232" s="55" t="str">
        <f t="shared" si="65"/>
        <v xml:space="preserve">      </v>
      </c>
    </row>
    <row r="1233" spans="1:1" hidden="1">
      <c r="A1233" s="55" t="str">
        <f t="shared" si="65"/>
        <v xml:space="preserve">      </v>
      </c>
    </row>
    <row r="1234" spans="1:1" hidden="1">
      <c r="A1234" s="55" t="str">
        <f t="shared" si="65"/>
        <v xml:space="preserve">      </v>
      </c>
    </row>
    <row r="1235" spans="1:1" hidden="1">
      <c r="A1235" s="55" t="str">
        <f t="shared" si="65"/>
        <v xml:space="preserve">      </v>
      </c>
    </row>
    <row r="1236" spans="1:1" hidden="1">
      <c r="A1236" s="55" t="str">
        <f t="shared" si="65"/>
        <v xml:space="preserve">      </v>
      </c>
    </row>
    <row r="1237" spans="1:1" hidden="1">
      <c r="A1237" s="55" t="str">
        <f t="shared" si="65"/>
        <v xml:space="preserve">      </v>
      </c>
    </row>
    <row r="1238" spans="1:1" hidden="1">
      <c r="A1238" s="55" t="str">
        <f t="shared" si="65"/>
        <v xml:space="preserve">      </v>
      </c>
    </row>
    <row r="1239" spans="1:1" hidden="1">
      <c r="A1239" s="55" t="str">
        <f t="shared" si="65"/>
        <v xml:space="preserve">      </v>
      </c>
    </row>
    <row r="1240" spans="1:1" hidden="1">
      <c r="A1240" s="55" t="str">
        <f t="shared" si="65"/>
        <v xml:space="preserve">      </v>
      </c>
    </row>
    <row r="1241" spans="1:1" hidden="1">
      <c r="A1241" s="55" t="str">
        <f t="shared" si="65"/>
        <v xml:space="preserve">      </v>
      </c>
    </row>
    <row r="1242" spans="1:1" hidden="1">
      <c r="A1242" s="55" t="str">
        <f t="shared" si="65"/>
        <v xml:space="preserve">      </v>
      </c>
    </row>
    <row r="1243" spans="1:1" hidden="1">
      <c r="A1243" s="55" t="str">
        <f t="shared" ref="A1243:A1246" si="66">"      "&amp;AJ107</f>
        <v xml:space="preserve">      </v>
      </c>
    </row>
    <row r="1244" spans="1:1" hidden="1">
      <c r="A1244" s="55" t="str">
        <f t="shared" si="66"/>
        <v xml:space="preserve">      </v>
      </c>
    </row>
    <row r="1245" spans="1:1" hidden="1">
      <c r="A1245" s="55" t="str">
        <f t="shared" si="66"/>
        <v xml:space="preserve">      </v>
      </c>
    </row>
    <row r="1246" spans="1:1" hidden="1">
      <c r="A1246" s="55" t="str">
        <f t="shared" si="66"/>
        <v xml:space="preserve">      </v>
      </c>
    </row>
    <row r="1247" spans="1:1">
      <c r="A1247" s="55" t="e">
        <f>+#REF!</f>
        <v>#REF!</v>
      </c>
    </row>
    <row r="1248" spans="1:1">
      <c r="A1248" s="55" t="e">
        <f>+#REF!</f>
        <v>#REF!</v>
      </c>
    </row>
    <row r="1249" spans="1:1">
      <c r="A1249" s="55" t="e">
        <f>+#REF!</f>
        <v>#REF!</v>
      </c>
    </row>
    <row r="1250" spans="1:1">
      <c r="A1250" s="55" t="str">
        <f>+N1&amp;fieldcreatorv2!L15&amp;fieldcreatorv2!L19&amp;" SET "</f>
        <v xml:space="preserve">mysql_query("UPDATE Jesus1 SET </v>
      </c>
    </row>
    <row r="1251" spans="1:1" hidden="1">
      <c r="A1251" s="55" t="str">
        <f>"      "&amp;AK11</f>
        <v xml:space="preserve">      </v>
      </c>
    </row>
    <row r="1252" spans="1:1" hidden="1">
      <c r="A1252" s="55" t="str">
        <f t="shared" ref="A1252:A1315" si="67">"      "&amp;AK12</f>
        <v xml:space="preserve">      </v>
      </c>
    </row>
    <row r="1253" spans="1:1" hidden="1">
      <c r="A1253" s="55" t="str">
        <f t="shared" si="67"/>
        <v xml:space="preserve">      </v>
      </c>
    </row>
    <row r="1254" spans="1:1" hidden="1">
      <c r="A1254" s="55" t="str">
        <f t="shared" si="67"/>
        <v xml:space="preserve">      </v>
      </c>
    </row>
    <row r="1255" spans="1:1" hidden="1">
      <c r="A1255" s="55" t="str">
        <f t="shared" si="67"/>
        <v xml:space="preserve">      </v>
      </c>
    </row>
    <row r="1256" spans="1:1" hidden="1">
      <c r="A1256" s="55" t="str">
        <f t="shared" si="67"/>
        <v xml:space="preserve">      </v>
      </c>
    </row>
    <row r="1257" spans="1:1" hidden="1">
      <c r="A1257" s="55" t="str">
        <f t="shared" si="67"/>
        <v xml:space="preserve">      </v>
      </c>
    </row>
    <row r="1258" spans="1:1" hidden="1">
      <c r="A1258" s="55" t="str">
        <f t="shared" si="67"/>
        <v xml:space="preserve">      </v>
      </c>
    </row>
    <row r="1259" spans="1:1" hidden="1">
      <c r="A1259" s="55" t="str">
        <f t="shared" si="67"/>
        <v xml:space="preserve">      </v>
      </c>
    </row>
    <row r="1260" spans="1:1" hidden="1">
      <c r="A1260" s="55" t="str">
        <f t="shared" si="67"/>
        <v xml:space="preserve">      </v>
      </c>
    </row>
    <row r="1261" spans="1:1" hidden="1">
      <c r="A1261" s="55" t="str">
        <f t="shared" si="67"/>
        <v xml:space="preserve">      </v>
      </c>
    </row>
    <row r="1262" spans="1:1" hidden="1">
      <c r="A1262" s="55" t="str">
        <f t="shared" si="67"/>
        <v xml:space="preserve">      </v>
      </c>
    </row>
    <row r="1263" spans="1:1" hidden="1">
      <c r="A1263" s="55" t="str">
        <f t="shared" si="67"/>
        <v xml:space="preserve">      </v>
      </c>
    </row>
    <row r="1264" spans="1:1" hidden="1">
      <c r="A1264" s="55" t="str">
        <f t="shared" si="67"/>
        <v xml:space="preserve">      </v>
      </c>
    </row>
    <row r="1265" spans="1:1" hidden="1">
      <c r="A1265" s="55" t="str">
        <f t="shared" si="67"/>
        <v xml:space="preserve">      </v>
      </c>
    </row>
    <row r="1266" spans="1:1" hidden="1">
      <c r="A1266" s="55" t="str">
        <f t="shared" si="67"/>
        <v xml:space="preserve">      </v>
      </c>
    </row>
    <row r="1267" spans="1:1" hidden="1">
      <c r="A1267" s="55" t="str">
        <f t="shared" si="67"/>
        <v xml:space="preserve">      </v>
      </c>
    </row>
    <row r="1268" spans="1:1" hidden="1">
      <c r="A1268" s="55" t="str">
        <f t="shared" si="67"/>
        <v xml:space="preserve">      </v>
      </c>
    </row>
    <row r="1269" spans="1:1" hidden="1">
      <c r="A1269" s="55" t="str">
        <f t="shared" si="67"/>
        <v xml:space="preserve">      </v>
      </c>
    </row>
    <row r="1270" spans="1:1" hidden="1">
      <c r="A1270" s="55" t="str">
        <f t="shared" si="67"/>
        <v xml:space="preserve">      </v>
      </c>
    </row>
    <row r="1271" spans="1:1">
      <c r="A1271" s="55" t="str">
        <f t="shared" si="67"/>
        <v xml:space="preserve">      </v>
      </c>
    </row>
    <row r="1272" spans="1:1" hidden="1">
      <c r="A1272" s="55" t="str">
        <f t="shared" si="67"/>
        <v xml:space="preserve">      </v>
      </c>
    </row>
    <row r="1273" spans="1:1" hidden="1">
      <c r="A1273" s="55" t="str">
        <f t="shared" si="67"/>
        <v xml:space="preserve">      </v>
      </c>
    </row>
    <row r="1274" spans="1:1" hidden="1">
      <c r="A1274" s="55" t="str">
        <f t="shared" si="67"/>
        <v xml:space="preserve">      </v>
      </c>
    </row>
    <row r="1275" spans="1:1" hidden="1">
      <c r="A1275" s="55" t="str">
        <f t="shared" si="67"/>
        <v xml:space="preserve">      </v>
      </c>
    </row>
    <row r="1276" spans="1:1" hidden="1">
      <c r="A1276" s="55" t="str">
        <f t="shared" si="67"/>
        <v xml:space="preserve">      </v>
      </c>
    </row>
    <row r="1277" spans="1:1" hidden="1">
      <c r="A1277" s="55" t="str">
        <f t="shared" si="67"/>
        <v xml:space="preserve">      </v>
      </c>
    </row>
    <row r="1278" spans="1:1" hidden="1">
      <c r="A1278" s="55" t="str">
        <f t="shared" si="67"/>
        <v xml:space="preserve">      </v>
      </c>
    </row>
    <row r="1279" spans="1:1" hidden="1">
      <c r="A1279" s="55" t="str">
        <f t="shared" si="67"/>
        <v xml:space="preserve">      </v>
      </c>
    </row>
    <row r="1280" spans="1:1" hidden="1">
      <c r="A1280" s="55" t="str">
        <f t="shared" si="67"/>
        <v xml:space="preserve">      </v>
      </c>
    </row>
    <row r="1281" spans="1:1" hidden="1">
      <c r="A1281" s="55" t="str">
        <f t="shared" si="67"/>
        <v xml:space="preserve">      </v>
      </c>
    </row>
    <row r="1282" spans="1:1" hidden="1">
      <c r="A1282" s="55" t="str">
        <f t="shared" si="67"/>
        <v xml:space="preserve">      </v>
      </c>
    </row>
    <row r="1283" spans="1:1" hidden="1">
      <c r="A1283" s="55" t="str">
        <f t="shared" si="67"/>
        <v xml:space="preserve">      </v>
      </c>
    </row>
    <row r="1284" spans="1:1" hidden="1">
      <c r="A1284" s="55" t="str">
        <f t="shared" si="67"/>
        <v xml:space="preserve">      </v>
      </c>
    </row>
    <row r="1285" spans="1:1" hidden="1">
      <c r="A1285" s="55" t="str">
        <f t="shared" si="67"/>
        <v xml:space="preserve">      </v>
      </c>
    </row>
    <row r="1286" spans="1:1" hidden="1">
      <c r="A1286" s="55" t="str">
        <f t="shared" si="67"/>
        <v xml:space="preserve">      </v>
      </c>
    </row>
    <row r="1287" spans="1:1" hidden="1">
      <c r="A1287" s="55" t="str">
        <f t="shared" si="67"/>
        <v xml:space="preserve">      </v>
      </c>
    </row>
    <row r="1288" spans="1:1" hidden="1">
      <c r="A1288" s="55" t="str">
        <f t="shared" si="67"/>
        <v xml:space="preserve">      </v>
      </c>
    </row>
    <row r="1289" spans="1:1" hidden="1">
      <c r="A1289" s="55" t="str">
        <f t="shared" si="67"/>
        <v xml:space="preserve">      </v>
      </c>
    </row>
    <row r="1290" spans="1:1" hidden="1">
      <c r="A1290" s="55" t="str">
        <f t="shared" si="67"/>
        <v xml:space="preserve">      </v>
      </c>
    </row>
    <row r="1291" spans="1:1" hidden="1">
      <c r="A1291" s="55" t="str">
        <f t="shared" si="67"/>
        <v xml:space="preserve">      </v>
      </c>
    </row>
    <row r="1292" spans="1:1" hidden="1">
      <c r="A1292" s="55" t="str">
        <f t="shared" si="67"/>
        <v xml:space="preserve">      </v>
      </c>
    </row>
    <row r="1293" spans="1:1" hidden="1">
      <c r="A1293" s="55" t="str">
        <f t="shared" si="67"/>
        <v xml:space="preserve">      </v>
      </c>
    </row>
    <row r="1294" spans="1:1" hidden="1">
      <c r="A1294" s="55" t="str">
        <f t="shared" si="67"/>
        <v xml:space="preserve">      </v>
      </c>
    </row>
    <row r="1295" spans="1:1" hidden="1">
      <c r="A1295" s="55" t="str">
        <f t="shared" si="67"/>
        <v xml:space="preserve">      </v>
      </c>
    </row>
    <row r="1296" spans="1:1" hidden="1">
      <c r="A1296" s="55" t="str">
        <f t="shared" si="67"/>
        <v xml:space="preserve">      </v>
      </c>
    </row>
    <row r="1297" spans="1:1" hidden="1">
      <c r="A1297" s="55" t="str">
        <f t="shared" si="67"/>
        <v xml:space="preserve">      </v>
      </c>
    </row>
    <row r="1298" spans="1:1" hidden="1">
      <c r="A1298" s="55" t="str">
        <f t="shared" si="67"/>
        <v xml:space="preserve">      </v>
      </c>
    </row>
    <row r="1299" spans="1:1" hidden="1">
      <c r="A1299" s="55" t="str">
        <f t="shared" si="67"/>
        <v xml:space="preserve">      </v>
      </c>
    </row>
    <row r="1300" spans="1:1" hidden="1">
      <c r="A1300" s="55" t="str">
        <f t="shared" si="67"/>
        <v xml:space="preserve">      </v>
      </c>
    </row>
    <row r="1301" spans="1:1" hidden="1">
      <c r="A1301" s="55" t="str">
        <f t="shared" si="67"/>
        <v xml:space="preserve">      </v>
      </c>
    </row>
    <row r="1302" spans="1:1" hidden="1">
      <c r="A1302" s="55" t="str">
        <f t="shared" si="67"/>
        <v xml:space="preserve">      </v>
      </c>
    </row>
    <row r="1303" spans="1:1" hidden="1">
      <c r="A1303" s="55" t="str">
        <f t="shared" si="67"/>
        <v xml:space="preserve">      </v>
      </c>
    </row>
    <row r="1304" spans="1:1" hidden="1">
      <c r="A1304" s="55" t="str">
        <f t="shared" si="67"/>
        <v xml:space="preserve">      </v>
      </c>
    </row>
    <row r="1305" spans="1:1" hidden="1">
      <c r="A1305" s="55" t="str">
        <f t="shared" si="67"/>
        <v xml:space="preserve">      </v>
      </c>
    </row>
    <row r="1306" spans="1:1" hidden="1">
      <c r="A1306" s="55" t="str">
        <f t="shared" si="67"/>
        <v xml:space="preserve">      </v>
      </c>
    </row>
    <row r="1307" spans="1:1" hidden="1">
      <c r="A1307" s="55" t="str">
        <f t="shared" si="67"/>
        <v xml:space="preserve">      </v>
      </c>
    </row>
    <row r="1308" spans="1:1" hidden="1">
      <c r="A1308" s="55" t="str">
        <f t="shared" si="67"/>
        <v xml:space="preserve">      </v>
      </c>
    </row>
    <row r="1309" spans="1:1" hidden="1">
      <c r="A1309" s="55" t="str">
        <f t="shared" si="67"/>
        <v xml:space="preserve">      </v>
      </c>
    </row>
    <row r="1310" spans="1:1" hidden="1">
      <c r="A1310" s="55" t="str">
        <f t="shared" si="67"/>
        <v xml:space="preserve">      </v>
      </c>
    </row>
    <row r="1311" spans="1:1" hidden="1">
      <c r="A1311" s="55" t="str">
        <f t="shared" si="67"/>
        <v xml:space="preserve">      </v>
      </c>
    </row>
    <row r="1312" spans="1:1" hidden="1">
      <c r="A1312" s="55" t="str">
        <f t="shared" si="67"/>
        <v xml:space="preserve">      </v>
      </c>
    </row>
    <row r="1313" spans="1:1" hidden="1">
      <c r="A1313" s="55" t="str">
        <f t="shared" si="67"/>
        <v xml:space="preserve">      </v>
      </c>
    </row>
    <row r="1314" spans="1:1" hidden="1">
      <c r="A1314" s="55" t="str">
        <f t="shared" si="67"/>
        <v xml:space="preserve">      </v>
      </c>
    </row>
    <row r="1315" spans="1:1" hidden="1">
      <c r="A1315" s="55" t="str">
        <f t="shared" si="67"/>
        <v xml:space="preserve">      </v>
      </c>
    </row>
    <row r="1316" spans="1:1" hidden="1">
      <c r="A1316" s="55" t="str">
        <f t="shared" ref="A1316:A1350" si="68">"      "&amp;AK76</f>
        <v xml:space="preserve">      </v>
      </c>
    </row>
    <row r="1317" spans="1:1" hidden="1">
      <c r="A1317" s="55" t="str">
        <f t="shared" si="68"/>
        <v xml:space="preserve">      </v>
      </c>
    </row>
    <row r="1318" spans="1:1" hidden="1">
      <c r="A1318" s="55" t="str">
        <f t="shared" si="68"/>
        <v xml:space="preserve">      </v>
      </c>
    </row>
    <row r="1319" spans="1:1" hidden="1">
      <c r="A1319" s="55" t="str">
        <f t="shared" si="68"/>
        <v xml:space="preserve">      </v>
      </c>
    </row>
    <row r="1320" spans="1:1" hidden="1">
      <c r="A1320" s="55" t="str">
        <f t="shared" si="68"/>
        <v xml:space="preserve">      </v>
      </c>
    </row>
    <row r="1321" spans="1:1" hidden="1">
      <c r="A1321" s="55" t="str">
        <f t="shared" si="68"/>
        <v xml:space="preserve">      </v>
      </c>
    </row>
    <row r="1322" spans="1:1" hidden="1">
      <c r="A1322" s="55" t="str">
        <f t="shared" si="68"/>
        <v xml:space="preserve">      </v>
      </c>
    </row>
    <row r="1323" spans="1:1" hidden="1">
      <c r="A1323" s="55" t="str">
        <f t="shared" si="68"/>
        <v xml:space="preserve">      </v>
      </c>
    </row>
    <row r="1324" spans="1:1" hidden="1">
      <c r="A1324" s="55" t="str">
        <f t="shared" si="68"/>
        <v xml:space="preserve">      </v>
      </c>
    </row>
    <row r="1325" spans="1:1" hidden="1">
      <c r="A1325" s="55" t="str">
        <f t="shared" si="68"/>
        <v xml:space="preserve">      </v>
      </c>
    </row>
    <row r="1326" spans="1:1" hidden="1">
      <c r="A1326" s="55" t="str">
        <f t="shared" si="68"/>
        <v xml:space="preserve">      </v>
      </c>
    </row>
    <row r="1327" spans="1:1" hidden="1">
      <c r="A1327" s="55" t="str">
        <f t="shared" si="68"/>
        <v xml:space="preserve">      </v>
      </c>
    </row>
    <row r="1328" spans="1:1" hidden="1">
      <c r="A1328" s="55" t="str">
        <f t="shared" si="68"/>
        <v xml:space="preserve">      </v>
      </c>
    </row>
    <row r="1329" spans="1:1" hidden="1">
      <c r="A1329" s="55" t="str">
        <f t="shared" si="68"/>
        <v xml:space="preserve">      </v>
      </c>
    </row>
    <row r="1330" spans="1:1" hidden="1">
      <c r="A1330" s="55" t="str">
        <f t="shared" si="68"/>
        <v xml:space="preserve">      </v>
      </c>
    </row>
    <row r="1331" spans="1:1" hidden="1">
      <c r="A1331" s="55" t="str">
        <f t="shared" si="68"/>
        <v xml:space="preserve">      </v>
      </c>
    </row>
    <row r="1332" spans="1:1" hidden="1">
      <c r="A1332" s="55" t="str">
        <f t="shared" si="68"/>
        <v xml:space="preserve">      </v>
      </c>
    </row>
    <row r="1333" spans="1:1" hidden="1">
      <c r="A1333" s="55" t="str">
        <f t="shared" si="68"/>
        <v xml:space="preserve">      </v>
      </c>
    </row>
    <row r="1334" spans="1:1" hidden="1">
      <c r="A1334" s="55" t="str">
        <f t="shared" si="68"/>
        <v xml:space="preserve">      </v>
      </c>
    </row>
    <row r="1335" spans="1:1" hidden="1">
      <c r="A1335" s="55" t="str">
        <f t="shared" si="68"/>
        <v xml:space="preserve">      </v>
      </c>
    </row>
    <row r="1336" spans="1:1" hidden="1">
      <c r="A1336" s="55" t="str">
        <f t="shared" si="68"/>
        <v xml:space="preserve">      </v>
      </c>
    </row>
    <row r="1337" spans="1:1" hidden="1">
      <c r="A1337" s="55" t="str">
        <f t="shared" si="68"/>
        <v xml:space="preserve">      </v>
      </c>
    </row>
    <row r="1338" spans="1:1" hidden="1">
      <c r="A1338" s="55" t="str">
        <f t="shared" si="68"/>
        <v xml:space="preserve">      </v>
      </c>
    </row>
    <row r="1339" spans="1:1" hidden="1">
      <c r="A1339" s="55" t="str">
        <f t="shared" si="68"/>
        <v xml:space="preserve">      </v>
      </c>
    </row>
    <row r="1340" spans="1:1" hidden="1">
      <c r="A1340" s="55" t="str">
        <f t="shared" si="68"/>
        <v xml:space="preserve">      </v>
      </c>
    </row>
    <row r="1341" spans="1:1" hidden="1">
      <c r="A1341" s="55" t="str">
        <f t="shared" si="68"/>
        <v xml:space="preserve">      </v>
      </c>
    </row>
    <row r="1342" spans="1:1" hidden="1">
      <c r="A1342" s="55" t="str">
        <f t="shared" si="68"/>
        <v xml:space="preserve">      </v>
      </c>
    </row>
    <row r="1343" spans="1:1" hidden="1">
      <c r="A1343" s="55" t="str">
        <f t="shared" si="68"/>
        <v xml:space="preserve">      </v>
      </c>
    </row>
    <row r="1344" spans="1:1" hidden="1">
      <c r="A1344" s="55" t="str">
        <f t="shared" si="68"/>
        <v xml:space="preserve">      </v>
      </c>
    </row>
    <row r="1345" spans="1:1" hidden="1">
      <c r="A1345" s="55" t="str">
        <f t="shared" si="68"/>
        <v xml:space="preserve">      </v>
      </c>
    </row>
    <row r="1346" spans="1:1" hidden="1">
      <c r="A1346" s="55" t="str">
        <f t="shared" si="68"/>
        <v xml:space="preserve">      </v>
      </c>
    </row>
    <row r="1347" spans="1:1" hidden="1">
      <c r="A1347" s="55" t="str">
        <f t="shared" si="68"/>
        <v xml:space="preserve">      </v>
      </c>
    </row>
    <row r="1348" spans="1:1" hidden="1">
      <c r="A1348" s="55" t="str">
        <f t="shared" si="68"/>
        <v xml:space="preserve">      </v>
      </c>
    </row>
    <row r="1349" spans="1:1" hidden="1">
      <c r="A1349" s="55" t="str">
        <f t="shared" si="68"/>
        <v xml:space="preserve">      </v>
      </c>
    </row>
    <row r="1350" spans="1:1" hidden="1">
      <c r="A1350" s="55" t="str">
        <f t="shared" si="68"/>
        <v xml:space="preserve">      </v>
      </c>
    </row>
    <row r="1351" spans="1:1">
      <c r="A1351" s="55" t="s">
        <v>1267</v>
      </c>
    </row>
    <row r="1352" spans="1:1">
      <c r="A1352" s="55" t="s">
        <v>1268</v>
      </c>
    </row>
    <row r="1353" spans="1:1">
      <c r="A1353" s="55" t="s">
        <v>1173</v>
      </c>
    </row>
    <row r="1354" spans="1:1">
      <c r="A1354" s="55" t="s">
        <v>1266</v>
      </c>
    </row>
    <row r="1355" spans="1:1" hidden="1">
      <c r="A1355" s="55" t="str">
        <f>"      "&amp;AL11</f>
        <v xml:space="preserve">      </v>
      </c>
    </row>
    <row r="1356" spans="1:1" hidden="1">
      <c r="A1356" s="55" t="str">
        <f t="shared" ref="A1356:A1419" si="69">"      "&amp;AL12</f>
        <v xml:space="preserve">      </v>
      </c>
    </row>
    <row r="1357" spans="1:1" hidden="1">
      <c r="A1357" s="55" t="str">
        <f t="shared" si="69"/>
        <v xml:space="preserve">      </v>
      </c>
    </row>
    <row r="1358" spans="1:1" hidden="1">
      <c r="A1358" s="55" t="str">
        <f t="shared" si="69"/>
        <v xml:space="preserve">      </v>
      </c>
    </row>
    <row r="1359" spans="1:1" hidden="1">
      <c r="A1359" s="55" t="str">
        <f t="shared" si="69"/>
        <v xml:space="preserve">      </v>
      </c>
    </row>
    <row r="1360" spans="1:1" hidden="1">
      <c r="A1360" s="55" t="str">
        <f t="shared" si="69"/>
        <v xml:space="preserve">      </v>
      </c>
    </row>
    <row r="1361" spans="1:1" hidden="1">
      <c r="A1361" s="55" t="str">
        <f t="shared" si="69"/>
        <v xml:space="preserve">      </v>
      </c>
    </row>
    <row r="1362" spans="1:1" hidden="1">
      <c r="A1362" s="55" t="str">
        <f t="shared" si="69"/>
        <v xml:space="preserve">      </v>
      </c>
    </row>
    <row r="1363" spans="1:1" hidden="1">
      <c r="A1363" s="55" t="str">
        <f t="shared" si="69"/>
        <v xml:space="preserve">      </v>
      </c>
    </row>
    <row r="1364" spans="1:1" hidden="1">
      <c r="A1364" s="55" t="str">
        <f t="shared" si="69"/>
        <v xml:space="preserve">      </v>
      </c>
    </row>
    <row r="1365" spans="1:1" hidden="1">
      <c r="A1365" s="55" t="str">
        <f t="shared" si="69"/>
        <v xml:space="preserve">      </v>
      </c>
    </row>
    <row r="1366" spans="1:1" hidden="1">
      <c r="A1366" s="55" t="str">
        <f t="shared" si="69"/>
        <v xml:space="preserve">      </v>
      </c>
    </row>
    <row r="1367" spans="1:1" hidden="1">
      <c r="A1367" s="55" t="str">
        <f t="shared" si="69"/>
        <v xml:space="preserve">      </v>
      </c>
    </row>
    <row r="1368" spans="1:1" hidden="1">
      <c r="A1368" s="55" t="str">
        <f t="shared" si="69"/>
        <v xml:space="preserve">      </v>
      </c>
    </row>
    <row r="1369" spans="1:1" hidden="1">
      <c r="A1369" s="55" t="str">
        <f t="shared" si="69"/>
        <v xml:space="preserve">      </v>
      </c>
    </row>
    <row r="1370" spans="1:1" hidden="1">
      <c r="A1370" s="55" t="str">
        <f t="shared" si="69"/>
        <v xml:space="preserve">      </v>
      </c>
    </row>
    <row r="1371" spans="1:1" hidden="1">
      <c r="A1371" s="55" t="str">
        <f t="shared" si="69"/>
        <v xml:space="preserve">      </v>
      </c>
    </row>
    <row r="1372" spans="1:1" hidden="1">
      <c r="A1372" s="55" t="str">
        <f t="shared" si="69"/>
        <v xml:space="preserve">      </v>
      </c>
    </row>
    <row r="1373" spans="1:1" hidden="1">
      <c r="A1373" s="55" t="str">
        <f t="shared" si="69"/>
        <v xml:space="preserve">      </v>
      </c>
    </row>
    <row r="1374" spans="1:1" hidden="1">
      <c r="A1374" s="55" t="str">
        <f t="shared" si="69"/>
        <v xml:space="preserve">      </v>
      </c>
    </row>
    <row r="1375" spans="1:1">
      <c r="A1375" s="55" t="str">
        <f t="shared" si="69"/>
        <v xml:space="preserve">      </v>
      </c>
    </row>
    <row r="1376" spans="1:1" hidden="1">
      <c r="A1376" s="55" t="str">
        <f t="shared" si="69"/>
        <v xml:space="preserve">      </v>
      </c>
    </row>
    <row r="1377" spans="1:1" hidden="1">
      <c r="A1377" s="55" t="str">
        <f t="shared" si="69"/>
        <v xml:space="preserve">      </v>
      </c>
    </row>
    <row r="1378" spans="1:1" hidden="1">
      <c r="A1378" s="55" t="str">
        <f t="shared" si="69"/>
        <v xml:space="preserve">      </v>
      </c>
    </row>
    <row r="1379" spans="1:1" hidden="1">
      <c r="A1379" s="55" t="str">
        <f t="shared" si="69"/>
        <v xml:space="preserve">      </v>
      </c>
    </row>
    <row r="1380" spans="1:1" hidden="1">
      <c r="A1380" s="55" t="str">
        <f t="shared" si="69"/>
        <v xml:space="preserve">      </v>
      </c>
    </row>
    <row r="1381" spans="1:1" hidden="1">
      <c r="A1381" s="55" t="str">
        <f t="shared" si="69"/>
        <v xml:space="preserve">      </v>
      </c>
    </row>
    <row r="1382" spans="1:1" hidden="1">
      <c r="A1382" s="55" t="str">
        <f t="shared" si="69"/>
        <v xml:space="preserve">      </v>
      </c>
    </row>
    <row r="1383" spans="1:1" hidden="1">
      <c r="A1383" s="55" t="str">
        <f t="shared" si="69"/>
        <v xml:space="preserve">      </v>
      </c>
    </row>
    <row r="1384" spans="1:1" hidden="1">
      <c r="A1384" s="55" t="str">
        <f t="shared" si="69"/>
        <v xml:space="preserve">      </v>
      </c>
    </row>
    <row r="1385" spans="1:1" hidden="1">
      <c r="A1385" s="55" t="str">
        <f t="shared" si="69"/>
        <v xml:space="preserve">      </v>
      </c>
    </row>
    <row r="1386" spans="1:1" hidden="1">
      <c r="A1386" s="55" t="str">
        <f t="shared" si="69"/>
        <v xml:space="preserve">      </v>
      </c>
    </row>
    <row r="1387" spans="1:1" hidden="1">
      <c r="A1387" s="55" t="str">
        <f t="shared" si="69"/>
        <v xml:space="preserve">      </v>
      </c>
    </row>
    <row r="1388" spans="1:1" hidden="1">
      <c r="A1388" s="55" t="str">
        <f t="shared" si="69"/>
        <v xml:space="preserve">      </v>
      </c>
    </row>
    <row r="1389" spans="1:1" hidden="1">
      <c r="A1389" s="55" t="str">
        <f t="shared" si="69"/>
        <v xml:space="preserve">      </v>
      </c>
    </row>
    <row r="1390" spans="1:1" hidden="1">
      <c r="A1390" s="55" t="str">
        <f t="shared" si="69"/>
        <v xml:space="preserve">      </v>
      </c>
    </row>
    <row r="1391" spans="1:1" hidden="1">
      <c r="A1391" s="55" t="str">
        <f t="shared" si="69"/>
        <v xml:space="preserve">      </v>
      </c>
    </row>
    <row r="1392" spans="1:1" hidden="1">
      <c r="A1392" s="55" t="str">
        <f t="shared" si="69"/>
        <v xml:space="preserve">      </v>
      </c>
    </row>
    <row r="1393" spans="1:1" hidden="1">
      <c r="A1393" s="55" t="str">
        <f t="shared" si="69"/>
        <v xml:space="preserve">      </v>
      </c>
    </row>
    <row r="1394" spans="1:1" hidden="1">
      <c r="A1394" s="55" t="str">
        <f t="shared" si="69"/>
        <v xml:space="preserve">      </v>
      </c>
    </row>
    <row r="1395" spans="1:1" hidden="1">
      <c r="A1395" s="55" t="str">
        <f t="shared" si="69"/>
        <v xml:space="preserve">      </v>
      </c>
    </row>
    <row r="1396" spans="1:1" hidden="1">
      <c r="A1396" s="55" t="str">
        <f t="shared" si="69"/>
        <v xml:space="preserve">      </v>
      </c>
    </row>
    <row r="1397" spans="1:1" hidden="1">
      <c r="A1397" s="55" t="str">
        <f t="shared" si="69"/>
        <v xml:space="preserve">      </v>
      </c>
    </row>
    <row r="1398" spans="1:1" hidden="1">
      <c r="A1398" s="55" t="str">
        <f t="shared" si="69"/>
        <v xml:space="preserve">      </v>
      </c>
    </row>
    <row r="1399" spans="1:1" hidden="1">
      <c r="A1399" s="55" t="str">
        <f t="shared" si="69"/>
        <v xml:space="preserve">      </v>
      </c>
    </row>
    <row r="1400" spans="1:1" hidden="1">
      <c r="A1400" s="55" t="str">
        <f t="shared" si="69"/>
        <v xml:space="preserve">      </v>
      </c>
    </row>
    <row r="1401" spans="1:1" hidden="1">
      <c r="A1401" s="55" t="str">
        <f t="shared" si="69"/>
        <v xml:space="preserve">      </v>
      </c>
    </row>
    <row r="1402" spans="1:1" hidden="1">
      <c r="A1402" s="55" t="str">
        <f t="shared" si="69"/>
        <v xml:space="preserve">      </v>
      </c>
    </row>
    <row r="1403" spans="1:1" hidden="1">
      <c r="A1403" s="55" t="str">
        <f t="shared" si="69"/>
        <v xml:space="preserve">      </v>
      </c>
    </row>
    <row r="1404" spans="1:1" hidden="1">
      <c r="A1404" s="55" t="str">
        <f t="shared" si="69"/>
        <v xml:space="preserve">      </v>
      </c>
    </row>
    <row r="1405" spans="1:1" hidden="1">
      <c r="A1405" s="55" t="str">
        <f t="shared" si="69"/>
        <v xml:space="preserve">      </v>
      </c>
    </row>
    <row r="1406" spans="1:1" hidden="1">
      <c r="A1406" s="55" t="str">
        <f t="shared" si="69"/>
        <v xml:space="preserve">      </v>
      </c>
    </row>
    <row r="1407" spans="1:1" hidden="1">
      <c r="A1407" s="55" t="str">
        <f t="shared" si="69"/>
        <v xml:space="preserve">      </v>
      </c>
    </row>
    <row r="1408" spans="1:1" hidden="1">
      <c r="A1408" s="55" t="str">
        <f t="shared" si="69"/>
        <v xml:space="preserve">      </v>
      </c>
    </row>
    <row r="1409" spans="1:1" hidden="1">
      <c r="A1409" s="55" t="str">
        <f t="shared" si="69"/>
        <v xml:space="preserve">      </v>
      </c>
    </row>
    <row r="1410" spans="1:1" hidden="1">
      <c r="A1410" s="55" t="str">
        <f t="shared" si="69"/>
        <v xml:space="preserve">      </v>
      </c>
    </row>
    <row r="1411" spans="1:1" hidden="1">
      <c r="A1411" s="55" t="str">
        <f t="shared" si="69"/>
        <v xml:space="preserve">      </v>
      </c>
    </row>
    <row r="1412" spans="1:1" hidden="1">
      <c r="A1412" s="55" t="str">
        <f t="shared" si="69"/>
        <v xml:space="preserve">      </v>
      </c>
    </row>
    <row r="1413" spans="1:1" hidden="1">
      <c r="A1413" s="55" t="str">
        <f t="shared" si="69"/>
        <v xml:space="preserve">      </v>
      </c>
    </row>
    <row r="1414" spans="1:1" hidden="1">
      <c r="A1414" s="55" t="str">
        <f t="shared" si="69"/>
        <v xml:space="preserve">      </v>
      </c>
    </row>
    <row r="1415" spans="1:1" hidden="1">
      <c r="A1415" s="55" t="str">
        <f t="shared" si="69"/>
        <v xml:space="preserve">      </v>
      </c>
    </row>
    <row r="1416" spans="1:1" hidden="1">
      <c r="A1416" s="55" t="str">
        <f t="shared" si="69"/>
        <v xml:space="preserve">      </v>
      </c>
    </row>
    <row r="1417" spans="1:1" hidden="1">
      <c r="A1417" s="55" t="str">
        <f t="shared" si="69"/>
        <v xml:space="preserve">      </v>
      </c>
    </row>
    <row r="1418" spans="1:1" hidden="1">
      <c r="A1418" s="55" t="str">
        <f t="shared" si="69"/>
        <v xml:space="preserve">      </v>
      </c>
    </row>
    <row r="1419" spans="1:1" hidden="1">
      <c r="A1419" s="55" t="str">
        <f t="shared" si="69"/>
        <v xml:space="preserve">      </v>
      </c>
    </row>
    <row r="1420" spans="1:1" hidden="1">
      <c r="A1420" s="55" t="str">
        <f t="shared" ref="A1420:A1454" si="70">"      "&amp;AL76</f>
        <v xml:space="preserve">      </v>
      </c>
    </row>
    <row r="1421" spans="1:1" hidden="1">
      <c r="A1421" s="55" t="str">
        <f t="shared" si="70"/>
        <v xml:space="preserve">      </v>
      </c>
    </row>
    <row r="1422" spans="1:1" hidden="1">
      <c r="A1422" s="55" t="str">
        <f t="shared" si="70"/>
        <v xml:space="preserve">      </v>
      </c>
    </row>
    <row r="1423" spans="1:1" hidden="1">
      <c r="A1423" s="55" t="str">
        <f t="shared" si="70"/>
        <v xml:space="preserve">      </v>
      </c>
    </row>
    <row r="1424" spans="1:1" hidden="1">
      <c r="A1424" s="55" t="str">
        <f t="shared" si="70"/>
        <v xml:space="preserve">      </v>
      </c>
    </row>
    <row r="1425" spans="1:1" hidden="1">
      <c r="A1425" s="55" t="str">
        <f t="shared" si="70"/>
        <v xml:space="preserve">      </v>
      </c>
    </row>
    <row r="1426" spans="1:1" hidden="1">
      <c r="A1426" s="55" t="str">
        <f t="shared" si="70"/>
        <v xml:space="preserve">      </v>
      </c>
    </row>
    <row r="1427" spans="1:1" hidden="1">
      <c r="A1427" s="55" t="str">
        <f t="shared" si="70"/>
        <v xml:space="preserve">      </v>
      </c>
    </row>
    <row r="1428" spans="1:1" hidden="1">
      <c r="A1428" s="55" t="str">
        <f t="shared" si="70"/>
        <v xml:space="preserve">      </v>
      </c>
    </row>
    <row r="1429" spans="1:1" hidden="1">
      <c r="A1429" s="55" t="str">
        <f t="shared" si="70"/>
        <v xml:space="preserve">      </v>
      </c>
    </row>
    <row r="1430" spans="1:1" hidden="1">
      <c r="A1430" s="55" t="str">
        <f t="shared" si="70"/>
        <v xml:space="preserve">      </v>
      </c>
    </row>
    <row r="1431" spans="1:1" hidden="1">
      <c r="A1431" s="55" t="str">
        <f t="shared" si="70"/>
        <v xml:space="preserve">      </v>
      </c>
    </row>
    <row r="1432" spans="1:1" hidden="1">
      <c r="A1432" s="55" t="str">
        <f t="shared" si="70"/>
        <v xml:space="preserve">      </v>
      </c>
    </row>
    <row r="1433" spans="1:1" hidden="1">
      <c r="A1433" s="55" t="str">
        <f t="shared" si="70"/>
        <v xml:space="preserve">      </v>
      </c>
    </row>
    <row r="1434" spans="1:1" hidden="1">
      <c r="A1434" s="55" t="str">
        <f t="shared" si="70"/>
        <v xml:space="preserve">      </v>
      </c>
    </row>
    <row r="1435" spans="1:1" hidden="1">
      <c r="A1435" s="55" t="str">
        <f t="shared" si="70"/>
        <v xml:space="preserve">      </v>
      </c>
    </row>
    <row r="1436" spans="1:1" hidden="1">
      <c r="A1436" s="55" t="str">
        <f t="shared" si="70"/>
        <v xml:space="preserve">      </v>
      </c>
    </row>
    <row r="1437" spans="1:1" hidden="1">
      <c r="A1437" s="55" t="str">
        <f t="shared" si="70"/>
        <v xml:space="preserve">      </v>
      </c>
    </row>
    <row r="1438" spans="1:1" hidden="1">
      <c r="A1438" s="55" t="str">
        <f t="shared" si="70"/>
        <v xml:space="preserve">      </v>
      </c>
    </row>
    <row r="1439" spans="1:1" hidden="1">
      <c r="A1439" s="55" t="str">
        <f t="shared" si="70"/>
        <v xml:space="preserve">      </v>
      </c>
    </row>
    <row r="1440" spans="1:1" hidden="1">
      <c r="A1440" s="55" t="str">
        <f t="shared" si="70"/>
        <v xml:space="preserve">      </v>
      </c>
    </row>
    <row r="1441" spans="1:1" hidden="1">
      <c r="A1441" s="55" t="str">
        <f t="shared" si="70"/>
        <v xml:space="preserve">      </v>
      </c>
    </row>
    <row r="1442" spans="1:1" hidden="1">
      <c r="A1442" s="55" t="str">
        <f t="shared" si="70"/>
        <v xml:space="preserve">      </v>
      </c>
    </row>
    <row r="1443" spans="1:1" hidden="1">
      <c r="A1443" s="55" t="str">
        <f t="shared" si="70"/>
        <v xml:space="preserve">      </v>
      </c>
    </row>
    <row r="1444" spans="1:1" hidden="1">
      <c r="A1444" s="55" t="str">
        <f t="shared" si="70"/>
        <v xml:space="preserve">      </v>
      </c>
    </row>
    <row r="1445" spans="1:1" hidden="1">
      <c r="A1445" s="55" t="str">
        <f t="shared" si="70"/>
        <v xml:space="preserve">      </v>
      </c>
    </row>
    <row r="1446" spans="1:1" hidden="1">
      <c r="A1446" s="55" t="str">
        <f t="shared" si="70"/>
        <v xml:space="preserve">      </v>
      </c>
    </row>
    <row r="1447" spans="1:1" hidden="1">
      <c r="A1447" s="55" t="str">
        <f t="shared" si="70"/>
        <v xml:space="preserve">      </v>
      </c>
    </row>
    <row r="1448" spans="1:1" hidden="1">
      <c r="A1448" s="55" t="str">
        <f t="shared" si="70"/>
        <v xml:space="preserve">      </v>
      </c>
    </row>
    <row r="1449" spans="1:1" hidden="1">
      <c r="A1449" s="55" t="str">
        <f t="shared" si="70"/>
        <v xml:space="preserve">      </v>
      </c>
    </row>
    <row r="1450" spans="1:1" hidden="1">
      <c r="A1450" s="55" t="str">
        <f t="shared" si="70"/>
        <v xml:space="preserve">      </v>
      </c>
    </row>
    <row r="1451" spans="1:1" hidden="1">
      <c r="A1451" s="55" t="str">
        <f t="shared" si="70"/>
        <v xml:space="preserve">      </v>
      </c>
    </row>
    <row r="1452" spans="1:1" hidden="1">
      <c r="A1452" s="55" t="str">
        <f t="shared" si="70"/>
        <v xml:space="preserve">      </v>
      </c>
    </row>
    <row r="1453" spans="1:1" hidden="1">
      <c r="A1453" s="55" t="str">
        <f t="shared" si="70"/>
        <v xml:space="preserve">      </v>
      </c>
    </row>
    <row r="1454" spans="1:1" hidden="1">
      <c r="A1454" s="55" t="str">
        <f t="shared" si="70"/>
        <v xml:space="preserve">      </v>
      </c>
    </row>
    <row r="1455" spans="1:1">
      <c r="A1455" s="55" t="s">
        <v>1269</v>
      </c>
    </row>
    <row r="1456" spans="1:1">
      <c r="A1456" s="55" t="s">
        <v>107</v>
      </c>
    </row>
    <row r="1457" spans="1:1">
      <c r="A1457" s="12" t="str">
        <f>+A115</f>
        <v>&lt;? /* editJesus1.php*/ ?&gt;</v>
      </c>
    </row>
    <row r="1458" spans="1:1">
      <c r="A1458" s="12" t="str">
        <f>N2&amp;"edit"&amp;fieldcreatorv2!N15&amp;N3&amp;"Volver a listado clientes&lt;/a&gt;"</f>
        <v>&lt;a href="editJesus1.php"&gt;Volver a listado clientes&lt;/a&gt;</v>
      </c>
    </row>
  </sheetData>
  <autoFilter ref="A113:A1458">
    <filterColumn colId="0">
      <customFilters>
        <customFilter operator="notEqual" val=" "/>
      </customFilters>
    </filterColumn>
  </autoFilter>
  <dataValidations disablePrompts="1" count="1">
    <dataValidation type="list" allowBlank="1" showInputMessage="1" showErrorMessage="1" sqref="C11:C110">
      <formula1>$P$1:$P$3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 filterMode="1"/>
  <dimension ref="A1:W338"/>
  <sheetViews>
    <sheetView topLeftCell="A8" zoomScale="71" zoomScaleNormal="71" workbookViewId="0">
      <selection activeCell="C28" sqref="C28"/>
    </sheetView>
  </sheetViews>
  <sheetFormatPr baseColWidth="10" defaultRowHeight="15"/>
  <cols>
    <col min="1" max="1" width="5.140625" style="12" customWidth="1"/>
    <col min="2" max="2" width="11.42578125" style="12"/>
    <col min="3" max="3" width="11" style="12" customWidth="1"/>
    <col min="4" max="4" width="10.7109375" style="12" customWidth="1"/>
    <col min="5" max="5" width="21.28515625" style="12" customWidth="1"/>
    <col min="6" max="6" width="22.42578125" style="12" customWidth="1"/>
    <col min="7" max="7" width="19.5703125" style="12" customWidth="1"/>
    <col min="8" max="8" width="9.85546875" style="12" customWidth="1"/>
    <col min="9" max="9" width="14.42578125" style="12" customWidth="1"/>
    <col min="10" max="10" width="11.42578125" style="12"/>
    <col min="11" max="11" width="13.42578125" style="12" bestFit="1" customWidth="1"/>
    <col min="12" max="14" width="11.42578125" style="12"/>
    <col min="15" max="15" width="16.7109375" style="12" customWidth="1"/>
    <col min="16" max="16" width="16.28515625" style="12" customWidth="1"/>
    <col min="17" max="17" width="6.5703125" style="12" customWidth="1"/>
    <col min="18" max="18" width="8.7109375" style="12" hidden="1" customWidth="1"/>
    <col min="19" max="21" width="3.42578125" style="12" hidden="1" customWidth="1"/>
    <col min="22" max="22" width="19.5703125" style="12" customWidth="1"/>
    <col min="23" max="16384" width="11.42578125" style="12"/>
  </cols>
  <sheetData>
    <row r="1" spans="1:23" hidden="1">
      <c r="A1" s="192" t="s">
        <v>945</v>
      </c>
      <c r="B1" s="192" t="s">
        <v>192</v>
      </c>
      <c r="C1" s="213" t="s">
        <v>997</v>
      </c>
      <c r="D1" s="213" t="s">
        <v>1092</v>
      </c>
      <c r="E1" s="192" t="s">
        <v>1117</v>
      </c>
      <c r="F1" s="192"/>
      <c r="G1" s="192"/>
      <c r="H1" s="6" t="s">
        <v>930</v>
      </c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</row>
    <row r="2" spans="1:23" hidden="1">
      <c r="A2" s="213" t="s">
        <v>938</v>
      </c>
      <c r="B2" s="192" t="s">
        <v>21</v>
      </c>
      <c r="C2" s="192" t="s">
        <v>998</v>
      </c>
      <c r="D2" s="192" t="s">
        <v>1093</v>
      </c>
      <c r="E2" s="192" t="s">
        <v>1116</v>
      </c>
      <c r="F2" s="192"/>
      <c r="G2" s="192"/>
      <c r="H2" s="6" t="s">
        <v>931</v>
      </c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</row>
    <row r="3" spans="1:23" hidden="1">
      <c r="A3" s="192" t="s">
        <v>936</v>
      </c>
      <c r="B3" s="213" t="s">
        <v>954</v>
      </c>
      <c r="C3" s="192" t="s">
        <v>1006</v>
      </c>
      <c r="D3" s="213" t="s">
        <v>1094</v>
      </c>
      <c r="E3" s="192" t="s">
        <v>1118</v>
      </c>
      <c r="F3" s="192"/>
      <c r="G3" s="192"/>
      <c r="H3" s="6" t="s">
        <v>805</v>
      </c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</row>
    <row r="4" spans="1:23" hidden="1">
      <c r="A4" s="192" t="s">
        <v>949</v>
      </c>
      <c r="B4" s="39" t="str">
        <f>"'"</f>
        <v>'</v>
      </c>
      <c r="C4" s="192" t="s">
        <v>1007</v>
      </c>
      <c r="D4" s="237" t="s">
        <v>1097</v>
      </c>
      <c r="E4" s="192" t="s">
        <v>1119</v>
      </c>
      <c r="F4" s="192"/>
      <c r="G4" s="192"/>
      <c r="H4" s="192"/>
      <c r="I4" s="192"/>
      <c r="J4" s="192"/>
      <c r="K4" s="192"/>
      <c r="L4" s="192"/>
      <c r="M4" s="192"/>
      <c r="N4" s="192"/>
      <c r="O4" s="192"/>
      <c r="P4" s="192"/>
      <c r="Q4" s="192"/>
      <c r="R4" s="192"/>
      <c r="S4" s="192"/>
      <c r="T4" s="192"/>
    </row>
    <row r="5" spans="1:23" hidden="1">
      <c r="A5" s="192" t="s">
        <v>950</v>
      </c>
      <c r="B5" s="213" t="s">
        <v>953</v>
      </c>
      <c r="C5" s="213" t="s">
        <v>1095</v>
      </c>
      <c r="D5" s="192" t="str">
        <f>"'"</f>
        <v>'</v>
      </c>
      <c r="E5" s="192"/>
      <c r="F5" s="192"/>
      <c r="G5" s="192"/>
      <c r="H5" s="192"/>
      <c r="I5" s="192"/>
      <c r="J5" s="192"/>
      <c r="K5" s="192"/>
      <c r="L5" s="192"/>
      <c r="M5" s="192"/>
      <c r="N5" s="192"/>
      <c r="O5" s="192"/>
      <c r="P5" s="192"/>
      <c r="Q5" s="192"/>
      <c r="R5" s="192"/>
      <c r="S5" s="192"/>
      <c r="T5" s="192"/>
    </row>
    <row r="6" spans="1:23" hidden="1">
      <c r="A6" s="192" t="s">
        <v>108</v>
      </c>
      <c r="B6" s="192" t="s">
        <v>703</v>
      </c>
      <c r="C6" s="192" t="s">
        <v>1096</v>
      </c>
      <c r="D6" s="213" t="s">
        <v>1101</v>
      </c>
      <c r="E6" s="192"/>
      <c r="F6" s="192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</row>
    <row r="7" spans="1:23" hidden="1">
      <c r="A7" s="192" t="s">
        <v>110</v>
      </c>
      <c r="B7" s="192" t="s">
        <v>503</v>
      </c>
      <c r="C7" s="192" t="s">
        <v>503</v>
      </c>
      <c r="D7" s="213" t="s">
        <v>1102</v>
      </c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</row>
    <row r="11" spans="1:23" ht="46.5" customHeight="1">
      <c r="B11" s="216" t="s">
        <v>927</v>
      </c>
      <c r="C11" s="226" t="s">
        <v>929</v>
      </c>
      <c r="D11" s="227" t="s">
        <v>946</v>
      </c>
      <c r="E11" s="227" t="s">
        <v>996</v>
      </c>
      <c r="F11" s="228" t="s">
        <v>932</v>
      </c>
      <c r="G11" s="264" t="s">
        <v>928</v>
      </c>
      <c r="H11" s="226" t="s">
        <v>1001</v>
      </c>
      <c r="I11" s="228" t="s">
        <v>951</v>
      </c>
      <c r="J11" s="226" t="s">
        <v>1003</v>
      </c>
      <c r="K11" s="227" t="s">
        <v>999</v>
      </c>
      <c r="L11" s="227" t="s">
        <v>1002</v>
      </c>
      <c r="M11" s="227" t="s">
        <v>1000</v>
      </c>
      <c r="N11" s="227" t="s">
        <v>1005</v>
      </c>
      <c r="O11" s="229" t="s">
        <v>1004</v>
      </c>
      <c r="P11" s="226" t="s">
        <v>1008</v>
      </c>
      <c r="Q11" s="226" t="s">
        <v>1088</v>
      </c>
      <c r="R11" s="12" t="s">
        <v>1089</v>
      </c>
      <c r="S11" s="12" t="s">
        <v>1090</v>
      </c>
      <c r="T11" s="12" t="s">
        <v>1091</v>
      </c>
      <c r="U11" s="12" t="s">
        <v>1098</v>
      </c>
      <c r="V11" s="223" t="s">
        <v>1099</v>
      </c>
      <c r="W11" s="12" t="s">
        <v>1100</v>
      </c>
    </row>
    <row r="12" spans="1:23">
      <c r="A12" s="12">
        <v>1</v>
      </c>
      <c r="B12" s="217" t="str">
        <f>IF(fieldcreatorv2!BX15="","",fieldcreatorv2!BX15)</f>
        <v>user</v>
      </c>
      <c r="C12" s="224"/>
      <c r="D12" s="225"/>
      <c r="E12" s="225"/>
      <c r="F12" s="116" t="str">
        <f t="shared" ref="F12:F15" si="0">IF(W12&lt;&gt;"",W12,IF(Q12=1,"",IF(AND(B12&lt;&gt;"",C12="y",V12&lt;&gt;""),V12,IF(AND(E12&lt;&gt;"",C12="y"),O12,IF(J12="check",P12,IF(AND(C12="y",B12&lt;&gt;""),G12,""))))))</f>
        <v/>
      </c>
      <c r="G12" s="265" t="str">
        <f t="shared" ref="G12:G43" si="1">+$A$1&amp;B12&amp;$A$2&amp;$A$3</f>
        <v>echo "&lt;td class=".$rowclass."&gt;".$row['user']."&lt;/td&gt;";</v>
      </c>
      <c r="H12" s="12" t="str">
        <f t="shared" ref="H12:H15" si="2">+IF(OR(B12="",C12&lt;&gt;"y"),"",IF(D12="",B12,D12))</f>
        <v/>
      </c>
      <c r="I12" s="145" t="str">
        <f t="shared" ref="I12:I28" si="3">IF(Q12=1,"",IF(AND(E12&lt;&gt;"",E12=E11),"",IF(H12="","",$A$4&amp;H12&amp;$A$5)))</f>
        <v/>
      </c>
      <c r="J12" s="12" t="str">
        <f>+IF(AND(fieldcreatorv2!C15&lt;&gt;"",C12="y"),fieldcreatorv2!E15,"")</f>
        <v/>
      </c>
      <c r="K12" s="12" t="str">
        <f t="shared" ref="K12:K16" si="4">+IF(AND(E12&lt;&gt;E11,E12&lt;&gt;""),"starting",IF(AND(E12&lt;&gt;"",E12&lt;&gt;E13),"ending",IF(E12&lt;&gt;"","group","")))</f>
        <v/>
      </c>
      <c r="L12" s="12" t="str">
        <f t="shared" ref="L12:L15" si="5">IF(E12&lt;&gt;"",$B$7&amp;B12&amp;$C$1&amp;B12&amp;$C$2,"")</f>
        <v/>
      </c>
      <c r="M12" s="12" t="str">
        <f t="shared" ref="M12:M15" si="6">+IF(K12="starting",$C$3,"")</f>
        <v/>
      </c>
      <c r="N12" s="12" t="str">
        <f t="shared" ref="N12:N15" si="7">+IF(K12="ending",$C$4,"")</f>
        <v/>
      </c>
      <c r="O12" s="55" t="str">
        <f t="shared" ref="O12:O15" si="8">+M12&amp;L12&amp;N12</f>
        <v/>
      </c>
      <c r="P12" s="230" t="str">
        <f t="shared" ref="P12:P15" si="9">+IF(AND(B12&lt;&gt;"",C12="y",J12="check"),$B$7&amp;B12&amp;$C$5,"")</f>
        <v/>
      </c>
      <c r="Q12" s="12" t="str">
        <f>+IF(AND(fieldcreatorv2!I15="si",OR(fieldcreatorv2!E15="bigtext",fieldcreatorv2!E15="texto"),OR(fieldcreatorv2!E14="radio",fieldcreatorv2!E14="selectlist")),1,"")</f>
        <v/>
      </c>
      <c r="R12" s="12">
        <f>+IF(AND(Q13=1,OR(fieldcreatorv2!E15="radio",fieldcreatorv2!E15="selectlist")),1,IF(Q12=1,1,IF(AND(R13=1,OR(fieldcreatorv2!E15="radio",fieldcreatorv2!E15="selectlist")),1,0)))</f>
        <v>0</v>
      </c>
      <c r="S12" s="12" t="str">
        <f t="shared" ref="S12:S27" si="10">+IF(AND(Q12=1,R12=1),B12,IF(AND(R12=1,R13=1),S13,""))</f>
        <v/>
      </c>
      <c r="T12" s="12" t="str">
        <f>+IF(AND(R12=1,R13=Q13),fieldcreatorv2!C15,IF(AND(R12=1,R13=1),T13,""))</f>
        <v/>
      </c>
      <c r="U12" s="12" t="str">
        <f t="shared" ref="U12:U24" si="11">+IF(AND(R12=1,OR(J12="radio",J12="selectlist")),1,"")</f>
        <v/>
      </c>
      <c r="V12" s="12" t="str">
        <f t="shared" ref="V12:V24" si="12">IF(U12=1,$C$6&amp;$C$7&amp;B12&amp;$D$1&amp;T12&amp;$D$2&amp;S12&amp;$D$3&amp;B12&amp;$D$4,"")</f>
        <v/>
      </c>
      <c r="W12" s="12" t="str">
        <f t="shared" ref="W12:W15" si="13">IF(J12="date",$C$6&amp;$C$7&amp;B12&amp;$D$6&amp;B12&amp;$D$7&amp;B12&amp;$D$4,"")</f>
        <v/>
      </c>
    </row>
    <row r="13" spans="1:23">
      <c r="A13" s="12">
        <v>2</v>
      </c>
      <c r="B13" s="217" t="str">
        <f>IF(fieldcreatorv2!BX16="","",fieldcreatorv2!BX16)</f>
        <v>tipo_doc_id</v>
      </c>
      <c r="C13" s="218"/>
      <c r="D13" s="219"/>
      <c r="E13" s="219"/>
      <c r="F13" s="116" t="str">
        <f t="shared" si="0"/>
        <v/>
      </c>
      <c r="G13" s="265" t="str">
        <f t="shared" si="1"/>
        <v>echo "&lt;td class=".$rowclass."&gt;".$row['tipo_doc_id']."&lt;/td&gt;";</v>
      </c>
      <c r="H13" s="12" t="str">
        <f t="shared" si="2"/>
        <v/>
      </c>
      <c r="I13" s="145" t="str">
        <f t="shared" si="3"/>
        <v/>
      </c>
      <c r="J13" s="12" t="str">
        <f>+IF(AND(fieldcreatorv2!C16&lt;&gt;"",C13="y"),fieldcreatorv2!E16,"")</f>
        <v/>
      </c>
      <c r="K13" s="12" t="str">
        <f t="shared" si="4"/>
        <v/>
      </c>
      <c r="L13" s="12" t="str">
        <f t="shared" si="5"/>
        <v/>
      </c>
      <c r="M13" s="12" t="str">
        <f t="shared" si="6"/>
        <v/>
      </c>
      <c r="N13" s="12" t="str">
        <f t="shared" si="7"/>
        <v/>
      </c>
      <c r="O13" s="55" t="str">
        <f t="shared" si="8"/>
        <v/>
      </c>
      <c r="P13" s="230" t="str">
        <f t="shared" si="9"/>
        <v/>
      </c>
      <c r="Q13" s="12" t="str">
        <f>+IF(AND(fieldcreatorv2!I16="si",OR(fieldcreatorv2!E16="bigtext",fieldcreatorv2!E16="texto"),OR(fieldcreatorv2!E15="radio",fieldcreatorv2!E15="selectlist")),1,"")</f>
        <v/>
      </c>
      <c r="R13" s="12">
        <f>+IF(AND(Q14=1,OR(fieldcreatorv2!E16="radio",fieldcreatorv2!E16="selectlist")),1,IF(Q13=1,1,IF(AND(R14=1,OR(fieldcreatorv2!E16="radio",fieldcreatorv2!E16="selectlist")),1,0)))</f>
        <v>0</v>
      </c>
      <c r="S13" s="12" t="str">
        <f t="shared" si="10"/>
        <v/>
      </c>
      <c r="T13" s="12" t="str">
        <f>+IF(AND(R13=1,R14=Q14),fieldcreatorv2!C16,IF(AND(R13=1,R14=1),T14,""))</f>
        <v/>
      </c>
      <c r="U13" s="12" t="str">
        <f t="shared" si="11"/>
        <v/>
      </c>
      <c r="V13" s="12" t="str">
        <f t="shared" si="12"/>
        <v/>
      </c>
      <c r="W13" s="12" t="str">
        <f t="shared" si="13"/>
        <v/>
      </c>
    </row>
    <row r="14" spans="1:23">
      <c r="A14" s="12">
        <v>3</v>
      </c>
      <c r="B14" s="217" t="str">
        <f>IF(fieldcreatorv2!BX17="","",fieldcreatorv2!BX17)</f>
        <v>numd</v>
      </c>
      <c r="C14" s="218"/>
      <c r="D14" s="219"/>
      <c r="E14" s="219"/>
      <c r="F14" s="116" t="str">
        <f t="shared" si="0"/>
        <v/>
      </c>
      <c r="G14" s="265" t="str">
        <f t="shared" si="1"/>
        <v>echo "&lt;td class=".$rowclass."&gt;".$row['numd']."&lt;/td&gt;";</v>
      </c>
      <c r="H14" s="12" t="str">
        <f t="shared" si="2"/>
        <v/>
      </c>
      <c r="I14" s="145" t="str">
        <f t="shared" si="3"/>
        <v/>
      </c>
      <c r="J14" s="12" t="str">
        <f>+IF(AND(fieldcreatorv2!C17&lt;&gt;"",C14="y"),fieldcreatorv2!E17,"")</f>
        <v/>
      </c>
      <c r="K14" s="12" t="str">
        <f t="shared" si="4"/>
        <v/>
      </c>
      <c r="L14" s="12" t="str">
        <f t="shared" si="5"/>
        <v/>
      </c>
      <c r="M14" s="12" t="str">
        <f t="shared" si="6"/>
        <v/>
      </c>
      <c r="N14" s="12" t="str">
        <f t="shared" si="7"/>
        <v/>
      </c>
      <c r="O14" s="55" t="str">
        <f t="shared" si="8"/>
        <v/>
      </c>
      <c r="P14" s="230" t="str">
        <f t="shared" si="9"/>
        <v/>
      </c>
      <c r="Q14" s="12" t="str">
        <f>+IF(AND(fieldcreatorv2!I17="si",OR(fieldcreatorv2!E17="bigtext",fieldcreatorv2!E17="texto"),OR(fieldcreatorv2!E16="radio",fieldcreatorv2!E16="selectlist")),1,"")</f>
        <v/>
      </c>
      <c r="R14" s="12">
        <f>+IF(AND(Q15=1,OR(fieldcreatorv2!E17="radio",fieldcreatorv2!E17="selectlist")),1,IF(Q14=1,1,IF(AND(R15=1,OR(fieldcreatorv2!E17="radio",fieldcreatorv2!E17="selectlist")),1,0)))</f>
        <v>0</v>
      </c>
      <c r="S14" s="12" t="str">
        <f t="shared" si="10"/>
        <v/>
      </c>
      <c r="T14" s="12" t="str">
        <f>+IF(AND(R14=1,R15=Q15),fieldcreatorv2!C17,IF(AND(R14=1,R15=1),T15,""))</f>
        <v/>
      </c>
      <c r="U14" s="12" t="str">
        <f t="shared" si="11"/>
        <v/>
      </c>
      <c r="V14" s="12" t="str">
        <f t="shared" si="12"/>
        <v/>
      </c>
      <c r="W14" s="12" t="str">
        <f t="shared" si="13"/>
        <v/>
      </c>
    </row>
    <row r="15" spans="1:23">
      <c r="A15" s="12">
        <v>4</v>
      </c>
      <c r="B15" s="217" t="str">
        <f>IF(fieldcreatorv2!BX18="","",fieldcreatorv2!BX18)</f>
        <v>tms_1</v>
      </c>
      <c r="C15" s="218"/>
      <c r="D15" s="219"/>
      <c r="E15" s="219"/>
      <c r="F15" s="116" t="str">
        <f t="shared" si="0"/>
        <v/>
      </c>
      <c r="G15" s="265" t="str">
        <f t="shared" si="1"/>
        <v>echo "&lt;td class=".$rowclass."&gt;".$row['tms_1']."&lt;/td&gt;";</v>
      </c>
      <c r="H15" s="12" t="str">
        <f t="shared" si="2"/>
        <v/>
      </c>
      <c r="I15" s="145" t="str">
        <f t="shared" si="3"/>
        <v/>
      </c>
      <c r="J15" s="12" t="str">
        <f>+IF(AND(fieldcreatorv2!C18&lt;&gt;"",C15="y"),fieldcreatorv2!E18,"")</f>
        <v/>
      </c>
      <c r="K15" s="12" t="str">
        <f t="shared" si="4"/>
        <v/>
      </c>
      <c r="L15" s="12" t="str">
        <f t="shared" si="5"/>
        <v/>
      </c>
      <c r="M15" s="12" t="str">
        <f t="shared" si="6"/>
        <v/>
      </c>
      <c r="N15" s="12" t="str">
        <f t="shared" si="7"/>
        <v/>
      </c>
      <c r="O15" s="55" t="str">
        <f t="shared" si="8"/>
        <v/>
      </c>
      <c r="P15" s="230" t="str">
        <f t="shared" si="9"/>
        <v/>
      </c>
      <c r="Q15" s="12" t="str">
        <f>+IF(AND(fieldcreatorv2!I18="si",OR(fieldcreatorv2!E18="bigtext",fieldcreatorv2!E18="texto"),OR(fieldcreatorv2!E17="radio",fieldcreatorv2!E17="selectlist")),1,"")</f>
        <v/>
      </c>
      <c r="R15" s="12">
        <f>+IF(AND(Q16=1,OR(fieldcreatorv2!E18="radio",fieldcreatorv2!E18="selectlist")),1,IF(Q15=1,1,IF(AND(R16=1,OR(fieldcreatorv2!E18="radio",fieldcreatorv2!E18="selectlist")),1,0)))</f>
        <v>0</v>
      </c>
      <c r="S15" s="12" t="str">
        <f t="shared" si="10"/>
        <v/>
      </c>
      <c r="T15" s="12" t="str">
        <f>+IF(AND(R15=1,R16=Q16),fieldcreatorv2!C18,IF(AND(R15=1,R16=1),T16,""))</f>
        <v/>
      </c>
      <c r="U15" s="12" t="str">
        <f t="shared" si="11"/>
        <v/>
      </c>
      <c r="V15" s="12" t="str">
        <f t="shared" si="12"/>
        <v/>
      </c>
      <c r="W15" s="12" t="str">
        <f t="shared" si="13"/>
        <v/>
      </c>
    </row>
    <row r="16" spans="1:23">
      <c r="A16" s="12">
        <v>5</v>
      </c>
      <c r="B16" s="217" t="str">
        <f>IF(fieldcreatorv2!BX19="","",fieldcreatorv2!BX19)</f>
        <v/>
      </c>
      <c r="C16" s="218"/>
      <c r="D16" s="219"/>
      <c r="E16" s="219"/>
      <c r="F16" s="116" t="str">
        <f>IF(W16&lt;&gt;"",W16,IF(Q16=1,"",IF(AND(B16&lt;&gt;"",C16="y",V16&lt;&gt;""),V16,IF(AND(E16&lt;&gt;"",C16="y"),O16,IF(J16="check",P16,IF(AND(C16="y",B16&lt;&gt;""),G16,""))))))</f>
        <v/>
      </c>
      <c r="G16" s="265" t="str">
        <f t="shared" si="1"/>
        <v>echo "&lt;td class=".$rowclass."&gt;".$row['']."&lt;/td&gt;";</v>
      </c>
      <c r="H16" s="12" t="str">
        <f>+IF(OR(B16="",C16&lt;&gt;"y"),"",IF(D16="",B16,D16))</f>
        <v/>
      </c>
      <c r="I16" s="145" t="str">
        <f t="shared" si="3"/>
        <v/>
      </c>
      <c r="J16" s="12" t="str">
        <f>+IF(AND(fieldcreatorv2!C19&lt;&gt;"",C16="y"),fieldcreatorv2!E19,"")</f>
        <v/>
      </c>
      <c r="K16" s="12" t="str">
        <f t="shared" si="4"/>
        <v/>
      </c>
      <c r="L16" s="12" t="str">
        <f>IF(E16&lt;&gt;"",$B$7&amp;B16&amp;$C$1&amp;B16&amp;$C$2,"")</f>
        <v/>
      </c>
      <c r="M16" s="12" t="str">
        <f>+IF(K16="starting",$C$3,"")</f>
        <v/>
      </c>
      <c r="N16" s="12" t="str">
        <f>+IF(K16="ending",$C$4,"")</f>
        <v/>
      </c>
      <c r="O16" s="55" t="str">
        <f>+M16&amp;L16&amp;N16</f>
        <v/>
      </c>
      <c r="P16" s="230" t="str">
        <f>+IF(AND(B16&lt;&gt;"",C16="y",J16="check"),$B$7&amp;B16&amp;$C$5,"")</f>
        <v/>
      </c>
      <c r="Q16" s="12" t="str">
        <f>+IF(AND(fieldcreatorv2!I19="si",OR(fieldcreatorv2!E19="bigtext",fieldcreatorv2!E19="texto"),OR(fieldcreatorv2!E18="radio",fieldcreatorv2!E18="selectlist")),1,"")</f>
        <v/>
      </c>
      <c r="R16" s="12">
        <f>+IF(AND(Q17=1,OR(fieldcreatorv2!E19="radio",fieldcreatorv2!E19="selectlist")),1,IF(Q16=1,1,IF(AND(R17=1,OR(fieldcreatorv2!E19="radio",fieldcreatorv2!E19="selectlist")),1,0)))</f>
        <v>0</v>
      </c>
      <c r="S16" s="12" t="str">
        <f t="shared" si="10"/>
        <v/>
      </c>
      <c r="T16" s="12" t="str">
        <f>+IF(AND(R16=1,R17=Q17),fieldcreatorv2!C19,IF(AND(R16=1,R17=1),T17,""))</f>
        <v/>
      </c>
      <c r="U16" s="12" t="str">
        <f t="shared" si="11"/>
        <v/>
      </c>
      <c r="V16" s="12" t="str">
        <f t="shared" si="12"/>
        <v/>
      </c>
      <c r="W16" s="12" t="str">
        <f>IF(J16="date",$C$6&amp;$C$7&amp;B16&amp;$D$6&amp;B16&amp;$D$7&amp;B16&amp;$D$4,"")</f>
        <v/>
      </c>
    </row>
    <row r="17" spans="1:23">
      <c r="A17" s="12">
        <v>6</v>
      </c>
      <c r="B17" s="217" t="str">
        <f>IF(fieldcreatorv2!BX20="","",fieldcreatorv2!BX20)</f>
        <v/>
      </c>
      <c r="C17" s="218"/>
      <c r="D17" s="219"/>
      <c r="E17" s="219"/>
      <c r="F17" s="116" t="str">
        <f t="shared" ref="F17:F44" si="14">IF(W17&lt;&gt;"",W17,IF(Q17=1,"",IF(AND(B17&lt;&gt;"",C17="y",V17&lt;&gt;""),V17,IF(AND(E17&lt;&gt;"",C17="y"),O17,IF(J17="check",P17,IF(AND(C17="y",B17&lt;&gt;""),G17,""))))))</f>
        <v/>
      </c>
      <c r="G17" s="265" t="str">
        <f t="shared" si="1"/>
        <v>echo "&lt;td class=".$rowclass."&gt;".$row['']."&lt;/td&gt;";</v>
      </c>
      <c r="H17" s="12" t="str">
        <f t="shared" ref="H17:H80" si="15">+IF(OR(B17="",C17&lt;&gt;"y"),"",IF(D17="",B17,D17))</f>
        <v/>
      </c>
      <c r="I17" s="145" t="str">
        <f t="shared" si="3"/>
        <v/>
      </c>
      <c r="J17" s="12" t="str">
        <f>+IF(AND(fieldcreatorv2!C20&lt;&gt;"",C17="y"),fieldcreatorv2!E20,"")</f>
        <v/>
      </c>
      <c r="K17" s="12" t="str">
        <f>+IF(AND(E17&lt;&gt;E16,E17&lt;&gt;""),"starting",IF(AND(E17&lt;&gt;"",E17&lt;&gt;E18),"ending",IF(E17&lt;&gt;"","group","")))</f>
        <v/>
      </c>
      <c r="L17" s="12" t="str">
        <f t="shared" ref="L17:L35" si="16">IF(E17&lt;&gt;"",$B$7&amp;B17&amp;$C$1&amp;B17&amp;$C$2,"")</f>
        <v/>
      </c>
      <c r="M17" s="12" t="str">
        <f t="shared" ref="M17:M80" si="17">+IF(K17="starting",$C$3,"")</f>
        <v/>
      </c>
      <c r="N17" s="12" t="str">
        <f t="shared" ref="N17:N80" si="18">+IF(K17="ending",$C$4,"")</f>
        <v/>
      </c>
      <c r="O17" s="55" t="str">
        <f t="shared" ref="O17:O80" si="19">+M17&amp;L17&amp;N17</f>
        <v/>
      </c>
      <c r="P17" s="230" t="str">
        <f t="shared" ref="P17:P80" si="20">+IF(AND(B17&lt;&gt;"",C17="y",J17="check"),$B$7&amp;B17&amp;$C$5,"")</f>
        <v/>
      </c>
      <c r="Q17" s="12" t="str">
        <f>+IF(AND(fieldcreatorv2!I20="si",OR(fieldcreatorv2!E20="bigtext",fieldcreatorv2!E20="texto"),OR(fieldcreatorv2!E19="radio",fieldcreatorv2!E19="selectlist")),1,"")</f>
        <v/>
      </c>
      <c r="R17" s="12">
        <f>+IF(AND(Q18=1,OR(fieldcreatorv2!E20="radio",fieldcreatorv2!E20="selectlist")),1,IF(Q17=1,1,IF(AND(R18=1,OR(fieldcreatorv2!E20="radio",fieldcreatorv2!E20="selectlist")),1,0)))</f>
        <v>0</v>
      </c>
      <c r="S17" s="12" t="str">
        <f t="shared" si="10"/>
        <v/>
      </c>
      <c r="T17" s="12" t="str">
        <f>+IF(AND(R17=1,R18=Q18),fieldcreatorv2!C20,IF(AND(R17=1,R18=1),T18,""))</f>
        <v/>
      </c>
      <c r="U17" s="12" t="str">
        <f t="shared" si="11"/>
        <v/>
      </c>
      <c r="V17" s="12" t="str">
        <f t="shared" si="12"/>
        <v/>
      </c>
      <c r="W17" s="12" t="str">
        <f t="shared" ref="W17:W44" si="21">IF(J17="date",$C$6&amp;$C$7&amp;B17&amp;$D$6&amp;B17&amp;$D$7&amp;B17&amp;$D$4,"")</f>
        <v/>
      </c>
    </row>
    <row r="18" spans="1:23">
      <c r="A18" s="12">
        <v>7</v>
      </c>
      <c r="B18" s="217" t="str">
        <f>IF(fieldcreatorv2!BX21="","",fieldcreatorv2!BX21)</f>
        <v/>
      </c>
      <c r="C18" s="218"/>
      <c r="D18" s="219"/>
      <c r="E18" s="219"/>
      <c r="F18" s="116" t="str">
        <f t="shared" si="14"/>
        <v/>
      </c>
      <c r="G18" s="265" t="str">
        <f t="shared" si="1"/>
        <v>echo "&lt;td class=".$rowclass."&gt;".$row['']."&lt;/td&gt;";</v>
      </c>
      <c r="H18" s="12" t="str">
        <f t="shared" si="15"/>
        <v/>
      </c>
      <c r="I18" s="145" t="str">
        <f t="shared" si="3"/>
        <v/>
      </c>
      <c r="J18" s="12" t="str">
        <f>+IF(AND(fieldcreatorv2!C21&lt;&gt;"",C18="y"),fieldcreatorv2!E21,"")</f>
        <v/>
      </c>
      <c r="K18" s="12" t="str">
        <f t="shared" ref="K18:K35" si="22">+IF(AND(E18&lt;&gt;E17,E18&lt;&gt;""),"starting",IF(AND(E18&lt;&gt;"",E18&lt;&gt;E19),"ending",IF(E18&lt;&gt;"","group","")))</f>
        <v/>
      </c>
      <c r="L18" s="12" t="str">
        <f t="shared" si="16"/>
        <v/>
      </c>
      <c r="M18" s="12" t="str">
        <f t="shared" si="17"/>
        <v/>
      </c>
      <c r="N18" s="12" t="str">
        <f t="shared" si="18"/>
        <v/>
      </c>
      <c r="O18" s="55" t="str">
        <f t="shared" si="19"/>
        <v/>
      </c>
      <c r="P18" s="230" t="str">
        <f t="shared" si="20"/>
        <v/>
      </c>
      <c r="Q18" s="12" t="str">
        <f>+IF(AND(fieldcreatorv2!I21="si",OR(fieldcreatorv2!E21="bigtext",fieldcreatorv2!E21="texto"),OR(fieldcreatorv2!E20="radio",fieldcreatorv2!E20="selectlist")),1,"")</f>
        <v/>
      </c>
      <c r="R18" s="12">
        <f>+IF(AND(Q19=1,OR(fieldcreatorv2!E21="radio",fieldcreatorv2!E21="selectlist")),1,IF(Q18=1,1,IF(AND(R19=1,OR(fieldcreatorv2!E21="radio",fieldcreatorv2!E21="selectlist")),1,0)))</f>
        <v>0</v>
      </c>
      <c r="S18" s="12" t="str">
        <f t="shared" si="10"/>
        <v/>
      </c>
      <c r="T18" s="12" t="str">
        <f>+IF(AND(R18=1,R19=Q19),fieldcreatorv2!C21,IF(AND(R18=1,R19=1),T19,""))</f>
        <v/>
      </c>
      <c r="U18" s="12" t="str">
        <f t="shared" si="11"/>
        <v/>
      </c>
      <c r="V18" s="12" t="str">
        <f t="shared" si="12"/>
        <v/>
      </c>
      <c r="W18" s="12" t="str">
        <f t="shared" si="21"/>
        <v/>
      </c>
    </row>
    <row r="19" spans="1:23">
      <c r="A19" s="12">
        <v>8</v>
      </c>
      <c r="B19" s="217" t="str">
        <f>IF(fieldcreatorv2!BX22="","",fieldcreatorv2!BX22)</f>
        <v/>
      </c>
      <c r="C19" s="218"/>
      <c r="D19" s="219"/>
      <c r="E19" s="219"/>
      <c r="F19" s="116" t="str">
        <f t="shared" si="14"/>
        <v/>
      </c>
      <c r="G19" s="265" t="str">
        <f t="shared" si="1"/>
        <v>echo "&lt;td class=".$rowclass."&gt;".$row['']."&lt;/td&gt;";</v>
      </c>
      <c r="H19" s="12" t="str">
        <f t="shared" si="15"/>
        <v/>
      </c>
      <c r="I19" s="145" t="str">
        <f t="shared" si="3"/>
        <v/>
      </c>
      <c r="J19" s="12" t="str">
        <f>+IF(AND(fieldcreatorv2!C22&lt;&gt;"",C19="y"),fieldcreatorv2!E22,"")</f>
        <v/>
      </c>
      <c r="K19" s="12" t="str">
        <f t="shared" si="22"/>
        <v/>
      </c>
      <c r="L19" s="12" t="str">
        <f t="shared" si="16"/>
        <v/>
      </c>
      <c r="M19" s="12" t="str">
        <f t="shared" si="17"/>
        <v/>
      </c>
      <c r="N19" s="12" t="str">
        <f t="shared" si="18"/>
        <v/>
      </c>
      <c r="O19" s="55" t="str">
        <f t="shared" si="19"/>
        <v/>
      </c>
      <c r="P19" s="230" t="str">
        <f t="shared" si="20"/>
        <v/>
      </c>
      <c r="Q19" s="12" t="str">
        <f>+IF(AND(fieldcreatorv2!I22="si",OR(fieldcreatorv2!E22="bigtext",fieldcreatorv2!E22="texto"),OR(fieldcreatorv2!E21="radio",fieldcreatorv2!E21="selectlist")),1,"")</f>
        <v/>
      </c>
      <c r="R19" s="12">
        <f>+IF(AND(Q20=1,OR(fieldcreatorv2!E22="radio",fieldcreatorv2!E22="selectlist")),1,IF(Q19=1,1,IF(AND(R20=1,OR(fieldcreatorv2!E22="radio",fieldcreatorv2!E22="selectlist")),1,0)))</f>
        <v>0</v>
      </c>
      <c r="S19" s="12" t="str">
        <f t="shared" si="10"/>
        <v/>
      </c>
      <c r="T19" s="12" t="str">
        <f>+IF(AND(R19=1,R20=Q20),fieldcreatorv2!C22,IF(AND(R19=1,R20=1),T20,""))</f>
        <v/>
      </c>
      <c r="U19" s="12" t="str">
        <f t="shared" si="11"/>
        <v/>
      </c>
      <c r="V19" s="12" t="str">
        <f t="shared" si="12"/>
        <v/>
      </c>
      <c r="W19" s="12" t="str">
        <f t="shared" si="21"/>
        <v/>
      </c>
    </row>
    <row r="20" spans="1:23">
      <c r="A20" s="12">
        <v>9</v>
      </c>
      <c r="B20" s="217" t="str">
        <f>IF(fieldcreatorv2!BX23="","",fieldcreatorv2!BX23)</f>
        <v/>
      </c>
      <c r="C20" s="218"/>
      <c r="D20" s="219"/>
      <c r="E20" s="219"/>
      <c r="F20" s="116" t="str">
        <f t="shared" si="14"/>
        <v/>
      </c>
      <c r="G20" s="265" t="str">
        <f t="shared" si="1"/>
        <v>echo "&lt;td class=".$rowclass."&gt;".$row['']."&lt;/td&gt;";</v>
      </c>
      <c r="H20" s="12" t="str">
        <f t="shared" si="15"/>
        <v/>
      </c>
      <c r="I20" s="145" t="str">
        <f t="shared" si="3"/>
        <v/>
      </c>
      <c r="J20" s="12" t="str">
        <f>+IF(AND(fieldcreatorv2!C23&lt;&gt;"",C20="y"),fieldcreatorv2!E23,"")</f>
        <v/>
      </c>
      <c r="K20" s="12" t="str">
        <f t="shared" si="22"/>
        <v/>
      </c>
      <c r="L20" s="12" t="str">
        <f t="shared" si="16"/>
        <v/>
      </c>
      <c r="M20" s="12" t="str">
        <f t="shared" si="17"/>
        <v/>
      </c>
      <c r="N20" s="12" t="str">
        <f t="shared" si="18"/>
        <v/>
      </c>
      <c r="O20" s="55" t="str">
        <f t="shared" si="19"/>
        <v/>
      </c>
      <c r="P20" s="230" t="str">
        <f t="shared" si="20"/>
        <v/>
      </c>
      <c r="Q20" s="12" t="str">
        <f>+IF(AND(fieldcreatorv2!I23="si",OR(fieldcreatorv2!E23="bigtext",fieldcreatorv2!E23="texto"),OR(fieldcreatorv2!E22="radio",fieldcreatorv2!E22="selectlist")),1,"")</f>
        <v/>
      </c>
      <c r="R20" s="12">
        <f>+IF(AND(Q21=1,OR(fieldcreatorv2!E23="radio",fieldcreatorv2!E23="selectlist")),1,IF(Q20=1,1,IF(AND(R21=1,OR(fieldcreatorv2!E23="radio",fieldcreatorv2!E23="selectlist")),1,0)))</f>
        <v>0</v>
      </c>
      <c r="S20" s="12" t="str">
        <f t="shared" si="10"/>
        <v/>
      </c>
      <c r="T20" s="12" t="str">
        <f>+IF(AND(R20=1,R21=Q21),fieldcreatorv2!C23,IF(AND(R20=1,R21=1),T21,""))</f>
        <v/>
      </c>
      <c r="U20" s="12" t="str">
        <f t="shared" si="11"/>
        <v/>
      </c>
      <c r="V20" s="12" t="str">
        <f t="shared" si="12"/>
        <v/>
      </c>
      <c r="W20" s="12" t="str">
        <f t="shared" si="21"/>
        <v/>
      </c>
    </row>
    <row r="21" spans="1:23">
      <c r="A21" s="12">
        <v>10</v>
      </c>
      <c r="B21" s="217" t="str">
        <f>IF(fieldcreatorv2!BX24="","",fieldcreatorv2!BX24)</f>
        <v/>
      </c>
      <c r="C21" s="218"/>
      <c r="D21" s="219"/>
      <c r="E21" s="219"/>
      <c r="F21" s="116" t="str">
        <f t="shared" si="14"/>
        <v/>
      </c>
      <c r="G21" s="265" t="str">
        <f t="shared" si="1"/>
        <v>echo "&lt;td class=".$rowclass."&gt;".$row['']."&lt;/td&gt;";</v>
      </c>
      <c r="H21" s="12" t="str">
        <f t="shared" si="15"/>
        <v/>
      </c>
      <c r="I21" s="145" t="str">
        <f t="shared" si="3"/>
        <v/>
      </c>
      <c r="J21" s="12" t="str">
        <f>+IF(AND(fieldcreatorv2!C24&lt;&gt;"",C21="y"),fieldcreatorv2!E24,"")</f>
        <v/>
      </c>
      <c r="K21" s="12" t="str">
        <f t="shared" si="22"/>
        <v/>
      </c>
      <c r="L21" s="12" t="str">
        <f t="shared" si="16"/>
        <v/>
      </c>
      <c r="M21" s="12" t="str">
        <f t="shared" si="17"/>
        <v/>
      </c>
      <c r="N21" s="12" t="str">
        <f t="shared" si="18"/>
        <v/>
      </c>
      <c r="O21" s="55" t="str">
        <f t="shared" si="19"/>
        <v/>
      </c>
      <c r="P21" s="230" t="str">
        <f t="shared" si="20"/>
        <v/>
      </c>
      <c r="Q21" s="12" t="str">
        <f>+IF(AND(fieldcreatorv2!I24="si",OR(fieldcreatorv2!E24="bigtext",fieldcreatorv2!E24="texto"),OR(fieldcreatorv2!E23="radio",fieldcreatorv2!E23="selectlist")),1,"")</f>
        <v/>
      </c>
      <c r="R21" s="12">
        <f>+IF(AND(Q22=1,OR(fieldcreatorv2!E24="radio",fieldcreatorv2!E24="selectlist")),1,IF(Q21=1,1,IF(AND(R22=1,OR(fieldcreatorv2!E24="radio",fieldcreatorv2!E24="selectlist")),1,0)))</f>
        <v>0</v>
      </c>
      <c r="S21" s="12" t="str">
        <f t="shared" si="10"/>
        <v/>
      </c>
      <c r="T21" s="12" t="str">
        <f>+IF(AND(R21=1,R22=Q22),fieldcreatorv2!C24,IF(AND(R21=1,R22=1),T22,""))</f>
        <v/>
      </c>
      <c r="U21" s="12" t="str">
        <f t="shared" si="11"/>
        <v/>
      </c>
      <c r="V21" s="12" t="str">
        <f t="shared" si="12"/>
        <v/>
      </c>
      <c r="W21" s="12" t="str">
        <f t="shared" si="21"/>
        <v/>
      </c>
    </row>
    <row r="22" spans="1:23">
      <c r="A22" s="12">
        <v>11</v>
      </c>
      <c r="B22" s="217" t="str">
        <f>IF(fieldcreatorv2!BX25="","",fieldcreatorv2!BX25)</f>
        <v/>
      </c>
      <c r="C22" s="218"/>
      <c r="D22" s="219"/>
      <c r="E22" s="219"/>
      <c r="F22" s="116" t="str">
        <f t="shared" si="14"/>
        <v/>
      </c>
      <c r="G22" s="265" t="str">
        <f t="shared" si="1"/>
        <v>echo "&lt;td class=".$rowclass."&gt;".$row['']."&lt;/td&gt;";</v>
      </c>
      <c r="H22" s="12" t="str">
        <f t="shared" si="15"/>
        <v/>
      </c>
      <c r="I22" s="145" t="str">
        <f t="shared" si="3"/>
        <v/>
      </c>
      <c r="J22" s="12" t="str">
        <f>+IF(AND(fieldcreatorv2!C25&lt;&gt;"",C22="y"),fieldcreatorv2!E25,"")</f>
        <v/>
      </c>
      <c r="K22" s="12" t="str">
        <f t="shared" si="22"/>
        <v/>
      </c>
      <c r="L22" s="12" t="str">
        <f t="shared" si="16"/>
        <v/>
      </c>
      <c r="M22" s="12" t="str">
        <f t="shared" si="17"/>
        <v/>
      </c>
      <c r="N22" s="12" t="str">
        <f t="shared" si="18"/>
        <v/>
      </c>
      <c r="O22" s="55" t="str">
        <f t="shared" si="19"/>
        <v/>
      </c>
      <c r="P22" s="230" t="str">
        <f t="shared" si="20"/>
        <v/>
      </c>
      <c r="Q22" s="12" t="str">
        <f>+IF(AND(fieldcreatorv2!I25="si",OR(fieldcreatorv2!E25="bigtext",fieldcreatorv2!E25="texto"),OR(fieldcreatorv2!E24="radio",fieldcreatorv2!E24="selectlist")),1,"")</f>
        <v/>
      </c>
      <c r="R22" s="12">
        <f>+IF(AND(Q23=1,OR(fieldcreatorv2!E25="radio",fieldcreatorv2!E25="selectlist")),1,IF(Q22=1,1,IF(AND(R23=1,OR(fieldcreatorv2!E25="radio",fieldcreatorv2!E25="selectlist")),1,0)))</f>
        <v>0</v>
      </c>
      <c r="S22" s="12" t="str">
        <f t="shared" si="10"/>
        <v/>
      </c>
      <c r="T22" s="12" t="str">
        <f>+IF(AND(R22=1,R23=Q23),fieldcreatorv2!C25,IF(AND(R22=1,R23=1),T23,""))</f>
        <v/>
      </c>
      <c r="U22" s="12" t="str">
        <f t="shared" si="11"/>
        <v/>
      </c>
      <c r="V22" s="12" t="str">
        <f t="shared" si="12"/>
        <v/>
      </c>
      <c r="W22" s="12" t="str">
        <f t="shared" si="21"/>
        <v/>
      </c>
    </row>
    <row r="23" spans="1:23">
      <c r="A23" s="12">
        <v>12</v>
      </c>
      <c r="B23" s="217" t="str">
        <f>IF(fieldcreatorv2!BX26="","",fieldcreatorv2!BX26)</f>
        <v/>
      </c>
      <c r="C23" s="218"/>
      <c r="D23" s="219"/>
      <c r="E23" s="219"/>
      <c r="F23" s="116" t="str">
        <f t="shared" si="14"/>
        <v/>
      </c>
      <c r="G23" s="265" t="str">
        <f t="shared" si="1"/>
        <v>echo "&lt;td class=".$rowclass."&gt;".$row['']."&lt;/td&gt;";</v>
      </c>
      <c r="H23" s="12" t="str">
        <f t="shared" si="15"/>
        <v/>
      </c>
      <c r="I23" s="145" t="str">
        <f t="shared" si="3"/>
        <v/>
      </c>
      <c r="J23" s="12" t="str">
        <f>+IF(AND(fieldcreatorv2!C26&lt;&gt;"",C23="y"),fieldcreatorv2!E26,"")</f>
        <v/>
      </c>
      <c r="K23" s="12" t="str">
        <f t="shared" si="22"/>
        <v/>
      </c>
      <c r="L23" s="12" t="str">
        <f t="shared" si="16"/>
        <v/>
      </c>
      <c r="M23" s="12" t="str">
        <f t="shared" si="17"/>
        <v/>
      </c>
      <c r="N23" s="12" t="str">
        <f t="shared" si="18"/>
        <v/>
      </c>
      <c r="O23" s="55" t="str">
        <f t="shared" si="19"/>
        <v/>
      </c>
      <c r="P23" s="230" t="str">
        <f t="shared" si="20"/>
        <v/>
      </c>
      <c r="Q23" s="12" t="str">
        <f>+IF(AND(fieldcreatorv2!I26="si",OR(fieldcreatorv2!E26="bigtext",fieldcreatorv2!E26="texto"),OR(fieldcreatorv2!E25="radio",fieldcreatorv2!E25="selectlist")),1,"")</f>
        <v/>
      </c>
      <c r="R23" s="12">
        <f>+IF(AND(Q24=1,OR(fieldcreatorv2!E26="radio",fieldcreatorv2!E26="selectlist")),1,IF(Q23=1,1,IF(AND(R24=1,OR(fieldcreatorv2!E26="radio",fieldcreatorv2!E26="selectlist")),1,0)))</f>
        <v>0</v>
      </c>
      <c r="S23" s="12" t="str">
        <f t="shared" si="10"/>
        <v/>
      </c>
      <c r="T23" s="12" t="str">
        <f>+IF(AND(R23=1,R24=Q24),fieldcreatorv2!C26,IF(AND(R23=1,R24=1),T24,""))</f>
        <v/>
      </c>
      <c r="U23" s="12" t="str">
        <f t="shared" si="11"/>
        <v/>
      </c>
      <c r="V23" s="12" t="str">
        <f t="shared" si="12"/>
        <v/>
      </c>
      <c r="W23" s="12" t="str">
        <f t="shared" si="21"/>
        <v/>
      </c>
    </row>
    <row r="24" spans="1:23">
      <c r="A24" s="12">
        <v>13</v>
      </c>
      <c r="B24" s="217" t="str">
        <f>IF(fieldcreatorv2!BX27="","",fieldcreatorv2!BX27)</f>
        <v/>
      </c>
      <c r="C24" s="218"/>
      <c r="D24" s="219"/>
      <c r="E24" s="219"/>
      <c r="F24" s="116" t="str">
        <f t="shared" si="14"/>
        <v/>
      </c>
      <c r="G24" s="265" t="str">
        <f t="shared" si="1"/>
        <v>echo "&lt;td class=".$rowclass."&gt;".$row['']."&lt;/td&gt;";</v>
      </c>
      <c r="H24" s="12" t="str">
        <f t="shared" si="15"/>
        <v/>
      </c>
      <c r="I24" s="145" t="str">
        <f t="shared" si="3"/>
        <v/>
      </c>
      <c r="J24" s="12" t="str">
        <f>+IF(AND(fieldcreatorv2!C27&lt;&gt;"",C24="y"),fieldcreatorv2!E27,"")</f>
        <v/>
      </c>
      <c r="K24" s="12" t="str">
        <f t="shared" si="22"/>
        <v/>
      </c>
      <c r="L24" s="12" t="str">
        <f t="shared" si="16"/>
        <v/>
      </c>
      <c r="M24" s="12" t="str">
        <f t="shared" si="17"/>
        <v/>
      </c>
      <c r="N24" s="12" t="str">
        <f t="shared" si="18"/>
        <v/>
      </c>
      <c r="O24" s="55" t="str">
        <f t="shared" si="19"/>
        <v/>
      </c>
      <c r="P24" s="230" t="str">
        <f t="shared" si="20"/>
        <v/>
      </c>
      <c r="Q24" s="12" t="str">
        <f>+IF(AND(fieldcreatorv2!I27="si",OR(fieldcreatorv2!E27="bigtext",fieldcreatorv2!E27="texto"),OR(fieldcreatorv2!E26="radio",fieldcreatorv2!E26="selectlist")),1,"")</f>
        <v/>
      </c>
      <c r="R24" s="12">
        <f>+IF(AND(Q25=1,OR(fieldcreatorv2!E27="radio",fieldcreatorv2!E27="selectlist")),1,IF(Q24=1,1,IF(AND(R25=1,OR(fieldcreatorv2!E27="radio",fieldcreatorv2!E27="selectlist")),1,0)))</f>
        <v>0</v>
      </c>
      <c r="S24" s="12" t="str">
        <f t="shared" si="10"/>
        <v/>
      </c>
      <c r="T24" s="12" t="str">
        <f>+IF(AND(R24=1,R25=Q25),fieldcreatorv2!C27,IF(AND(R24=1,R25=1),T25,""))</f>
        <v/>
      </c>
      <c r="U24" s="12" t="str">
        <f t="shared" si="11"/>
        <v/>
      </c>
      <c r="V24" s="12" t="str">
        <f t="shared" si="12"/>
        <v/>
      </c>
      <c r="W24" s="12" t="str">
        <f t="shared" si="21"/>
        <v/>
      </c>
    </row>
    <row r="25" spans="1:23">
      <c r="A25" s="12">
        <v>14</v>
      </c>
      <c r="B25" s="217" t="str">
        <f>IF(fieldcreatorv2!BX28="","",fieldcreatorv2!BX28)</f>
        <v/>
      </c>
      <c r="C25" s="218"/>
      <c r="D25" s="219"/>
      <c r="E25" s="219"/>
      <c r="F25" s="116" t="str">
        <f t="shared" si="14"/>
        <v/>
      </c>
      <c r="G25" s="265" t="str">
        <f t="shared" si="1"/>
        <v>echo "&lt;td class=".$rowclass."&gt;".$row['']."&lt;/td&gt;";</v>
      </c>
      <c r="H25" s="12" t="str">
        <f t="shared" si="15"/>
        <v/>
      </c>
      <c r="I25" s="145" t="str">
        <f t="shared" si="3"/>
        <v/>
      </c>
      <c r="J25" s="12" t="str">
        <f>+IF(AND(fieldcreatorv2!C28&lt;&gt;"",C25="y"),fieldcreatorv2!E28,"")</f>
        <v/>
      </c>
      <c r="K25" s="12" t="str">
        <f t="shared" si="22"/>
        <v/>
      </c>
      <c r="L25" s="12" t="str">
        <f t="shared" si="16"/>
        <v/>
      </c>
      <c r="M25" s="12" t="str">
        <f t="shared" si="17"/>
        <v/>
      </c>
      <c r="N25" s="12" t="str">
        <f t="shared" si="18"/>
        <v/>
      </c>
      <c r="O25" s="55" t="str">
        <f t="shared" si="19"/>
        <v/>
      </c>
      <c r="P25" s="230" t="str">
        <f t="shared" si="20"/>
        <v/>
      </c>
      <c r="Q25" s="12" t="str">
        <f>+IF(AND(fieldcreatorv2!I28="si",OR(fieldcreatorv2!E28="bigtext",fieldcreatorv2!E28="texto"),OR(fieldcreatorv2!E27="radio",fieldcreatorv2!E27="selectlist")),1,"")</f>
        <v/>
      </c>
      <c r="R25" s="12">
        <f>+IF(AND(Q26=1,OR(fieldcreatorv2!E28="radio",fieldcreatorv2!E28="selectlist")),1,IF(Q25=1,1,IF(AND(R26=1,OR(fieldcreatorv2!E28="radio",fieldcreatorv2!E28="selectlist")),1,0)))</f>
        <v>0</v>
      </c>
      <c r="S25" s="12" t="str">
        <f t="shared" si="10"/>
        <v/>
      </c>
      <c r="T25" s="12" t="str">
        <f>+IF(AND(R25=1,R26=Q26),fieldcreatorv2!C28,IF(AND(R25=1,R26=1),T26,""))</f>
        <v/>
      </c>
      <c r="U25" s="12" t="str">
        <f>+IF(AND(R25=1,OR(J25="radio",J25="selectlist")),1,"")</f>
        <v/>
      </c>
      <c r="V25" s="12" t="str">
        <f>IF(U25=1,$C$6&amp;$C$7&amp;B25&amp;$D$1&amp;T25&amp;$D$2&amp;S25&amp;$D$3&amp;B25&amp;$D$4,"")</f>
        <v/>
      </c>
      <c r="W25" s="12" t="str">
        <f t="shared" si="21"/>
        <v/>
      </c>
    </row>
    <row r="26" spans="1:23">
      <c r="A26" s="12">
        <v>15</v>
      </c>
      <c r="B26" s="217" t="str">
        <f>IF(fieldcreatorv2!BX29="","",fieldcreatorv2!BX29)</f>
        <v/>
      </c>
      <c r="C26" s="218"/>
      <c r="D26" s="219"/>
      <c r="E26" s="219"/>
      <c r="F26" s="116" t="str">
        <f t="shared" si="14"/>
        <v/>
      </c>
      <c r="G26" s="265" t="str">
        <f t="shared" si="1"/>
        <v>echo "&lt;td class=".$rowclass."&gt;".$row['']."&lt;/td&gt;";</v>
      </c>
      <c r="H26" s="12" t="str">
        <f t="shared" si="15"/>
        <v/>
      </c>
      <c r="I26" s="145" t="str">
        <f t="shared" si="3"/>
        <v/>
      </c>
      <c r="J26" s="12" t="str">
        <f>+IF(AND(fieldcreatorv2!C29&lt;&gt;"",C26="y"),fieldcreatorv2!E29,"")</f>
        <v/>
      </c>
      <c r="K26" s="12" t="str">
        <f t="shared" si="22"/>
        <v/>
      </c>
      <c r="L26" s="12" t="str">
        <f t="shared" si="16"/>
        <v/>
      </c>
      <c r="M26" s="12" t="str">
        <f t="shared" si="17"/>
        <v/>
      </c>
      <c r="N26" s="12" t="str">
        <f t="shared" si="18"/>
        <v/>
      </c>
      <c r="O26" s="55" t="str">
        <f t="shared" si="19"/>
        <v/>
      </c>
      <c r="P26" s="230" t="str">
        <f t="shared" si="20"/>
        <v/>
      </c>
      <c r="Q26" s="12" t="str">
        <f>+IF(AND(fieldcreatorv2!I29="si",OR(fieldcreatorv2!E29="bigtext",fieldcreatorv2!E29="texto"),OR(fieldcreatorv2!E28="radio",fieldcreatorv2!E28="selectlist")),1,"")</f>
        <v/>
      </c>
      <c r="R26" s="12">
        <f>+IF(AND(Q27=1,OR(fieldcreatorv2!E29="radio",fieldcreatorv2!E29="selectlist")),1,IF(Q26=1,1,IF(AND(R27=1,OR(fieldcreatorv2!E29="radio",fieldcreatorv2!E29="selectlist")),1,0)))</f>
        <v>0</v>
      </c>
      <c r="S26" s="12" t="str">
        <f t="shared" si="10"/>
        <v/>
      </c>
      <c r="T26" s="12" t="str">
        <f>+IF(AND(R26=1,R27=Q27),fieldcreatorv2!C29,IF(AND(R26=1,R27=1),T27,""))</f>
        <v/>
      </c>
      <c r="U26" s="12" t="str">
        <f t="shared" ref="U26:U89" si="23">+IF(AND(R26=1,OR(J26="radio",J26="selectlist")),1,"")</f>
        <v/>
      </c>
      <c r="V26" s="12" t="str">
        <f t="shared" ref="V26:V89" si="24">IF(U26=1,$C$6&amp;$C$7&amp;B26&amp;$D$1&amp;T26&amp;$D$2&amp;S26&amp;$D$3&amp;B26&amp;$D$4,"")</f>
        <v/>
      </c>
      <c r="W26" s="12" t="str">
        <f t="shared" si="21"/>
        <v/>
      </c>
    </row>
    <row r="27" spans="1:23">
      <c r="A27" s="12">
        <v>16</v>
      </c>
      <c r="B27" s="217" t="str">
        <f>IF(fieldcreatorv2!BX30="","",fieldcreatorv2!BX30)</f>
        <v/>
      </c>
      <c r="C27" s="218"/>
      <c r="D27" s="219"/>
      <c r="E27" s="219"/>
      <c r="F27" s="116" t="str">
        <f t="shared" si="14"/>
        <v/>
      </c>
      <c r="G27" s="265" t="str">
        <f t="shared" si="1"/>
        <v>echo "&lt;td class=".$rowclass."&gt;".$row['']."&lt;/td&gt;";</v>
      </c>
      <c r="H27" s="12" t="str">
        <f t="shared" si="15"/>
        <v/>
      </c>
      <c r="I27" s="145" t="str">
        <f t="shared" si="3"/>
        <v/>
      </c>
      <c r="J27" s="12" t="str">
        <f>+IF(AND(fieldcreatorv2!C30&lt;&gt;"",C27="y"),fieldcreatorv2!E30,"")</f>
        <v/>
      </c>
      <c r="K27" s="12" t="str">
        <f t="shared" si="22"/>
        <v/>
      </c>
      <c r="L27" s="12" t="str">
        <f t="shared" si="16"/>
        <v/>
      </c>
      <c r="M27" s="12" t="str">
        <f t="shared" si="17"/>
        <v/>
      </c>
      <c r="N27" s="12" t="str">
        <f t="shared" si="18"/>
        <v/>
      </c>
      <c r="O27" s="55" t="str">
        <f t="shared" si="19"/>
        <v/>
      </c>
      <c r="P27" s="230" t="str">
        <f t="shared" si="20"/>
        <v/>
      </c>
      <c r="Q27" s="12" t="str">
        <f>+IF(AND(fieldcreatorv2!I30="si",OR(fieldcreatorv2!E30="bigtext",fieldcreatorv2!E30="texto"),OR(fieldcreatorv2!E29="radio",fieldcreatorv2!E29="selectlist")),1,"")</f>
        <v/>
      </c>
      <c r="R27" s="12">
        <f>+IF(AND(Q28=1,OR(fieldcreatorv2!E30="radio",fieldcreatorv2!E30="selectlist")),1,IF(Q27=1,1,IF(AND(R28=1,OR(fieldcreatorv2!E30="radio",fieldcreatorv2!E30="selectlist")),1,0)))</f>
        <v>0</v>
      </c>
      <c r="S27" s="12" t="str">
        <f t="shared" si="10"/>
        <v/>
      </c>
      <c r="T27" s="12" t="str">
        <f>+IF(AND(R27=1,R28=Q28),fieldcreatorv2!C30,IF(AND(R27=1,R28=1),T28,""))</f>
        <v/>
      </c>
      <c r="U27" s="12" t="str">
        <f t="shared" si="23"/>
        <v/>
      </c>
      <c r="V27" s="12" t="str">
        <f t="shared" si="24"/>
        <v/>
      </c>
      <c r="W27" s="12" t="str">
        <f t="shared" si="21"/>
        <v/>
      </c>
    </row>
    <row r="28" spans="1:23">
      <c r="A28" s="12">
        <v>17</v>
      </c>
      <c r="B28" s="217" t="str">
        <f>IF(fieldcreatorv2!BX31="","",fieldcreatorv2!BX31)</f>
        <v/>
      </c>
      <c r="C28" s="218"/>
      <c r="D28" s="219"/>
      <c r="E28" s="219"/>
      <c r="F28" s="116" t="str">
        <f t="shared" si="14"/>
        <v/>
      </c>
      <c r="G28" s="265" t="str">
        <f t="shared" si="1"/>
        <v>echo "&lt;td class=".$rowclass."&gt;".$row['']."&lt;/td&gt;";</v>
      </c>
      <c r="H28" s="12" t="str">
        <f t="shared" si="15"/>
        <v/>
      </c>
      <c r="I28" s="145" t="str">
        <f t="shared" si="3"/>
        <v/>
      </c>
      <c r="J28" s="12" t="str">
        <f>+IF(AND(fieldcreatorv2!C31&lt;&gt;"",C28="y"),fieldcreatorv2!E31,"")</f>
        <v/>
      </c>
      <c r="K28" s="12" t="str">
        <f t="shared" si="22"/>
        <v/>
      </c>
      <c r="L28" s="12" t="str">
        <f t="shared" si="16"/>
        <v/>
      </c>
      <c r="M28" s="12" t="str">
        <f t="shared" si="17"/>
        <v/>
      </c>
      <c r="N28" s="12" t="str">
        <f t="shared" si="18"/>
        <v/>
      </c>
      <c r="O28" s="55" t="str">
        <f t="shared" si="19"/>
        <v/>
      </c>
      <c r="P28" s="230" t="str">
        <f t="shared" si="20"/>
        <v/>
      </c>
      <c r="Q28" s="12" t="str">
        <f>+IF(AND(fieldcreatorv2!I31="si",OR(fieldcreatorv2!E31="bigtext",fieldcreatorv2!E31="texto"),OR(fieldcreatorv2!E30="radio",fieldcreatorv2!E30="selectlist")),1,"")</f>
        <v/>
      </c>
      <c r="R28" s="12">
        <f>+IF(AND(Q29=1,OR(fieldcreatorv2!E31="radio",fieldcreatorv2!E31="selectlist")),1,IF(Q28=1,1,IF(AND(R29=1,OR(fieldcreatorv2!E31="radio",fieldcreatorv2!E31="selectlist")),1,0)))</f>
        <v>0</v>
      </c>
      <c r="S28" s="12" t="str">
        <f>+IF(AND(Q28=1,R28=1),B28,IF(AND(R28=1,R29=1),S29,""))</f>
        <v/>
      </c>
      <c r="T28" s="12" t="str">
        <f>+IF(AND(R28=1,R29=Q29),fieldcreatorv2!C31,IF(AND(R28=1,R29=1),T29,""))</f>
        <v/>
      </c>
      <c r="U28" s="12" t="str">
        <f t="shared" si="23"/>
        <v/>
      </c>
      <c r="V28" s="12" t="str">
        <f t="shared" si="24"/>
        <v/>
      </c>
      <c r="W28" s="12" t="str">
        <f t="shared" si="21"/>
        <v/>
      </c>
    </row>
    <row r="29" spans="1:23">
      <c r="A29" s="12">
        <v>18</v>
      </c>
      <c r="B29" s="217" t="str">
        <f>IF(fieldcreatorv2!BX32="","",fieldcreatorv2!BX32)</f>
        <v/>
      </c>
      <c r="C29" s="218"/>
      <c r="D29" s="219"/>
      <c r="E29" s="219"/>
      <c r="F29" s="116" t="str">
        <f t="shared" si="14"/>
        <v/>
      </c>
      <c r="G29" s="265" t="str">
        <f t="shared" si="1"/>
        <v>echo "&lt;td class=".$rowclass."&gt;".$row['']."&lt;/td&gt;";</v>
      </c>
      <c r="H29" s="12" t="str">
        <f t="shared" si="15"/>
        <v/>
      </c>
      <c r="I29" s="145" t="str">
        <f>IF(Q29=1,"",IF(AND(E29&lt;&gt;"",E29=E28),"",IF(H29="","",$A$4&amp;H29&amp;$A$5)))</f>
        <v/>
      </c>
      <c r="J29" s="12" t="str">
        <f>+IF(AND(fieldcreatorv2!C32&lt;&gt;"",C29="y"),fieldcreatorv2!E32,"")</f>
        <v/>
      </c>
      <c r="K29" s="12" t="str">
        <f t="shared" si="22"/>
        <v/>
      </c>
      <c r="L29" s="12" t="str">
        <f t="shared" si="16"/>
        <v/>
      </c>
      <c r="M29" s="12" t="str">
        <f t="shared" si="17"/>
        <v/>
      </c>
      <c r="N29" s="12" t="str">
        <f t="shared" si="18"/>
        <v/>
      </c>
      <c r="O29" s="55" t="str">
        <f t="shared" si="19"/>
        <v/>
      </c>
      <c r="P29" s="230" t="str">
        <f t="shared" si="20"/>
        <v/>
      </c>
      <c r="Q29" s="12" t="str">
        <f>+IF(AND(fieldcreatorv2!I32="si",OR(fieldcreatorv2!E32="bigtext",fieldcreatorv2!E32="texto"),OR(fieldcreatorv2!E31="radio",fieldcreatorv2!E31="selectlist")),1,"")</f>
        <v/>
      </c>
      <c r="R29" s="12">
        <f>+IF(AND(Q30=1,OR(fieldcreatorv2!E32="radio",fieldcreatorv2!E32="selectlist")),1,IF(Q29=1,1,IF(AND(R30=1,OR(fieldcreatorv2!E32="radio",fieldcreatorv2!E32="selectlist")),1,0)))</f>
        <v>0</v>
      </c>
      <c r="S29" s="12" t="str">
        <f t="shared" ref="S29:S92" si="25">+IF(AND(Q29=1,R29=1),B29,IF(AND(R29=1,R30=1),S30,""))</f>
        <v/>
      </c>
      <c r="T29" s="12" t="str">
        <f>+IF(AND(R29=1,R30=Q30),fieldcreatorv2!C32,IF(AND(R29=1,R30=1),T30,""))</f>
        <v/>
      </c>
      <c r="U29" s="12" t="str">
        <f t="shared" si="23"/>
        <v/>
      </c>
      <c r="V29" s="12" t="str">
        <f t="shared" si="24"/>
        <v/>
      </c>
      <c r="W29" s="12" t="str">
        <f t="shared" si="21"/>
        <v/>
      </c>
    </row>
    <row r="30" spans="1:23">
      <c r="A30" s="12">
        <v>19</v>
      </c>
      <c r="B30" s="217" t="str">
        <f>IF(fieldcreatorv2!BX33="","",fieldcreatorv2!BX33)</f>
        <v/>
      </c>
      <c r="C30" s="218"/>
      <c r="D30" s="219"/>
      <c r="E30" s="219"/>
      <c r="F30" s="116" t="str">
        <f t="shared" si="14"/>
        <v/>
      </c>
      <c r="G30" s="265" t="str">
        <f t="shared" si="1"/>
        <v>echo "&lt;td class=".$rowclass."&gt;".$row['']."&lt;/td&gt;";</v>
      </c>
      <c r="H30" s="12" t="str">
        <f t="shared" si="15"/>
        <v/>
      </c>
      <c r="I30" s="145" t="str">
        <f t="shared" ref="I30:I44" si="26">IF(Q30=1,"",IF(AND(E30&lt;&gt;"",E30=E29),"",IF(H30="","",$A$4&amp;H30&amp;$A$5)))</f>
        <v/>
      </c>
      <c r="J30" s="12" t="str">
        <f>+IF(AND(fieldcreatorv2!C33&lt;&gt;"",C30="y"),fieldcreatorv2!E33,"")</f>
        <v/>
      </c>
      <c r="K30" s="12" t="str">
        <f t="shared" si="22"/>
        <v/>
      </c>
      <c r="L30" s="12" t="str">
        <f t="shared" si="16"/>
        <v/>
      </c>
      <c r="M30" s="12" t="str">
        <f t="shared" si="17"/>
        <v/>
      </c>
      <c r="N30" s="12" t="str">
        <f t="shared" si="18"/>
        <v/>
      </c>
      <c r="O30" s="55" t="str">
        <f t="shared" si="19"/>
        <v/>
      </c>
      <c r="P30" s="230" t="str">
        <f t="shared" si="20"/>
        <v/>
      </c>
      <c r="Q30" s="12" t="str">
        <f>+IF(AND(fieldcreatorv2!I33="si",OR(fieldcreatorv2!E33="bigtext",fieldcreatorv2!E33="texto"),OR(fieldcreatorv2!E32="radio",fieldcreatorv2!E32="selectlist")),1,"")</f>
        <v/>
      </c>
      <c r="R30" s="12">
        <f>+IF(AND(Q31=1,OR(fieldcreatorv2!E33="radio",fieldcreatorv2!E33="selectlist")),1,IF(Q30=1,1,IF(AND(R31=1,OR(fieldcreatorv2!E33="radio",fieldcreatorv2!E33="selectlist")),1,0)))</f>
        <v>0</v>
      </c>
      <c r="S30" s="12" t="str">
        <f t="shared" si="25"/>
        <v/>
      </c>
      <c r="T30" s="12" t="str">
        <f>+IF(AND(R30=1,R31=Q31),fieldcreatorv2!C33,IF(AND(R30=1,R31=1),T31,""))</f>
        <v/>
      </c>
      <c r="U30" s="12" t="str">
        <f t="shared" si="23"/>
        <v/>
      </c>
      <c r="V30" s="12" t="str">
        <f t="shared" si="24"/>
        <v/>
      </c>
      <c r="W30" s="12" t="str">
        <f t="shared" si="21"/>
        <v/>
      </c>
    </row>
    <row r="31" spans="1:23">
      <c r="A31" s="12">
        <v>20</v>
      </c>
      <c r="B31" s="217" t="str">
        <f>IF(fieldcreatorv2!BX34="","",fieldcreatorv2!BX34)</f>
        <v/>
      </c>
      <c r="C31" s="218"/>
      <c r="D31" s="219"/>
      <c r="E31" s="219"/>
      <c r="F31" s="116" t="str">
        <f t="shared" si="14"/>
        <v/>
      </c>
      <c r="G31" s="265" t="str">
        <f t="shared" si="1"/>
        <v>echo "&lt;td class=".$rowclass."&gt;".$row['']."&lt;/td&gt;";</v>
      </c>
      <c r="H31" s="12" t="str">
        <f t="shared" si="15"/>
        <v/>
      </c>
      <c r="I31" s="145" t="str">
        <f t="shared" si="26"/>
        <v/>
      </c>
      <c r="J31" s="12" t="str">
        <f>+IF(AND(fieldcreatorv2!C34&lt;&gt;"",C31="y"),fieldcreatorv2!E34,"")</f>
        <v/>
      </c>
      <c r="K31" s="12" t="str">
        <f t="shared" si="22"/>
        <v/>
      </c>
      <c r="L31" s="12" t="str">
        <f t="shared" si="16"/>
        <v/>
      </c>
      <c r="M31" s="12" t="str">
        <f t="shared" si="17"/>
        <v/>
      </c>
      <c r="N31" s="12" t="str">
        <f t="shared" si="18"/>
        <v/>
      </c>
      <c r="O31" s="55" t="str">
        <f t="shared" si="19"/>
        <v/>
      </c>
      <c r="P31" s="230" t="str">
        <f t="shared" si="20"/>
        <v/>
      </c>
      <c r="Q31" s="12" t="str">
        <f>+IF(AND(fieldcreatorv2!I34="si",OR(fieldcreatorv2!E34="bigtext",fieldcreatorv2!E34="texto"),OR(fieldcreatorv2!E33="radio",fieldcreatorv2!E33="selectlist")),1,"")</f>
        <v/>
      </c>
      <c r="R31" s="12">
        <f>+IF(AND(Q32=1,OR(fieldcreatorv2!E34="radio",fieldcreatorv2!E34="selectlist")),1,IF(Q31=1,1,IF(AND(R32=1,OR(fieldcreatorv2!E34="radio",fieldcreatorv2!E34="selectlist")),1,0)))</f>
        <v>0</v>
      </c>
      <c r="S31" s="12" t="str">
        <f t="shared" si="25"/>
        <v/>
      </c>
      <c r="T31" s="12" t="str">
        <f>+IF(AND(R31=1,R32=Q32),fieldcreatorv2!C34,IF(AND(R31=1,R32=1),T32,""))</f>
        <v/>
      </c>
      <c r="U31" s="12" t="str">
        <f t="shared" si="23"/>
        <v/>
      </c>
      <c r="V31" s="12" t="str">
        <f t="shared" si="24"/>
        <v/>
      </c>
      <c r="W31" s="12" t="str">
        <f t="shared" si="21"/>
        <v/>
      </c>
    </row>
    <row r="32" spans="1:23">
      <c r="A32" s="12">
        <v>21</v>
      </c>
      <c r="B32" s="217" t="str">
        <f>IF(fieldcreatorv2!BX35="","",fieldcreatorv2!BX35)</f>
        <v/>
      </c>
      <c r="C32" s="218"/>
      <c r="D32" s="219"/>
      <c r="E32" s="219"/>
      <c r="F32" s="116" t="str">
        <f t="shared" si="14"/>
        <v/>
      </c>
      <c r="G32" s="265" t="str">
        <f t="shared" si="1"/>
        <v>echo "&lt;td class=".$rowclass."&gt;".$row['']."&lt;/td&gt;";</v>
      </c>
      <c r="H32" s="12" t="str">
        <f t="shared" si="15"/>
        <v/>
      </c>
      <c r="I32" s="145" t="str">
        <f t="shared" si="26"/>
        <v/>
      </c>
      <c r="J32" s="12" t="str">
        <f>+IF(AND(fieldcreatorv2!C35&lt;&gt;"",C32="y"),fieldcreatorv2!E35,"")</f>
        <v/>
      </c>
      <c r="K32" s="12" t="str">
        <f t="shared" si="22"/>
        <v/>
      </c>
      <c r="L32" s="12" t="str">
        <f t="shared" si="16"/>
        <v/>
      </c>
      <c r="M32" s="12" t="str">
        <f t="shared" si="17"/>
        <v/>
      </c>
      <c r="N32" s="12" t="str">
        <f t="shared" si="18"/>
        <v/>
      </c>
      <c r="O32" s="55" t="str">
        <f t="shared" si="19"/>
        <v/>
      </c>
      <c r="P32" s="230" t="str">
        <f t="shared" si="20"/>
        <v/>
      </c>
      <c r="Q32" s="12" t="str">
        <f>+IF(AND(fieldcreatorv2!I35="si",OR(fieldcreatorv2!E35="bigtext",fieldcreatorv2!E35="texto"),OR(fieldcreatorv2!E34="radio",fieldcreatorv2!E34="selectlist")),1,"")</f>
        <v/>
      </c>
      <c r="R32" s="12">
        <f>+IF(AND(Q33=1,OR(fieldcreatorv2!E35="radio",fieldcreatorv2!E35="selectlist")),1,IF(Q32=1,1,IF(AND(R33=1,OR(fieldcreatorv2!E35="radio",fieldcreatorv2!E35="selectlist")),1,0)))</f>
        <v>0</v>
      </c>
      <c r="S32" s="12" t="str">
        <f t="shared" si="25"/>
        <v/>
      </c>
      <c r="T32" s="12" t="str">
        <f>+IF(AND(R32=1,R33=Q33),fieldcreatorv2!C35,IF(AND(R32=1,R33=1),T33,""))</f>
        <v/>
      </c>
      <c r="U32" s="12" t="str">
        <f t="shared" si="23"/>
        <v/>
      </c>
      <c r="V32" s="12" t="str">
        <f t="shared" si="24"/>
        <v/>
      </c>
      <c r="W32" s="12" t="str">
        <f t="shared" si="21"/>
        <v/>
      </c>
    </row>
    <row r="33" spans="1:23">
      <c r="A33" s="12">
        <v>22</v>
      </c>
      <c r="B33" s="217" t="str">
        <f>IF(fieldcreatorv2!BX36="","",fieldcreatorv2!BX36)</f>
        <v/>
      </c>
      <c r="C33" s="218"/>
      <c r="D33" s="219"/>
      <c r="E33" s="219"/>
      <c r="F33" s="116" t="str">
        <f t="shared" si="14"/>
        <v/>
      </c>
      <c r="G33" s="265" t="str">
        <f t="shared" si="1"/>
        <v>echo "&lt;td class=".$rowclass."&gt;".$row['']."&lt;/td&gt;";</v>
      </c>
      <c r="H33" s="12" t="str">
        <f t="shared" si="15"/>
        <v/>
      </c>
      <c r="I33" s="145" t="str">
        <f t="shared" si="26"/>
        <v/>
      </c>
      <c r="J33" s="12" t="str">
        <f>+IF(AND(fieldcreatorv2!C36&lt;&gt;"",C33="y"),fieldcreatorv2!E36,"")</f>
        <v/>
      </c>
      <c r="K33" s="12" t="str">
        <f t="shared" si="22"/>
        <v/>
      </c>
      <c r="L33" s="12" t="str">
        <f t="shared" si="16"/>
        <v/>
      </c>
      <c r="M33" s="12" t="str">
        <f t="shared" si="17"/>
        <v/>
      </c>
      <c r="N33" s="12" t="str">
        <f t="shared" si="18"/>
        <v/>
      </c>
      <c r="O33" s="55" t="str">
        <f t="shared" si="19"/>
        <v/>
      </c>
      <c r="P33" s="230" t="str">
        <f t="shared" si="20"/>
        <v/>
      </c>
      <c r="Q33" s="12" t="str">
        <f>+IF(AND(fieldcreatorv2!I36="si",OR(fieldcreatorv2!E36="bigtext",fieldcreatorv2!E36="texto"),OR(fieldcreatorv2!E35="radio",fieldcreatorv2!E35="selectlist")),1,"")</f>
        <v/>
      </c>
      <c r="R33" s="12">
        <f>+IF(AND(Q34=1,OR(fieldcreatorv2!E36="radio",fieldcreatorv2!E36="selectlist")),1,IF(Q33=1,1,IF(AND(R34=1,OR(fieldcreatorv2!E36="radio",fieldcreatorv2!E36="selectlist")),1,0)))</f>
        <v>0</v>
      </c>
      <c r="S33" s="12" t="str">
        <f t="shared" si="25"/>
        <v/>
      </c>
      <c r="T33" s="12" t="str">
        <f>+IF(AND(R33=1,R34=Q34),fieldcreatorv2!C36,IF(AND(R33=1,R34=1),T34,""))</f>
        <v/>
      </c>
      <c r="U33" s="12" t="str">
        <f t="shared" si="23"/>
        <v/>
      </c>
      <c r="V33" s="12" t="str">
        <f t="shared" si="24"/>
        <v/>
      </c>
      <c r="W33" s="12" t="str">
        <f t="shared" si="21"/>
        <v/>
      </c>
    </row>
    <row r="34" spans="1:23">
      <c r="A34" s="12">
        <v>23</v>
      </c>
      <c r="B34" s="217" t="str">
        <f>IF(fieldcreatorv2!BX37="","",fieldcreatorv2!BX37)</f>
        <v/>
      </c>
      <c r="C34" s="218"/>
      <c r="D34" s="219"/>
      <c r="E34" s="219"/>
      <c r="F34" s="116" t="str">
        <f t="shared" si="14"/>
        <v/>
      </c>
      <c r="G34" s="265" t="str">
        <f t="shared" si="1"/>
        <v>echo "&lt;td class=".$rowclass."&gt;".$row['']."&lt;/td&gt;";</v>
      </c>
      <c r="H34" s="12" t="str">
        <f t="shared" si="15"/>
        <v/>
      </c>
      <c r="I34" s="145" t="str">
        <f t="shared" si="26"/>
        <v/>
      </c>
      <c r="J34" s="12" t="str">
        <f>+IF(AND(fieldcreatorv2!C37&lt;&gt;"",C34="y"),fieldcreatorv2!E37,"")</f>
        <v/>
      </c>
      <c r="K34" s="12" t="str">
        <f t="shared" si="22"/>
        <v/>
      </c>
      <c r="L34" s="12" t="str">
        <f t="shared" si="16"/>
        <v/>
      </c>
      <c r="M34" s="12" t="str">
        <f t="shared" si="17"/>
        <v/>
      </c>
      <c r="N34" s="12" t="str">
        <f t="shared" si="18"/>
        <v/>
      </c>
      <c r="O34" s="55" t="str">
        <f t="shared" si="19"/>
        <v/>
      </c>
      <c r="P34" s="230" t="str">
        <f t="shared" si="20"/>
        <v/>
      </c>
      <c r="Q34" s="12" t="str">
        <f>+IF(AND(fieldcreatorv2!I37="si",OR(fieldcreatorv2!E37="bigtext",fieldcreatorv2!E37="texto"),OR(fieldcreatorv2!E36="radio",fieldcreatorv2!E36="selectlist")),1,"")</f>
        <v/>
      </c>
      <c r="R34" s="12">
        <f>+IF(AND(Q35=1,OR(fieldcreatorv2!E37="radio",fieldcreatorv2!E37="selectlist")),1,IF(Q34=1,1,IF(AND(R35=1,OR(fieldcreatorv2!E37="radio",fieldcreatorv2!E37="selectlist")),1,0)))</f>
        <v>0</v>
      </c>
      <c r="S34" s="12" t="str">
        <f t="shared" si="25"/>
        <v/>
      </c>
      <c r="T34" s="12" t="str">
        <f>+IF(AND(R34=1,R35=Q35),fieldcreatorv2!C37,IF(AND(R34=1,R35=1),T35,""))</f>
        <v/>
      </c>
      <c r="U34" s="12" t="str">
        <f t="shared" si="23"/>
        <v/>
      </c>
      <c r="V34" s="12" t="str">
        <f t="shared" si="24"/>
        <v/>
      </c>
      <c r="W34" s="12" t="str">
        <f t="shared" si="21"/>
        <v/>
      </c>
    </row>
    <row r="35" spans="1:23" ht="18" customHeight="1">
      <c r="A35" s="12">
        <v>24</v>
      </c>
      <c r="B35" s="217" t="str">
        <f>IF(fieldcreatorv2!BX38="","",fieldcreatorv2!BX38)</f>
        <v/>
      </c>
      <c r="C35" s="218"/>
      <c r="D35" s="219"/>
      <c r="E35" s="219"/>
      <c r="F35" s="116" t="str">
        <f t="shared" si="14"/>
        <v/>
      </c>
      <c r="G35" s="265" t="str">
        <f t="shared" si="1"/>
        <v>echo "&lt;td class=".$rowclass."&gt;".$row['']."&lt;/td&gt;";</v>
      </c>
      <c r="H35" s="12" t="str">
        <f t="shared" si="15"/>
        <v/>
      </c>
      <c r="I35" s="145" t="str">
        <f t="shared" si="26"/>
        <v/>
      </c>
      <c r="J35" s="12" t="str">
        <f>+IF(AND(fieldcreatorv2!C38&lt;&gt;"",C35="y"),fieldcreatorv2!E38,"")</f>
        <v/>
      </c>
      <c r="K35" s="12" t="str">
        <f t="shared" si="22"/>
        <v/>
      </c>
      <c r="L35" s="12" t="str">
        <f t="shared" si="16"/>
        <v/>
      </c>
      <c r="M35" s="12" t="str">
        <f t="shared" si="17"/>
        <v/>
      </c>
      <c r="N35" s="12" t="str">
        <f t="shared" si="18"/>
        <v/>
      </c>
      <c r="O35" s="55" t="str">
        <f t="shared" si="19"/>
        <v/>
      </c>
      <c r="P35" s="230" t="str">
        <f t="shared" si="20"/>
        <v/>
      </c>
      <c r="Q35" s="12" t="str">
        <f>+IF(AND(fieldcreatorv2!I38="si",OR(fieldcreatorv2!E38="bigtext",fieldcreatorv2!E38="texto"),OR(fieldcreatorv2!E37="radio",fieldcreatorv2!E37="selectlist")),1,"")</f>
        <v/>
      </c>
      <c r="R35" s="12">
        <f>+IF(AND(Q36=1,OR(fieldcreatorv2!E38="radio",fieldcreatorv2!E38="selectlist")),1,IF(Q35=1,1,IF(AND(R36=1,OR(fieldcreatorv2!E38="radio",fieldcreatorv2!E38="selectlist")),1,0)))</f>
        <v>0</v>
      </c>
      <c r="S35" s="12" t="str">
        <f t="shared" si="25"/>
        <v/>
      </c>
      <c r="T35" s="12" t="str">
        <f>+IF(AND(R35=1,R36=Q36),fieldcreatorv2!C38,IF(AND(R35=1,R36=1),T36,""))</f>
        <v/>
      </c>
      <c r="U35" s="12" t="str">
        <f t="shared" si="23"/>
        <v/>
      </c>
      <c r="V35" s="12" t="str">
        <f t="shared" si="24"/>
        <v/>
      </c>
      <c r="W35" s="12" t="str">
        <f t="shared" si="21"/>
        <v/>
      </c>
    </row>
    <row r="36" spans="1:23">
      <c r="A36" s="12">
        <v>25</v>
      </c>
      <c r="B36" s="217" t="str">
        <f>IF(fieldcreatorv2!BX39="","",fieldcreatorv2!BX39)</f>
        <v/>
      </c>
      <c r="C36" s="218"/>
      <c r="D36" s="219"/>
      <c r="E36" s="219"/>
      <c r="F36" s="116" t="str">
        <f t="shared" si="14"/>
        <v/>
      </c>
      <c r="G36" s="265" t="str">
        <f t="shared" si="1"/>
        <v>echo "&lt;td class=".$rowclass."&gt;".$row['']."&lt;/td&gt;";</v>
      </c>
      <c r="H36" s="12" t="str">
        <f t="shared" si="15"/>
        <v/>
      </c>
      <c r="I36" s="145" t="str">
        <f t="shared" si="26"/>
        <v/>
      </c>
      <c r="J36" s="12" t="str">
        <f>+IF(AND(fieldcreatorv2!C39&lt;&gt;"",C36="y"),fieldcreatorv2!E39,"")</f>
        <v/>
      </c>
      <c r="K36" s="12" t="str">
        <f t="shared" ref="K36:K37" si="27">+IF(AND(E36&lt;&gt;E35,E36&lt;&gt;""),"starting",IF(AND(E36&lt;&gt;"",E36&lt;&gt;E37),"ending",IF(E36&lt;&gt;"","group","")))</f>
        <v/>
      </c>
      <c r="L36" s="12" t="str">
        <f t="shared" ref="L36:L37" si="28">IF(E36&lt;&gt;"",$B$7&amp;B36&amp;$C$1&amp;B36&amp;$C$2,"")</f>
        <v/>
      </c>
      <c r="M36" s="12" t="str">
        <f t="shared" si="17"/>
        <v/>
      </c>
      <c r="N36" s="12" t="str">
        <f t="shared" si="18"/>
        <v/>
      </c>
      <c r="O36" s="55" t="str">
        <f t="shared" si="19"/>
        <v/>
      </c>
      <c r="P36" s="230" t="str">
        <f t="shared" si="20"/>
        <v/>
      </c>
      <c r="Q36" s="12" t="str">
        <f>+IF(AND(fieldcreatorv2!I39="si",OR(fieldcreatorv2!E39="bigtext",fieldcreatorv2!E39="texto"),OR(fieldcreatorv2!E38="radio",fieldcreatorv2!E38="selectlist")),1,"")</f>
        <v/>
      </c>
      <c r="R36" s="12">
        <f>+IF(AND(Q37=1,OR(fieldcreatorv2!E39="radio",fieldcreatorv2!E39="selectlist")),1,IF(Q36=1,1,IF(AND(R37=1,OR(fieldcreatorv2!E39="radio",fieldcreatorv2!E39="selectlist")),1,0)))</f>
        <v>0</v>
      </c>
      <c r="S36" s="12" t="str">
        <f t="shared" si="25"/>
        <v/>
      </c>
      <c r="T36" s="12" t="str">
        <f>+IF(AND(R36=1,R37=Q37),fieldcreatorv2!C39,IF(AND(R36=1,R37=1),T37,""))</f>
        <v/>
      </c>
      <c r="U36" s="12" t="str">
        <f t="shared" si="23"/>
        <v/>
      </c>
      <c r="V36" s="12" t="str">
        <f t="shared" si="24"/>
        <v/>
      </c>
      <c r="W36" s="12" t="str">
        <f t="shared" si="21"/>
        <v/>
      </c>
    </row>
    <row r="37" spans="1:23" customFormat="1">
      <c r="A37">
        <v>26</v>
      </c>
      <c r="B37" s="217" t="str">
        <f>IF(fieldcreatorv2!BX40="","",fieldcreatorv2!BX40)</f>
        <v/>
      </c>
      <c r="C37" s="218"/>
      <c r="D37" s="219"/>
      <c r="E37" s="219"/>
      <c r="F37" s="116" t="str">
        <f t="shared" si="14"/>
        <v/>
      </c>
      <c r="G37" s="265" t="str">
        <f t="shared" si="1"/>
        <v>echo "&lt;td class=".$rowclass."&gt;".$row['']."&lt;/td&gt;";</v>
      </c>
      <c r="H37" s="12" t="str">
        <f t="shared" si="15"/>
        <v/>
      </c>
      <c r="I37" s="145" t="str">
        <f t="shared" si="26"/>
        <v/>
      </c>
      <c r="J37" s="12" t="str">
        <f>+IF(AND(fieldcreatorv2!C40&lt;&gt;"",C37="y"),fieldcreatorv2!E40,"")</f>
        <v/>
      </c>
      <c r="K37" s="12" t="str">
        <f t="shared" si="27"/>
        <v/>
      </c>
      <c r="L37" s="12" t="str">
        <f t="shared" si="28"/>
        <v/>
      </c>
      <c r="M37" s="12" t="str">
        <f t="shared" si="17"/>
        <v/>
      </c>
      <c r="N37" s="12" t="str">
        <f t="shared" si="18"/>
        <v/>
      </c>
      <c r="O37" s="55" t="str">
        <f t="shared" si="19"/>
        <v/>
      </c>
      <c r="P37" s="230" t="str">
        <f t="shared" si="20"/>
        <v/>
      </c>
      <c r="Q37" s="12" t="str">
        <f>+IF(AND(fieldcreatorv2!I40="si",OR(fieldcreatorv2!E40="bigtext",fieldcreatorv2!E40="texto"),OR(fieldcreatorv2!E39="radio",fieldcreatorv2!E39="selectlist")),1,"")</f>
        <v/>
      </c>
      <c r="R37" s="12">
        <f>+IF(AND(Q38=1,OR(fieldcreatorv2!E40="radio",fieldcreatorv2!E40="selectlist")),1,IF(Q37=1,1,IF(AND(R38=1,OR(fieldcreatorv2!E40="radio",fieldcreatorv2!E40="selectlist")),1,0)))</f>
        <v>0</v>
      </c>
      <c r="S37" s="12" t="str">
        <f t="shared" si="25"/>
        <v/>
      </c>
      <c r="T37" s="12" t="str">
        <f>+IF(AND(R37=1,R38=Q38),fieldcreatorv2!C40,IF(AND(R37=1,R38=1),T38,""))</f>
        <v/>
      </c>
      <c r="U37" s="12" t="str">
        <f t="shared" si="23"/>
        <v/>
      </c>
      <c r="V37" s="12" t="str">
        <f t="shared" si="24"/>
        <v/>
      </c>
      <c r="W37" s="12" t="str">
        <f t="shared" si="21"/>
        <v/>
      </c>
    </row>
    <row r="38" spans="1:23" customFormat="1">
      <c r="A38">
        <v>27</v>
      </c>
      <c r="B38" s="217" t="str">
        <f>IF(fieldcreatorv2!BX41="","",fieldcreatorv2!BX41)</f>
        <v/>
      </c>
      <c r="C38" s="218"/>
      <c r="D38" s="219"/>
      <c r="E38" s="219"/>
      <c r="F38" s="116" t="str">
        <f t="shared" si="14"/>
        <v/>
      </c>
      <c r="G38" s="265" t="str">
        <f t="shared" si="1"/>
        <v>echo "&lt;td class=".$rowclass."&gt;".$row['']."&lt;/td&gt;";</v>
      </c>
      <c r="H38" s="12" t="str">
        <f t="shared" si="15"/>
        <v/>
      </c>
      <c r="I38" s="145" t="str">
        <f t="shared" si="26"/>
        <v/>
      </c>
      <c r="J38" s="12" t="str">
        <f>+IF(AND(fieldcreatorv2!C41&lt;&gt;"",C38="y"),fieldcreatorv2!E41,"")</f>
        <v/>
      </c>
      <c r="K38" s="12" t="str">
        <f t="shared" ref="K38:K101" si="29">+IF(AND(E38&lt;&gt;E37,E38&lt;&gt;""),"starting",IF(AND(E38&lt;&gt;"",E38&lt;&gt;E39),"ending",IF(E38&lt;&gt;"","group","")))</f>
        <v/>
      </c>
      <c r="L38" s="12" t="str">
        <f t="shared" ref="L38:L101" si="30">IF(E38&lt;&gt;"",$B$7&amp;B38&amp;$C$1&amp;B38&amp;$C$2,"")</f>
        <v/>
      </c>
      <c r="M38" s="12" t="str">
        <f t="shared" si="17"/>
        <v/>
      </c>
      <c r="N38" s="12" t="str">
        <f t="shared" si="18"/>
        <v/>
      </c>
      <c r="O38" s="55" t="str">
        <f t="shared" si="19"/>
        <v/>
      </c>
      <c r="P38" s="230" t="str">
        <f t="shared" si="20"/>
        <v/>
      </c>
      <c r="Q38" s="12" t="str">
        <f>+IF(AND(fieldcreatorv2!I41="si",OR(fieldcreatorv2!E41="bigtext",fieldcreatorv2!E41="texto"),OR(fieldcreatorv2!E40="radio",fieldcreatorv2!E40="selectlist")),1,"")</f>
        <v/>
      </c>
      <c r="R38" s="12">
        <f>+IF(AND(Q39=1,OR(fieldcreatorv2!E41="radio",fieldcreatorv2!E41="selectlist")),1,IF(Q38=1,1,IF(AND(R39=1,OR(fieldcreatorv2!E41="radio",fieldcreatorv2!E41="selectlist")),1,0)))</f>
        <v>0</v>
      </c>
      <c r="S38" s="12" t="str">
        <f t="shared" si="25"/>
        <v/>
      </c>
      <c r="T38" s="12" t="str">
        <f>+IF(AND(R38=1,R39=Q39),fieldcreatorv2!C41,IF(AND(R38=1,R39=1),T39,""))</f>
        <v/>
      </c>
      <c r="U38" s="12" t="str">
        <f t="shared" si="23"/>
        <v/>
      </c>
      <c r="V38" s="12" t="str">
        <f t="shared" si="24"/>
        <v/>
      </c>
      <c r="W38" s="12" t="str">
        <f t="shared" si="21"/>
        <v/>
      </c>
    </row>
    <row r="39" spans="1:23" customFormat="1">
      <c r="A39">
        <v>28</v>
      </c>
      <c r="B39" s="217" t="str">
        <f>IF(fieldcreatorv2!BX42="","",fieldcreatorv2!BX42)</f>
        <v/>
      </c>
      <c r="C39" s="218"/>
      <c r="D39" s="219"/>
      <c r="E39" s="219"/>
      <c r="F39" s="116" t="str">
        <f t="shared" si="14"/>
        <v/>
      </c>
      <c r="G39" s="265" t="str">
        <f t="shared" si="1"/>
        <v>echo "&lt;td class=".$rowclass."&gt;".$row['']."&lt;/td&gt;";</v>
      </c>
      <c r="H39" s="12" t="str">
        <f t="shared" si="15"/>
        <v/>
      </c>
      <c r="I39" s="145" t="str">
        <f t="shared" si="26"/>
        <v/>
      </c>
      <c r="J39" s="12" t="str">
        <f>+IF(AND(fieldcreatorv2!C42&lt;&gt;"",C39="y"),fieldcreatorv2!E42,"")</f>
        <v/>
      </c>
      <c r="K39" s="12" t="str">
        <f t="shared" si="29"/>
        <v/>
      </c>
      <c r="L39" s="12" t="str">
        <f t="shared" si="30"/>
        <v/>
      </c>
      <c r="M39" s="12" t="str">
        <f t="shared" si="17"/>
        <v/>
      </c>
      <c r="N39" s="12" t="str">
        <f t="shared" si="18"/>
        <v/>
      </c>
      <c r="O39" s="55" t="str">
        <f t="shared" si="19"/>
        <v/>
      </c>
      <c r="P39" s="230" t="str">
        <f t="shared" si="20"/>
        <v/>
      </c>
      <c r="Q39" s="12" t="str">
        <f>+IF(AND(fieldcreatorv2!I42="si",OR(fieldcreatorv2!E42="bigtext",fieldcreatorv2!E42="texto"),OR(fieldcreatorv2!E41="radio",fieldcreatorv2!E41="selectlist")),1,"")</f>
        <v/>
      </c>
      <c r="R39" s="12">
        <f>+IF(AND(Q40=1,OR(fieldcreatorv2!E42="radio",fieldcreatorv2!E42="selectlist")),1,IF(Q39=1,1,IF(AND(R40=1,OR(fieldcreatorv2!E42="radio",fieldcreatorv2!E42="selectlist")),1,0)))</f>
        <v>0</v>
      </c>
      <c r="S39" s="12" t="str">
        <f t="shared" si="25"/>
        <v/>
      </c>
      <c r="T39" s="12" t="str">
        <f>+IF(AND(R39=1,R40=Q40),fieldcreatorv2!C42,IF(AND(R39=1,R40=1),T40,""))</f>
        <v/>
      </c>
      <c r="U39" s="12" t="str">
        <f t="shared" si="23"/>
        <v/>
      </c>
      <c r="V39" s="12" t="str">
        <f t="shared" si="24"/>
        <v/>
      </c>
      <c r="W39" s="12" t="str">
        <f t="shared" si="21"/>
        <v/>
      </c>
    </row>
    <row r="40" spans="1:23" customFormat="1">
      <c r="A40">
        <v>29</v>
      </c>
      <c r="B40" s="217" t="str">
        <f>IF(fieldcreatorv2!BX43="","",fieldcreatorv2!BX43)</f>
        <v/>
      </c>
      <c r="C40" s="218"/>
      <c r="D40" s="219"/>
      <c r="E40" s="219"/>
      <c r="F40" s="116" t="str">
        <f t="shared" si="14"/>
        <v/>
      </c>
      <c r="G40" s="265" t="str">
        <f t="shared" si="1"/>
        <v>echo "&lt;td class=".$rowclass."&gt;".$row['']."&lt;/td&gt;";</v>
      </c>
      <c r="H40" s="12" t="str">
        <f t="shared" si="15"/>
        <v/>
      </c>
      <c r="I40" s="145" t="str">
        <f t="shared" si="26"/>
        <v/>
      </c>
      <c r="J40" s="12" t="str">
        <f>+IF(AND(fieldcreatorv2!C43&lt;&gt;"",C40="y"),fieldcreatorv2!E43,"")</f>
        <v/>
      </c>
      <c r="K40" s="12" t="str">
        <f t="shared" si="29"/>
        <v/>
      </c>
      <c r="L40" s="12" t="str">
        <f t="shared" si="30"/>
        <v/>
      </c>
      <c r="M40" s="12" t="str">
        <f t="shared" si="17"/>
        <v/>
      </c>
      <c r="N40" s="12" t="str">
        <f t="shared" si="18"/>
        <v/>
      </c>
      <c r="O40" s="55" t="str">
        <f t="shared" si="19"/>
        <v/>
      </c>
      <c r="P40" s="230" t="str">
        <f t="shared" si="20"/>
        <v/>
      </c>
      <c r="Q40" s="12" t="str">
        <f>+IF(AND(fieldcreatorv2!I43="si",OR(fieldcreatorv2!E43="bigtext",fieldcreatorv2!E43="texto"),OR(fieldcreatorv2!E42="radio",fieldcreatorv2!E42="selectlist")),1,"")</f>
        <v/>
      </c>
      <c r="R40" s="12">
        <f>+IF(AND(Q41=1,OR(fieldcreatorv2!E43="radio",fieldcreatorv2!E43="selectlist")),1,IF(Q40=1,1,IF(AND(R41=1,OR(fieldcreatorv2!E43="radio",fieldcreatorv2!E43="selectlist")),1,0)))</f>
        <v>0</v>
      </c>
      <c r="S40" s="12" t="str">
        <f t="shared" si="25"/>
        <v/>
      </c>
      <c r="T40" s="12" t="str">
        <f>+IF(AND(R40=1,R41=Q41),fieldcreatorv2!C43,IF(AND(R40=1,R41=1),T41,""))</f>
        <v/>
      </c>
      <c r="U40" s="12" t="str">
        <f t="shared" si="23"/>
        <v/>
      </c>
      <c r="V40" s="12" t="str">
        <f t="shared" si="24"/>
        <v/>
      </c>
      <c r="W40" s="12" t="str">
        <f t="shared" si="21"/>
        <v/>
      </c>
    </row>
    <row r="41" spans="1:23" customFormat="1">
      <c r="A41">
        <v>30</v>
      </c>
      <c r="B41" s="217" t="str">
        <f>IF(fieldcreatorv2!BX44="","",fieldcreatorv2!BX44)</f>
        <v/>
      </c>
      <c r="C41" s="218"/>
      <c r="D41" s="219"/>
      <c r="E41" s="219"/>
      <c r="F41" s="116" t="str">
        <f t="shared" si="14"/>
        <v/>
      </c>
      <c r="G41" s="265" t="str">
        <f t="shared" si="1"/>
        <v>echo "&lt;td class=".$rowclass."&gt;".$row['']."&lt;/td&gt;";</v>
      </c>
      <c r="H41" s="12" t="str">
        <f t="shared" si="15"/>
        <v/>
      </c>
      <c r="I41" s="145" t="str">
        <f t="shared" si="26"/>
        <v/>
      </c>
      <c r="J41" s="12" t="str">
        <f>+IF(AND(fieldcreatorv2!C44&lt;&gt;"",C41="y"),fieldcreatorv2!E44,"")</f>
        <v/>
      </c>
      <c r="K41" s="12" t="str">
        <f t="shared" si="29"/>
        <v/>
      </c>
      <c r="L41" s="12" t="str">
        <f t="shared" si="30"/>
        <v/>
      </c>
      <c r="M41" s="12" t="str">
        <f t="shared" si="17"/>
        <v/>
      </c>
      <c r="N41" s="12" t="str">
        <f t="shared" si="18"/>
        <v/>
      </c>
      <c r="O41" s="55" t="str">
        <f t="shared" si="19"/>
        <v/>
      </c>
      <c r="P41" s="230" t="str">
        <f t="shared" si="20"/>
        <v/>
      </c>
      <c r="Q41" s="12" t="str">
        <f>+IF(AND(fieldcreatorv2!I44="si",OR(fieldcreatorv2!E44="bigtext",fieldcreatorv2!E44="texto"),OR(fieldcreatorv2!E43="radio",fieldcreatorv2!E43="selectlist")),1,"")</f>
        <v/>
      </c>
      <c r="R41" s="12">
        <f>+IF(AND(Q42=1,OR(fieldcreatorv2!E44="radio",fieldcreatorv2!E44="selectlist")),1,IF(Q41=1,1,IF(AND(R42=1,OR(fieldcreatorv2!E44="radio",fieldcreatorv2!E44="selectlist")),1,0)))</f>
        <v>0</v>
      </c>
      <c r="S41" s="12" t="str">
        <f t="shared" si="25"/>
        <v/>
      </c>
      <c r="T41" s="12" t="str">
        <f>+IF(AND(R41=1,R42=Q42),fieldcreatorv2!C44,IF(AND(R41=1,R42=1),T42,""))</f>
        <v/>
      </c>
      <c r="U41" s="12" t="str">
        <f t="shared" si="23"/>
        <v/>
      </c>
      <c r="V41" s="12" t="str">
        <f t="shared" si="24"/>
        <v/>
      </c>
      <c r="W41" s="12" t="str">
        <f t="shared" si="21"/>
        <v/>
      </c>
    </row>
    <row r="42" spans="1:23" customFormat="1">
      <c r="A42">
        <v>31</v>
      </c>
      <c r="B42" s="217" t="str">
        <f>IF(fieldcreatorv2!BX45="","",fieldcreatorv2!BX45)</f>
        <v/>
      </c>
      <c r="C42" s="218"/>
      <c r="D42" s="219"/>
      <c r="E42" s="219"/>
      <c r="F42" s="116" t="str">
        <f t="shared" si="14"/>
        <v/>
      </c>
      <c r="G42" s="265" t="str">
        <f t="shared" si="1"/>
        <v>echo "&lt;td class=".$rowclass."&gt;".$row['']."&lt;/td&gt;";</v>
      </c>
      <c r="H42" s="12" t="str">
        <f t="shared" si="15"/>
        <v/>
      </c>
      <c r="I42" s="145" t="str">
        <f t="shared" si="26"/>
        <v/>
      </c>
      <c r="J42" s="12" t="str">
        <f>+IF(AND(fieldcreatorv2!C45&lt;&gt;"",C42="y"),fieldcreatorv2!E45,"")</f>
        <v/>
      </c>
      <c r="K42" s="12" t="str">
        <f t="shared" si="29"/>
        <v/>
      </c>
      <c r="L42" s="12" t="str">
        <f t="shared" si="30"/>
        <v/>
      </c>
      <c r="M42" s="12" t="str">
        <f t="shared" si="17"/>
        <v/>
      </c>
      <c r="N42" s="12" t="str">
        <f t="shared" si="18"/>
        <v/>
      </c>
      <c r="O42" s="55" t="str">
        <f t="shared" si="19"/>
        <v/>
      </c>
      <c r="P42" s="230" t="str">
        <f t="shared" si="20"/>
        <v/>
      </c>
      <c r="Q42" s="12" t="str">
        <f>+IF(AND(fieldcreatorv2!I45="si",OR(fieldcreatorv2!E45="bigtext",fieldcreatorv2!E45="texto"),OR(fieldcreatorv2!E44="radio",fieldcreatorv2!E44="selectlist")),1,"")</f>
        <v/>
      </c>
      <c r="R42" s="12">
        <f>+IF(AND(Q43=1,OR(fieldcreatorv2!E45="radio",fieldcreatorv2!E45="selectlist")),1,IF(Q42=1,1,IF(AND(R43=1,OR(fieldcreatorv2!E45="radio",fieldcreatorv2!E45="selectlist")),1,0)))</f>
        <v>0</v>
      </c>
      <c r="S42" s="12" t="str">
        <f t="shared" si="25"/>
        <v/>
      </c>
      <c r="T42" s="12" t="str">
        <f>+IF(AND(R42=1,R43=Q43),fieldcreatorv2!C45,IF(AND(R42=1,R43=1),T43,""))</f>
        <v/>
      </c>
      <c r="U42" s="12" t="str">
        <f t="shared" si="23"/>
        <v/>
      </c>
      <c r="V42" s="12" t="str">
        <f t="shared" si="24"/>
        <v/>
      </c>
      <c r="W42" s="12" t="str">
        <f t="shared" si="21"/>
        <v/>
      </c>
    </row>
    <row r="43" spans="1:23" customFormat="1">
      <c r="A43">
        <v>32</v>
      </c>
      <c r="B43" s="217" t="str">
        <f>IF(fieldcreatorv2!BX46="","",fieldcreatorv2!BX46)</f>
        <v/>
      </c>
      <c r="C43" s="218"/>
      <c r="D43" s="219"/>
      <c r="E43" s="219"/>
      <c r="F43" s="116" t="str">
        <f t="shared" si="14"/>
        <v/>
      </c>
      <c r="G43" s="265" t="str">
        <f t="shared" si="1"/>
        <v>echo "&lt;td class=".$rowclass."&gt;".$row['']."&lt;/td&gt;";</v>
      </c>
      <c r="H43" s="12" t="str">
        <f t="shared" si="15"/>
        <v/>
      </c>
      <c r="I43" s="145" t="str">
        <f t="shared" si="26"/>
        <v/>
      </c>
      <c r="J43" s="12" t="str">
        <f>+IF(AND(fieldcreatorv2!C46&lt;&gt;"",C43="y"),fieldcreatorv2!E46,"")</f>
        <v/>
      </c>
      <c r="K43" s="12" t="str">
        <f t="shared" si="29"/>
        <v/>
      </c>
      <c r="L43" s="12" t="str">
        <f t="shared" si="30"/>
        <v/>
      </c>
      <c r="M43" s="12" t="str">
        <f t="shared" si="17"/>
        <v/>
      </c>
      <c r="N43" s="12" t="str">
        <f t="shared" si="18"/>
        <v/>
      </c>
      <c r="O43" s="55" t="str">
        <f t="shared" si="19"/>
        <v/>
      </c>
      <c r="P43" s="230" t="str">
        <f t="shared" si="20"/>
        <v/>
      </c>
      <c r="Q43" s="12" t="str">
        <f>+IF(AND(fieldcreatorv2!I46="si",OR(fieldcreatorv2!E46="bigtext",fieldcreatorv2!E46="texto"),OR(fieldcreatorv2!E45="radio",fieldcreatorv2!E45="selectlist")),1,"")</f>
        <v/>
      </c>
      <c r="R43" s="12">
        <f>+IF(AND(Q44=1,OR(fieldcreatorv2!E46="radio",fieldcreatorv2!E46="selectlist")),1,IF(Q43=1,1,IF(AND(R44=1,OR(fieldcreatorv2!E46="radio",fieldcreatorv2!E46="selectlist")),1,0)))</f>
        <v>0</v>
      </c>
      <c r="S43" s="12" t="str">
        <f t="shared" si="25"/>
        <v/>
      </c>
      <c r="T43" s="12" t="str">
        <f>+IF(AND(R43=1,R44=Q44),fieldcreatorv2!C46,IF(AND(R43=1,R44=1),T44,""))</f>
        <v/>
      </c>
      <c r="U43" s="12" t="str">
        <f t="shared" si="23"/>
        <v/>
      </c>
      <c r="V43" s="12" t="str">
        <f t="shared" si="24"/>
        <v/>
      </c>
      <c r="W43" s="12" t="str">
        <f t="shared" si="21"/>
        <v/>
      </c>
    </row>
    <row r="44" spans="1:23" customFormat="1">
      <c r="A44">
        <v>33</v>
      </c>
      <c r="B44" s="217" t="str">
        <f>IF(fieldcreatorv2!BX47="","",fieldcreatorv2!BX47)</f>
        <v/>
      </c>
      <c r="C44" s="218"/>
      <c r="D44" s="219"/>
      <c r="E44" s="219"/>
      <c r="F44" s="116" t="str">
        <f t="shared" si="14"/>
        <v/>
      </c>
      <c r="G44" s="265" t="str">
        <f t="shared" ref="G44:G75" si="31">+$A$1&amp;B44&amp;$A$2&amp;$A$3</f>
        <v>echo "&lt;td class=".$rowclass."&gt;".$row['']."&lt;/td&gt;";</v>
      </c>
      <c r="H44" s="12" t="str">
        <f t="shared" si="15"/>
        <v/>
      </c>
      <c r="I44" s="145" t="str">
        <f t="shared" si="26"/>
        <v/>
      </c>
      <c r="J44" s="12" t="str">
        <f>+IF(AND(fieldcreatorv2!C47&lt;&gt;"",C44="y"),fieldcreatorv2!E47,"")</f>
        <v/>
      </c>
      <c r="K44" s="12" t="str">
        <f t="shared" si="29"/>
        <v/>
      </c>
      <c r="L44" s="12" t="str">
        <f t="shared" si="30"/>
        <v/>
      </c>
      <c r="M44" s="12" t="str">
        <f t="shared" si="17"/>
        <v/>
      </c>
      <c r="N44" s="12" t="str">
        <f t="shared" si="18"/>
        <v/>
      </c>
      <c r="O44" s="55" t="str">
        <f t="shared" si="19"/>
        <v/>
      </c>
      <c r="P44" s="230" t="str">
        <f t="shared" si="20"/>
        <v/>
      </c>
      <c r="Q44" s="12" t="str">
        <f>+IF(AND(fieldcreatorv2!I47="si",OR(fieldcreatorv2!E47="bigtext",fieldcreatorv2!E47="texto"),OR(fieldcreatorv2!E46="radio",fieldcreatorv2!E46="selectlist")),1,"")</f>
        <v/>
      </c>
      <c r="R44" s="12">
        <f>+IF(AND(Q45=1,OR(fieldcreatorv2!E47="radio",fieldcreatorv2!E47="selectlist")),1,IF(Q44=1,1,IF(AND(R45=1,OR(fieldcreatorv2!E47="radio",fieldcreatorv2!E47="selectlist")),1,0)))</f>
        <v>0</v>
      </c>
      <c r="S44" s="12" t="str">
        <f t="shared" si="25"/>
        <v/>
      </c>
      <c r="T44" s="12" t="str">
        <f>+IF(AND(R44=1,R45=Q45),fieldcreatorv2!C47,IF(AND(R44=1,R45=1),T45,""))</f>
        <v/>
      </c>
      <c r="U44" s="12" t="str">
        <f t="shared" si="23"/>
        <v/>
      </c>
      <c r="V44" s="12" t="str">
        <f t="shared" si="24"/>
        <v/>
      </c>
      <c r="W44" s="12" t="str">
        <f t="shared" si="21"/>
        <v/>
      </c>
    </row>
    <row r="45" spans="1:23" customFormat="1">
      <c r="A45">
        <v>34</v>
      </c>
      <c r="B45" t="str">
        <f>IF(fieldcreatorv2!BX48="","",fieldcreatorv2!BX48)</f>
        <v/>
      </c>
      <c r="C45" s="218"/>
      <c r="D45" s="12"/>
      <c r="E45" s="12"/>
      <c r="F45" s="116" t="str">
        <f t="shared" ref="F45:F89" si="32">IF(AND(B45&lt;&gt;"",C45="y",V45&lt;&gt;""),V45,IF(AND(E45&lt;&gt;"",C45="y"),O45,IF(J45="check",P45,IF(AND(C45="y",B45&lt;&gt;""),G45,""))))</f>
        <v/>
      </c>
      <c r="G45" s="265" t="str">
        <f t="shared" si="31"/>
        <v>echo "&lt;td class=".$rowclass."&gt;".$row['']."&lt;/td&gt;";</v>
      </c>
      <c r="H45" s="12" t="str">
        <f t="shared" si="15"/>
        <v/>
      </c>
      <c r="I45" s="145" t="str">
        <f t="shared" ref="I45:I76" si="33">+IF(H45="","",$A$4&amp;D45&amp;$A$5)</f>
        <v/>
      </c>
      <c r="J45" s="12" t="str">
        <f>+IF(AND(fieldcreatorv2!C48&lt;&gt;"",C45="y"),fieldcreatorv2!E48,"")</f>
        <v/>
      </c>
      <c r="K45" s="12" t="str">
        <f t="shared" si="29"/>
        <v/>
      </c>
      <c r="L45" s="12" t="str">
        <f t="shared" si="30"/>
        <v/>
      </c>
      <c r="M45" s="12" t="str">
        <f t="shared" si="17"/>
        <v/>
      </c>
      <c r="N45" s="12" t="str">
        <f t="shared" si="18"/>
        <v/>
      </c>
      <c r="O45" s="55" t="str">
        <f t="shared" si="19"/>
        <v/>
      </c>
      <c r="P45" s="230" t="str">
        <f t="shared" si="20"/>
        <v/>
      </c>
      <c r="Q45" s="12" t="str">
        <f>+IF(AND(fieldcreatorv2!I48="si",OR(fieldcreatorv2!E48="bigtext",fieldcreatorv2!E48="texto"),OR(fieldcreatorv2!E47="radio",fieldcreatorv2!E47="selectlist")),1,"")</f>
        <v/>
      </c>
      <c r="R45" s="12">
        <f>+IF(AND(Q46=1,OR(fieldcreatorv2!E48="radio",fieldcreatorv2!E48="selectlist")),1,IF(Q45=1,1,IF(AND(R46=1,OR(fieldcreatorv2!E48="radio",fieldcreatorv2!E48="selectlist")),1,0)))</f>
        <v>0</v>
      </c>
      <c r="S45" s="12" t="str">
        <f t="shared" si="25"/>
        <v/>
      </c>
      <c r="T45" s="12" t="str">
        <f>+IF(AND(R45=1,R46=Q46),fieldcreatorv2!C48,IF(AND(R45=1,R46=1),T46,""))</f>
        <v/>
      </c>
      <c r="U45" s="12" t="str">
        <f t="shared" si="23"/>
        <v/>
      </c>
      <c r="V45" s="12" t="str">
        <f t="shared" si="24"/>
        <v/>
      </c>
    </row>
    <row r="46" spans="1:23" customFormat="1">
      <c r="A46">
        <v>35</v>
      </c>
      <c r="B46" t="str">
        <f>IF(fieldcreatorv2!BX49="","",fieldcreatorv2!BX49)</f>
        <v/>
      </c>
      <c r="C46" s="218"/>
      <c r="D46" s="12"/>
      <c r="E46" s="12"/>
      <c r="F46" s="116" t="str">
        <f t="shared" si="32"/>
        <v/>
      </c>
      <c r="G46" s="265" t="str">
        <f t="shared" si="31"/>
        <v>echo "&lt;td class=".$rowclass."&gt;".$row['']."&lt;/td&gt;";</v>
      </c>
      <c r="H46" s="12" t="str">
        <f t="shared" si="15"/>
        <v/>
      </c>
      <c r="I46" s="145" t="str">
        <f t="shared" si="33"/>
        <v/>
      </c>
      <c r="J46" s="12" t="str">
        <f>+IF(AND(fieldcreatorv2!C49&lt;&gt;"",C46="y"),fieldcreatorv2!E49,"")</f>
        <v/>
      </c>
      <c r="K46" s="12" t="str">
        <f t="shared" si="29"/>
        <v/>
      </c>
      <c r="L46" s="12" t="str">
        <f t="shared" si="30"/>
        <v/>
      </c>
      <c r="M46" s="12" t="str">
        <f t="shared" si="17"/>
        <v/>
      </c>
      <c r="N46" s="12" t="str">
        <f t="shared" si="18"/>
        <v/>
      </c>
      <c r="O46" s="55" t="str">
        <f t="shared" si="19"/>
        <v/>
      </c>
      <c r="P46" s="230" t="str">
        <f t="shared" si="20"/>
        <v/>
      </c>
      <c r="Q46" s="12" t="str">
        <f>+IF(AND(fieldcreatorv2!I49="si",OR(fieldcreatorv2!E49="bigtext",fieldcreatorv2!E49="texto"),OR(fieldcreatorv2!E48="radio",fieldcreatorv2!E48="selectlist")),1,"")</f>
        <v/>
      </c>
      <c r="R46" s="12">
        <f>+IF(AND(Q47=1,OR(fieldcreatorv2!E49="radio",fieldcreatorv2!E49="selectlist")),1,IF(Q46=1,1,IF(AND(R47=1,OR(fieldcreatorv2!E49="radio",fieldcreatorv2!E49="selectlist")),1,0)))</f>
        <v>0</v>
      </c>
      <c r="S46" s="12" t="str">
        <f t="shared" si="25"/>
        <v/>
      </c>
      <c r="T46" s="12" t="str">
        <f>+IF(AND(R46=1,R47=Q47),fieldcreatorv2!C49,IF(AND(R46=1,R47=1),T47,""))</f>
        <v/>
      </c>
      <c r="U46" s="12" t="str">
        <f t="shared" si="23"/>
        <v/>
      </c>
      <c r="V46" s="12" t="str">
        <f t="shared" si="24"/>
        <v/>
      </c>
    </row>
    <row r="47" spans="1:23" customFormat="1">
      <c r="A47">
        <v>36</v>
      </c>
      <c r="B47" t="str">
        <f>IF(fieldcreatorv2!BX50="","",fieldcreatorv2!BX50)</f>
        <v/>
      </c>
      <c r="C47" s="218"/>
      <c r="D47" s="12"/>
      <c r="E47" s="12"/>
      <c r="F47" s="116" t="str">
        <f t="shared" si="32"/>
        <v/>
      </c>
      <c r="G47" s="265" t="str">
        <f t="shared" si="31"/>
        <v>echo "&lt;td class=".$rowclass."&gt;".$row['']."&lt;/td&gt;";</v>
      </c>
      <c r="H47" s="12" t="str">
        <f t="shared" si="15"/>
        <v/>
      </c>
      <c r="I47" s="145" t="str">
        <f t="shared" si="33"/>
        <v/>
      </c>
      <c r="J47" s="12" t="str">
        <f>+IF(AND(fieldcreatorv2!C50&lt;&gt;"",C47="y"),fieldcreatorv2!E50,"")</f>
        <v/>
      </c>
      <c r="K47" s="12" t="str">
        <f t="shared" si="29"/>
        <v/>
      </c>
      <c r="L47" s="12" t="str">
        <f t="shared" si="30"/>
        <v/>
      </c>
      <c r="M47" s="12" t="str">
        <f t="shared" si="17"/>
        <v/>
      </c>
      <c r="N47" s="12" t="str">
        <f t="shared" si="18"/>
        <v/>
      </c>
      <c r="O47" s="55" t="str">
        <f t="shared" si="19"/>
        <v/>
      </c>
      <c r="P47" s="230" t="str">
        <f t="shared" si="20"/>
        <v/>
      </c>
      <c r="Q47" s="12" t="str">
        <f>+IF(AND(fieldcreatorv2!I50="si",OR(fieldcreatorv2!E50="bigtext",fieldcreatorv2!E50="texto"),OR(fieldcreatorv2!E49="radio",fieldcreatorv2!E49="selectlist")),1,"")</f>
        <v/>
      </c>
      <c r="R47" s="12">
        <f>+IF(AND(Q48=1,OR(fieldcreatorv2!E50="radio",fieldcreatorv2!E50="selectlist")),1,IF(Q47=1,1,IF(AND(R48=1,OR(fieldcreatorv2!E50="radio",fieldcreatorv2!E50="selectlist")),1,0)))</f>
        <v>0</v>
      </c>
      <c r="S47" s="12" t="str">
        <f t="shared" si="25"/>
        <v/>
      </c>
      <c r="T47" s="12" t="str">
        <f>+IF(AND(R47=1,R48=Q48),fieldcreatorv2!C50,IF(AND(R47=1,R48=1),T48,""))</f>
        <v/>
      </c>
      <c r="U47" s="12" t="str">
        <f t="shared" si="23"/>
        <v/>
      </c>
      <c r="V47" s="12" t="str">
        <f t="shared" si="24"/>
        <v/>
      </c>
    </row>
    <row r="48" spans="1:23" customFormat="1">
      <c r="A48">
        <v>37</v>
      </c>
      <c r="B48" t="str">
        <f>IF(fieldcreatorv2!BX51="","",fieldcreatorv2!BX51)</f>
        <v/>
      </c>
      <c r="C48" s="218"/>
      <c r="D48" s="12"/>
      <c r="E48" s="12"/>
      <c r="F48" s="116" t="str">
        <f t="shared" si="32"/>
        <v/>
      </c>
      <c r="G48" s="265" t="str">
        <f t="shared" si="31"/>
        <v>echo "&lt;td class=".$rowclass."&gt;".$row['']."&lt;/td&gt;";</v>
      </c>
      <c r="H48" s="12" t="str">
        <f t="shared" si="15"/>
        <v/>
      </c>
      <c r="I48" s="145" t="str">
        <f t="shared" si="33"/>
        <v/>
      </c>
      <c r="J48" s="12" t="str">
        <f>+IF(AND(fieldcreatorv2!C51&lt;&gt;"",C48="y"),fieldcreatorv2!E51,"")</f>
        <v/>
      </c>
      <c r="K48" s="12" t="str">
        <f t="shared" si="29"/>
        <v/>
      </c>
      <c r="L48" s="12" t="str">
        <f t="shared" si="30"/>
        <v/>
      </c>
      <c r="M48" s="12" t="str">
        <f t="shared" si="17"/>
        <v/>
      </c>
      <c r="N48" s="12" t="str">
        <f t="shared" si="18"/>
        <v/>
      </c>
      <c r="O48" s="55" t="str">
        <f t="shared" si="19"/>
        <v/>
      </c>
      <c r="P48" s="230" t="str">
        <f t="shared" si="20"/>
        <v/>
      </c>
      <c r="Q48" s="12" t="str">
        <f>+IF(AND(fieldcreatorv2!I51="si",OR(fieldcreatorv2!E51="bigtext",fieldcreatorv2!E51="texto"),OR(fieldcreatorv2!E50="radio",fieldcreatorv2!E50="selectlist")),1,"")</f>
        <v/>
      </c>
      <c r="R48" s="12">
        <f>+IF(AND(Q49=1,OR(fieldcreatorv2!E51="radio",fieldcreatorv2!E51="selectlist")),1,IF(Q48=1,1,IF(AND(R49=1,OR(fieldcreatorv2!E51="radio",fieldcreatorv2!E51="selectlist")),1,0)))</f>
        <v>0</v>
      </c>
      <c r="S48" s="12" t="str">
        <f t="shared" si="25"/>
        <v/>
      </c>
      <c r="T48" s="12" t="str">
        <f>+IF(AND(R48=1,R49=Q49),fieldcreatorv2!C51,IF(AND(R48=1,R49=1),T49,""))</f>
        <v/>
      </c>
      <c r="U48" s="12" t="str">
        <f t="shared" si="23"/>
        <v/>
      </c>
      <c r="V48" s="12" t="str">
        <f t="shared" si="24"/>
        <v/>
      </c>
    </row>
    <row r="49" spans="1:22" customFormat="1">
      <c r="A49">
        <v>38</v>
      </c>
      <c r="B49" t="str">
        <f>IF(fieldcreatorv2!BX52="","",fieldcreatorv2!BX52)</f>
        <v/>
      </c>
      <c r="C49" s="218"/>
      <c r="D49" s="12"/>
      <c r="E49" s="12"/>
      <c r="F49" s="116" t="str">
        <f t="shared" si="32"/>
        <v/>
      </c>
      <c r="G49" s="265" t="str">
        <f t="shared" si="31"/>
        <v>echo "&lt;td class=".$rowclass."&gt;".$row['']."&lt;/td&gt;";</v>
      </c>
      <c r="H49" s="12" t="str">
        <f t="shared" si="15"/>
        <v/>
      </c>
      <c r="I49" s="145" t="str">
        <f t="shared" si="33"/>
        <v/>
      </c>
      <c r="J49" s="12" t="str">
        <f>+IF(AND(fieldcreatorv2!C52&lt;&gt;"",C49="y"),fieldcreatorv2!E52,"")</f>
        <v/>
      </c>
      <c r="K49" s="12" t="str">
        <f t="shared" si="29"/>
        <v/>
      </c>
      <c r="L49" s="12" t="str">
        <f t="shared" si="30"/>
        <v/>
      </c>
      <c r="M49" s="12" t="str">
        <f t="shared" si="17"/>
        <v/>
      </c>
      <c r="N49" s="12" t="str">
        <f t="shared" si="18"/>
        <v/>
      </c>
      <c r="O49" s="55" t="str">
        <f t="shared" si="19"/>
        <v/>
      </c>
      <c r="P49" s="230" t="str">
        <f t="shared" si="20"/>
        <v/>
      </c>
      <c r="Q49" s="12" t="str">
        <f>+IF(AND(fieldcreatorv2!I52="si",OR(fieldcreatorv2!E52="bigtext",fieldcreatorv2!E52="texto"),OR(fieldcreatorv2!E51="radio",fieldcreatorv2!E51="selectlist")),1,"")</f>
        <v/>
      </c>
      <c r="R49" s="12">
        <f>+IF(AND(Q50=1,OR(fieldcreatorv2!E52="radio",fieldcreatorv2!E52="selectlist")),1,IF(Q49=1,1,IF(AND(R50=1,OR(fieldcreatorv2!E52="radio",fieldcreatorv2!E52="selectlist")),1,0)))</f>
        <v>0</v>
      </c>
      <c r="S49" s="12" t="str">
        <f t="shared" si="25"/>
        <v/>
      </c>
      <c r="T49" s="12" t="str">
        <f>+IF(AND(R49=1,R50=Q50),fieldcreatorv2!C52,IF(AND(R49=1,R50=1),T50,""))</f>
        <v/>
      </c>
      <c r="U49" s="12" t="str">
        <f t="shared" si="23"/>
        <v/>
      </c>
      <c r="V49" s="12" t="str">
        <f t="shared" si="24"/>
        <v/>
      </c>
    </row>
    <row r="50" spans="1:22" customFormat="1">
      <c r="A50">
        <v>39</v>
      </c>
      <c r="B50" t="str">
        <f>IF(fieldcreatorv2!BX53="","",fieldcreatorv2!BX53)</f>
        <v/>
      </c>
      <c r="C50" s="218"/>
      <c r="D50" s="12"/>
      <c r="E50" s="12"/>
      <c r="F50" s="116" t="str">
        <f t="shared" si="32"/>
        <v/>
      </c>
      <c r="G50" s="265" t="str">
        <f t="shared" si="31"/>
        <v>echo "&lt;td class=".$rowclass."&gt;".$row['']."&lt;/td&gt;";</v>
      </c>
      <c r="H50" s="12" t="str">
        <f t="shared" si="15"/>
        <v/>
      </c>
      <c r="I50" s="145" t="str">
        <f t="shared" si="33"/>
        <v/>
      </c>
      <c r="J50" s="12" t="str">
        <f>+IF(AND(fieldcreatorv2!C53&lt;&gt;"",C50="y"),fieldcreatorv2!E53,"")</f>
        <v/>
      </c>
      <c r="K50" s="12" t="str">
        <f t="shared" si="29"/>
        <v/>
      </c>
      <c r="L50" s="12" t="str">
        <f t="shared" si="30"/>
        <v/>
      </c>
      <c r="M50" s="12" t="str">
        <f t="shared" si="17"/>
        <v/>
      </c>
      <c r="N50" s="12" t="str">
        <f t="shared" si="18"/>
        <v/>
      </c>
      <c r="O50" s="55" t="str">
        <f t="shared" si="19"/>
        <v/>
      </c>
      <c r="P50" s="230" t="str">
        <f t="shared" si="20"/>
        <v/>
      </c>
      <c r="Q50" s="12" t="str">
        <f>+IF(AND(fieldcreatorv2!I53="si",OR(fieldcreatorv2!E53="bigtext",fieldcreatorv2!E53="texto"),OR(fieldcreatorv2!E52="radio",fieldcreatorv2!E52="selectlist")),1,"")</f>
        <v/>
      </c>
      <c r="R50" s="12">
        <f>+IF(AND(Q51=1,OR(fieldcreatorv2!E53="radio",fieldcreatorv2!E53="selectlist")),1,IF(Q50=1,1,IF(AND(R51=1,OR(fieldcreatorv2!E53="radio",fieldcreatorv2!E53="selectlist")),1,0)))</f>
        <v>0</v>
      </c>
      <c r="S50" s="12" t="str">
        <f t="shared" si="25"/>
        <v/>
      </c>
      <c r="T50" s="12" t="str">
        <f>+IF(AND(R50=1,R51=Q51),fieldcreatorv2!C53,IF(AND(R50=1,R51=1),T51,""))</f>
        <v/>
      </c>
      <c r="U50" s="12" t="str">
        <f t="shared" si="23"/>
        <v/>
      </c>
      <c r="V50" s="12" t="str">
        <f t="shared" si="24"/>
        <v/>
      </c>
    </row>
    <row r="51" spans="1:22" customFormat="1">
      <c r="A51">
        <v>40</v>
      </c>
      <c r="B51" t="str">
        <f>IF(fieldcreatorv2!BX54="","",fieldcreatorv2!BX54)</f>
        <v/>
      </c>
      <c r="C51" s="218"/>
      <c r="D51" s="12"/>
      <c r="E51" s="12"/>
      <c r="F51" s="116" t="str">
        <f t="shared" si="32"/>
        <v/>
      </c>
      <c r="G51" s="265" t="str">
        <f t="shared" si="31"/>
        <v>echo "&lt;td class=".$rowclass."&gt;".$row['']."&lt;/td&gt;";</v>
      </c>
      <c r="H51" s="12" t="str">
        <f t="shared" si="15"/>
        <v/>
      </c>
      <c r="I51" s="145" t="str">
        <f t="shared" si="33"/>
        <v/>
      </c>
      <c r="J51" s="12" t="str">
        <f>+IF(AND(fieldcreatorv2!C54&lt;&gt;"",C51="y"),fieldcreatorv2!E54,"")</f>
        <v/>
      </c>
      <c r="K51" s="12" t="str">
        <f t="shared" si="29"/>
        <v/>
      </c>
      <c r="L51" s="12" t="str">
        <f t="shared" si="30"/>
        <v/>
      </c>
      <c r="M51" s="12" t="str">
        <f t="shared" si="17"/>
        <v/>
      </c>
      <c r="N51" s="12" t="str">
        <f t="shared" si="18"/>
        <v/>
      </c>
      <c r="O51" s="55" t="str">
        <f t="shared" si="19"/>
        <v/>
      </c>
      <c r="P51" s="230" t="str">
        <f t="shared" si="20"/>
        <v/>
      </c>
      <c r="Q51" s="12" t="str">
        <f>+IF(AND(fieldcreatorv2!I54="si",OR(fieldcreatorv2!E54="bigtext",fieldcreatorv2!E54="texto"),OR(fieldcreatorv2!E53="radio",fieldcreatorv2!E53="selectlist")),1,"")</f>
        <v/>
      </c>
      <c r="R51" s="12">
        <f>+IF(AND(Q52=1,OR(fieldcreatorv2!E54="radio",fieldcreatorv2!E54="selectlist")),1,IF(Q51=1,1,IF(AND(R52=1,OR(fieldcreatorv2!E54="radio",fieldcreatorv2!E54="selectlist")),1,0)))</f>
        <v>0</v>
      </c>
      <c r="S51" s="12" t="str">
        <f t="shared" si="25"/>
        <v/>
      </c>
      <c r="T51" s="12" t="str">
        <f>+IF(AND(R51=1,R52=Q52),fieldcreatorv2!C54,IF(AND(R51=1,R52=1),T52,""))</f>
        <v/>
      </c>
      <c r="U51" s="12" t="str">
        <f t="shared" si="23"/>
        <v/>
      </c>
      <c r="V51" s="12" t="str">
        <f t="shared" si="24"/>
        <v/>
      </c>
    </row>
    <row r="52" spans="1:22" customFormat="1">
      <c r="A52">
        <v>41</v>
      </c>
      <c r="B52" t="str">
        <f>IF(fieldcreatorv2!BX55="","",fieldcreatorv2!BX55)</f>
        <v/>
      </c>
      <c r="C52" s="218"/>
      <c r="D52" s="12"/>
      <c r="E52" s="12"/>
      <c r="F52" s="116" t="str">
        <f t="shared" si="32"/>
        <v/>
      </c>
      <c r="G52" s="265" t="str">
        <f t="shared" si="31"/>
        <v>echo "&lt;td class=".$rowclass."&gt;".$row['']."&lt;/td&gt;";</v>
      </c>
      <c r="H52" s="12" t="str">
        <f t="shared" si="15"/>
        <v/>
      </c>
      <c r="I52" s="145" t="str">
        <f t="shared" si="33"/>
        <v/>
      </c>
      <c r="J52" s="12" t="str">
        <f>+IF(AND(fieldcreatorv2!C55&lt;&gt;"",C52="y"),fieldcreatorv2!E55,"")</f>
        <v/>
      </c>
      <c r="K52" s="12" t="str">
        <f t="shared" si="29"/>
        <v/>
      </c>
      <c r="L52" s="12" t="str">
        <f t="shared" si="30"/>
        <v/>
      </c>
      <c r="M52" s="12" t="str">
        <f t="shared" si="17"/>
        <v/>
      </c>
      <c r="N52" s="12" t="str">
        <f t="shared" si="18"/>
        <v/>
      </c>
      <c r="O52" s="55" t="str">
        <f t="shared" si="19"/>
        <v/>
      </c>
      <c r="P52" s="230" t="str">
        <f t="shared" si="20"/>
        <v/>
      </c>
      <c r="Q52" s="12" t="str">
        <f>+IF(AND(fieldcreatorv2!I55="si",OR(fieldcreatorv2!E55="bigtext",fieldcreatorv2!E55="texto"),OR(fieldcreatorv2!E54="radio",fieldcreatorv2!E54="selectlist")),1,"")</f>
        <v/>
      </c>
      <c r="R52" s="12">
        <f>+IF(AND(Q53=1,OR(fieldcreatorv2!E55="radio",fieldcreatorv2!E55="selectlist")),1,IF(Q52=1,1,IF(AND(R53=1,OR(fieldcreatorv2!E55="radio",fieldcreatorv2!E55="selectlist")),1,0)))</f>
        <v>0</v>
      </c>
      <c r="S52" s="12" t="str">
        <f t="shared" si="25"/>
        <v/>
      </c>
      <c r="T52" s="12" t="str">
        <f>+IF(AND(R52=1,R53=Q53),fieldcreatorv2!C55,IF(AND(R52=1,R53=1),T53,""))</f>
        <v/>
      </c>
      <c r="U52" s="12" t="str">
        <f t="shared" si="23"/>
        <v/>
      </c>
      <c r="V52" s="12" t="str">
        <f t="shared" si="24"/>
        <v/>
      </c>
    </row>
    <row r="53" spans="1:22" customFormat="1">
      <c r="A53">
        <v>42</v>
      </c>
      <c r="B53" t="str">
        <f>IF(fieldcreatorv2!BX56="","",fieldcreatorv2!BX56)</f>
        <v/>
      </c>
      <c r="C53" s="218"/>
      <c r="D53" s="12"/>
      <c r="E53" s="12"/>
      <c r="F53" s="116" t="str">
        <f t="shared" si="32"/>
        <v/>
      </c>
      <c r="G53" s="265" t="str">
        <f t="shared" si="31"/>
        <v>echo "&lt;td class=".$rowclass."&gt;".$row['']."&lt;/td&gt;";</v>
      </c>
      <c r="H53" s="12" t="str">
        <f t="shared" si="15"/>
        <v/>
      </c>
      <c r="I53" s="145" t="str">
        <f t="shared" si="33"/>
        <v/>
      </c>
      <c r="J53" s="12" t="str">
        <f>+IF(AND(fieldcreatorv2!C56&lt;&gt;"",C53="y"),fieldcreatorv2!E56,"")</f>
        <v/>
      </c>
      <c r="K53" s="12" t="str">
        <f t="shared" si="29"/>
        <v/>
      </c>
      <c r="L53" s="12" t="str">
        <f t="shared" si="30"/>
        <v/>
      </c>
      <c r="M53" s="12" t="str">
        <f t="shared" si="17"/>
        <v/>
      </c>
      <c r="N53" s="12" t="str">
        <f t="shared" si="18"/>
        <v/>
      </c>
      <c r="O53" s="55" t="str">
        <f t="shared" si="19"/>
        <v/>
      </c>
      <c r="P53" s="230" t="str">
        <f t="shared" si="20"/>
        <v/>
      </c>
      <c r="Q53" s="12" t="str">
        <f>+IF(AND(fieldcreatorv2!I56="si",OR(fieldcreatorv2!E56="bigtext",fieldcreatorv2!E56="texto"),OR(fieldcreatorv2!E55="radio",fieldcreatorv2!E55="selectlist")),1,"")</f>
        <v/>
      </c>
      <c r="R53" s="12">
        <f>+IF(AND(Q54=1,OR(fieldcreatorv2!E56="radio",fieldcreatorv2!E56="selectlist")),1,IF(Q53=1,1,IF(AND(R54=1,OR(fieldcreatorv2!E56="radio",fieldcreatorv2!E56="selectlist")),1,0)))</f>
        <v>0</v>
      </c>
      <c r="S53" s="12" t="str">
        <f t="shared" si="25"/>
        <v/>
      </c>
      <c r="T53" s="12" t="str">
        <f>+IF(AND(R53=1,R54=Q54),fieldcreatorv2!C56,IF(AND(R53=1,R54=1),T54,""))</f>
        <v/>
      </c>
      <c r="U53" s="12" t="str">
        <f t="shared" si="23"/>
        <v/>
      </c>
      <c r="V53" s="12" t="str">
        <f t="shared" si="24"/>
        <v/>
      </c>
    </row>
    <row r="54" spans="1:22" customFormat="1">
      <c r="A54">
        <v>43</v>
      </c>
      <c r="B54" t="str">
        <f>IF(fieldcreatorv2!BX57="","",fieldcreatorv2!BX57)</f>
        <v/>
      </c>
      <c r="C54" s="218"/>
      <c r="D54" s="12"/>
      <c r="E54" s="12"/>
      <c r="F54" s="116" t="str">
        <f t="shared" si="32"/>
        <v/>
      </c>
      <c r="G54" s="265" t="str">
        <f t="shared" si="31"/>
        <v>echo "&lt;td class=".$rowclass."&gt;".$row['']."&lt;/td&gt;";</v>
      </c>
      <c r="H54" s="12" t="str">
        <f t="shared" si="15"/>
        <v/>
      </c>
      <c r="I54" s="145" t="str">
        <f t="shared" si="33"/>
        <v/>
      </c>
      <c r="J54" s="12" t="str">
        <f>+IF(AND(fieldcreatorv2!C57&lt;&gt;"",C54="y"),fieldcreatorv2!E57,"")</f>
        <v/>
      </c>
      <c r="K54" s="12" t="str">
        <f t="shared" si="29"/>
        <v/>
      </c>
      <c r="L54" s="12" t="str">
        <f t="shared" si="30"/>
        <v/>
      </c>
      <c r="M54" s="12" t="str">
        <f t="shared" si="17"/>
        <v/>
      </c>
      <c r="N54" s="12" t="str">
        <f t="shared" si="18"/>
        <v/>
      </c>
      <c r="O54" s="55" t="str">
        <f t="shared" si="19"/>
        <v/>
      </c>
      <c r="P54" s="230" t="str">
        <f t="shared" si="20"/>
        <v/>
      </c>
      <c r="Q54" s="12" t="str">
        <f>+IF(AND(fieldcreatorv2!I57="si",OR(fieldcreatorv2!E57="bigtext",fieldcreatorv2!E57="texto"),OR(fieldcreatorv2!E56="radio",fieldcreatorv2!E56="selectlist")),1,"")</f>
        <v/>
      </c>
      <c r="R54" s="12">
        <f>+IF(AND(Q55=1,OR(fieldcreatorv2!E57="radio",fieldcreatorv2!E57="selectlist")),1,IF(Q54=1,1,IF(AND(R55=1,OR(fieldcreatorv2!E57="radio",fieldcreatorv2!E57="selectlist")),1,0)))</f>
        <v>0</v>
      </c>
      <c r="S54" s="12" t="str">
        <f t="shared" si="25"/>
        <v/>
      </c>
      <c r="T54" s="12" t="str">
        <f>+IF(AND(R54=1,R55=Q55),fieldcreatorv2!C57,IF(AND(R54=1,R55=1),T55,""))</f>
        <v/>
      </c>
      <c r="U54" s="12" t="str">
        <f t="shared" si="23"/>
        <v/>
      </c>
      <c r="V54" s="12" t="str">
        <f t="shared" si="24"/>
        <v/>
      </c>
    </row>
    <row r="55" spans="1:22" customFormat="1">
      <c r="A55">
        <v>44</v>
      </c>
      <c r="B55" t="str">
        <f>IF(fieldcreatorv2!BX58="","",fieldcreatorv2!BX58)</f>
        <v/>
      </c>
      <c r="C55" s="218"/>
      <c r="D55" s="12"/>
      <c r="E55" s="12"/>
      <c r="F55" s="116" t="str">
        <f t="shared" si="32"/>
        <v/>
      </c>
      <c r="G55" s="265" t="str">
        <f t="shared" si="31"/>
        <v>echo "&lt;td class=".$rowclass."&gt;".$row['']."&lt;/td&gt;";</v>
      </c>
      <c r="H55" s="12" t="str">
        <f t="shared" si="15"/>
        <v/>
      </c>
      <c r="I55" s="145" t="str">
        <f t="shared" si="33"/>
        <v/>
      </c>
      <c r="J55" s="12" t="str">
        <f>+IF(AND(fieldcreatorv2!C58&lt;&gt;"",C55="y"),fieldcreatorv2!E58,"")</f>
        <v/>
      </c>
      <c r="K55" s="12" t="str">
        <f t="shared" si="29"/>
        <v/>
      </c>
      <c r="L55" s="12" t="str">
        <f t="shared" si="30"/>
        <v/>
      </c>
      <c r="M55" s="12" t="str">
        <f t="shared" si="17"/>
        <v/>
      </c>
      <c r="N55" s="12" t="str">
        <f t="shared" si="18"/>
        <v/>
      </c>
      <c r="O55" s="55" t="str">
        <f t="shared" si="19"/>
        <v/>
      </c>
      <c r="P55" s="230" t="str">
        <f t="shared" si="20"/>
        <v/>
      </c>
      <c r="Q55" s="12" t="str">
        <f>+IF(AND(fieldcreatorv2!I58="si",OR(fieldcreatorv2!E58="bigtext",fieldcreatorv2!E58="texto"),OR(fieldcreatorv2!E57="radio",fieldcreatorv2!E57="selectlist")),1,"")</f>
        <v/>
      </c>
      <c r="R55" s="12">
        <f>+IF(AND(Q56=1,OR(fieldcreatorv2!E58="radio",fieldcreatorv2!E58="selectlist")),1,IF(Q55=1,1,IF(AND(R56=1,OR(fieldcreatorv2!E58="radio",fieldcreatorv2!E58="selectlist")),1,0)))</f>
        <v>0</v>
      </c>
      <c r="S55" s="12" t="str">
        <f t="shared" si="25"/>
        <v/>
      </c>
      <c r="T55" s="12" t="str">
        <f>+IF(AND(R55=1,R56=Q56),fieldcreatorv2!C58,IF(AND(R55=1,R56=1),T56,""))</f>
        <v/>
      </c>
      <c r="U55" s="12" t="str">
        <f t="shared" si="23"/>
        <v/>
      </c>
      <c r="V55" s="12" t="str">
        <f t="shared" si="24"/>
        <v/>
      </c>
    </row>
    <row r="56" spans="1:22" customFormat="1">
      <c r="A56">
        <v>45</v>
      </c>
      <c r="B56" t="str">
        <f>IF(fieldcreatorv2!BX59="","",fieldcreatorv2!BX59)</f>
        <v/>
      </c>
      <c r="C56" s="218"/>
      <c r="D56" s="12"/>
      <c r="E56" s="12"/>
      <c r="F56" s="116" t="str">
        <f t="shared" si="32"/>
        <v/>
      </c>
      <c r="G56" s="265" t="str">
        <f t="shared" si="31"/>
        <v>echo "&lt;td class=".$rowclass."&gt;".$row['']."&lt;/td&gt;";</v>
      </c>
      <c r="H56" s="12" t="str">
        <f t="shared" si="15"/>
        <v/>
      </c>
      <c r="I56" s="145" t="str">
        <f t="shared" si="33"/>
        <v/>
      </c>
      <c r="J56" s="12" t="str">
        <f>+IF(AND(fieldcreatorv2!C59&lt;&gt;"",C56="y"),fieldcreatorv2!E59,"")</f>
        <v/>
      </c>
      <c r="K56" s="12" t="str">
        <f t="shared" si="29"/>
        <v/>
      </c>
      <c r="L56" s="12" t="str">
        <f t="shared" si="30"/>
        <v/>
      </c>
      <c r="M56" s="12" t="str">
        <f t="shared" si="17"/>
        <v/>
      </c>
      <c r="N56" s="12" t="str">
        <f t="shared" si="18"/>
        <v/>
      </c>
      <c r="O56" s="55" t="str">
        <f t="shared" si="19"/>
        <v/>
      </c>
      <c r="P56" s="230" t="str">
        <f t="shared" si="20"/>
        <v/>
      </c>
      <c r="Q56" s="12" t="str">
        <f>+IF(AND(fieldcreatorv2!I59="si",OR(fieldcreatorv2!E59="bigtext",fieldcreatorv2!E59="texto"),OR(fieldcreatorv2!E58="radio",fieldcreatorv2!E58="selectlist")),1,"")</f>
        <v/>
      </c>
      <c r="R56" s="12">
        <f>+IF(AND(Q57=1,OR(fieldcreatorv2!E59="radio",fieldcreatorv2!E59="selectlist")),1,IF(Q56=1,1,IF(AND(R57=1,OR(fieldcreatorv2!E59="radio",fieldcreatorv2!E59="selectlist")),1,0)))</f>
        <v>0</v>
      </c>
      <c r="S56" s="12" t="str">
        <f t="shared" si="25"/>
        <v/>
      </c>
      <c r="T56" s="12" t="str">
        <f>+IF(AND(R56=1,R57=Q57),fieldcreatorv2!C59,IF(AND(R56=1,R57=1),T57,""))</f>
        <v/>
      </c>
      <c r="U56" s="12" t="str">
        <f t="shared" si="23"/>
        <v/>
      </c>
      <c r="V56" s="12" t="str">
        <f t="shared" si="24"/>
        <v/>
      </c>
    </row>
    <row r="57" spans="1:22" customFormat="1">
      <c r="A57">
        <v>46</v>
      </c>
      <c r="B57" t="str">
        <f>IF(fieldcreatorv2!BX60="","",fieldcreatorv2!BX60)</f>
        <v/>
      </c>
      <c r="C57" s="218"/>
      <c r="D57" s="12"/>
      <c r="E57" s="12"/>
      <c r="F57" s="116" t="str">
        <f t="shared" si="32"/>
        <v/>
      </c>
      <c r="G57" s="265" t="str">
        <f t="shared" si="31"/>
        <v>echo "&lt;td class=".$rowclass."&gt;".$row['']."&lt;/td&gt;";</v>
      </c>
      <c r="H57" s="12" t="str">
        <f t="shared" si="15"/>
        <v/>
      </c>
      <c r="I57" s="145" t="str">
        <f t="shared" si="33"/>
        <v/>
      </c>
      <c r="J57" s="12" t="str">
        <f>+IF(AND(fieldcreatorv2!C60&lt;&gt;"",C57="y"),fieldcreatorv2!E60,"")</f>
        <v/>
      </c>
      <c r="K57" s="12" t="str">
        <f t="shared" si="29"/>
        <v/>
      </c>
      <c r="L57" s="12" t="str">
        <f t="shared" si="30"/>
        <v/>
      </c>
      <c r="M57" s="12" t="str">
        <f t="shared" si="17"/>
        <v/>
      </c>
      <c r="N57" s="12" t="str">
        <f t="shared" si="18"/>
        <v/>
      </c>
      <c r="O57" s="55" t="str">
        <f t="shared" si="19"/>
        <v/>
      </c>
      <c r="P57" s="230" t="str">
        <f t="shared" si="20"/>
        <v/>
      </c>
      <c r="Q57" s="12" t="str">
        <f>+IF(AND(fieldcreatorv2!I60="si",OR(fieldcreatorv2!E60="bigtext",fieldcreatorv2!E60="texto"),OR(fieldcreatorv2!E59="radio",fieldcreatorv2!E59="selectlist")),1,"")</f>
        <v/>
      </c>
      <c r="R57" s="12">
        <f>+IF(AND(Q58=1,OR(fieldcreatorv2!E60="radio",fieldcreatorv2!E60="selectlist")),1,IF(Q57=1,1,IF(AND(R58=1,OR(fieldcreatorv2!E60="radio",fieldcreatorv2!E60="selectlist")),1,0)))</f>
        <v>0</v>
      </c>
      <c r="S57" s="12" t="str">
        <f t="shared" si="25"/>
        <v/>
      </c>
      <c r="T57" s="12" t="str">
        <f>+IF(AND(R57=1,R58=Q58),fieldcreatorv2!C60,IF(AND(R57=1,R58=1),T58,""))</f>
        <v/>
      </c>
      <c r="U57" s="12" t="str">
        <f t="shared" si="23"/>
        <v/>
      </c>
      <c r="V57" s="12" t="str">
        <f t="shared" si="24"/>
        <v/>
      </c>
    </row>
    <row r="58" spans="1:22" customFormat="1">
      <c r="A58">
        <v>47</v>
      </c>
      <c r="B58" t="str">
        <f>IF(fieldcreatorv2!BX61="","",fieldcreatorv2!BX61)</f>
        <v/>
      </c>
      <c r="C58" s="218"/>
      <c r="D58" s="12"/>
      <c r="E58" s="12"/>
      <c r="F58" s="116" t="str">
        <f t="shared" si="32"/>
        <v/>
      </c>
      <c r="G58" s="265" t="str">
        <f t="shared" si="31"/>
        <v>echo "&lt;td class=".$rowclass."&gt;".$row['']."&lt;/td&gt;";</v>
      </c>
      <c r="H58" s="12" t="str">
        <f t="shared" si="15"/>
        <v/>
      </c>
      <c r="I58" s="145" t="str">
        <f t="shared" si="33"/>
        <v/>
      </c>
      <c r="J58" s="12" t="str">
        <f>+IF(AND(fieldcreatorv2!C61&lt;&gt;"",C58="y"),fieldcreatorv2!E61,"")</f>
        <v/>
      </c>
      <c r="K58" s="12" t="str">
        <f t="shared" si="29"/>
        <v/>
      </c>
      <c r="L58" s="12" t="str">
        <f t="shared" si="30"/>
        <v/>
      </c>
      <c r="M58" s="12" t="str">
        <f t="shared" si="17"/>
        <v/>
      </c>
      <c r="N58" s="12" t="str">
        <f t="shared" si="18"/>
        <v/>
      </c>
      <c r="O58" s="55" t="str">
        <f t="shared" si="19"/>
        <v/>
      </c>
      <c r="P58" s="230" t="str">
        <f t="shared" si="20"/>
        <v/>
      </c>
      <c r="Q58" s="12" t="str">
        <f>+IF(AND(fieldcreatorv2!I61="si",OR(fieldcreatorv2!E61="bigtext",fieldcreatorv2!E61="texto"),OR(fieldcreatorv2!E60="radio",fieldcreatorv2!E60="selectlist")),1,"")</f>
        <v/>
      </c>
      <c r="R58" s="12">
        <f>+IF(AND(Q59=1,OR(fieldcreatorv2!E61="radio",fieldcreatorv2!E61="selectlist")),1,IF(Q58=1,1,IF(AND(R59=1,OR(fieldcreatorv2!E61="radio",fieldcreatorv2!E61="selectlist")),1,0)))</f>
        <v>0</v>
      </c>
      <c r="S58" s="12" t="str">
        <f t="shared" si="25"/>
        <v/>
      </c>
      <c r="T58" s="12" t="str">
        <f>+IF(AND(R58=1,R59=Q59),fieldcreatorv2!C61,IF(AND(R58=1,R59=1),T59,""))</f>
        <v/>
      </c>
      <c r="U58" s="12" t="str">
        <f t="shared" si="23"/>
        <v/>
      </c>
      <c r="V58" s="12" t="str">
        <f t="shared" si="24"/>
        <v/>
      </c>
    </row>
    <row r="59" spans="1:22" customFormat="1">
      <c r="A59">
        <v>48</v>
      </c>
      <c r="B59" t="str">
        <f>IF(fieldcreatorv2!BX62="","",fieldcreatorv2!BX62)</f>
        <v/>
      </c>
      <c r="C59" s="218"/>
      <c r="D59" s="12"/>
      <c r="E59" s="12"/>
      <c r="F59" s="116" t="str">
        <f t="shared" si="32"/>
        <v/>
      </c>
      <c r="G59" s="265" t="str">
        <f t="shared" si="31"/>
        <v>echo "&lt;td class=".$rowclass."&gt;".$row['']."&lt;/td&gt;";</v>
      </c>
      <c r="H59" s="12" t="str">
        <f t="shared" si="15"/>
        <v/>
      </c>
      <c r="I59" s="145" t="str">
        <f t="shared" si="33"/>
        <v/>
      </c>
      <c r="J59" s="12" t="str">
        <f>+IF(AND(fieldcreatorv2!C62&lt;&gt;"",C59="y"),fieldcreatorv2!E62,"")</f>
        <v/>
      </c>
      <c r="K59" s="12" t="str">
        <f t="shared" si="29"/>
        <v/>
      </c>
      <c r="L59" s="12" t="str">
        <f t="shared" si="30"/>
        <v/>
      </c>
      <c r="M59" s="12" t="str">
        <f t="shared" si="17"/>
        <v/>
      </c>
      <c r="N59" s="12" t="str">
        <f t="shared" si="18"/>
        <v/>
      </c>
      <c r="O59" s="55" t="str">
        <f t="shared" si="19"/>
        <v/>
      </c>
      <c r="P59" s="230" t="str">
        <f t="shared" si="20"/>
        <v/>
      </c>
      <c r="Q59" s="12" t="str">
        <f>+IF(AND(fieldcreatorv2!I62="si",OR(fieldcreatorv2!E62="bigtext",fieldcreatorv2!E62="texto"),OR(fieldcreatorv2!E61="radio",fieldcreatorv2!E61="selectlist")),1,"")</f>
        <v/>
      </c>
      <c r="R59" s="12">
        <f>+IF(AND(Q60=1,OR(fieldcreatorv2!E62="radio",fieldcreatorv2!E62="selectlist")),1,IF(Q59=1,1,IF(AND(R60=1,OR(fieldcreatorv2!E62="radio",fieldcreatorv2!E62="selectlist")),1,0)))</f>
        <v>0</v>
      </c>
      <c r="S59" s="12" t="str">
        <f t="shared" si="25"/>
        <v/>
      </c>
      <c r="T59" s="12" t="str">
        <f>+IF(AND(R59=1,R60=Q60),fieldcreatorv2!C62,IF(AND(R59=1,R60=1),T60,""))</f>
        <v/>
      </c>
      <c r="U59" s="12" t="str">
        <f t="shared" si="23"/>
        <v/>
      </c>
      <c r="V59" s="12" t="str">
        <f t="shared" si="24"/>
        <v/>
      </c>
    </row>
    <row r="60" spans="1:22" customFormat="1">
      <c r="A60">
        <v>49</v>
      </c>
      <c r="B60" t="str">
        <f>IF(fieldcreatorv2!BX63="","",fieldcreatorv2!BX63)</f>
        <v/>
      </c>
      <c r="C60" s="218"/>
      <c r="D60" s="12"/>
      <c r="E60" s="12"/>
      <c r="F60" s="116" t="str">
        <f t="shared" si="32"/>
        <v/>
      </c>
      <c r="G60" s="265" t="str">
        <f t="shared" si="31"/>
        <v>echo "&lt;td class=".$rowclass."&gt;".$row['']."&lt;/td&gt;";</v>
      </c>
      <c r="H60" s="12" t="str">
        <f t="shared" si="15"/>
        <v/>
      </c>
      <c r="I60" s="145" t="str">
        <f t="shared" si="33"/>
        <v/>
      </c>
      <c r="J60" s="12" t="str">
        <f>+IF(AND(fieldcreatorv2!C63&lt;&gt;"",C60="y"),fieldcreatorv2!E63,"")</f>
        <v/>
      </c>
      <c r="K60" s="12" t="str">
        <f t="shared" si="29"/>
        <v/>
      </c>
      <c r="L60" s="12" t="str">
        <f t="shared" si="30"/>
        <v/>
      </c>
      <c r="M60" s="12" t="str">
        <f t="shared" si="17"/>
        <v/>
      </c>
      <c r="N60" s="12" t="str">
        <f t="shared" si="18"/>
        <v/>
      </c>
      <c r="O60" s="55" t="str">
        <f t="shared" si="19"/>
        <v/>
      </c>
      <c r="P60" s="230" t="str">
        <f t="shared" si="20"/>
        <v/>
      </c>
      <c r="Q60" s="12" t="str">
        <f>+IF(AND(fieldcreatorv2!I63="si",OR(fieldcreatorv2!E63="bigtext",fieldcreatorv2!E63="texto"),OR(fieldcreatorv2!E62="radio",fieldcreatorv2!E62="selectlist")),1,"")</f>
        <v/>
      </c>
      <c r="R60" s="12">
        <f>+IF(AND(Q61=1,OR(fieldcreatorv2!E63="radio",fieldcreatorv2!E63="selectlist")),1,IF(Q60=1,1,IF(AND(R61=1,OR(fieldcreatorv2!E63="radio",fieldcreatorv2!E63="selectlist")),1,0)))</f>
        <v>0</v>
      </c>
      <c r="S60" s="12" t="str">
        <f t="shared" si="25"/>
        <v/>
      </c>
      <c r="T60" s="12" t="str">
        <f>+IF(AND(R60=1,R61=Q61),fieldcreatorv2!C63,IF(AND(R60=1,R61=1),T61,""))</f>
        <v/>
      </c>
      <c r="U60" s="12" t="str">
        <f t="shared" si="23"/>
        <v/>
      </c>
      <c r="V60" s="12" t="str">
        <f t="shared" si="24"/>
        <v/>
      </c>
    </row>
    <row r="61" spans="1:22" customFormat="1">
      <c r="A61">
        <v>50</v>
      </c>
      <c r="B61" t="str">
        <f>IF(fieldcreatorv2!BX64="","",fieldcreatorv2!BX64)</f>
        <v/>
      </c>
      <c r="C61" s="218"/>
      <c r="D61" s="12"/>
      <c r="E61" s="12"/>
      <c r="F61" s="116" t="str">
        <f t="shared" si="32"/>
        <v/>
      </c>
      <c r="G61" s="265" t="str">
        <f t="shared" si="31"/>
        <v>echo "&lt;td class=".$rowclass."&gt;".$row['']."&lt;/td&gt;";</v>
      </c>
      <c r="H61" s="12" t="str">
        <f t="shared" si="15"/>
        <v/>
      </c>
      <c r="I61" s="145" t="str">
        <f t="shared" si="33"/>
        <v/>
      </c>
      <c r="J61" s="12" t="str">
        <f>+IF(AND(fieldcreatorv2!C64&lt;&gt;"",C61="y"),fieldcreatorv2!E64,"")</f>
        <v/>
      </c>
      <c r="K61" s="12" t="str">
        <f t="shared" si="29"/>
        <v/>
      </c>
      <c r="L61" s="12" t="str">
        <f t="shared" si="30"/>
        <v/>
      </c>
      <c r="M61" s="12" t="str">
        <f t="shared" si="17"/>
        <v/>
      </c>
      <c r="N61" s="12" t="str">
        <f t="shared" si="18"/>
        <v/>
      </c>
      <c r="O61" s="55" t="str">
        <f t="shared" si="19"/>
        <v/>
      </c>
      <c r="P61" s="230" t="str">
        <f t="shared" si="20"/>
        <v/>
      </c>
      <c r="Q61" s="12" t="str">
        <f>+IF(AND(fieldcreatorv2!I64="si",OR(fieldcreatorv2!E64="bigtext",fieldcreatorv2!E64="texto"),OR(fieldcreatorv2!E63="radio",fieldcreatorv2!E63="selectlist")),1,"")</f>
        <v/>
      </c>
      <c r="R61" s="12">
        <f>+IF(AND(Q62=1,OR(fieldcreatorv2!E64="radio",fieldcreatorv2!E64="selectlist")),1,IF(Q61=1,1,IF(AND(R62=1,OR(fieldcreatorv2!E64="radio",fieldcreatorv2!E64="selectlist")),1,0)))</f>
        <v>0</v>
      </c>
      <c r="S61" s="12" t="str">
        <f t="shared" si="25"/>
        <v/>
      </c>
      <c r="T61" s="12" t="str">
        <f>+IF(AND(R61=1,R62=Q62),fieldcreatorv2!C64,IF(AND(R61=1,R62=1),T62,""))</f>
        <v/>
      </c>
      <c r="U61" s="12" t="str">
        <f t="shared" si="23"/>
        <v/>
      </c>
      <c r="V61" s="12" t="str">
        <f t="shared" si="24"/>
        <v/>
      </c>
    </row>
    <row r="62" spans="1:22" customFormat="1">
      <c r="A62">
        <v>51</v>
      </c>
      <c r="B62" t="str">
        <f>IF(fieldcreatorv2!BX65="","",fieldcreatorv2!BX65)</f>
        <v/>
      </c>
      <c r="C62" s="218"/>
      <c r="D62" s="12"/>
      <c r="E62" s="12"/>
      <c r="F62" s="116" t="str">
        <f t="shared" si="32"/>
        <v/>
      </c>
      <c r="G62" s="265" t="str">
        <f t="shared" si="31"/>
        <v>echo "&lt;td class=".$rowclass."&gt;".$row['']."&lt;/td&gt;";</v>
      </c>
      <c r="H62" s="12" t="str">
        <f t="shared" si="15"/>
        <v/>
      </c>
      <c r="I62" s="145" t="str">
        <f t="shared" si="33"/>
        <v/>
      </c>
      <c r="J62" s="12" t="str">
        <f>+IF(AND(fieldcreatorv2!C65&lt;&gt;"",C62="y"),fieldcreatorv2!E65,"")</f>
        <v/>
      </c>
      <c r="K62" s="12" t="str">
        <f t="shared" si="29"/>
        <v/>
      </c>
      <c r="L62" s="12" t="str">
        <f t="shared" si="30"/>
        <v/>
      </c>
      <c r="M62" s="12" t="str">
        <f t="shared" si="17"/>
        <v/>
      </c>
      <c r="N62" s="12" t="str">
        <f t="shared" si="18"/>
        <v/>
      </c>
      <c r="O62" s="55" t="str">
        <f t="shared" si="19"/>
        <v/>
      </c>
      <c r="P62" s="230" t="str">
        <f t="shared" si="20"/>
        <v/>
      </c>
      <c r="Q62" s="12" t="str">
        <f>+IF(AND(fieldcreatorv2!I65="si",OR(fieldcreatorv2!E65="bigtext",fieldcreatorv2!E65="texto"),OR(fieldcreatorv2!E64="radio",fieldcreatorv2!E64="selectlist")),1,"")</f>
        <v/>
      </c>
      <c r="R62" s="12">
        <f>+IF(AND(Q63=1,OR(fieldcreatorv2!E65="radio",fieldcreatorv2!E65="selectlist")),1,IF(Q62=1,1,IF(AND(R63=1,OR(fieldcreatorv2!E65="radio",fieldcreatorv2!E65="selectlist")),1,0)))</f>
        <v>0</v>
      </c>
      <c r="S62" s="12" t="str">
        <f t="shared" si="25"/>
        <v/>
      </c>
      <c r="T62" s="12" t="str">
        <f>+IF(AND(R62=1,R63=Q63),fieldcreatorv2!C65,IF(AND(R62=1,R63=1),T63,""))</f>
        <v/>
      </c>
      <c r="U62" s="12" t="str">
        <f t="shared" si="23"/>
        <v/>
      </c>
      <c r="V62" s="12" t="str">
        <f t="shared" si="24"/>
        <v/>
      </c>
    </row>
    <row r="63" spans="1:22" customFormat="1">
      <c r="A63">
        <v>52</v>
      </c>
      <c r="B63" t="str">
        <f>IF(fieldcreatorv2!BX66="","",fieldcreatorv2!BX66)</f>
        <v/>
      </c>
      <c r="C63" s="218"/>
      <c r="D63" s="12"/>
      <c r="E63" s="12"/>
      <c r="F63" s="116" t="str">
        <f t="shared" si="32"/>
        <v/>
      </c>
      <c r="G63" s="265" t="str">
        <f t="shared" si="31"/>
        <v>echo "&lt;td class=".$rowclass."&gt;".$row['']."&lt;/td&gt;";</v>
      </c>
      <c r="H63" s="12" t="str">
        <f t="shared" si="15"/>
        <v/>
      </c>
      <c r="I63" s="145" t="str">
        <f t="shared" si="33"/>
        <v/>
      </c>
      <c r="J63" s="12" t="str">
        <f>+IF(AND(fieldcreatorv2!C66&lt;&gt;"",C63="y"),fieldcreatorv2!E66,"")</f>
        <v/>
      </c>
      <c r="K63" s="12" t="str">
        <f t="shared" si="29"/>
        <v/>
      </c>
      <c r="L63" s="12" t="str">
        <f t="shared" si="30"/>
        <v/>
      </c>
      <c r="M63" s="12" t="str">
        <f t="shared" si="17"/>
        <v/>
      </c>
      <c r="N63" s="12" t="str">
        <f t="shared" si="18"/>
        <v/>
      </c>
      <c r="O63" s="55" t="str">
        <f t="shared" si="19"/>
        <v/>
      </c>
      <c r="P63" s="230" t="str">
        <f t="shared" si="20"/>
        <v/>
      </c>
      <c r="Q63" s="12" t="str">
        <f>+IF(AND(fieldcreatorv2!I66="si",OR(fieldcreatorv2!E66="bigtext",fieldcreatorv2!E66="texto"),OR(fieldcreatorv2!E65="radio",fieldcreatorv2!E65="selectlist")),1,"")</f>
        <v/>
      </c>
      <c r="R63" s="12">
        <f>+IF(AND(Q64=1,OR(fieldcreatorv2!E66="radio",fieldcreatorv2!E66="selectlist")),1,IF(Q63=1,1,IF(AND(R64=1,OR(fieldcreatorv2!E66="radio",fieldcreatorv2!E66="selectlist")),1,0)))</f>
        <v>0</v>
      </c>
      <c r="S63" s="12" t="str">
        <f t="shared" si="25"/>
        <v/>
      </c>
      <c r="T63" s="12" t="str">
        <f>+IF(AND(R63=1,R64=Q64),fieldcreatorv2!C66,IF(AND(R63=1,R64=1),T64,""))</f>
        <v/>
      </c>
      <c r="U63" s="12" t="str">
        <f t="shared" si="23"/>
        <v/>
      </c>
      <c r="V63" s="12" t="str">
        <f t="shared" si="24"/>
        <v/>
      </c>
    </row>
    <row r="64" spans="1:22" customFormat="1">
      <c r="A64">
        <v>53</v>
      </c>
      <c r="B64" t="str">
        <f>IF(fieldcreatorv2!BX67="","",fieldcreatorv2!BX67)</f>
        <v/>
      </c>
      <c r="C64" s="218"/>
      <c r="D64" s="12"/>
      <c r="E64" s="12"/>
      <c r="F64" s="116" t="str">
        <f t="shared" si="32"/>
        <v/>
      </c>
      <c r="G64" s="265" t="str">
        <f t="shared" si="31"/>
        <v>echo "&lt;td class=".$rowclass."&gt;".$row['']."&lt;/td&gt;";</v>
      </c>
      <c r="H64" s="12" t="str">
        <f t="shared" si="15"/>
        <v/>
      </c>
      <c r="I64" s="145" t="str">
        <f t="shared" si="33"/>
        <v/>
      </c>
      <c r="J64" s="12" t="str">
        <f>+IF(AND(fieldcreatorv2!C67&lt;&gt;"",C64="y"),fieldcreatorv2!E67,"")</f>
        <v/>
      </c>
      <c r="K64" s="12" t="str">
        <f t="shared" si="29"/>
        <v/>
      </c>
      <c r="L64" s="12" t="str">
        <f t="shared" si="30"/>
        <v/>
      </c>
      <c r="M64" s="12" t="str">
        <f t="shared" si="17"/>
        <v/>
      </c>
      <c r="N64" s="12" t="str">
        <f t="shared" si="18"/>
        <v/>
      </c>
      <c r="O64" s="55" t="str">
        <f t="shared" si="19"/>
        <v/>
      </c>
      <c r="P64" s="230" t="str">
        <f t="shared" si="20"/>
        <v/>
      </c>
      <c r="Q64" s="12" t="str">
        <f>+IF(AND(fieldcreatorv2!I67="si",OR(fieldcreatorv2!E67="bigtext",fieldcreatorv2!E67="texto"),OR(fieldcreatorv2!E66="radio",fieldcreatorv2!E66="selectlist")),1,"")</f>
        <v/>
      </c>
      <c r="R64" s="12">
        <f>+IF(AND(Q65=1,OR(fieldcreatorv2!E67="radio",fieldcreatorv2!E67="selectlist")),1,IF(Q64=1,1,IF(AND(R65=1,OR(fieldcreatorv2!E67="radio",fieldcreatorv2!E67="selectlist")),1,0)))</f>
        <v>0</v>
      </c>
      <c r="S64" s="12" t="str">
        <f t="shared" si="25"/>
        <v/>
      </c>
      <c r="T64" s="12" t="str">
        <f>+IF(AND(R64=1,R65=Q65),fieldcreatorv2!C67,IF(AND(R64=1,R65=1),T65,""))</f>
        <v/>
      </c>
      <c r="U64" s="12" t="str">
        <f t="shared" si="23"/>
        <v/>
      </c>
      <c r="V64" s="12" t="str">
        <f t="shared" si="24"/>
        <v/>
      </c>
    </row>
    <row r="65" spans="1:22" customFormat="1">
      <c r="A65">
        <v>54</v>
      </c>
      <c r="B65" t="str">
        <f>IF(fieldcreatorv2!BX68="","",fieldcreatorv2!BX68)</f>
        <v/>
      </c>
      <c r="C65" s="218"/>
      <c r="D65" s="12"/>
      <c r="E65" s="12"/>
      <c r="F65" s="116" t="str">
        <f t="shared" si="32"/>
        <v/>
      </c>
      <c r="G65" s="265" t="str">
        <f t="shared" si="31"/>
        <v>echo "&lt;td class=".$rowclass."&gt;".$row['']."&lt;/td&gt;";</v>
      </c>
      <c r="H65" s="12" t="str">
        <f t="shared" si="15"/>
        <v/>
      </c>
      <c r="I65" s="145" t="str">
        <f t="shared" si="33"/>
        <v/>
      </c>
      <c r="J65" s="12" t="str">
        <f>+IF(AND(fieldcreatorv2!C68&lt;&gt;"",C65="y"),fieldcreatorv2!E68,"")</f>
        <v/>
      </c>
      <c r="K65" s="12" t="str">
        <f t="shared" si="29"/>
        <v/>
      </c>
      <c r="L65" s="12" t="str">
        <f t="shared" si="30"/>
        <v/>
      </c>
      <c r="M65" s="12" t="str">
        <f t="shared" si="17"/>
        <v/>
      </c>
      <c r="N65" s="12" t="str">
        <f t="shared" si="18"/>
        <v/>
      </c>
      <c r="O65" s="55" t="str">
        <f t="shared" si="19"/>
        <v/>
      </c>
      <c r="P65" s="230" t="str">
        <f t="shared" si="20"/>
        <v/>
      </c>
      <c r="Q65" s="12" t="str">
        <f>+IF(AND(fieldcreatorv2!I68="si",OR(fieldcreatorv2!E68="bigtext",fieldcreatorv2!E68="texto"),OR(fieldcreatorv2!E67="radio",fieldcreatorv2!E67="selectlist")),1,"")</f>
        <v/>
      </c>
      <c r="R65" s="12">
        <f>+IF(AND(Q66=1,OR(fieldcreatorv2!E68="radio",fieldcreatorv2!E68="selectlist")),1,IF(Q65=1,1,IF(AND(R66=1,OR(fieldcreatorv2!E68="radio",fieldcreatorv2!E68="selectlist")),1,0)))</f>
        <v>0</v>
      </c>
      <c r="S65" s="12" t="str">
        <f t="shared" si="25"/>
        <v/>
      </c>
      <c r="T65" s="12" t="str">
        <f>+IF(AND(R65=1,R66=Q66),fieldcreatorv2!C68,IF(AND(R65=1,R66=1),T66,""))</f>
        <v/>
      </c>
      <c r="U65" s="12" t="str">
        <f t="shared" si="23"/>
        <v/>
      </c>
      <c r="V65" s="12" t="str">
        <f t="shared" si="24"/>
        <v/>
      </c>
    </row>
    <row r="66" spans="1:22" customFormat="1">
      <c r="A66">
        <v>55</v>
      </c>
      <c r="B66" t="str">
        <f>IF(fieldcreatorv2!BX69="","",fieldcreatorv2!BX69)</f>
        <v/>
      </c>
      <c r="C66" s="218"/>
      <c r="D66" s="12"/>
      <c r="E66" s="12"/>
      <c r="F66" s="116" t="str">
        <f t="shared" si="32"/>
        <v/>
      </c>
      <c r="G66" s="265" t="str">
        <f t="shared" si="31"/>
        <v>echo "&lt;td class=".$rowclass."&gt;".$row['']."&lt;/td&gt;";</v>
      </c>
      <c r="H66" s="12" t="str">
        <f t="shared" si="15"/>
        <v/>
      </c>
      <c r="I66" s="145" t="str">
        <f t="shared" si="33"/>
        <v/>
      </c>
      <c r="J66" s="12" t="str">
        <f>+IF(AND(fieldcreatorv2!C69&lt;&gt;"",C66="y"),fieldcreatorv2!E69,"")</f>
        <v/>
      </c>
      <c r="K66" s="12" t="str">
        <f t="shared" si="29"/>
        <v/>
      </c>
      <c r="L66" s="12" t="str">
        <f t="shared" si="30"/>
        <v/>
      </c>
      <c r="M66" s="12" t="str">
        <f t="shared" si="17"/>
        <v/>
      </c>
      <c r="N66" s="12" t="str">
        <f t="shared" si="18"/>
        <v/>
      </c>
      <c r="O66" s="55" t="str">
        <f t="shared" si="19"/>
        <v/>
      </c>
      <c r="P66" s="230" t="str">
        <f t="shared" si="20"/>
        <v/>
      </c>
      <c r="Q66" s="12" t="str">
        <f>+IF(AND(fieldcreatorv2!I69="si",OR(fieldcreatorv2!E69="bigtext",fieldcreatorv2!E69="texto"),OR(fieldcreatorv2!E68="radio",fieldcreatorv2!E68="selectlist")),1,"")</f>
        <v/>
      </c>
      <c r="R66" s="12">
        <f>+IF(AND(Q67=1,OR(fieldcreatorv2!E69="radio",fieldcreatorv2!E69="selectlist")),1,IF(Q66=1,1,IF(AND(R67=1,OR(fieldcreatorv2!E69="radio",fieldcreatorv2!E69="selectlist")),1,0)))</f>
        <v>0</v>
      </c>
      <c r="S66" s="12" t="str">
        <f t="shared" si="25"/>
        <v/>
      </c>
      <c r="T66" s="12" t="str">
        <f>+IF(AND(R66=1,R67=Q67),fieldcreatorv2!C69,IF(AND(R66=1,R67=1),T67,""))</f>
        <v/>
      </c>
      <c r="U66" s="12" t="str">
        <f t="shared" si="23"/>
        <v/>
      </c>
      <c r="V66" s="12" t="str">
        <f t="shared" si="24"/>
        <v/>
      </c>
    </row>
    <row r="67" spans="1:22" customFormat="1">
      <c r="A67">
        <v>56</v>
      </c>
      <c r="B67" t="str">
        <f>IF(fieldcreatorv2!BX70="","",fieldcreatorv2!BX70)</f>
        <v/>
      </c>
      <c r="C67" s="218"/>
      <c r="D67" s="12"/>
      <c r="E67" s="12"/>
      <c r="F67" s="116" t="str">
        <f t="shared" si="32"/>
        <v/>
      </c>
      <c r="G67" s="265" t="str">
        <f t="shared" si="31"/>
        <v>echo "&lt;td class=".$rowclass."&gt;".$row['']."&lt;/td&gt;";</v>
      </c>
      <c r="H67" s="12" t="str">
        <f t="shared" si="15"/>
        <v/>
      </c>
      <c r="I67" s="145" t="str">
        <f t="shared" si="33"/>
        <v/>
      </c>
      <c r="J67" s="12" t="str">
        <f>+IF(AND(fieldcreatorv2!C70&lt;&gt;"",C67="y"),fieldcreatorv2!E70,"")</f>
        <v/>
      </c>
      <c r="K67" s="12" t="str">
        <f t="shared" si="29"/>
        <v/>
      </c>
      <c r="L67" s="12" t="str">
        <f t="shared" si="30"/>
        <v/>
      </c>
      <c r="M67" s="12" t="str">
        <f t="shared" si="17"/>
        <v/>
      </c>
      <c r="N67" s="12" t="str">
        <f t="shared" si="18"/>
        <v/>
      </c>
      <c r="O67" s="55" t="str">
        <f t="shared" si="19"/>
        <v/>
      </c>
      <c r="P67" s="230" t="str">
        <f t="shared" si="20"/>
        <v/>
      </c>
      <c r="Q67" s="12" t="str">
        <f>+IF(AND(fieldcreatorv2!I70="si",OR(fieldcreatorv2!E70="bigtext",fieldcreatorv2!E70="texto"),OR(fieldcreatorv2!E69="radio",fieldcreatorv2!E69="selectlist")),1,"")</f>
        <v/>
      </c>
      <c r="R67" s="12">
        <f>+IF(AND(Q68=1,OR(fieldcreatorv2!E70="radio",fieldcreatorv2!E70="selectlist")),1,IF(Q67=1,1,IF(AND(R68=1,OR(fieldcreatorv2!E70="radio",fieldcreatorv2!E70="selectlist")),1,0)))</f>
        <v>0</v>
      </c>
      <c r="S67" s="12" t="str">
        <f t="shared" si="25"/>
        <v/>
      </c>
      <c r="T67" s="12" t="str">
        <f>+IF(AND(R67=1,R68=Q68),fieldcreatorv2!C70,IF(AND(R67=1,R68=1),T68,""))</f>
        <v/>
      </c>
      <c r="U67" s="12" t="str">
        <f t="shared" si="23"/>
        <v/>
      </c>
      <c r="V67" s="12" t="str">
        <f t="shared" si="24"/>
        <v/>
      </c>
    </row>
    <row r="68" spans="1:22" customFormat="1">
      <c r="A68">
        <v>57</v>
      </c>
      <c r="B68" t="str">
        <f>IF(fieldcreatorv2!BX71="","",fieldcreatorv2!BX71)</f>
        <v/>
      </c>
      <c r="C68" s="218"/>
      <c r="D68" s="12"/>
      <c r="E68" s="12"/>
      <c r="F68" s="116" t="str">
        <f t="shared" si="32"/>
        <v/>
      </c>
      <c r="G68" s="265" t="str">
        <f t="shared" si="31"/>
        <v>echo "&lt;td class=".$rowclass."&gt;".$row['']."&lt;/td&gt;";</v>
      </c>
      <c r="H68" s="12" t="str">
        <f t="shared" si="15"/>
        <v/>
      </c>
      <c r="I68" s="145" t="str">
        <f t="shared" si="33"/>
        <v/>
      </c>
      <c r="J68" s="12" t="str">
        <f>+IF(AND(fieldcreatorv2!C71&lt;&gt;"",C68="y"),fieldcreatorv2!E71,"")</f>
        <v/>
      </c>
      <c r="K68" s="12" t="str">
        <f t="shared" si="29"/>
        <v/>
      </c>
      <c r="L68" s="12" t="str">
        <f t="shared" si="30"/>
        <v/>
      </c>
      <c r="M68" s="12" t="str">
        <f t="shared" si="17"/>
        <v/>
      </c>
      <c r="N68" s="12" t="str">
        <f t="shared" si="18"/>
        <v/>
      </c>
      <c r="O68" s="55" t="str">
        <f t="shared" si="19"/>
        <v/>
      </c>
      <c r="P68" s="230" t="str">
        <f t="shared" si="20"/>
        <v/>
      </c>
      <c r="Q68" s="12" t="str">
        <f>+IF(AND(fieldcreatorv2!I71="si",OR(fieldcreatorv2!E71="bigtext",fieldcreatorv2!E71="texto"),OR(fieldcreatorv2!E70="radio",fieldcreatorv2!E70="selectlist")),1,"")</f>
        <v/>
      </c>
      <c r="R68" s="12">
        <f>+IF(AND(Q69=1,OR(fieldcreatorv2!E71="radio",fieldcreatorv2!E71="selectlist")),1,IF(Q68=1,1,IF(AND(R69=1,OR(fieldcreatorv2!E71="radio",fieldcreatorv2!E71="selectlist")),1,0)))</f>
        <v>0</v>
      </c>
      <c r="S68" s="12" t="str">
        <f t="shared" si="25"/>
        <v/>
      </c>
      <c r="T68" s="12" t="str">
        <f>+IF(AND(R68=1,R69=Q69),fieldcreatorv2!C71,IF(AND(R68=1,R69=1),T69,""))</f>
        <v/>
      </c>
      <c r="U68" s="12" t="str">
        <f t="shared" si="23"/>
        <v/>
      </c>
      <c r="V68" s="12" t="str">
        <f t="shared" si="24"/>
        <v/>
      </c>
    </row>
    <row r="69" spans="1:22" customFormat="1">
      <c r="A69">
        <v>58</v>
      </c>
      <c r="B69" t="str">
        <f>IF(fieldcreatorv2!BX72="","",fieldcreatorv2!BX72)</f>
        <v/>
      </c>
      <c r="C69" s="218"/>
      <c r="D69" s="12"/>
      <c r="E69" s="12"/>
      <c r="F69" s="116" t="str">
        <f t="shared" si="32"/>
        <v/>
      </c>
      <c r="G69" s="265" t="str">
        <f t="shared" si="31"/>
        <v>echo "&lt;td class=".$rowclass."&gt;".$row['']."&lt;/td&gt;";</v>
      </c>
      <c r="H69" s="12" t="str">
        <f t="shared" si="15"/>
        <v/>
      </c>
      <c r="I69" s="145" t="str">
        <f t="shared" si="33"/>
        <v/>
      </c>
      <c r="J69" s="12" t="str">
        <f>+IF(AND(fieldcreatorv2!C72&lt;&gt;"",C69="y"),fieldcreatorv2!E72,"")</f>
        <v/>
      </c>
      <c r="K69" s="12" t="str">
        <f t="shared" si="29"/>
        <v/>
      </c>
      <c r="L69" s="12" t="str">
        <f t="shared" si="30"/>
        <v/>
      </c>
      <c r="M69" s="12" t="str">
        <f t="shared" si="17"/>
        <v/>
      </c>
      <c r="N69" s="12" t="str">
        <f t="shared" si="18"/>
        <v/>
      </c>
      <c r="O69" s="55" t="str">
        <f t="shared" si="19"/>
        <v/>
      </c>
      <c r="P69" s="230" t="str">
        <f t="shared" si="20"/>
        <v/>
      </c>
      <c r="Q69" s="12" t="str">
        <f>+IF(AND(fieldcreatorv2!I72="si",OR(fieldcreatorv2!E72="bigtext",fieldcreatorv2!E72="texto"),OR(fieldcreatorv2!E71="radio",fieldcreatorv2!E71="selectlist")),1,"")</f>
        <v/>
      </c>
      <c r="R69" s="12">
        <f>+IF(AND(Q70=1,OR(fieldcreatorv2!E72="radio",fieldcreatorv2!E72="selectlist")),1,IF(Q69=1,1,IF(AND(R70=1,OR(fieldcreatorv2!E72="radio",fieldcreatorv2!E72="selectlist")),1,0)))</f>
        <v>0</v>
      </c>
      <c r="S69" s="12" t="str">
        <f t="shared" si="25"/>
        <v/>
      </c>
      <c r="T69" s="12" t="str">
        <f>+IF(AND(R69=1,R70=Q70),fieldcreatorv2!C72,IF(AND(R69=1,R70=1),T70,""))</f>
        <v/>
      </c>
      <c r="U69" s="12" t="str">
        <f t="shared" si="23"/>
        <v/>
      </c>
      <c r="V69" s="12" t="str">
        <f t="shared" si="24"/>
        <v/>
      </c>
    </row>
    <row r="70" spans="1:22" customFormat="1">
      <c r="A70">
        <v>59</v>
      </c>
      <c r="B70" t="str">
        <f>IF(fieldcreatorv2!BX73="","",fieldcreatorv2!BX73)</f>
        <v/>
      </c>
      <c r="C70" s="218"/>
      <c r="D70" s="12"/>
      <c r="E70" s="12"/>
      <c r="F70" s="116" t="str">
        <f t="shared" si="32"/>
        <v/>
      </c>
      <c r="G70" s="265" t="str">
        <f t="shared" si="31"/>
        <v>echo "&lt;td class=".$rowclass."&gt;".$row['']."&lt;/td&gt;";</v>
      </c>
      <c r="H70" s="12" t="str">
        <f t="shared" si="15"/>
        <v/>
      </c>
      <c r="I70" s="145" t="str">
        <f t="shared" si="33"/>
        <v/>
      </c>
      <c r="J70" s="12" t="str">
        <f>+IF(AND(fieldcreatorv2!C73&lt;&gt;"",C70="y"),fieldcreatorv2!E73,"")</f>
        <v/>
      </c>
      <c r="K70" s="12" t="str">
        <f t="shared" si="29"/>
        <v/>
      </c>
      <c r="L70" s="12" t="str">
        <f t="shared" si="30"/>
        <v/>
      </c>
      <c r="M70" s="12" t="str">
        <f t="shared" si="17"/>
        <v/>
      </c>
      <c r="N70" s="12" t="str">
        <f t="shared" si="18"/>
        <v/>
      </c>
      <c r="O70" s="55" t="str">
        <f t="shared" si="19"/>
        <v/>
      </c>
      <c r="P70" s="230" t="str">
        <f t="shared" si="20"/>
        <v/>
      </c>
      <c r="Q70" s="12" t="str">
        <f>+IF(AND(fieldcreatorv2!I73="si",OR(fieldcreatorv2!E73="bigtext",fieldcreatorv2!E73="texto"),OR(fieldcreatorv2!E72="radio",fieldcreatorv2!E72="selectlist")),1,"")</f>
        <v/>
      </c>
      <c r="R70" s="12">
        <f>+IF(AND(Q71=1,OR(fieldcreatorv2!E73="radio",fieldcreatorv2!E73="selectlist")),1,IF(Q70=1,1,IF(AND(R71=1,OR(fieldcreatorv2!E73="radio",fieldcreatorv2!E73="selectlist")),1,0)))</f>
        <v>0</v>
      </c>
      <c r="S70" s="12" t="str">
        <f t="shared" si="25"/>
        <v/>
      </c>
      <c r="T70" s="12" t="str">
        <f>+IF(AND(R70=1,R71=Q71),fieldcreatorv2!C73,IF(AND(R70=1,R71=1),T71,""))</f>
        <v/>
      </c>
      <c r="U70" s="12" t="str">
        <f t="shared" si="23"/>
        <v/>
      </c>
      <c r="V70" s="12" t="str">
        <f t="shared" si="24"/>
        <v/>
      </c>
    </row>
    <row r="71" spans="1:22" customFormat="1">
      <c r="A71">
        <v>60</v>
      </c>
      <c r="B71" t="str">
        <f>IF(fieldcreatorv2!BX74="","",fieldcreatorv2!BX74)</f>
        <v/>
      </c>
      <c r="C71" s="218"/>
      <c r="D71" s="12"/>
      <c r="E71" s="12"/>
      <c r="F71" s="116" t="str">
        <f t="shared" si="32"/>
        <v/>
      </c>
      <c r="G71" s="265" t="str">
        <f t="shared" si="31"/>
        <v>echo "&lt;td class=".$rowclass."&gt;".$row['']."&lt;/td&gt;";</v>
      </c>
      <c r="H71" s="12" t="str">
        <f t="shared" si="15"/>
        <v/>
      </c>
      <c r="I71" s="145" t="str">
        <f t="shared" si="33"/>
        <v/>
      </c>
      <c r="J71" s="12" t="str">
        <f>+IF(AND(fieldcreatorv2!C74&lt;&gt;"",C71="y"),fieldcreatorv2!E74,"")</f>
        <v/>
      </c>
      <c r="K71" s="12" t="str">
        <f t="shared" si="29"/>
        <v/>
      </c>
      <c r="L71" s="12" t="str">
        <f t="shared" si="30"/>
        <v/>
      </c>
      <c r="M71" s="12" t="str">
        <f t="shared" si="17"/>
        <v/>
      </c>
      <c r="N71" s="12" t="str">
        <f t="shared" si="18"/>
        <v/>
      </c>
      <c r="O71" s="55" t="str">
        <f t="shared" si="19"/>
        <v/>
      </c>
      <c r="P71" s="230" t="str">
        <f t="shared" si="20"/>
        <v/>
      </c>
      <c r="Q71" s="12" t="str">
        <f>+IF(AND(fieldcreatorv2!I74="si",OR(fieldcreatorv2!E74="bigtext",fieldcreatorv2!E74="texto"),OR(fieldcreatorv2!E73="radio",fieldcreatorv2!E73="selectlist")),1,"")</f>
        <v/>
      </c>
      <c r="R71" s="12">
        <f>+IF(AND(Q72=1,OR(fieldcreatorv2!E74="radio",fieldcreatorv2!E74="selectlist")),1,IF(Q71=1,1,IF(AND(R72=1,OR(fieldcreatorv2!E74="radio",fieldcreatorv2!E74="selectlist")),1,0)))</f>
        <v>0</v>
      </c>
      <c r="S71" s="12" t="str">
        <f t="shared" si="25"/>
        <v/>
      </c>
      <c r="T71" s="12" t="str">
        <f>+IF(AND(R71=1,R72=Q72),fieldcreatorv2!C74,IF(AND(R71=1,R72=1),T72,""))</f>
        <v/>
      </c>
      <c r="U71" s="12" t="str">
        <f t="shared" si="23"/>
        <v/>
      </c>
      <c r="V71" s="12" t="str">
        <f t="shared" si="24"/>
        <v/>
      </c>
    </row>
    <row r="72" spans="1:22" customFormat="1">
      <c r="A72">
        <v>61</v>
      </c>
      <c r="B72" t="str">
        <f>IF(fieldcreatorv2!BX75="","",fieldcreatorv2!BX75)</f>
        <v/>
      </c>
      <c r="C72" s="218"/>
      <c r="D72" s="12"/>
      <c r="E72" s="12"/>
      <c r="F72" s="116" t="str">
        <f t="shared" si="32"/>
        <v/>
      </c>
      <c r="G72" s="265" t="str">
        <f t="shared" si="31"/>
        <v>echo "&lt;td class=".$rowclass."&gt;".$row['']."&lt;/td&gt;";</v>
      </c>
      <c r="H72" s="12" t="str">
        <f t="shared" si="15"/>
        <v/>
      </c>
      <c r="I72" s="145" t="str">
        <f t="shared" si="33"/>
        <v/>
      </c>
      <c r="J72" s="12" t="str">
        <f>+IF(AND(fieldcreatorv2!C75&lt;&gt;"",C72="y"),fieldcreatorv2!E75,"")</f>
        <v/>
      </c>
      <c r="K72" s="12" t="str">
        <f t="shared" si="29"/>
        <v/>
      </c>
      <c r="L72" s="12" t="str">
        <f t="shared" si="30"/>
        <v/>
      </c>
      <c r="M72" s="12" t="str">
        <f t="shared" si="17"/>
        <v/>
      </c>
      <c r="N72" s="12" t="str">
        <f t="shared" si="18"/>
        <v/>
      </c>
      <c r="O72" s="55" t="str">
        <f t="shared" si="19"/>
        <v/>
      </c>
      <c r="P72" s="230" t="str">
        <f t="shared" si="20"/>
        <v/>
      </c>
      <c r="Q72" s="12" t="str">
        <f>+IF(AND(fieldcreatorv2!I75="si",OR(fieldcreatorv2!E75="bigtext",fieldcreatorv2!E75="texto"),OR(fieldcreatorv2!E74="radio",fieldcreatorv2!E74="selectlist")),1,"")</f>
        <v/>
      </c>
      <c r="R72" s="12">
        <f>+IF(AND(Q73=1,OR(fieldcreatorv2!E75="radio",fieldcreatorv2!E75="selectlist")),1,IF(Q72=1,1,IF(AND(R73=1,OR(fieldcreatorv2!E75="radio",fieldcreatorv2!E75="selectlist")),1,0)))</f>
        <v>0</v>
      </c>
      <c r="S72" s="12" t="str">
        <f t="shared" si="25"/>
        <v/>
      </c>
      <c r="T72" s="12" t="str">
        <f>+IF(AND(R72=1,R73=Q73),fieldcreatorv2!C75,IF(AND(R72=1,R73=1),T73,""))</f>
        <v/>
      </c>
      <c r="U72" s="12" t="str">
        <f t="shared" si="23"/>
        <v/>
      </c>
      <c r="V72" s="12" t="str">
        <f t="shared" si="24"/>
        <v/>
      </c>
    </row>
    <row r="73" spans="1:22" customFormat="1">
      <c r="A73">
        <v>62</v>
      </c>
      <c r="B73" t="str">
        <f>IF(fieldcreatorv2!BX76="","",fieldcreatorv2!BX76)</f>
        <v/>
      </c>
      <c r="C73" s="218"/>
      <c r="D73" s="12"/>
      <c r="E73" s="12"/>
      <c r="F73" s="116" t="str">
        <f t="shared" si="32"/>
        <v/>
      </c>
      <c r="G73" s="265" t="str">
        <f t="shared" si="31"/>
        <v>echo "&lt;td class=".$rowclass."&gt;".$row['']."&lt;/td&gt;";</v>
      </c>
      <c r="H73" s="12" t="str">
        <f t="shared" si="15"/>
        <v/>
      </c>
      <c r="I73" s="145" t="str">
        <f t="shared" si="33"/>
        <v/>
      </c>
      <c r="J73" s="12" t="str">
        <f>+IF(AND(fieldcreatorv2!C76&lt;&gt;"",C73="y"),fieldcreatorv2!E76,"")</f>
        <v/>
      </c>
      <c r="K73" s="12" t="str">
        <f t="shared" si="29"/>
        <v/>
      </c>
      <c r="L73" s="12" t="str">
        <f t="shared" si="30"/>
        <v/>
      </c>
      <c r="M73" s="12" t="str">
        <f t="shared" si="17"/>
        <v/>
      </c>
      <c r="N73" s="12" t="str">
        <f t="shared" si="18"/>
        <v/>
      </c>
      <c r="O73" s="55" t="str">
        <f t="shared" si="19"/>
        <v/>
      </c>
      <c r="P73" s="230" t="str">
        <f t="shared" si="20"/>
        <v/>
      </c>
      <c r="Q73" s="12" t="str">
        <f>+IF(AND(fieldcreatorv2!I76="si",OR(fieldcreatorv2!E76="bigtext",fieldcreatorv2!E76="texto"),OR(fieldcreatorv2!E75="radio",fieldcreatorv2!E75="selectlist")),1,"")</f>
        <v/>
      </c>
      <c r="R73" s="12">
        <f>+IF(AND(Q74=1,OR(fieldcreatorv2!E76="radio",fieldcreatorv2!E76="selectlist")),1,IF(Q73=1,1,IF(AND(R74=1,OR(fieldcreatorv2!E76="radio",fieldcreatorv2!E76="selectlist")),1,0)))</f>
        <v>0</v>
      </c>
      <c r="S73" s="12" t="str">
        <f t="shared" si="25"/>
        <v/>
      </c>
      <c r="T73" s="12" t="str">
        <f>+IF(AND(R73=1,R74=Q74),fieldcreatorv2!C76,IF(AND(R73=1,R74=1),T74,""))</f>
        <v/>
      </c>
      <c r="U73" s="12" t="str">
        <f t="shared" si="23"/>
        <v/>
      </c>
      <c r="V73" s="12" t="str">
        <f t="shared" si="24"/>
        <v/>
      </c>
    </row>
    <row r="74" spans="1:22" customFormat="1">
      <c r="A74">
        <v>63</v>
      </c>
      <c r="B74" t="str">
        <f>IF(fieldcreatorv2!BX77="","",fieldcreatorv2!BX77)</f>
        <v/>
      </c>
      <c r="C74" s="218"/>
      <c r="D74" s="12"/>
      <c r="E74" s="12"/>
      <c r="F74" s="116" t="str">
        <f t="shared" si="32"/>
        <v/>
      </c>
      <c r="G74" s="265" t="str">
        <f t="shared" si="31"/>
        <v>echo "&lt;td class=".$rowclass."&gt;".$row['']."&lt;/td&gt;";</v>
      </c>
      <c r="H74" s="12" t="str">
        <f t="shared" si="15"/>
        <v/>
      </c>
      <c r="I74" s="145" t="str">
        <f t="shared" si="33"/>
        <v/>
      </c>
      <c r="J74" s="12" t="str">
        <f>+IF(AND(fieldcreatorv2!C77&lt;&gt;"",C74="y"),fieldcreatorv2!E77,"")</f>
        <v/>
      </c>
      <c r="K74" s="12" t="str">
        <f t="shared" si="29"/>
        <v/>
      </c>
      <c r="L74" s="12" t="str">
        <f t="shared" si="30"/>
        <v/>
      </c>
      <c r="M74" s="12" t="str">
        <f t="shared" si="17"/>
        <v/>
      </c>
      <c r="N74" s="12" t="str">
        <f t="shared" si="18"/>
        <v/>
      </c>
      <c r="O74" s="55" t="str">
        <f t="shared" si="19"/>
        <v/>
      </c>
      <c r="P74" s="230" t="str">
        <f t="shared" si="20"/>
        <v/>
      </c>
      <c r="Q74" s="12" t="str">
        <f>+IF(AND(fieldcreatorv2!I77="si",OR(fieldcreatorv2!E77="bigtext",fieldcreatorv2!E77="texto"),OR(fieldcreatorv2!E76="radio",fieldcreatorv2!E76="selectlist")),1,"")</f>
        <v/>
      </c>
      <c r="R74" s="12">
        <f>+IF(AND(Q75=1,OR(fieldcreatorv2!E77="radio",fieldcreatorv2!E77="selectlist")),1,IF(Q74=1,1,IF(AND(R75=1,OR(fieldcreatorv2!E77="radio",fieldcreatorv2!E77="selectlist")),1,0)))</f>
        <v>0</v>
      </c>
      <c r="S74" s="12" t="str">
        <f t="shared" si="25"/>
        <v/>
      </c>
      <c r="T74" s="12" t="str">
        <f>+IF(AND(R74=1,R75=Q75),fieldcreatorv2!C77,IF(AND(R74=1,R75=1),T75,""))</f>
        <v/>
      </c>
      <c r="U74" s="12" t="str">
        <f t="shared" si="23"/>
        <v/>
      </c>
      <c r="V74" s="12" t="str">
        <f t="shared" si="24"/>
        <v/>
      </c>
    </row>
    <row r="75" spans="1:22" customFormat="1">
      <c r="A75">
        <v>64</v>
      </c>
      <c r="B75" t="str">
        <f>IF(fieldcreatorv2!BX78="","",fieldcreatorv2!BX78)</f>
        <v/>
      </c>
      <c r="C75" s="218"/>
      <c r="D75" s="12"/>
      <c r="E75" s="12"/>
      <c r="F75" s="116" t="str">
        <f t="shared" si="32"/>
        <v/>
      </c>
      <c r="G75" s="265" t="str">
        <f t="shared" si="31"/>
        <v>echo "&lt;td class=".$rowclass."&gt;".$row['']."&lt;/td&gt;";</v>
      </c>
      <c r="H75" s="12" t="str">
        <f t="shared" si="15"/>
        <v/>
      </c>
      <c r="I75" s="145" t="str">
        <f t="shared" si="33"/>
        <v/>
      </c>
      <c r="J75" s="12" t="str">
        <f>+IF(AND(fieldcreatorv2!C78&lt;&gt;"",C75="y"),fieldcreatorv2!E78,"")</f>
        <v/>
      </c>
      <c r="K75" s="12" t="str">
        <f t="shared" si="29"/>
        <v/>
      </c>
      <c r="L75" s="12" t="str">
        <f t="shared" si="30"/>
        <v/>
      </c>
      <c r="M75" s="12" t="str">
        <f t="shared" si="17"/>
        <v/>
      </c>
      <c r="N75" s="12" t="str">
        <f t="shared" si="18"/>
        <v/>
      </c>
      <c r="O75" s="55" t="str">
        <f t="shared" si="19"/>
        <v/>
      </c>
      <c r="P75" s="230" t="str">
        <f t="shared" si="20"/>
        <v/>
      </c>
      <c r="Q75" s="12" t="str">
        <f>+IF(AND(fieldcreatorv2!I78="si",OR(fieldcreatorv2!E78="bigtext",fieldcreatorv2!E78="texto"),OR(fieldcreatorv2!E77="radio",fieldcreatorv2!E77="selectlist")),1,"")</f>
        <v/>
      </c>
      <c r="R75" s="12">
        <f>+IF(AND(Q76=1,OR(fieldcreatorv2!E78="radio",fieldcreatorv2!E78="selectlist")),1,IF(Q75=1,1,IF(AND(R76=1,OR(fieldcreatorv2!E78="radio",fieldcreatorv2!E78="selectlist")),1,0)))</f>
        <v>0</v>
      </c>
      <c r="S75" s="12" t="str">
        <f t="shared" si="25"/>
        <v/>
      </c>
      <c r="T75" s="12" t="str">
        <f>+IF(AND(R75=1,R76=Q76),fieldcreatorv2!C78,IF(AND(R75=1,R76=1),T76,""))</f>
        <v/>
      </c>
      <c r="U75" s="12" t="str">
        <f t="shared" si="23"/>
        <v/>
      </c>
      <c r="V75" s="12" t="str">
        <f t="shared" si="24"/>
        <v/>
      </c>
    </row>
    <row r="76" spans="1:22" customFormat="1">
      <c r="A76">
        <v>65</v>
      </c>
      <c r="B76" t="str">
        <f>IF(fieldcreatorv2!BX79="","",fieldcreatorv2!BX79)</f>
        <v/>
      </c>
      <c r="C76" s="218"/>
      <c r="D76" s="12"/>
      <c r="E76" s="12"/>
      <c r="F76" s="116" t="str">
        <f t="shared" si="32"/>
        <v/>
      </c>
      <c r="G76" s="265" t="str">
        <f t="shared" ref="G76:G111" si="34">+$A$1&amp;B76&amp;$A$2&amp;$A$3</f>
        <v>echo "&lt;td class=".$rowclass."&gt;".$row['']."&lt;/td&gt;";</v>
      </c>
      <c r="H76" s="12" t="str">
        <f t="shared" si="15"/>
        <v/>
      </c>
      <c r="I76" s="145" t="str">
        <f t="shared" si="33"/>
        <v/>
      </c>
      <c r="J76" s="12" t="str">
        <f>+IF(AND(fieldcreatorv2!C79&lt;&gt;"",C76="y"),fieldcreatorv2!E79,"")</f>
        <v/>
      </c>
      <c r="K76" s="12" t="str">
        <f t="shared" si="29"/>
        <v/>
      </c>
      <c r="L76" s="12" t="str">
        <f t="shared" si="30"/>
        <v/>
      </c>
      <c r="M76" s="12" t="str">
        <f t="shared" si="17"/>
        <v/>
      </c>
      <c r="N76" s="12" t="str">
        <f t="shared" si="18"/>
        <v/>
      </c>
      <c r="O76" s="55" t="str">
        <f t="shared" si="19"/>
        <v/>
      </c>
      <c r="P76" s="230" t="str">
        <f t="shared" si="20"/>
        <v/>
      </c>
      <c r="Q76" s="12" t="str">
        <f>+IF(AND(fieldcreatorv2!I79="si",OR(fieldcreatorv2!E79="bigtext",fieldcreatorv2!E79="texto"),OR(fieldcreatorv2!E78="radio",fieldcreatorv2!E78="selectlist")),1,"")</f>
        <v/>
      </c>
      <c r="R76" s="12">
        <f>+IF(AND(Q77=1,OR(fieldcreatorv2!E79="radio",fieldcreatorv2!E79="selectlist")),1,IF(Q76=1,1,IF(AND(R77=1,OR(fieldcreatorv2!E79="radio",fieldcreatorv2!E79="selectlist")),1,0)))</f>
        <v>0</v>
      </c>
      <c r="S76" s="12" t="str">
        <f t="shared" si="25"/>
        <v/>
      </c>
      <c r="T76" s="12" t="str">
        <f>+IF(AND(R76=1,R77=Q77),fieldcreatorv2!C79,IF(AND(R76=1,R77=1),T77,""))</f>
        <v/>
      </c>
      <c r="U76" s="12" t="str">
        <f t="shared" si="23"/>
        <v/>
      </c>
      <c r="V76" s="12" t="str">
        <f t="shared" si="24"/>
        <v/>
      </c>
    </row>
    <row r="77" spans="1:22" customFormat="1">
      <c r="A77">
        <v>66</v>
      </c>
      <c r="B77" t="str">
        <f>IF(fieldcreatorv2!BX80="","",fieldcreatorv2!BX80)</f>
        <v/>
      </c>
      <c r="C77" s="218"/>
      <c r="D77" s="12"/>
      <c r="E77" s="12"/>
      <c r="F77" s="116" t="str">
        <f t="shared" si="32"/>
        <v/>
      </c>
      <c r="G77" s="265" t="str">
        <f t="shared" si="34"/>
        <v>echo "&lt;td class=".$rowclass."&gt;".$row['']."&lt;/td&gt;";</v>
      </c>
      <c r="H77" s="12" t="str">
        <f t="shared" si="15"/>
        <v/>
      </c>
      <c r="I77" s="145" t="str">
        <f t="shared" ref="I77:I110" si="35">+IF(H77="","",$A$4&amp;D77&amp;$A$5)</f>
        <v/>
      </c>
      <c r="J77" s="12" t="str">
        <f>+IF(AND(fieldcreatorv2!C80&lt;&gt;"",C77="y"),fieldcreatorv2!E80,"")</f>
        <v/>
      </c>
      <c r="K77" s="12" t="str">
        <f t="shared" si="29"/>
        <v/>
      </c>
      <c r="L77" s="12" t="str">
        <f t="shared" si="30"/>
        <v/>
      </c>
      <c r="M77" s="12" t="str">
        <f t="shared" si="17"/>
        <v/>
      </c>
      <c r="N77" s="12" t="str">
        <f t="shared" si="18"/>
        <v/>
      </c>
      <c r="O77" s="55" t="str">
        <f t="shared" si="19"/>
        <v/>
      </c>
      <c r="P77" s="230" t="str">
        <f t="shared" si="20"/>
        <v/>
      </c>
      <c r="Q77" s="12" t="str">
        <f>+IF(AND(fieldcreatorv2!I80="si",OR(fieldcreatorv2!E80="bigtext",fieldcreatorv2!E80="texto"),OR(fieldcreatorv2!E79="radio",fieldcreatorv2!E79="selectlist")),1,"")</f>
        <v/>
      </c>
      <c r="R77" s="12">
        <f>+IF(AND(Q78=1,OR(fieldcreatorv2!E80="radio",fieldcreatorv2!E80="selectlist")),1,IF(Q77=1,1,IF(AND(R78=1,OR(fieldcreatorv2!E80="radio",fieldcreatorv2!E80="selectlist")),1,0)))</f>
        <v>0</v>
      </c>
      <c r="S77" s="12" t="str">
        <f t="shared" si="25"/>
        <v/>
      </c>
      <c r="T77" s="12" t="str">
        <f>+IF(AND(R77=1,R78=Q78),fieldcreatorv2!C80,IF(AND(R77=1,R78=1),T78,""))</f>
        <v/>
      </c>
      <c r="U77" s="12" t="str">
        <f t="shared" si="23"/>
        <v/>
      </c>
      <c r="V77" s="12" t="str">
        <f t="shared" si="24"/>
        <v/>
      </c>
    </row>
    <row r="78" spans="1:22" customFormat="1">
      <c r="A78">
        <v>67</v>
      </c>
      <c r="B78" t="str">
        <f>IF(fieldcreatorv2!BX81="","",fieldcreatorv2!BX81)</f>
        <v/>
      </c>
      <c r="C78" s="218"/>
      <c r="D78" s="12"/>
      <c r="E78" s="12"/>
      <c r="F78" s="116" t="str">
        <f t="shared" si="32"/>
        <v/>
      </c>
      <c r="G78" s="265" t="str">
        <f t="shared" si="34"/>
        <v>echo "&lt;td class=".$rowclass."&gt;".$row['']."&lt;/td&gt;";</v>
      </c>
      <c r="H78" s="12" t="str">
        <f t="shared" si="15"/>
        <v/>
      </c>
      <c r="I78" s="145" t="str">
        <f t="shared" si="35"/>
        <v/>
      </c>
      <c r="J78" s="12" t="str">
        <f>+IF(AND(fieldcreatorv2!C81&lt;&gt;"",C78="y"),fieldcreatorv2!E81,"")</f>
        <v/>
      </c>
      <c r="K78" s="12" t="str">
        <f t="shared" si="29"/>
        <v/>
      </c>
      <c r="L78" s="12" t="str">
        <f t="shared" si="30"/>
        <v/>
      </c>
      <c r="M78" s="12" t="str">
        <f t="shared" si="17"/>
        <v/>
      </c>
      <c r="N78" s="12" t="str">
        <f t="shared" si="18"/>
        <v/>
      </c>
      <c r="O78" s="55" t="str">
        <f t="shared" si="19"/>
        <v/>
      </c>
      <c r="P78" s="230" t="str">
        <f t="shared" si="20"/>
        <v/>
      </c>
      <c r="Q78" s="12" t="str">
        <f>+IF(AND(fieldcreatorv2!I81="si",OR(fieldcreatorv2!E81="bigtext",fieldcreatorv2!E81="texto"),OR(fieldcreatorv2!E80="radio",fieldcreatorv2!E80="selectlist")),1,"")</f>
        <v/>
      </c>
      <c r="R78" s="12">
        <f>+IF(AND(Q79=1,OR(fieldcreatorv2!E81="radio",fieldcreatorv2!E81="selectlist")),1,IF(Q78=1,1,IF(AND(R79=1,OR(fieldcreatorv2!E81="radio",fieldcreatorv2!E81="selectlist")),1,0)))</f>
        <v>0</v>
      </c>
      <c r="S78" s="12" t="str">
        <f t="shared" si="25"/>
        <v/>
      </c>
      <c r="T78" s="12" t="str">
        <f>+IF(AND(R78=1,R79=Q79),fieldcreatorv2!C81,IF(AND(R78=1,R79=1),T79,""))</f>
        <v/>
      </c>
      <c r="U78" s="12" t="str">
        <f t="shared" si="23"/>
        <v/>
      </c>
      <c r="V78" s="12" t="str">
        <f t="shared" si="24"/>
        <v/>
      </c>
    </row>
    <row r="79" spans="1:22" customFormat="1">
      <c r="A79">
        <v>68</v>
      </c>
      <c r="B79" t="str">
        <f>IF(fieldcreatorv2!BX82="","",fieldcreatorv2!BX82)</f>
        <v/>
      </c>
      <c r="C79" s="218"/>
      <c r="D79" s="12"/>
      <c r="E79" s="12"/>
      <c r="F79" s="116" t="str">
        <f t="shared" si="32"/>
        <v/>
      </c>
      <c r="G79" s="265" t="str">
        <f t="shared" si="34"/>
        <v>echo "&lt;td class=".$rowclass."&gt;".$row['']."&lt;/td&gt;";</v>
      </c>
      <c r="H79" s="12" t="str">
        <f t="shared" si="15"/>
        <v/>
      </c>
      <c r="I79" s="145" t="str">
        <f t="shared" si="35"/>
        <v/>
      </c>
      <c r="J79" s="12" t="str">
        <f>+IF(AND(fieldcreatorv2!C82&lt;&gt;"",C79="y"),fieldcreatorv2!E82,"")</f>
        <v/>
      </c>
      <c r="K79" s="12" t="str">
        <f t="shared" si="29"/>
        <v/>
      </c>
      <c r="L79" s="12" t="str">
        <f t="shared" si="30"/>
        <v/>
      </c>
      <c r="M79" s="12" t="str">
        <f t="shared" si="17"/>
        <v/>
      </c>
      <c r="N79" s="12" t="str">
        <f t="shared" si="18"/>
        <v/>
      </c>
      <c r="O79" s="55" t="str">
        <f t="shared" si="19"/>
        <v/>
      </c>
      <c r="P79" s="230" t="str">
        <f t="shared" si="20"/>
        <v/>
      </c>
      <c r="Q79" s="12" t="str">
        <f>+IF(AND(fieldcreatorv2!I82="si",OR(fieldcreatorv2!E82="bigtext",fieldcreatorv2!E82="texto"),OR(fieldcreatorv2!E81="radio",fieldcreatorv2!E81="selectlist")),1,"")</f>
        <v/>
      </c>
      <c r="R79" s="12">
        <f>+IF(AND(Q80=1,OR(fieldcreatorv2!E82="radio",fieldcreatorv2!E82="selectlist")),1,IF(Q79=1,1,IF(AND(R80=1,OR(fieldcreatorv2!E82="radio",fieldcreatorv2!E82="selectlist")),1,0)))</f>
        <v>0</v>
      </c>
      <c r="S79" s="12" t="str">
        <f t="shared" si="25"/>
        <v/>
      </c>
      <c r="T79" s="12" t="str">
        <f>+IF(AND(R79=1,R80=Q80),fieldcreatorv2!C82,IF(AND(R79=1,R80=1),T80,""))</f>
        <v/>
      </c>
      <c r="U79" s="12" t="str">
        <f t="shared" si="23"/>
        <v/>
      </c>
      <c r="V79" s="12" t="str">
        <f t="shared" si="24"/>
        <v/>
      </c>
    </row>
    <row r="80" spans="1:22" customFormat="1">
      <c r="A80">
        <v>69</v>
      </c>
      <c r="B80" t="str">
        <f>IF(fieldcreatorv2!BX83="","",fieldcreatorv2!BX83)</f>
        <v/>
      </c>
      <c r="C80" s="218"/>
      <c r="D80" s="12"/>
      <c r="E80" s="12"/>
      <c r="F80" s="116" t="str">
        <f t="shared" si="32"/>
        <v/>
      </c>
      <c r="G80" s="265" t="str">
        <f t="shared" si="34"/>
        <v>echo "&lt;td class=".$rowclass."&gt;".$row['']."&lt;/td&gt;";</v>
      </c>
      <c r="H80" s="12" t="str">
        <f t="shared" si="15"/>
        <v/>
      </c>
      <c r="I80" s="145" t="str">
        <f t="shared" si="35"/>
        <v/>
      </c>
      <c r="J80" s="12" t="str">
        <f>+IF(AND(fieldcreatorv2!C83&lt;&gt;"",C80="y"),fieldcreatorv2!E83,"")</f>
        <v/>
      </c>
      <c r="K80" s="12" t="str">
        <f t="shared" si="29"/>
        <v/>
      </c>
      <c r="L80" s="12" t="str">
        <f t="shared" si="30"/>
        <v/>
      </c>
      <c r="M80" s="12" t="str">
        <f t="shared" si="17"/>
        <v/>
      </c>
      <c r="N80" s="12" t="str">
        <f t="shared" si="18"/>
        <v/>
      </c>
      <c r="O80" s="55" t="str">
        <f t="shared" si="19"/>
        <v/>
      </c>
      <c r="P80" s="230" t="str">
        <f t="shared" si="20"/>
        <v/>
      </c>
      <c r="Q80" s="12" t="str">
        <f>+IF(AND(fieldcreatorv2!I83="si",OR(fieldcreatorv2!E83="bigtext",fieldcreatorv2!E83="texto"),OR(fieldcreatorv2!E82="radio",fieldcreatorv2!E82="selectlist")),1,"")</f>
        <v/>
      </c>
      <c r="R80" s="12">
        <f>+IF(AND(Q81=1,OR(fieldcreatorv2!E83="radio",fieldcreatorv2!E83="selectlist")),1,IF(Q80=1,1,IF(AND(R81=1,OR(fieldcreatorv2!E83="radio",fieldcreatorv2!E83="selectlist")),1,0)))</f>
        <v>0</v>
      </c>
      <c r="S80" s="12" t="str">
        <f t="shared" si="25"/>
        <v/>
      </c>
      <c r="T80" s="12" t="str">
        <f>+IF(AND(R80=1,R81=Q81),fieldcreatorv2!C83,IF(AND(R80=1,R81=1),T81,""))</f>
        <v/>
      </c>
      <c r="U80" s="12" t="str">
        <f t="shared" si="23"/>
        <v/>
      </c>
      <c r="V80" s="12" t="str">
        <f t="shared" si="24"/>
        <v/>
      </c>
    </row>
    <row r="81" spans="1:22" customFormat="1">
      <c r="A81">
        <v>70</v>
      </c>
      <c r="B81" t="str">
        <f>IF(fieldcreatorv2!BX84="","",fieldcreatorv2!BX84)</f>
        <v/>
      </c>
      <c r="C81" s="218"/>
      <c r="D81" s="12"/>
      <c r="E81" s="12"/>
      <c r="F81" s="116" t="str">
        <f t="shared" si="32"/>
        <v/>
      </c>
      <c r="G81" s="265" t="str">
        <f t="shared" si="34"/>
        <v>echo "&lt;td class=".$rowclass."&gt;".$row['']."&lt;/td&gt;";</v>
      </c>
      <c r="H81" s="12" t="str">
        <f t="shared" ref="H81:H111" si="36">+IF(OR(B81="",C81&lt;&gt;"y"),"",IF(D81="",B81,D81))</f>
        <v/>
      </c>
      <c r="I81" s="145" t="str">
        <f t="shared" si="35"/>
        <v/>
      </c>
      <c r="J81" s="12" t="str">
        <f>+IF(AND(fieldcreatorv2!C84&lt;&gt;"",C81="y"),fieldcreatorv2!E84,"")</f>
        <v/>
      </c>
      <c r="K81" s="12" t="str">
        <f t="shared" si="29"/>
        <v/>
      </c>
      <c r="L81" s="12" t="str">
        <f t="shared" si="30"/>
        <v/>
      </c>
      <c r="M81" s="12" t="str">
        <f t="shared" ref="M81:M111" si="37">+IF(K81="starting",$C$3,"")</f>
        <v/>
      </c>
      <c r="N81" s="12" t="str">
        <f t="shared" ref="N81:N111" si="38">+IF(K81="ending",$C$4,"")</f>
        <v/>
      </c>
      <c r="O81" s="55" t="str">
        <f t="shared" ref="O81:O111" si="39">+M81&amp;L81&amp;N81</f>
        <v/>
      </c>
      <c r="P81" s="230" t="str">
        <f t="shared" ref="P81:P110" si="40">+IF(AND(B81&lt;&gt;"",C81="y",J81="check"),$B$7&amp;B81&amp;$C$5,"")</f>
        <v/>
      </c>
      <c r="Q81" s="12" t="str">
        <f>+IF(AND(fieldcreatorv2!I84="si",OR(fieldcreatorv2!E84="bigtext",fieldcreatorv2!E84="texto"),OR(fieldcreatorv2!E83="radio",fieldcreatorv2!E83="selectlist")),1,"")</f>
        <v/>
      </c>
      <c r="R81" s="12">
        <f>+IF(AND(Q82=1,OR(fieldcreatorv2!E84="radio",fieldcreatorv2!E84="selectlist")),1,IF(Q81=1,1,IF(AND(R82=1,OR(fieldcreatorv2!E84="radio",fieldcreatorv2!E84="selectlist")),1,0)))</f>
        <v>0</v>
      </c>
      <c r="S81" s="12" t="str">
        <f t="shared" si="25"/>
        <v/>
      </c>
      <c r="T81" s="12" t="str">
        <f>+IF(AND(R81=1,R82=Q82),fieldcreatorv2!C84,IF(AND(R81=1,R82=1),T82,""))</f>
        <v/>
      </c>
      <c r="U81" s="12" t="str">
        <f t="shared" si="23"/>
        <v/>
      </c>
      <c r="V81" s="12" t="str">
        <f t="shared" si="24"/>
        <v/>
      </c>
    </row>
    <row r="82" spans="1:22" customFormat="1">
      <c r="A82">
        <v>71</v>
      </c>
      <c r="B82" t="str">
        <f>IF(fieldcreatorv2!BX85="","",fieldcreatorv2!BX85)</f>
        <v/>
      </c>
      <c r="C82" s="218"/>
      <c r="D82" s="12"/>
      <c r="E82" s="12"/>
      <c r="F82" s="116" t="str">
        <f t="shared" si="32"/>
        <v/>
      </c>
      <c r="G82" s="265" t="str">
        <f t="shared" si="34"/>
        <v>echo "&lt;td class=".$rowclass."&gt;".$row['']."&lt;/td&gt;";</v>
      </c>
      <c r="H82" s="12" t="str">
        <f t="shared" si="36"/>
        <v/>
      </c>
      <c r="I82" s="145" t="str">
        <f t="shared" si="35"/>
        <v/>
      </c>
      <c r="J82" s="12" t="str">
        <f>+IF(AND(fieldcreatorv2!C85&lt;&gt;"",C82="y"),fieldcreatorv2!E85,"")</f>
        <v/>
      </c>
      <c r="K82" s="12" t="str">
        <f t="shared" si="29"/>
        <v/>
      </c>
      <c r="L82" s="12" t="str">
        <f t="shared" si="30"/>
        <v/>
      </c>
      <c r="M82" s="12" t="str">
        <f t="shared" si="37"/>
        <v/>
      </c>
      <c r="N82" s="12" t="str">
        <f t="shared" si="38"/>
        <v/>
      </c>
      <c r="O82" s="55" t="str">
        <f t="shared" si="39"/>
        <v/>
      </c>
      <c r="P82" s="230" t="str">
        <f t="shared" si="40"/>
        <v/>
      </c>
      <c r="Q82" s="12" t="str">
        <f>+IF(AND(fieldcreatorv2!I85="si",OR(fieldcreatorv2!E85="bigtext",fieldcreatorv2!E85="texto"),OR(fieldcreatorv2!E84="radio",fieldcreatorv2!E84="selectlist")),1,"")</f>
        <v/>
      </c>
      <c r="R82" s="12">
        <f>+IF(AND(Q83=1,OR(fieldcreatorv2!E85="radio",fieldcreatorv2!E85="selectlist")),1,IF(Q82=1,1,IF(AND(R83=1,OR(fieldcreatorv2!E85="radio",fieldcreatorv2!E85="selectlist")),1,0)))</f>
        <v>0</v>
      </c>
      <c r="S82" s="12" t="str">
        <f t="shared" si="25"/>
        <v/>
      </c>
      <c r="T82" s="12" t="str">
        <f>+IF(AND(R82=1,R83=Q83),fieldcreatorv2!C85,IF(AND(R82=1,R83=1),T83,""))</f>
        <v/>
      </c>
      <c r="U82" s="12" t="str">
        <f t="shared" si="23"/>
        <v/>
      </c>
      <c r="V82" s="12" t="str">
        <f t="shared" si="24"/>
        <v/>
      </c>
    </row>
    <row r="83" spans="1:22" customFormat="1">
      <c r="A83">
        <v>72</v>
      </c>
      <c r="B83" t="str">
        <f>IF(fieldcreatorv2!BX86="","",fieldcreatorv2!BX86)</f>
        <v/>
      </c>
      <c r="C83" s="218"/>
      <c r="D83" s="12"/>
      <c r="E83" s="12"/>
      <c r="F83" s="116" t="str">
        <f t="shared" si="32"/>
        <v/>
      </c>
      <c r="G83" s="265" t="str">
        <f t="shared" si="34"/>
        <v>echo "&lt;td class=".$rowclass."&gt;".$row['']."&lt;/td&gt;";</v>
      </c>
      <c r="H83" s="12" t="str">
        <f t="shared" si="36"/>
        <v/>
      </c>
      <c r="I83" s="145" t="str">
        <f t="shared" si="35"/>
        <v/>
      </c>
      <c r="J83" s="12" t="str">
        <f>+IF(AND(fieldcreatorv2!C86&lt;&gt;"",C83="y"),fieldcreatorv2!E86,"")</f>
        <v/>
      </c>
      <c r="K83" s="12" t="str">
        <f t="shared" si="29"/>
        <v/>
      </c>
      <c r="L83" s="12" t="str">
        <f t="shared" si="30"/>
        <v/>
      </c>
      <c r="M83" s="12" t="str">
        <f t="shared" si="37"/>
        <v/>
      </c>
      <c r="N83" s="12" t="str">
        <f t="shared" si="38"/>
        <v/>
      </c>
      <c r="O83" s="55" t="str">
        <f t="shared" si="39"/>
        <v/>
      </c>
      <c r="P83" s="230" t="str">
        <f t="shared" si="40"/>
        <v/>
      </c>
      <c r="Q83" s="12" t="str">
        <f>+IF(AND(fieldcreatorv2!I86="si",OR(fieldcreatorv2!E86="bigtext",fieldcreatorv2!E86="texto"),OR(fieldcreatorv2!E85="radio",fieldcreatorv2!E85="selectlist")),1,"")</f>
        <v/>
      </c>
      <c r="R83" s="12">
        <f>+IF(AND(Q84=1,OR(fieldcreatorv2!E86="radio",fieldcreatorv2!E86="selectlist")),1,IF(Q83=1,1,IF(AND(R84=1,OR(fieldcreatorv2!E86="radio",fieldcreatorv2!E86="selectlist")),1,0)))</f>
        <v>0</v>
      </c>
      <c r="S83" s="12" t="str">
        <f t="shared" si="25"/>
        <v/>
      </c>
      <c r="T83" s="12" t="str">
        <f>+IF(AND(R83=1,R84=Q84),fieldcreatorv2!C86,IF(AND(R83=1,R84=1),T84,""))</f>
        <v/>
      </c>
      <c r="U83" s="12" t="str">
        <f t="shared" si="23"/>
        <v/>
      </c>
      <c r="V83" s="12" t="str">
        <f t="shared" si="24"/>
        <v/>
      </c>
    </row>
    <row r="84" spans="1:22" customFormat="1">
      <c r="A84">
        <v>73</v>
      </c>
      <c r="B84" t="str">
        <f>IF(fieldcreatorv2!BX87="","",fieldcreatorv2!BX87)</f>
        <v/>
      </c>
      <c r="C84" s="218"/>
      <c r="D84" s="12"/>
      <c r="E84" s="12"/>
      <c r="F84" s="116" t="str">
        <f t="shared" si="32"/>
        <v/>
      </c>
      <c r="G84" s="265" t="str">
        <f t="shared" si="34"/>
        <v>echo "&lt;td class=".$rowclass."&gt;".$row['']."&lt;/td&gt;";</v>
      </c>
      <c r="H84" s="12" t="str">
        <f t="shared" si="36"/>
        <v/>
      </c>
      <c r="I84" s="145" t="str">
        <f t="shared" si="35"/>
        <v/>
      </c>
      <c r="J84" s="12" t="str">
        <f>+IF(AND(fieldcreatorv2!C87&lt;&gt;"",C84="y"),fieldcreatorv2!E87,"")</f>
        <v/>
      </c>
      <c r="K84" s="12" t="str">
        <f t="shared" si="29"/>
        <v/>
      </c>
      <c r="L84" s="12" t="str">
        <f t="shared" si="30"/>
        <v/>
      </c>
      <c r="M84" s="12" t="str">
        <f t="shared" si="37"/>
        <v/>
      </c>
      <c r="N84" s="12" t="str">
        <f t="shared" si="38"/>
        <v/>
      </c>
      <c r="O84" s="55" t="str">
        <f t="shared" si="39"/>
        <v/>
      </c>
      <c r="P84" s="230" t="str">
        <f t="shared" si="40"/>
        <v/>
      </c>
      <c r="Q84" s="12" t="str">
        <f>+IF(AND(fieldcreatorv2!I87="si",OR(fieldcreatorv2!E87="bigtext",fieldcreatorv2!E87="texto"),OR(fieldcreatorv2!E86="radio",fieldcreatorv2!E86="selectlist")),1,"")</f>
        <v/>
      </c>
      <c r="R84" s="12">
        <f>+IF(AND(Q85=1,OR(fieldcreatorv2!E87="radio",fieldcreatorv2!E87="selectlist")),1,IF(Q84=1,1,IF(AND(R85=1,OR(fieldcreatorv2!E87="radio",fieldcreatorv2!E87="selectlist")),1,0)))</f>
        <v>0</v>
      </c>
      <c r="S84" s="12" t="str">
        <f t="shared" si="25"/>
        <v/>
      </c>
      <c r="T84" s="12" t="str">
        <f>+IF(AND(R84=1,R85=Q85),fieldcreatorv2!C87,IF(AND(R84=1,R85=1),T85,""))</f>
        <v/>
      </c>
      <c r="U84" s="12" t="str">
        <f t="shared" si="23"/>
        <v/>
      </c>
      <c r="V84" s="12" t="str">
        <f t="shared" si="24"/>
        <v/>
      </c>
    </row>
    <row r="85" spans="1:22" customFormat="1">
      <c r="A85">
        <v>74</v>
      </c>
      <c r="B85" t="str">
        <f>IF(fieldcreatorv2!BX88="","",fieldcreatorv2!BX88)</f>
        <v/>
      </c>
      <c r="C85" s="218"/>
      <c r="D85" s="12"/>
      <c r="E85" s="12"/>
      <c r="F85" s="116" t="str">
        <f t="shared" si="32"/>
        <v/>
      </c>
      <c r="G85" s="265" t="str">
        <f t="shared" si="34"/>
        <v>echo "&lt;td class=".$rowclass."&gt;".$row['']."&lt;/td&gt;";</v>
      </c>
      <c r="H85" s="12" t="str">
        <f t="shared" si="36"/>
        <v/>
      </c>
      <c r="I85" s="145" t="str">
        <f t="shared" si="35"/>
        <v/>
      </c>
      <c r="J85" s="12" t="str">
        <f>+IF(AND(fieldcreatorv2!C88&lt;&gt;"",C85="y"),fieldcreatorv2!E88,"")</f>
        <v/>
      </c>
      <c r="K85" s="12" t="str">
        <f t="shared" si="29"/>
        <v/>
      </c>
      <c r="L85" s="12" t="str">
        <f t="shared" si="30"/>
        <v/>
      </c>
      <c r="M85" s="12" t="str">
        <f t="shared" si="37"/>
        <v/>
      </c>
      <c r="N85" s="12" t="str">
        <f t="shared" si="38"/>
        <v/>
      </c>
      <c r="O85" s="55" t="str">
        <f t="shared" si="39"/>
        <v/>
      </c>
      <c r="P85" s="230" t="str">
        <f t="shared" si="40"/>
        <v/>
      </c>
      <c r="Q85" s="12" t="str">
        <f>+IF(AND(fieldcreatorv2!I88="si",OR(fieldcreatorv2!E88="bigtext",fieldcreatorv2!E88="texto"),OR(fieldcreatorv2!E87="radio",fieldcreatorv2!E87="selectlist")),1,"")</f>
        <v/>
      </c>
      <c r="R85" s="12">
        <f>+IF(AND(Q86=1,OR(fieldcreatorv2!E88="radio",fieldcreatorv2!E88="selectlist")),1,IF(Q85=1,1,IF(AND(R86=1,OR(fieldcreatorv2!E88="radio",fieldcreatorv2!E88="selectlist")),1,0)))</f>
        <v>0</v>
      </c>
      <c r="S85" s="12" t="str">
        <f t="shared" si="25"/>
        <v/>
      </c>
      <c r="T85" s="12" t="str">
        <f>+IF(AND(R85=1,R86=Q86),fieldcreatorv2!C88,IF(AND(R85=1,R86=1),T86,""))</f>
        <v/>
      </c>
      <c r="U85" s="12" t="str">
        <f t="shared" si="23"/>
        <v/>
      </c>
      <c r="V85" s="12" t="str">
        <f t="shared" si="24"/>
        <v/>
      </c>
    </row>
    <row r="86" spans="1:22" customFormat="1">
      <c r="A86">
        <v>75</v>
      </c>
      <c r="B86" t="str">
        <f>IF(fieldcreatorv2!BX89="","",fieldcreatorv2!BX89)</f>
        <v/>
      </c>
      <c r="C86" s="218"/>
      <c r="D86" s="12"/>
      <c r="E86" s="12"/>
      <c r="F86" s="116" t="str">
        <f t="shared" si="32"/>
        <v/>
      </c>
      <c r="G86" s="265" t="str">
        <f t="shared" si="34"/>
        <v>echo "&lt;td class=".$rowclass."&gt;".$row['']."&lt;/td&gt;";</v>
      </c>
      <c r="H86" s="12" t="str">
        <f t="shared" si="36"/>
        <v/>
      </c>
      <c r="I86" s="145" t="str">
        <f t="shared" si="35"/>
        <v/>
      </c>
      <c r="J86" s="12" t="str">
        <f>+IF(AND(fieldcreatorv2!C89&lt;&gt;"",C86="y"),fieldcreatorv2!E89,"")</f>
        <v/>
      </c>
      <c r="K86" s="12" t="str">
        <f t="shared" si="29"/>
        <v/>
      </c>
      <c r="L86" s="12" t="str">
        <f t="shared" si="30"/>
        <v/>
      </c>
      <c r="M86" s="12" t="str">
        <f t="shared" si="37"/>
        <v/>
      </c>
      <c r="N86" s="12" t="str">
        <f t="shared" si="38"/>
        <v/>
      </c>
      <c r="O86" s="55" t="str">
        <f t="shared" si="39"/>
        <v/>
      </c>
      <c r="P86" s="230" t="str">
        <f t="shared" si="40"/>
        <v/>
      </c>
      <c r="Q86" s="12" t="str">
        <f>+IF(AND(fieldcreatorv2!I89="si",OR(fieldcreatorv2!E89="bigtext",fieldcreatorv2!E89="texto"),OR(fieldcreatorv2!E88="radio",fieldcreatorv2!E88="selectlist")),1,"")</f>
        <v/>
      </c>
      <c r="R86" s="12">
        <f>+IF(AND(Q87=1,OR(fieldcreatorv2!E89="radio",fieldcreatorv2!E89="selectlist")),1,IF(Q86=1,1,IF(AND(R87=1,OR(fieldcreatorv2!E89="radio",fieldcreatorv2!E89="selectlist")),1,0)))</f>
        <v>0</v>
      </c>
      <c r="S86" s="12" t="str">
        <f t="shared" si="25"/>
        <v/>
      </c>
      <c r="T86" s="12" t="str">
        <f>+IF(AND(R86=1,R87=Q87),fieldcreatorv2!C89,IF(AND(R86=1,R87=1),T87,""))</f>
        <v/>
      </c>
      <c r="U86" s="12" t="str">
        <f t="shared" si="23"/>
        <v/>
      </c>
      <c r="V86" s="12" t="str">
        <f t="shared" si="24"/>
        <v/>
      </c>
    </row>
    <row r="87" spans="1:22" customFormat="1">
      <c r="A87">
        <v>76</v>
      </c>
      <c r="B87" t="str">
        <f>IF(fieldcreatorv2!BX90="","",fieldcreatorv2!BX90)</f>
        <v/>
      </c>
      <c r="C87" s="218"/>
      <c r="D87" s="12"/>
      <c r="E87" s="12"/>
      <c r="F87" s="116" t="str">
        <f t="shared" si="32"/>
        <v/>
      </c>
      <c r="G87" s="265" t="str">
        <f t="shared" si="34"/>
        <v>echo "&lt;td class=".$rowclass."&gt;".$row['']."&lt;/td&gt;";</v>
      </c>
      <c r="H87" s="12" t="str">
        <f t="shared" si="36"/>
        <v/>
      </c>
      <c r="I87" s="145" t="str">
        <f t="shared" si="35"/>
        <v/>
      </c>
      <c r="J87" s="12" t="str">
        <f>+IF(AND(fieldcreatorv2!C90&lt;&gt;"",C87="y"),fieldcreatorv2!E90,"")</f>
        <v/>
      </c>
      <c r="K87" s="12" t="str">
        <f t="shared" si="29"/>
        <v/>
      </c>
      <c r="L87" s="12" t="str">
        <f t="shared" si="30"/>
        <v/>
      </c>
      <c r="M87" s="12" t="str">
        <f t="shared" si="37"/>
        <v/>
      </c>
      <c r="N87" s="12" t="str">
        <f t="shared" si="38"/>
        <v/>
      </c>
      <c r="O87" s="55" t="str">
        <f t="shared" si="39"/>
        <v/>
      </c>
      <c r="P87" s="230" t="str">
        <f t="shared" si="40"/>
        <v/>
      </c>
      <c r="Q87" s="12" t="str">
        <f>+IF(AND(fieldcreatorv2!I90="si",OR(fieldcreatorv2!E90="bigtext",fieldcreatorv2!E90="texto"),OR(fieldcreatorv2!E89="radio",fieldcreatorv2!E89="selectlist")),1,"")</f>
        <v/>
      </c>
      <c r="R87" s="12">
        <f>+IF(AND(Q88=1,OR(fieldcreatorv2!E90="radio",fieldcreatorv2!E90="selectlist")),1,IF(Q87=1,1,IF(AND(R88=1,OR(fieldcreatorv2!E90="radio",fieldcreatorv2!E90="selectlist")),1,0)))</f>
        <v>0</v>
      </c>
      <c r="S87" s="12" t="str">
        <f t="shared" si="25"/>
        <v/>
      </c>
      <c r="T87" s="12" t="str">
        <f>+IF(AND(R87=1,R88=Q88),fieldcreatorv2!C90,IF(AND(R87=1,R88=1),T88,""))</f>
        <v/>
      </c>
      <c r="U87" s="12" t="str">
        <f t="shared" si="23"/>
        <v/>
      </c>
      <c r="V87" s="12" t="str">
        <f t="shared" si="24"/>
        <v/>
      </c>
    </row>
    <row r="88" spans="1:22" customFormat="1">
      <c r="A88">
        <v>77</v>
      </c>
      <c r="B88" t="str">
        <f>IF(fieldcreatorv2!BX91="","",fieldcreatorv2!BX91)</f>
        <v/>
      </c>
      <c r="C88" s="218"/>
      <c r="D88" s="12"/>
      <c r="E88" s="12"/>
      <c r="F88" s="116" t="str">
        <f t="shared" si="32"/>
        <v/>
      </c>
      <c r="G88" s="265" t="str">
        <f t="shared" si="34"/>
        <v>echo "&lt;td class=".$rowclass."&gt;".$row['']."&lt;/td&gt;";</v>
      </c>
      <c r="H88" s="12" t="str">
        <f t="shared" si="36"/>
        <v/>
      </c>
      <c r="I88" s="145" t="str">
        <f t="shared" si="35"/>
        <v/>
      </c>
      <c r="J88" s="12" t="str">
        <f>+IF(AND(fieldcreatorv2!C91&lt;&gt;"",C88="y"),fieldcreatorv2!E91,"")</f>
        <v/>
      </c>
      <c r="K88" s="12" t="str">
        <f t="shared" si="29"/>
        <v/>
      </c>
      <c r="L88" s="12" t="str">
        <f t="shared" si="30"/>
        <v/>
      </c>
      <c r="M88" s="12" t="str">
        <f t="shared" si="37"/>
        <v/>
      </c>
      <c r="N88" s="12" t="str">
        <f t="shared" si="38"/>
        <v/>
      </c>
      <c r="O88" s="55" t="str">
        <f t="shared" si="39"/>
        <v/>
      </c>
      <c r="P88" s="230" t="str">
        <f t="shared" si="40"/>
        <v/>
      </c>
      <c r="Q88" s="12" t="str">
        <f>+IF(AND(fieldcreatorv2!I91="si",OR(fieldcreatorv2!E91="bigtext",fieldcreatorv2!E91="texto"),OR(fieldcreatorv2!E90="radio",fieldcreatorv2!E90="selectlist")),1,"")</f>
        <v/>
      </c>
      <c r="R88" s="12">
        <f>+IF(AND(Q89=1,OR(fieldcreatorv2!E91="radio",fieldcreatorv2!E91="selectlist")),1,IF(Q88=1,1,IF(AND(R89=1,OR(fieldcreatorv2!E91="radio",fieldcreatorv2!E91="selectlist")),1,0)))</f>
        <v>0</v>
      </c>
      <c r="S88" s="12" t="str">
        <f t="shared" si="25"/>
        <v/>
      </c>
      <c r="T88" s="12" t="str">
        <f>+IF(AND(R88=1,R89=Q89),fieldcreatorv2!C91,IF(AND(R88=1,R89=1),T89,""))</f>
        <v/>
      </c>
      <c r="U88" s="12" t="str">
        <f t="shared" si="23"/>
        <v/>
      </c>
      <c r="V88" s="12" t="str">
        <f t="shared" si="24"/>
        <v/>
      </c>
    </row>
    <row r="89" spans="1:22" customFormat="1">
      <c r="A89">
        <v>78</v>
      </c>
      <c r="B89" t="str">
        <f>IF(fieldcreatorv2!BX92="","",fieldcreatorv2!BX92)</f>
        <v/>
      </c>
      <c r="C89" s="218"/>
      <c r="D89" s="12"/>
      <c r="E89" s="12"/>
      <c r="F89" s="116" t="str">
        <f t="shared" si="32"/>
        <v/>
      </c>
      <c r="G89" s="265" t="str">
        <f t="shared" si="34"/>
        <v>echo "&lt;td class=".$rowclass."&gt;".$row['']."&lt;/td&gt;";</v>
      </c>
      <c r="H89" s="12" t="str">
        <f t="shared" si="36"/>
        <v/>
      </c>
      <c r="I89" s="145" t="str">
        <f t="shared" si="35"/>
        <v/>
      </c>
      <c r="J89" s="12" t="str">
        <f>+IF(AND(fieldcreatorv2!C92&lt;&gt;"",C89="y"),fieldcreatorv2!E92,"")</f>
        <v/>
      </c>
      <c r="K89" s="12" t="str">
        <f t="shared" si="29"/>
        <v/>
      </c>
      <c r="L89" s="12" t="str">
        <f t="shared" si="30"/>
        <v/>
      </c>
      <c r="M89" s="12" t="str">
        <f t="shared" si="37"/>
        <v/>
      </c>
      <c r="N89" s="12" t="str">
        <f t="shared" si="38"/>
        <v/>
      </c>
      <c r="O89" s="55" t="str">
        <f t="shared" si="39"/>
        <v/>
      </c>
      <c r="P89" s="230" t="str">
        <f t="shared" si="40"/>
        <v/>
      </c>
      <c r="Q89" s="12" t="str">
        <f>+IF(AND(fieldcreatorv2!I92="si",OR(fieldcreatorv2!E92="bigtext",fieldcreatorv2!E92="texto"),OR(fieldcreatorv2!E91="radio",fieldcreatorv2!E91="selectlist")),1,"")</f>
        <v/>
      </c>
      <c r="R89" s="12">
        <f>+IF(AND(Q90=1,OR(fieldcreatorv2!E92="radio",fieldcreatorv2!E92="selectlist")),1,IF(Q89=1,1,IF(AND(R90=1,OR(fieldcreatorv2!E92="radio",fieldcreatorv2!E92="selectlist")),1,0)))</f>
        <v>0</v>
      </c>
      <c r="S89" s="12" t="str">
        <f t="shared" si="25"/>
        <v/>
      </c>
      <c r="T89" s="12" t="str">
        <f>+IF(AND(R89=1,R90=Q90),fieldcreatorv2!C92,IF(AND(R89=1,R90=1),T90,""))</f>
        <v/>
      </c>
      <c r="U89" s="12" t="str">
        <f t="shared" si="23"/>
        <v/>
      </c>
      <c r="V89" s="12" t="str">
        <f t="shared" si="24"/>
        <v/>
      </c>
    </row>
    <row r="90" spans="1:22" customFormat="1">
      <c r="A90">
        <v>79</v>
      </c>
      <c r="B90" t="str">
        <f>IF(fieldcreatorv2!BX93="","",fieldcreatorv2!BX93)</f>
        <v/>
      </c>
      <c r="C90" s="218"/>
      <c r="D90" s="12"/>
      <c r="E90" s="12"/>
      <c r="F90" s="116" t="str">
        <f t="shared" ref="F90:F110" si="41">IF(AND(B90&lt;&gt;"",C90="y",V90&lt;&gt;""),V90,IF(AND(E90&lt;&gt;"",C90="y"),O90,IF(J90="check",P90,IF(AND(C90="y",B90&lt;&gt;""),G90,""))))</f>
        <v/>
      </c>
      <c r="G90" s="265" t="str">
        <f t="shared" si="34"/>
        <v>echo "&lt;td class=".$rowclass."&gt;".$row['']."&lt;/td&gt;";</v>
      </c>
      <c r="H90" s="12" t="str">
        <f t="shared" si="36"/>
        <v/>
      </c>
      <c r="I90" s="145" t="str">
        <f t="shared" si="35"/>
        <v/>
      </c>
      <c r="J90" s="12" t="str">
        <f>+IF(AND(fieldcreatorv2!C93&lt;&gt;"",C90="y"),fieldcreatorv2!E93,"")</f>
        <v/>
      </c>
      <c r="K90" s="12" t="str">
        <f t="shared" si="29"/>
        <v/>
      </c>
      <c r="L90" s="12" t="str">
        <f t="shared" si="30"/>
        <v/>
      </c>
      <c r="M90" s="12" t="str">
        <f t="shared" si="37"/>
        <v/>
      </c>
      <c r="N90" s="12" t="str">
        <f t="shared" si="38"/>
        <v/>
      </c>
      <c r="O90" s="55" t="str">
        <f t="shared" si="39"/>
        <v/>
      </c>
      <c r="P90" s="230" t="str">
        <f t="shared" si="40"/>
        <v/>
      </c>
      <c r="Q90" s="12" t="str">
        <f>+IF(AND(fieldcreatorv2!I93="si",OR(fieldcreatorv2!E93="bigtext",fieldcreatorv2!E93="texto"),OR(fieldcreatorv2!E92="radio",fieldcreatorv2!E92="selectlist")),1,"")</f>
        <v/>
      </c>
      <c r="R90" s="12">
        <f>+IF(AND(Q91=1,OR(fieldcreatorv2!E93="radio",fieldcreatorv2!E93="selectlist")),1,IF(Q90=1,1,IF(AND(R91=1,OR(fieldcreatorv2!E93="radio",fieldcreatorv2!E93="selectlist")),1,0)))</f>
        <v>0</v>
      </c>
      <c r="S90" s="12" t="str">
        <f t="shared" si="25"/>
        <v/>
      </c>
      <c r="T90" s="12" t="str">
        <f>+IF(AND(R90=1,R91=Q91),fieldcreatorv2!C93,IF(AND(R90=1,R91=1),T91,""))</f>
        <v/>
      </c>
      <c r="U90" s="12" t="str">
        <f t="shared" ref="U90:U111" si="42">+IF(AND(R90=1,OR(J90="radio",J90="selectlist")),1,"")</f>
        <v/>
      </c>
      <c r="V90" s="12" t="str">
        <f t="shared" ref="V90:V111" si="43">IF(U90=1,$C$6&amp;$C$7&amp;B90&amp;$D$1&amp;T90&amp;$D$2&amp;S90&amp;$D$3&amp;B90&amp;$D$4,"")</f>
        <v/>
      </c>
    </row>
    <row r="91" spans="1:22" customFormat="1">
      <c r="A91">
        <v>80</v>
      </c>
      <c r="B91" t="str">
        <f>IF(fieldcreatorv2!BX94="","",fieldcreatorv2!BX94)</f>
        <v/>
      </c>
      <c r="C91" s="218"/>
      <c r="D91" s="12"/>
      <c r="E91" s="12"/>
      <c r="F91" s="116" t="str">
        <f t="shared" si="41"/>
        <v/>
      </c>
      <c r="G91" s="265" t="str">
        <f t="shared" si="34"/>
        <v>echo "&lt;td class=".$rowclass."&gt;".$row['']."&lt;/td&gt;";</v>
      </c>
      <c r="H91" s="12" t="str">
        <f t="shared" si="36"/>
        <v/>
      </c>
      <c r="I91" s="145" t="str">
        <f t="shared" si="35"/>
        <v/>
      </c>
      <c r="J91" s="12" t="str">
        <f>+IF(AND(fieldcreatorv2!C94&lt;&gt;"",C91="y"),fieldcreatorv2!E94,"")</f>
        <v/>
      </c>
      <c r="K91" s="12" t="str">
        <f t="shared" si="29"/>
        <v/>
      </c>
      <c r="L91" s="12" t="str">
        <f t="shared" si="30"/>
        <v/>
      </c>
      <c r="M91" s="12" t="str">
        <f t="shared" si="37"/>
        <v/>
      </c>
      <c r="N91" s="12" t="str">
        <f t="shared" si="38"/>
        <v/>
      </c>
      <c r="O91" s="55" t="str">
        <f t="shared" si="39"/>
        <v/>
      </c>
      <c r="P91" s="230" t="str">
        <f t="shared" si="40"/>
        <v/>
      </c>
      <c r="Q91" s="12" t="str">
        <f>+IF(AND(fieldcreatorv2!I94="si",OR(fieldcreatorv2!E94="bigtext",fieldcreatorv2!E94="texto"),OR(fieldcreatorv2!E93="radio",fieldcreatorv2!E93="selectlist")),1,"")</f>
        <v/>
      </c>
      <c r="R91" s="12">
        <f>+IF(AND(Q92=1,OR(fieldcreatorv2!E94="radio",fieldcreatorv2!E94="selectlist")),1,IF(Q91=1,1,IF(AND(R92=1,OR(fieldcreatorv2!E94="radio",fieldcreatorv2!E94="selectlist")),1,0)))</f>
        <v>0</v>
      </c>
      <c r="S91" s="12" t="str">
        <f t="shared" si="25"/>
        <v/>
      </c>
      <c r="T91" s="12" t="str">
        <f>+IF(AND(R91=1,R92=Q92),fieldcreatorv2!C94,IF(AND(R91=1,R92=1),T92,""))</f>
        <v/>
      </c>
      <c r="U91" s="12" t="str">
        <f t="shared" si="42"/>
        <v/>
      </c>
      <c r="V91" s="12" t="str">
        <f t="shared" si="43"/>
        <v/>
      </c>
    </row>
    <row r="92" spans="1:22" customFormat="1">
      <c r="A92">
        <v>81</v>
      </c>
      <c r="B92" t="str">
        <f>IF(fieldcreatorv2!BX95="","",fieldcreatorv2!BX95)</f>
        <v/>
      </c>
      <c r="C92" s="218"/>
      <c r="D92" s="12"/>
      <c r="E92" s="12"/>
      <c r="F92" s="116" t="str">
        <f t="shared" si="41"/>
        <v/>
      </c>
      <c r="G92" s="265" t="str">
        <f t="shared" si="34"/>
        <v>echo "&lt;td class=".$rowclass."&gt;".$row['']."&lt;/td&gt;";</v>
      </c>
      <c r="H92" s="12" t="str">
        <f t="shared" si="36"/>
        <v/>
      </c>
      <c r="I92" s="145" t="str">
        <f t="shared" si="35"/>
        <v/>
      </c>
      <c r="J92" s="12" t="str">
        <f>+IF(AND(fieldcreatorv2!C95&lt;&gt;"",C92="y"),fieldcreatorv2!E95,"")</f>
        <v/>
      </c>
      <c r="K92" s="12" t="str">
        <f t="shared" si="29"/>
        <v/>
      </c>
      <c r="L92" s="12" t="str">
        <f t="shared" si="30"/>
        <v/>
      </c>
      <c r="M92" s="12" t="str">
        <f t="shared" si="37"/>
        <v/>
      </c>
      <c r="N92" s="12" t="str">
        <f t="shared" si="38"/>
        <v/>
      </c>
      <c r="O92" s="55" t="str">
        <f t="shared" si="39"/>
        <v/>
      </c>
      <c r="P92" s="230" t="str">
        <f t="shared" si="40"/>
        <v/>
      </c>
      <c r="Q92" s="12" t="str">
        <f>+IF(AND(fieldcreatorv2!I95="si",OR(fieldcreatorv2!E95="bigtext",fieldcreatorv2!E95="texto"),OR(fieldcreatorv2!E94="radio",fieldcreatorv2!E94="selectlist")),1,"")</f>
        <v/>
      </c>
      <c r="R92" s="12">
        <f>+IF(AND(Q93=1,OR(fieldcreatorv2!E95="radio",fieldcreatorv2!E95="selectlist")),1,IF(Q92=1,1,IF(AND(R93=1,OR(fieldcreatorv2!E95="radio",fieldcreatorv2!E95="selectlist")),1,0)))</f>
        <v>0</v>
      </c>
      <c r="S92" s="12" t="str">
        <f t="shared" si="25"/>
        <v/>
      </c>
      <c r="T92" s="12" t="str">
        <f>+IF(AND(R92=1,R93=Q93),fieldcreatorv2!C95,IF(AND(R92=1,R93=1),T93,""))</f>
        <v/>
      </c>
      <c r="U92" s="12" t="str">
        <f t="shared" si="42"/>
        <v/>
      </c>
      <c r="V92" s="12" t="str">
        <f t="shared" si="43"/>
        <v/>
      </c>
    </row>
    <row r="93" spans="1:22" customFormat="1">
      <c r="A93">
        <v>82</v>
      </c>
      <c r="B93" t="str">
        <f>IF(fieldcreatorv2!BX96="","",fieldcreatorv2!BX96)</f>
        <v/>
      </c>
      <c r="C93" s="218"/>
      <c r="D93" s="12"/>
      <c r="E93" s="12"/>
      <c r="F93" s="116" t="str">
        <f t="shared" si="41"/>
        <v/>
      </c>
      <c r="G93" s="265" t="str">
        <f t="shared" si="34"/>
        <v>echo "&lt;td class=".$rowclass."&gt;".$row['']."&lt;/td&gt;";</v>
      </c>
      <c r="H93" s="12" t="str">
        <f t="shared" si="36"/>
        <v/>
      </c>
      <c r="I93" s="145" t="str">
        <f t="shared" si="35"/>
        <v/>
      </c>
      <c r="J93" s="12" t="str">
        <f>+IF(AND(fieldcreatorv2!C96&lt;&gt;"",C93="y"),fieldcreatorv2!E96,"")</f>
        <v/>
      </c>
      <c r="K93" s="12" t="str">
        <f t="shared" si="29"/>
        <v/>
      </c>
      <c r="L93" s="12" t="str">
        <f t="shared" si="30"/>
        <v/>
      </c>
      <c r="M93" s="12" t="str">
        <f t="shared" si="37"/>
        <v/>
      </c>
      <c r="N93" s="12" t="str">
        <f t="shared" si="38"/>
        <v/>
      </c>
      <c r="O93" s="55" t="str">
        <f t="shared" si="39"/>
        <v/>
      </c>
      <c r="P93" s="230" t="str">
        <f t="shared" si="40"/>
        <v/>
      </c>
      <c r="Q93" s="12" t="str">
        <f>+IF(AND(fieldcreatorv2!I96="si",OR(fieldcreatorv2!E96="bigtext",fieldcreatorv2!E96="texto"),OR(fieldcreatorv2!E95="radio",fieldcreatorv2!E95="selectlist")),1,"")</f>
        <v/>
      </c>
      <c r="R93" s="12">
        <f>+IF(AND(Q94=1,OR(fieldcreatorv2!E96="radio",fieldcreatorv2!E96="selectlist")),1,IF(Q93=1,1,IF(AND(R94=1,OR(fieldcreatorv2!E96="radio",fieldcreatorv2!E96="selectlist")),1,0)))</f>
        <v>0</v>
      </c>
      <c r="S93" s="12" t="str">
        <f t="shared" ref="S93:S111" si="44">+IF(AND(Q93=1,R93=1),B93,IF(AND(R93=1,R94=1),S94,""))</f>
        <v/>
      </c>
      <c r="T93" s="12" t="str">
        <f>+IF(AND(R93=1,R94=Q94),fieldcreatorv2!C96,IF(AND(R93=1,R94=1),T94,""))</f>
        <v/>
      </c>
      <c r="U93" s="12" t="str">
        <f t="shared" si="42"/>
        <v/>
      </c>
      <c r="V93" s="12" t="str">
        <f t="shared" si="43"/>
        <v/>
      </c>
    </row>
    <row r="94" spans="1:22" customFormat="1">
      <c r="A94">
        <v>83</v>
      </c>
      <c r="B94" t="str">
        <f>IF(fieldcreatorv2!BX97="","",fieldcreatorv2!BX97)</f>
        <v/>
      </c>
      <c r="C94" s="218"/>
      <c r="D94" s="12"/>
      <c r="E94" s="12"/>
      <c r="F94" s="116" t="str">
        <f t="shared" si="41"/>
        <v/>
      </c>
      <c r="G94" s="265" t="str">
        <f t="shared" si="34"/>
        <v>echo "&lt;td class=".$rowclass."&gt;".$row['']."&lt;/td&gt;";</v>
      </c>
      <c r="H94" s="12" t="str">
        <f t="shared" si="36"/>
        <v/>
      </c>
      <c r="I94" s="145" t="str">
        <f t="shared" si="35"/>
        <v/>
      </c>
      <c r="J94" s="12" t="str">
        <f>+IF(AND(fieldcreatorv2!C97&lt;&gt;"",C94="y"),fieldcreatorv2!E97,"")</f>
        <v/>
      </c>
      <c r="K94" s="12" t="str">
        <f t="shared" si="29"/>
        <v/>
      </c>
      <c r="L94" s="12" t="str">
        <f t="shared" si="30"/>
        <v/>
      </c>
      <c r="M94" s="12" t="str">
        <f t="shared" si="37"/>
        <v/>
      </c>
      <c r="N94" s="12" t="str">
        <f t="shared" si="38"/>
        <v/>
      </c>
      <c r="O94" s="55" t="str">
        <f t="shared" si="39"/>
        <v/>
      </c>
      <c r="P94" s="230" t="str">
        <f t="shared" si="40"/>
        <v/>
      </c>
      <c r="Q94" s="12" t="str">
        <f>+IF(AND(fieldcreatorv2!I97="si",OR(fieldcreatorv2!E97="bigtext",fieldcreatorv2!E97="texto"),OR(fieldcreatorv2!E96="radio",fieldcreatorv2!E96="selectlist")),1,"")</f>
        <v/>
      </c>
      <c r="R94" s="12">
        <f>+IF(AND(Q95=1,OR(fieldcreatorv2!E97="radio",fieldcreatorv2!E97="selectlist")),1,IF(Q94=1,1,IF(AND(R95=1,OR(fieldcreatorv2!E97="radio",fieldcreatorv2!E97="selectlist")),1,0)))</f>
        <v>0</v>
      </c>
      <c r="S94" s="12" t="str">
        <f t="shared" si="44"/>
        <v/>
      </c>
      <c r="T94" s="12" t="str">
        <f>+IF(AND(R94=1,R95=Q95),fieldcreatorv2!C97,IF(AND(R94=1,R95=1),T95,""))</f>
        <v/>
      </c>
      <c r="U94" s="12" t="str">
        <f t="shared" si="42"/>
        <v/>
      </c>
      <c r="V94" s="12" t="str">
        <f t="shared" si="43"/>
        <v/>
      </c>
    </row>
    <row r="95" spans="1:22" customFormat="1">
      <c r="A95">
        <v>84</v>
      </c>
      <c r="B95" t="str">
        <f>IF(fieldcreatorv2!BX98="","",fieldcreatorv2!BX98)</f>
        <v/>
      </c>
      <c r="C95" s="218"/>
      <c r="D95" s="12"/>
      <c r="E95" s="12"/>
      <c r="F95" s="116" t="str">
        <f t="shared" si="41"/>
        <v/>
      </c>
      <c r="G95" s="265" t="str">
        <f t="shared" si="34"/>
        <v>echo "&lt;td class=".$rowclass."&gt;".$row['']."&lt;/td&gt;";</v>
      </c>
      <c r="H95" s="12" t="str">
        <f t="shared" si="36"/>
        <v/>
      </c>
      <c r="I95" s="145" t="str">
        <f t="shared" si="35"/>
        <v/>
      </c>
      <c r="J95" s="12" t="str">
        <f>+IF(AND(fieldcreatorv2!C98&lt;&gt;"",C95="y"),fieldcreatorv2!E98,"")</f>
        <v/>
      </c>
      <c r="K95" s="12" t="str">
        <f t="shared" si="29"/>
        <v/>
      </c>
      <c r="L95" s="12" t="str">
        <f t="shared" si="30"/>
        <v/>
      </c>
      <c r="M95" s="12" t="str">
        <f t="shared" si="37"/>
        <v/>
      </c>
      <c r="N95" s="12" t="str">
        <f t="shared" si="38"/>
        <v/>
      </c>
      <c r="O95" s="55" t="str">
        <f t="shared" si="39"/>
        <v/>
      </c>
      <c r="P95" s="230" t="str">
        <f t="shared" si="40"/>
        <v/>
      </c>
      <c r="Q95" s="12" t="str">
        <f>+IF(AND(fieldcreatorv2!I98="si",OR(fieldcreatorv2!E98="bigtext",fieldcreatorv2!E98="texto"),OR(fieldcreatorv2!E97="radio",fieldcreatorv2!E97="selectlist")),1,"")</f>
        <v/>
      </c>
      <c r="R95" s="12">
        <f>+IF(AND(Q96=1,OR(fieldcreatorv2!E98="radio",fieldcreatorv2!E98="selectlist")),1,IF(Q95=1,1,IF(AND(R96=1,OR(fieldcreatorv2!E98="radio",fieldcreatorv2!E98="selectlist")),1,0)))</f>
        <v>0</v>
      </c>
      <c r="S95" s="12" t="str">
        <f t="shared" si="44"/>
        <v/>
      </c>
      <c r="T95" s="12" t="str">
        <f>+IF(AND(R95=1,R96=Q96),fieldcreatorv2!C98,IF(AND(R95=1,R96=1),T96,""))</f>
        <v/>
      </c>
      <c r="U95" s="12" t="str">
        <f t="shared" si="42"/>
        <v/>
      </c>
      <c r="V95" s="12" t="str">
        <f t="shared" si="43"/>
        <v/>
      </c>
    </row>
    <row r="96" spans="1:22" customFormat="1">
      <c r="A96">
        <v>85</v>
      </c>
      <c r="B96" t="str">
        <f>IF(fieldcreatorv2!BX99="","",fieldcreatorv2!BX99)</f>
        <v/>
      </c>
      <c r="C96" s="218"/>
      <c r="D96" s="12"/>
      <c r="E96" s="12"/>
      <c r="F96" s="116" t="str">
        <f t="shared" si="41"/>
        <v/>
      </c>
      <c r="G96" s="265" t="str">
        <f t="shared" si="34"/>
        <v>echo "&lt;td class=".$rowclass."&gt;".$row['']."&lt;/td&gt;";</v>
      </c>
      <c r="H96" s="12" t="str">
        <f t="shared" si="36"/>
        <v/>
      </c>
      <c r="I96" s="145" t="str">
        <f t="shared" si="35"/>
        <v/>
      </c>
      <c r="J96" s="12" t="str">
        <f>+IF(AND(fieldcreatorv2!C99&lt;&gt;"",C96="y"),fieldcreatorv2!E99,"")</f>
        <v/>
      </c>
      <c r="K96" s="12" t="str">
        <f t="shared" si="29"/>
        <v/>
      </c>
      <c r="L96" s="12" t="str">
        <f t="shared" si="30"/>
        <v/>
      </c>
      <c r="M96" s="12" t="str">
        <f t="shared" si="37"/>
        <v/>
      </c>
      <c r="N96" s="12" t="str">
        <f t="shared" si="38"/>
        <v/>
      </c>
      <c r="O96" s="55" t="str">
        <f t="shared" si="39"/>
        <v/>
      </c>
      <c r="P96" s="230" t="str">
        <f t="shared" si="40"/>
        <v/>
      </c>
      <c r="Q96" s="12" t="str">
        <f>+IF(AND(fieldcreatorv2!I99="si",OR(fieldcreatorv2!E99="bigtext",fieldcreatorv2!E99="texto"),OR(fieldcreatorv2!E98="radio",fieldcreatorv2!E98="selectlist")),1,"")</f>
        <v/>
      </c>
      <c r="R96" s="12">
        <f>+IF(AND(Q97=1,OR(fieldcreatorv2!E99="radio",fieldcreatorv2!E99="selectlist")),1,IF(Q96=1,1,IF(AND(R97=1,OR(fieldcreatorv2!E99="radio",fieldcreatorv2!E99="selectlist")),1,0)))</f>
        <v>0</v>
      </c>
      <c r="S96" s="12" t="str">
        <f t="shared" si="44"/>
        <v/>
      </c>
      <c r="T96" s="12" t="str">
        <f>+IF(AND(R96=1,R97=Q97),fieldcreatorv2!C99,IF(AND(R96=1,R97=1),T97,""))</f>
        <v/>
      </c>
      <c r="U96" s="12" t="str">
        <f t="shared" si="42"/>
        <v/>
      </c>
      <c r="V96" s="12" t="str">
        <f t="shared" si="43"/>
        <v/>
      </c>
    </row>
    <row r="97" spans="1:23" customFormat="1">
      <c r="A97">
        <v>86</v>
      </c>
      <c r="B97" t="str">
        <f>IF(fieldcreatorv2!BX100="","",fieldcreatorv2!BX100)</f>
        <v/>
      </c>
      <c r="C97" s="218"/>
      <c r="D97" s="12"/>
      <c r="E97" s="12"/>
      <c r="F97" s="116" t="str">
        <f t="shared" si="41"/>
        <v/>
      </c>
      <c r="G97" s="265" t="str">
        <f t="shared" si="34"/>
        <v>echo "&lt;td class=".$rowclass."&gt;".$row['']."&lt;/td&gt;";</v>
      </c>
      <c r="H97" s="12" t="str">
        <f t="shared" si="36"/>
        <v/>
      </c>
      <c r="I97" s="145" t="str">
        <f t="shared" si="35"/>
        <v/>
      </c>
      <c r="J97" s="12" t="str">
        <f>+IF(AND(fieldcreatorv2!C100&lt;&gt;"",C97="y"),fieldcreatorv2!E100,"")</f>
        <v/>
      </c>
      <c r="K97" s="12" t="str">
        <f t="shared" si="29"/>
        <v/>
      </c>
      <c r="L97" s="12" t="str">
        <f t="shared" si="30"/>
        <v/>
      </c>
      <c r="M97" s="12" t="str">
        <f t="shared" si="37"/>
        <v/>
      </c>
      <c r="N97" s="12" t="str">
        <f t="shared" si="38"/>
        <v/>
      </c>
      <c r="O97" s="55" t="str">
        <f t="shared" si="39"/>
        <v/>
      </c>
      <c r="P97" s="230" t="str">
        <f t="shared" si="40"/>
        <v/>
      </c>
      <c r="Q97" s="12" t="str">
        <f>+IF(AND(fieldcreatorv2!I100="si",OR(fieldcreatorv2!E100="bigtext",fieldcreatorv2!E100="texto"),OR(fieldcreatorv2!E99="radio",fieldcreatorv2!E99="selectlist")),1,"")</f>
        <v/>
      </c>
      <c r="R97" s="12">
        <f>+IF(AND(Q98=1,OR(fieldcreatorv2!E100="radio",fieldcreatorv2!E100="selectlist")),1,IF(Q97=1,1,IF(AND(R98=1,OR(fieldcreatorv2!E100="radio",fieldcreatorv2!E100="selectlist")),1,0)))</f>
        <v>0</v>
      </c>
      <c r="S97" s="12" t="str">
        <f t="shared" si="44"/>
        <v/>
      </c>
      <c r="T97" s="12" t="str">
        <f>+IF(AND(R97=1,R98=Q98),fieldcreatorv2!C100,IF(AND(R97=1,R98=1),T98,""))</f>
        <v/>
      </c>
      <c r="U97" s="12" t="str">
        <f t="shared" si="42"/>
        <v/>
      </c>
      <c r="V97" s="12" t="str">
        <f t="shared" si="43"/>
        <v/>
      </c>
    </row>
    <row r="98" spans="1:23" customFormat="1">
      <c r="A98">
        <v>87</v>
      </c>
      <c r="B98" t="str">
        <f>IF(fieldcreatorv2!BX101="","",fieldcreatorv2!BX101)</f>
        <v/>
      </c>
      <c r="C98" s="218"/>
      <c r="D98" s="12"/>
      <c r="E98" s="12"/>
      <c r="F98" s="116" t="str">
        <f t="shared" si="41"/>
        <v/>
      </c>
      <c r="G98" s="265" t="str">
        <f t="shared" si="34"/>
        <v>echo "&lt;td class=".$rowclass."&gt;".$row['']."&lt;/td&gt;";</v>
      </c>
      <c r="H98" s="12" t="str">
        <f t="shared" si="36"/>
        <v/>
      </c>
      <c r="I98" s="145" t="str">
        <f t="shared" si="35"/>
        <v/>
      </c>
      <c r="J98" s="12" t="str">
        <f>+IF(AND(fieldcreatorv2!C101&lt;&gt;"",C98="y"),fieldcreatorv2!E101,"")</f>
        <v/>
      </c>
      <c r="K98" s="12" t="str">
        <f t="shared" si="29"/>
        <v/>
      </c>
      <c r="L98" s="12" t="str">
        <f t="shared" si="30"/>
        <v/>
      </c>
      <c r="M98" s="12" t="str">
        <f t="shared" si="37"/>
        <v/>
      </c>
      <c r="N98" s="12" t="str">
        <f t="shared" si="38"/>
        <v/>
      </c>
      <c r="O98" s="55" t="str">
        <f t="shared" si="39"/>
        <v/>
      </c>
      <c r="P98" s="230" t="str">
        <f t="shared" si="40"/>
        <v/>
      </c>
      <c r="Q98" s="12" t="str">
        <f>+IF(AND(fieldcreatorv2!I101="si",OR(fieldcreatorv2!E101="bigtext",fieldcreatorv2!E101="texto"),OR(fieldcreatorv2!E100="radio",fieldcreatorv2!E100="selectlist")),1,"")</f>
        <v/>
      </c>
      <c r="R98" s="12">
        <f>+IF(AND(Q99=1,OR(fieldcreatorv2!E101="radio",fieldcreatorv2!E101="selectlist")),1,IF(Q98=1,1,IF(AND(R99=1,OR(fieldcreatorv2!E101="radio",fieldcreatorv2!E101="selectlist")),1,0)))</f>
        <v>0</v>
      </c>
      <c r="S98" s="12" t="str">
        <f t="shared" si="44"/>
        <v/>
      </c>
      <c r="T98" s="12" t="str">
        <f>+IF(AND(R98=1,R99=Q99),fieldcreatorv2!C101,IF(AND(R98=1,R99=1),T99,""))</f>
        <v/>
      </c>
      <c r="U98" s="12" t="str">
        <f t="shared" si="42"/>
        <v/>
      </c>
      <c r="V98" s="12" t="str">
        <f t="shared" si="43"/>
        <v/>
      </c>
    </row>
    <row r="99" spans="1:23" customFormat="1">
      <c r="A99">
        <v>88</v>
      </c>
      <c r="B99" t="str">
        <f>IF(fieldcreatorv2!BX102="","",fieldcreatorv2!BX102)</f>
        <v/>
      </c>
      <c r="C99" s="218"/>
      <c r="D99" s="12"/>
      <c r="E99" s="12"/>
      <c r="F99" s="116" t="str">
        <f t="shared" si="41"/>
        <v/>
      </c>
      <c r="G99" s="265" t="str">
        <f t="shared" si="34"/>
        <v>echo "&lt;td class=".$rowclass."&gt;".$row['']."&lt;/td&gt;";</v>
      </c>
      <c r="H99" s="12" t="str">
        <f t="shared" si="36"/>
        <v/>
      </c>
      <c r="I99" s="145" t="str">
        <f t="shared" si="35"/>
        <v/>
      </c>
      <c r="J99" s="12" t="str">
        <f>+IF(AND(fieldcreatorv2!C102&lt;&gt;"",C99="y"),fieldcreatorv2!E102,"")</f>
        <v/>
      </c>
      <c r="K99" s="12" t="str">
        <f t="shared" si="29"/>
        <v/>
      </c>
      <c r="L99" s="12" t="str">
        <f t="shared" si="30"/>
        <v/>
      </c>
      <c r="M99" s="12" t="str">
        <f t="shared" si="37"/>
        <v/>
      </c>
      <c r="N99" s="12" t="str">
        <f t="shared" si="38"/>
        <v/>
      </c>
      <c r="O99" s="55" t="str">
        <f t="shared" si="39"/>
        <v/>
      </c>
      <c r="P99" s="230" t="str">
        <f t="shared" si="40"/>
        <v/>
      </c>
      <c r="Q99" s="12" t="str">
        <f>+IF(AND(fieldcreatorv2!I102="si",OR(fieldcreatorv2!E102="bigtext",fieldcreatorv2!E102="texto"),OR(fieldcreatorv2!E101="radio",fieldcreatorv2!E101="selectlist")),1,"")</f>
        <v/>
      </c>
      <c r="R99" s="12">
        <f>+IF(AND(Q100=1,OR(fieldcreatorv2!E102="radio",fieldcreatorv2!E102="selectlist")),1,IF(Q99=1,1,IF(AND(R100=1,OR(fieldcreatorv2!E102="radio",fieldcreatorv2!E102="selectlist")),1,0)))</f>
        <v>0</v>
      </c>
      <c r="S99" s="12" t="str">
        <f t="shared" si="44"/>
        <v/>
      </c>
      <c r="T99" s="12" t="str">
        <f>+IF(AND(R99=1,R100=Q100),fieldcreatorv2!C102,IF(AND(R99=1,R100=1),T100,""))</f>
        <v/>
      </c>
      <c r="U99" s="12" t="str">
        <f t="shared" si="42"/>
        <v/>
      </c>
      <c r="V99" s="12" t="str">
        <f t="shared" si="43"/>
        <v/>
      </c>
    </row>
    <row r="100" spans="1:23" customFormat="1">
      <c r="A100">
        <v>89</v>
      </c>
      <c r="B100" t="str">
        <f>IF(fieldcreatorv2!BX103="","",fieldcreatorv2!BX103)</f>
        <v/>
      </c>
      <c r="C100" s="218"/>
      <c r="D100" s="12"/>
      <c r="E100" s="12"/>
      <c r="F100" s="116" t="str">
        <f t="shared" si="41"/>
        <v/>
      </c>
      <c r="G100" s="265" t="str">
        <f t="shared" si="34"/>
        <v>echo "&lt;td class=".$rowclass."&gt;".$row['']."&lt;/td&gt;";</v>
      </c>
      <c r="H100" s="12" t="str">
        <f t="shared" si="36"/>
        <v/>
      </c>
      <c r="I100" s="145" t="str">
        <f t="shared" si="35"/>
        <v/>
      </c>
      <c r="J100" s="12" t="str">
        <f>+IF(AND(fieldcreatorv2!C103&lt;&gt;"",C100="y"),fieldcreatorv2!E103,"")</f>
        <v/>
      </c>
      <c r="K100" s="12" t="str">
        <f t="shared" si="29"/>
        <v/>
      </c>
      <c r="L100" s="12" t="str">
        <f t="shared" si="30"/>
        <v/>
      </c>
      <c r="M100" s="12" t="str">
        <f t="shared" si="37"/>
        <v/>
      </c>
      <c r="N100" s="12" t="str">
        <f t="shared" si="38"/>
        <v/>
      </c>
      <c r="O100" s="55" t="str">
        <f t="shared" si="39"/>
        <v/>
      </c>
      <c r="P100" s="230" t="str">
        <f t="shared" si="40"/>
        <v/>
      </c>
      <c r="Q100" s="12" t="str">
        <f>+IF(AND(fieldcreatorv2!I103="si",OR(fieldcreatorv2!E103="bigtext",fieldcreatorv2!E103="texto"),OR(fieldcreatorv2!E102="radio",fieldcreatorv2!E102="selectlist")),1,"")</f>
        <v/>
      </c>
      <c r="R100" s="12">
        <f>+IF(AND(Q101=1,OR(fieldcreatorv2!E103="radio",fieldcreatorv2!E103="selectlist")),1,IF(Q100=1,1,IF(AND(R101=1,OR(fieldcreatorv2!E103="radio",fieldcreatorv2!E103="selectlist")),1,0)))</f>
        <v>0</v>
      </c>
      <c r="S100" s="12" t="str">
        <f t="shared" si="44"/>
        <v/>
      </c>
      <c r="T100" s="12" t="str">
        <f>+IF(AND(R100=1,R101=Q101),fieldcreatorv2!C103,IF(AND(R100=1,R101=1),T101,""))</f>
        <v/>
      </c>
      <c r="U100" s="12" t="str">
        <f t="shared" si="42"/>
        <v/>
      </c>
      <c r="V100" s="12" t="str">
        <f t="shared" si="43"/>
        <v/>
      </c>
    </row>
    <row r="101" spans="1:23" customFormat="1">
      <c r="A101">
        <v>90</v>
      </c>
      <c r="B101" t="str">
        <f>IF(fieldcreatorv2!BX104="","",fieldcreatorv2!BX104)</f>
        <v/>
      </c>
      <c r="C101" s="218"/>
      <c r="D101" s="12"/>
      <c r="E101" s="12"/>
      <c r="F101" s="116" t="str">
        <f t="shared" si="41"/>
        <v/>
      </c>
      <c r="G101" s="265" t="str">
        <f t="shared" si="34"/>
        <v>echo "&lt;td class=".$rowclass."&gt;".$row['']."&lt;/td&gt;";</v>
      </c>
      <c r="H101" s="12" t="str">
        <f t="shared" si="36"/>
        <v/>
      </c>
      <c r="I101" s="145" t="str">
        <f t="shared" si="35"/>
        <v/>
      </c>
      <c r="J101" s="12" t="str">
        <f>+IF(AND(fieldcreatorv2!C104&lt;&gt;"",C101="y"),fieldcreatorv2!E104,"")</f>
        <v/>
      </c>
      <c r="K101" s="12" t="str">
        <f t="shared" si="29"/>
        <v/>
      </c>
      <c r="L101" s="12" t="str">
        <f t="shared" si="30"/>
        <v/>
      </c>
      <c r="M101" s="12" t="str">
        <f t="shared" si="37"/>
        <v/>
      </c>
      <c r="N101" s="12" t="str">
        <f t="shared" si="38"/>
        <v/>
      </c>
      <c r="O101" s="55" t="str">
        <f t="shared" si="39"/>
        <v/>
      </c>
      <c r="P101" s="230" t="str">
        <f t="shared" si="40"/>
        <v/>
      </c>
      <c r="Q101" s="12" t="str">
        <f>+IF(AND(fieldcreatorv2!I104="si",OR(fieldcreatorv2!E104="bigtext",fieldcreatorv2!E104="texto"),OR(fieldcreatorv2!E103="radio",fieldcreatorv2!E103="selectlist")),1,"")</f>
        <v/>
      </c>
      <c r="R101" s="12">
        <f>+IF(AND(Q102=1,OR(fieldcreatorv2!E104="radio",fieldcreatorv2!E104="selectlist")),1,IF(Q101=1,1,IF(AND(R102=1,OR(fieldcreatorv2!E104="radio",fieldcreatorv2!E104="selectlist")),1,0)))</f>
        <v>0</v>
      </c>
      <c r="S101" s="12" t="str">
        <f t="shared" si="44"/>
        <v/>
      </c>
      <c r="T101" s="12" t="str">
        <f>+IF(AND(R101=1,R102=Q102),fieldcreatorv2!C104,IF(AND(R101=1,R102=1),T102,""))</f>
        <v/>
      </c>
      <c r="U101" s="12" t="str">
        <f t="shared" si="42"/>
        <v/>
      </c>
      <c r="V101" s="12" t="str">
        <f t="shared" si="43"/>
        <v/>
      </c>
    </row>
    <row r="102" spans="1:23" customFormat="1">
      <c r="A102">
        <v>91</v>
      </c>
      <c r="B102" t="str">
        <f>IF(fieldcreatorv2!BX105="","",fieldcreatorv2!BX105)</f>
        <v/>
      </c>
      <c r="C102" s="218"/>
      <c r="D102" s="12"/>
      <c r="E102" s="12"/>
      <c r="F102" s="116" t="str">
        <f t="shared" si="41"/>
        <v/>
      </c>
      <c r="G102" s="265" t="str">
        <f t="shared" si="34"/>
        <v>echo "&lt;td class=".$rowclass."&gt;".$row['']."&lt;/td&gt;";</v>
      </c>
      <c r="H102" s="12" t="str">
        <f t="shared" si="36"/>
        <v/>
      </c>
      <c r="I102" s="145" t="str">
        <f t="shared" si="35"/>
        <v/>
      </c>
      <c r="J102" s="12" t="str">
        <f>+IF(AND(fieldcreatorv2!C105&lt;&gt;"",C102="y"),fieldcreatorv2!E105,"")</f>
        <v/>
      </c>
      <c r="K102" s="12" t="str">
        <f t="shared" ref="K102:K111" si="45">+IF(AND(E102&lt;&gt;E101,E102&lt;&gt;""),"starting",IF(AND(E102&lt;&gt;"",E102&lt;&gt;E103),"ending",IF(E102&lt;&gt;"","group","")))</f>
        <v/>
      </c>
      <c r="L102" s="12" t="str">
        <f t="shared" ref="L102:L111" si="46">IF(E102&lt;&gt;"",$B$7&amp;B102&amp;$C$1&amp;B102&amp;$C$2,"")</f>
        <v/>
      </c>
      <c r="M102" s="12" t="str">
        <f t="shared" si="37"/>
        <v/>
      </c>
      <c r="N102" s="12" t="str">
        <f t="shared" si="38"/>
        <v/>
      </c>
      <c r="O102" s="55" t="str">
        <f t="shared" si="39"/>
        <v/>
      </c>
      <c r="P102" s="230" t="str">
        <f t="shared" si="40"/>
        <v/>
      </c>
      <c r="Q102" s="12" t="str">
        <f>+IF(AND(fieldcreatorv2!I105="si",OR(fieldcreatorv2!E105="bigtext",fieldcreatorv2!E105="texto"),OR(fieldcreatorv2!E104="radio",fieldcreatorv2!E104="selectlist")),1,"")</f>
        <v/>
      </c>
      <c r="R102" s="12">
        <f>+IF(AND(Q103=1,OR(fieldcreatorv2!E105="radio",fieldcreatorv2!E105="selectlist")),1,IF(Q102=1,1,IF(AND(R103=1,OR(fieldcreatorv2!E105="radio",fieldcreatorv2!E105="selectlist")),1,0)))</f>
        <v>0</v>
      </c>
      <c r="S102" s="12" t="str">
        <f t="shared" si="44"/>
        <v/>
      </c>
      <c r="T102" s="12" t="str">
        <f>+IF(AND(R102=1,R103=Q103),fieldcreatorv2!C105,IF(AND(R102=1,R103=1),T103,""))</f>
        <v/>
      </c>
      <c r="U102" s="12" t="str">
        <f t="shared" si="42"/>
        <v/>
      </c>
      <c r="V102" s="12" t="str">
        <f t="shared" si="43"/>
        <v/>
      </c>
    </row>
    <row r="103" spans="1:23" customFormat="1">
      <c r="A103">
        <v>92</v>
      </c>
      <c r="B103" t="str">
        <f>IF(fieldcreatorv2!BX106="","",fieldcreatorv2!BX106)</f>
        <v/>
      </c>
      <c r="C103" s="218"/>
      <c r="D103" s="12"/>
      <c r="E103" s="12"/>
      <c r="F103" s="116" t="str">
        <f t="shared" si="41"/>
        <v/>
      </c>
      <c r="G103" s="265" t="str">
        <f t="shared" si="34"/>
        <v>echo "&lt;td class=".$rowclass."&gt;".$row['']."&lt;/td&gt;";</v>
      </c>
      <c r="H103" s="12" t="str">
        <f t="shared" si="36"/>
        <v/>
      </c>
      <c r="I103" s="145" t="str">
        <f t="shared" si="35"/>
        <v/>
      </c>
      <c r="J103" s="12" t="str">
        <f>+IF(AND(fieldcreatorv2!C106&lt;&gt;"",C103="y"),fieldcreatorv2!E106,"")</f>
        <v/>
      </c>
      <c r="K103" s="12" t="str">
        <f t="shared" si="45"/>
        <v/>
      </c>
      <c r="L103" s="12" t="str">
        <f t="shared" si="46"/>
        <v/>
      </c>
      <c r="M103" s="12" t="str">
        <f t="shared" si="37"/>
        <v/>
      </c>
      <c r="N103" s="12" t="str">
        <f t="shared" si="38"/>
        <v/>
      </c>
      <c r="O103" s="55" t="str">
        <f t="shared" si="39"/>
        <v/>
      </c>
      <c r="P103" s="230" t="str">
        <f t="shared" si="40"/>
        <v/>
      </c>
      <c r="Q103" s="12" t="str">
        <f>+IF(AND(fieldcreatorv2!I106="si",OR(fieldcreatorv2!E106="bigtext",fieldcreatorv2!E106="texto"),OR(fieldcreatorv2!E105="radio",fieldcreatorv2!E105="selectlist")),1,"")</f>
        <v/>
      </c>
      <c r="R103" s="12">
        <f>+IF(AND(Q104=1,OR(fieldcreatorv2!E106="radio",fieldcreatorv2!E106="selectlist")),1,IF(Q103=1,1,IF(AND(R104=1,OR(fieldcreatorv2!E106="radio",fieldcreatorv2!E106="selectlist")),1,0)))</f>
        <v>0</v>
      </c>
      <c r="S103" s="12" t="str">
        <f t="shared" si="44"/>
        <v/>
      </c>
      <c r="T103" s="12" t="str">
        <f>+IF(AND(R103=1,R104=Q104),fieldcreatorv2!C106,IF(AND(R103=1,R104=1),T104,""))</f>
        <v/>
      </c>
      <c r="U103" s="12" t="str">
        <f t="shared" si="42"/>
        <v/>
      </c>
      <c r="V103" s="12" t="str">
        <f t="shared" si="43"/>
        <v/>
      </c>
    </row>
    <row r="104" spans="1:23" customFormat="1">
      <c r="A104">
        <v>93</v>
      </c>
      <c r="B104" t="str">
        <f>IF(fieldcreatorv2!BX107="","",fieldcreatorv2!BX107)</f>
        <v/>
      </c>
      <c r="C104" s="218"/>
      <c r="D104" s="12"/>
      <c r="E104" s="12"/>
      <c r="F104" s="116" t="str">
        <f t="shared" si="41"/>
        <v/>
      </c>
      <c r="G104" s="265" t="str">
        <f t="shared" si="34"/>
        <v>echo "&lt;td class=".$rowclass."&gt;".$row['']."&lt;/td&gt;";</v>
      </c>
      <c r="H104" s="12" t="str">
        <f t="shared" si="36"/>
        <v/>
      </c>
      <c r="I104" s="145" t="str">
        <f t="shared" si="35"/>
        <v/>
      </c>
      <c r="J104" s="12" t="str">
        <f>+IF(AND(fieldcreatorv2!C107&lt;&gt;"",C104="y"),fieldcreatorv2!E107,"")</f>
        <v/>
      </c>
      <c r="K104" s="12" t="str">
        <f t="shared" si="45"/>
        <v/>
      </c>
      <c r="L104" s="12" t="str">
        <f t="shared" si="46"/>
        <v/>
      </c>
      <c r="M104" s="12" t="str">
        <f t="shared" si="37"/>
        <v/>
      </c>
      <c r="N104" s="12" t="str">
        <f t="shared" si="38"/>
        <v/>
      </c>
      <c r="O104" s="55" t="str">
        <f t="shared" si="39"/>
        <v/>
      </c>
      <c r="P104" s="230" t="str">
        <f t="shared" si="40"/>
        <v/>
      </c>
      <c r="Q104" s="12" t="str">
        <f>+IF(AND(fieldcreatorv2!I107="si",OR(fieldcreatorv2!E107="bigtext",fieldcreatorv2!E107="texto"),OR(fieldcreatorv2!E106="radio",fieldcreatorv2!E106="selectlist")),1,"")</f>
        <v/>
      </c>
      <c r="R104" s="12">
        <f>+IF(AND(Q105=1,OR(fieldcreatorv2!E107="radio",fieldcreatorv2!E107="selectlist")),1,IF(Q104=1,1,IF(AND(R105=1,OR(fieldcreatorv2!E107="radio",fieldcreatorv2!E107="selectlist")),1,0)))</f>
        <v>0</v>
      </c>
      <c r="S104" s="12" t="str">
        <f t="shared" si="44"/>
        <v/>
      </c>
      <c r="T104" s="12" t="str">
        <f>+IF(AND(R104=1,R105=Q105),fieldcreatorv2!C107,IF(AND(R104=1,R105=1),T105,""))</f>
        <v/>
      </c>
      <c r="U104" s="12" t="str">
        <f t="shared" si="42"/>
        <v/>
      </c>
      <c r="V104" s="12" t="str">
        <f t="shared" si="43"/>
        <v/>
      </c>
    </row>
    <row r="105" spans="1:23" customFormat="1">
      <c r="A105">
        <v>94</v>
      </c>
      <c r="B105" t="str">
        <f>IF(fieldcreatorv2!BX108="","",fieldcreatorv2!BX108)</f>
        <v/>
      </c>
      <c r="C105" s="218"/>
      <c r="D105" s="12"/>
      <c r="E105" s="12"/>
      <c r="F105" s="116" t="str">
        <f t="shared" si="41"/>
        <v/>
      </c>
      <c r="G105" s="265" t="str">
        <f t="shared" si="34"/>
        <v>echo "&lt;td class=".$rowclass."&gt;".$row['']."&lt;/td&gt;";</v>
      </c>
      <c r="H105" s="12" t="str">
        <f t="shared" si="36"/>
        <v/>
      </c>
      <c r="I105" s="145" t="str">
        <f t="shared" si="35"/>
        <v/>
      </c>
      <c r="J105" s="12" t="str">
        <f>+IF(AND(fieldcreatorv2!C108&lt;&gt;"",C105="y"),fieldcreatorv2!E108,"")</f>
        <v/>
      </c>
      <c r="K105" s="12" t="str">
        <f t="shared" si="45"/>
        <v/>
      </c>
      <c r="L105" s="12" t="str">
        <f t="shared" si="46"/>
        <v/>
      </c>
      <c r="M105" s="12" t="str">
        <f t="shared" si="37"/>
        <v/>
      </c>
      <c r="N105" s="12" t="str">
        <f t="shared" si="38"/>
        <v/>
      </c>
      <c r="O105" s="55" t="str">
        <f t="shared" si="39"/>
        <v/>
      </c>
      <c r="P105" s="230" t="str">
        <f t="shared" si="40"/>
        <v/>
      </c>
      <c r="Q105" s="12" t="str">
        <f>+IF(AND(fieldcreatorv2!I108="si",OR(fieldcreatorv2!E108="bigtext",fieldcreatorv2!E108="texto"),OR(fieldcreatorv2!E107="radio",fieldcreatorv2!E107="selectlist")),1,"")</f>
        <v/>
      </c>
      <c r="R105" s="12">
        <f>+IF(AND(Q106=1,OR(fieldcreatorv2!E108="radio",fieldcreatorv2!E108="selectlist")),1,IF(Q105=1,1,IF(AND(R106=1,OR(fieldcreatorv2!E108="radio",fieldcreatorv2!E108="selectlist")),1,0)))</f>
        <v>0</v>
      </c>
      <c r="S105" s="12" t="str">
        <f t="shared" si="44"/>
        <v/>
      </c>
      <c r="T105" s="12" t="str">
        <f>+IF(AND(R105=1,R106=Q106),fieldcreatorv2!C108,IF(AND(R105=1,R106=1),T106,""))</f>
        <v/>
      </c>
      <c r="U105" s="12" t="str">
        <f t="shared" si="42"/>
        <v/>
      </c>
      <c r="V105" s="12" t="str">
        <f t="shared" si="43"/>
        <v/>
      </c>
    </row>
    <row r="106" spans="1:23" customFormat="1">
      <c r="A106">
        <v>95</v>
      </c>
      <c r="B106" t="str">
        <f>IF(fieldcreatorv2!BX109="","",fieldcreatorv2!BX109)</f>
        <v/>
      </c>
      <c r="C106" s="218"/>
      <c r="D106" s="12"/>
      <c r="E106" s="12"/>
      <c r="F106" s="116" t="str">
        <f t="shared" si="41"/>
        <v/>
      </c>
      <c r="G106" s="265" t="str">
        <f t="shared" si="34"/>
        <v>echo "&lt;td class=".$rowclass."&gt;".$row['']."&lt;/td&gt;";</v>
      </c>
      <c r="H106" s="12" t="str">
        <f t="shared" si="36"/>
        <v/>
      </c>
      <c r="I106" s="145" t="str">
        <f t="shared" si="35"/>
        <v/>
      </c>
      <c r="J106" s="12" t="str">
        <f>+IF(AND(fieldcreatorv2!C109&lt;&gt;"",C106="y"),fieldcreatorv2!E109,"")</f>
        <v/>
      </c>
      <c r="K106" s="12" t="str">
        <f t="shared" si="45"/>
        <v/>
      </c>
      <c r="L106" s="12" t="str">
        <f t="shared" si="46"/>
        <v/>
      </c>
      <c r="M106" s="12" t="str">
        <f t="shared" si="37"/>
        <v/>
      </c>
      <c r="N106" s="12" t="str">
        <f t="shared" si="38"/>
        <v/>
      </c>
      <c r="O106" s="55" t="str">
        <f t="shared" si="39"/>
        <v/>
      </c>
      <c r="P106" s="230" t="str">
        <f t="shared" si="40"/>
        <v/>
      </c>
      <c r="Q106" s="12" t="str">
        <f>+IF(AND(fieldcreatorv2!I109="si",OR(fieldcreatorv2!E109="bigtext",fieldcreatorv2!E109="texto"),OR(fieldcreatorv2!E108="radio",fieldcreatorv2!E108="selectlist")),1,"")</f>
        <v/>
      </c>
      <c r="R106" s="12">
        <f>+IF(AND(Q107=1,OR(fieldcreatorv2!E109="radio",fieldcreatorv2!E109="selectlist")),1,IF(Q106=1,1,IF(AND(R107=1,OR(fieldcreatorv2!E109="radio",fieldcreatorv2!E109="selectlist")),1,0)))</f>
        <v>0</v>
      </c>
      <c r="S106" s="12" t="str">
        <f t="shared" si="44"/>
        <v/>
      </c>
      <c r="T106" s="12" t="str">
        <f>+IF(AND(R106=1,R107=Q107),fieldcreatorv2!C109,IF(AND(R106=1,R107=1),T107,""))</f>
        <v/>
      </c>
      <c r="U106" s="12" t="str">
        <f t="shared" si="42"/>
        <v/>
      </c>
      <c r="V106" s="12" t="str">
        <f t="shared" si="43"/>
        <v/>
      </c>
    </row>
    <row r="107" spans="1:23" customFormat="1">
      <c r="A107">
        <v>96</v>
      </c>
      <c r="B107" t="str">
        <f>IF(fieldcreatorv2!BX110="","",fieldcreatorv2!BX110)</f>
        <v/>
      </c>
      <c r="C107" s="218"/>
      <c r="D107" s="12"/>
      <c r="E107" s="12"/>
      <c r="F107" s="116" t="str">
        <f t="shared" si="41"/>
        <v/>
      </c>
      <c r="G107" s="265" t="str">
        <f t="shared" si="34"/>
        <v>echo "&lt;td class=".$rowclass."&gt;".$row['']."&lt;/td&gt;";</v>
      </c>
      <c r="H107" s="12" t="str">
        <f t="shared" si="36"/>
        <v/>
      </c>
      <c r="I107" s="145" t="str">
        <f t="shared" si="35"/>
        <v/>
      </c>
      <c r="J107" s="12" t="str">
        <f>+IF(AND(fieldcreatorv2!C110&lt;&gt;"",C107="y"),fieldcreatorv2!E110,"")</f>
        <v/>
      </c>
      <c r="K107" s="12" t="str">
        <f t="shared" si="45"/>
        <v/>
      </c>
      <c r="L107" s="12" t="str">
        <f t="shared" si="46"/>
        <v/>
      </c>
      <c r="M107" s="12" t="str">
        <f t="shared" si="37"/>
        <v/>
      </c>
      <c r="N107" s="12" t="str">
        <f t="shared" si="38"/>
        <v/>
      </c>
      <c r="O107" s="55" t="str">
        <f t="shared" si="39"/>
        <v/>
      </c>
      <c r="P107" s="230" t="str">
        <f t="shared" si="40"/>
        <v/>
      </c>
      <c r="Q107" s="12" t="str">
        <f>+IF(AND(fieldcreatorv2!I110="si",OR(fieldcreatorv2!E110="bigtext",fieldcreatorv2!E110="texto"),OR(fieldcreatorv2!E109="radio",fieldcreatorv2!E109="selectlist")),1,"")</f>
        <v/>
      </c>
      <c r="R107" s="12">
        <f>+IF(AND(Q108=1,OR(fieldcreatorv2!E110="radio",fieldcreatorv2!E110="selectlist")),1,IF(Q107=1,1,IF(AND(R108=1,OR(fieldcreatorv2!E110="radio",fieldcreatorv2!E110="selectlist")),1,0)))</f>
        <v>0</v>
      </c>
      <c r="S107" s="12" t="str">
        <f t="shared" si="44"/>
        <v/>
      </c>
      <c r="T107" s="12" t="str">
        <f>+IF(AND(R107=1,R108=Q108),fieldcreatorv2!C110,IF(AND(R107=1,R108=1),T108,""))</f>
        <v/>
      </c>
      <c r="U107" s="12" t="str">
        <f t="shared" si="42"/>
        <v/>
      </c>
      <c r="V107" s="12" t="str">
        <f t="shared" si="43"/>
        <v/>
      </c>
    </row>
    <row r="108" spans="1:23" customFormat="1">
      <c r="A108">
        <v>97</v>
      </c>
      <c r="B108" t="str">
        <f>IF(fieldcreatorv2!BX111="","",fieldcreatorv2!BX111)</f>
        <v/>
      </c>
      <c r="C108" s="218"/>
      <c r="D108" s="12"/>
      <c r="E108" s="12"/>
      <c r="F108" s="116" t="str">
        <f t="shared" si="41"/>
        <v/>
      </c>
      <c r="G108" s="265" t="str">
        <f t="shared" si="34"/>
        <v>echo "&lt;td class=".$rowclass."&gt;".$row['']."&lt;/td&gt;";</v>
      </c>
      <c r="H108" s="12" t="str">
        <f t="shared" si="36"/>
        <v/>
      </c>
      <c r="I108" s="145" t="str">
        <f t="shared" si="35"/>
        <v/>
      </c>
      <c r="J108" s="12" t="str">
        <f>+IF(AND(fieldcreatorv2!C111&lt;&gt;"",C108="y"),fieldcreatorv2!E111,"")</f>
        <v/>
      </c>
      <c r="K108" s="12" t="str">
        <f t="shared" si="45"/>
        <v/>
      </c>
      <c r="L108" s="12" t="str">
        <f t="shared" si="46"/>
        <v/>
      </c>
      <c r="M108" s="12" t="str">
        <f t="shared" si="37"/>
        <v/>
      </c>
      <c r="N108" s="12" t="str">
        <f t="shared" si="38"/>
        <v/>
      </c>
      <c r="O108" s="55" t="str">
        <f t="shared" si="39"/>
        <v/>
      </c>
      <c r="P108" s="230" t="str">
        <f t="shared" si="40"/>
        <v/>
      </c>
      <c r="Q108" s="12" t="str">
        <f>+IF(AND(fieldcreatorv2!I111="si",OR(fieldcreatorv2!E111="bigtext",fieldcreatorv2!E111="texto"),OR(fieldcreatorv2!E110="radio",fieldcreatorv2!E110="selectlist")),1,"")</f>
        <v/>
      </c>
      <c r="R108" s="12">
        <f>+IF(AND(Q109=1,OR(fieldcreatorv2!E111="radio",fieldcreatorv2!E111="selectlist")),1,IF(Q108=1,1,IF(AND(R109=1,OR(fieldcreatorv2!E111="radio",fieldcreatorv2!E111="selectlist")),1,0)))</f>
        <v>0</v>
      </c>
      <c r="S108" s="12" t="str">
        <f t="shared" si="44"/>
        <v/>
      </c>
      <c r="T108" s="12" t="str">
        <f>+IF(AND(R108=1,R109=Q109),fieldcreatorv2!C111,IF(AND(R108=1,R109=1),T109,""))</f>
        <v/>
      </c>
      <c r="U108" s="12" t="str">
        <f t="shared" si="42"/>
        <v/>
      </c>
      <c r="V108" s="12" t="str">
        <f t="shared" si="43"/>
        <v/>
      </c>
    </row>
    <row r="109" spans="1:23" customFormat="1">
      <c r="A109">
        <v>98</v>
      </c>
      <c r="B109" t="str">
        <f>IF(fieldcreatorv2!BX112="","",fieldcreatorv2!BX112)</f>
        <v/>
      </c>
      <c r="C109" s="218"/>
      <c r="D109" s="12"/>
      <c r="E109" s="12"/>
      <c r="F109" s="116" t="str">
        <f t="shared" si="41"/>
        <v/>
      </c>
      <c r="G109" s="265" t="str">
        <f t="shared" si="34"/>
        <v>echo "&lt;td class=".$rowclass."&gt;".$row['']."&lt;/td&gt;";</v>
      </c>
      <c r="H109" s="12" t="str">
        <f t="shared" si="36"/>
        <v/>
      </c>
      <c r="I109" s="145" t="str">
        <f t="shared" si="35"/>
        <v/>
      </c>
      <c r="J109" s="12" t="str">
        <f>+IF(AND(fieldcreatorv2!C112&lt;&gt;"",C109="y"),fieldcreatorv2!E112,"")</f>
        <v/>
      </c>
      <c r="K109" s="12" t="str">
        <f t="shared" si="45"/>
        <v/>
      </c>
      <c r="L109" s="12" t="str">
        <f t="shared" si="46"/>
        <v/>
      </c>
      <c r="M109" s="12" t="str">
        <f t="shared" si="37"/>
        <v/>
      </c>
      <c r="N109" s="12" t="str">
        <f t="shared" si="38"/>
        <v/>
      </c>
      <c r="O109" s="55" t="str">
        <f t="shared" si="39"/>
        <v/>
      </c>
      <c r="P109" s="230" t="str">
        <f t="shared" si="40"/>
        <v/>
      </c>
      <c r="Q109" s="12" t="str">
        <f>+IF(AND(fieldcreatorv2!I112="si",OR(fieldcreatorv2!E112="bigtext",fieldcreatorv2!E112="texto"),OR(fieldcreatorv2!E111="radio",fieldcreatorv2!E111="selectlist")),1,"")</f>
        <v/>
      </c>
      <c r="R109" s="12">
        <f>+IF(AND(Q110=1,OR(fieldcreatorv2!E112="radio",fieldcreatorv2!E112="selectlist")),1,IF(Q109=1,1,IF(AND(R110=1,OR(fieldcreatorv2!E112="radio",fieldcreatorv2!E112="selectlist")),1,0)))</f>
        <v>0</v>
      </c>
      <c r="S109" s="12" t="str">
        <f t="shared" si="44"/>
        <v/>
      </c>
      <c r="T109" s="12" t="str">
        <f>+IF(AND(R109=1,R110=Q110),fieldcreatorv2!C112,IF(AND(R109=1,R110=1),T110,""))</f>
        <v/>
      </c>
      <c r="U109" s="12" t="str">
        <f t="shared" si="42"/>
        <v/>
      </c>
      <c r="V109" s="12" t="str">
        <f t="shared" si="43"/>
        <v/>
      </c>
    </row>
    <row r="110" spans="1:23" customFormat="1">
      <c r="A110">
        <v>99</v>
      </c>
      <c r="B110" s="217" t="str">
        <f>IF(fieldcreatorv2!BX113="","",fieldcreatorv2!BX113)</f>
        <v/>
      </c>
      <c r="C110" s="218"/>
      <c r="D110" s="12"/>
      <c r="E110" s="12"/>
      <c r="F110" s="116" t="str">
        <f t="shared" si="41"/>
        <v/>
      </c>
      <c r="G110" s="265" t="str">
        <f t="shared" si="34"/>
        <v>echo "&lt;td class=".$rowclass."&gt;".$row['']."&lt;/td&gt;";</v>
      </c>
      <c r="H110" s="12" t="str">
        <f t="shared" si="36"/>
        <v/>
      </c>
      <c r="I110" s="145" t="str">
        <f t="shared" si="35"/>
        <v/>
      </c>
      <c r="J110" s="12" t="str">
        <f>+IF(AND(fieldcreatorv2!C113&lt;&gt;"",C110="y"),fieldcreatorv2!E113,"")</f>
        <v/>
      </c>
      <c r="K110" s="12" t="str">
        <f t="shared" si="45"/>
        <v/>
      </c>
      <c r="L110" s="12" t="str">
        <f t="shared" si="46"/>
        <v/>
      </c>
      <c r="M110" s="12" t="str">
        <f t="shared" si="37"/>
        <v/>
      </c>
      <c r="N110" s="12" t="str">
        <f t="shared" si="38"/>
        <v/>
      </c>
      <c r="O110" s="55" t="str">
        <f t="shared" si="39"/>
        <v/>
      </c>
      <c r="P110" s="230" t="str">
        <f t="shared" si="40"/>
        <v/>
      </c>
      <c r="Q110" s="12" t="str">
        <f>+IF(AND(fieldcreatorv2!I113="si",OR(fieldcreatorv2!E113="bigtext",fieldcreatorv2!E113="texto"),OR(fieldcreatorv2!E112="radio",fieldcreatorv2!E112="selectlist")),1,"")</f>
        <v/>
      </c>
      <c r="R110" s="12">
        <f>+IF(AND(Q111=1,OR(fieldcreatorv2!E113="radio",fieldcreatorv2!E113="selectlist")),1,IF(Q110=1,1,IF(AND(R111=1,OR(fieldcreatorv2!E113="radio",fieldcreatorv2!E113="selectlist")),1,0)))</f>
        <v>0</v>
      </c>
      <c r="S110" s="12" t="str">
        <f t="shared" si="44"/>
        <v/>
      </c>
      <c r="T110" s="12" t="str">
        <f>+IF(AND(R110=1,R111=Q111),fieldcreatorv2!C113,IF(AND(R110=1,R111=1),T111,""))</f>
        <v/>
      </c>
      <c r="U110" s="12" t="str">
        <f t="shared" si="42"/>
        <v/>
      </c>
      <c r="V110" s="12" t="str">
        <f t="shared" si="43"/>
        <v/>
      </c>
    </row>
    <row r="111" spans="1:23">
      <c r="A111" s="12">
        <v>100</v>
      </c>
      <c r="B111" s="217" t="str">
        <f>IF(fieldcreatorv2!BX114="","",fieldcreatorv2!BX114)</f>
        <v/>
      </c>
      <c r="C111" s="218"/>
      <c r="D111" s="219"/>
      <c r="E111" s="219"/>
      <c r="F111" s="116" t="str">
        <f>IF(W111&lt;&gt;"",W111,IF(Q111=1,"",IF(AND(B111&lt;&gt;"",C111="y",V111&lt;&gt;""),V111,IF(AND(E111&lt;&gt;"",C111="y"),O111,IF(J111="check",P111,IF(AND(C111="y",B111&lt;&gt;""),G111,""))))))</f>
        <v/>
      </c>
      <c r="G111" s="265" t="str">
        <f t="shared" si="34"/>
        <v>echo "&lt;td class=".$rowclass."&gt;".$row['']."&lt;/td&gt;";</v>
      </c>
      <c r="H111" s="12" t="str">
        <f t="shared" si="36"/>
        <v/>
      </c>
      <c r="I111" s="145" t="str">
        <f>IF(Q111=1,"",IF(AND(E111&lt;&gt;"",E111=E110),"",IF(H111="","",$A$4&amp;H111&amp;$A$5)))</f>
        <v/>
      </c>
      <c r="J111" s="12" t="str">
        <f>+IF(AND(fieldcreatorv2!C114&lt;&gt;"",C111="y"),fieldcreatorv2!E114,"")</f>
        <v/>
      </c>
      <c r="K111" s="12" t="str">
        <f t="shared" si="45"/>
        <v/>
      </c>
      <c r="L111" s="12" t="str">
        <f t="shared" si="46"/>
        <v/>
      </c>
      <c r="M111" s="12" t="str">
        <f t="shared" si="37"/>
        <v/>
      </c>
      <c r="N111" s="12" t="str">
        <f t="shared" si="38"/>
        <v/>
      </c>
      <c r="O111" s="55" t="str">
        <f t="shared" si="39"/>
        <v/>
      </c>
      <c r="P111" s="230" t="str">
        <f t="shared" ref="P111" si="47">+IF(AND(B111&lt;&gt;"",C111="y",J111="check"),$B$7&amp;B111&amp;$C$5,"")</f>
        <v/>
      </c>
      <c r="Q111" s="12" t="str">
        <f>+IF(AND(fieldcreatorv2!I114="si",OR(fieldcreatorv2!E114="bigtext",fieldcreatorv2!E114="texto"),OR(fieldcreatorv2!E113="radio",fieldcreatorv2!E113="selectlist")),1,"")</f>
        <v/>
      </c>
      <c r="R111" s="12">
        <f>+IF(AND(Q112=1,OR(fieldcreatorv2!E114="radio",fieldcreatorv2!E114="selectlist")),1,IF(Q111=1,1,IF(AND(R112=1,OR(fieldcreatorv2!E114="radio",fieldcreatorv2!E114="selectlist")),1,0)))</f>
        <v>0</v>
      </c>
      <c r="S111" s="12" t="str">
        <f t="shared" si="44"/>
        <v/>
      </c>
      <c r="T111" s="12" t="str">
        <f>+IF(AND(R111=1,R112=Q112),fieldcreatorv2!C114,IF(AND(R111=1,R112=1),T112,""))</f>
        <v/>
      </c>
      <c r="U111" s="12" t="str">
        <f t="shared" si="42"/>
        <v/>
      </c>
      <c r="V111" s="12" t="str">
        <f t="shared" si="43"/>
        <v/>
      </c>
      <c r="W111" s="12" t="str">
        <f>IF(J111="date",$C$6&amp;$C$7&amp;B111&amp;$D$6&amp;B111&amp;$D$7&amp;B111&amp;$D$4,"")</f>
        <v/>
      </c>
    </row>
    <row r="112" spans="1:23" ht="18" customHeight="1"/>
    <row r="115" spans="2:2">
      <c r="B115" s="13" t="s">
        <v>939</v>
      </c>
    </row>
    <row r="116" spans="2:2">
      <c r="B116" s="116" t="str">
        <f>"&lt;?php // table_"&amp;fieldcreatorv2!N15</f>
        <v>&lt;?php // table_Jesus1.php</v>
      </c>
    </row>
    <row r="117" spans="2:2">
      <c r="B117" s="116" t="s">
        <v>486</v>
      </c>
    </row>
    <row r="118" spans="2:2">
      <c r="B118" s="116" t="str">
        <f ca="1">+"$"&amp;fieldcreatorv2!C15&amp;"="&amp;fieldcreatorv2!J15&amp;";"</f>
        <v>$user=$_SESSION["standard141509_Virgin_Mary_user"];</v>
      </c>
    </row>
    <row r="119" spans="2:2">
      <c r="B119" s="116" t="str">
        <f>IF(fieldcreatorv2!L29="si","$"&amp;fieldcreatorv2!C16&amp;"="&amp;fieldcreatorv2!J16&amp;";","")</f>
        <v>$tipo_doc_id=$_SESSION['a01healmy5_pray_tipo_doc_id'];</v>
      </c>
    </row>
    <row r="120" spans="2:2">
      <c r="B120" s="116" t="str">
        <f>IF(fieldcreatorv2!L29="si","$"&amp;fieldcreatorv2!C17&amp;"="&amp;fieldcreatorv2!J17&amp;";","")</f>
        <v>$numd=$_SESSION['a01healmy5_pray_numd'];</v>
      </c>
    </row>
    <row r="121" spans="2:2">
      <c r="B121" s="116" t="s">
        <v>107</v>
      </c>
    </row>
    <row r="122" spans="2:2">
      <c r="B122" s="165" t="s">
        <v>933</v>
      </c>
    </row>
    <row r="123" spans="2:2">
      <c r="B123" s="165" t="s">
        <v>947</v>
      </c>
    </row>
    <row r="124" spans="2:2" hidden="1">
      <c r="B124" s="145" t="str">
        <f t="shared" ref="B124:B187" si="48">+I12</f>
        <v/>
      </c>
    </row>
    <row r="125" spans="2:2" hidden="1">
      <c r="B125" s="145" t="str">
        <f t="shared" si="48"/>
        <v/>
      </c>
    </row>
    <row r="126" spans="2:2" hidden="1">
      <c r="B126" s="145" t="str">
        <f t="shared" si="48"/>
        <v/>
      </c>
    </row>
    <row r="127" spans="2:2" hidden="1">
      <c r="B127" s="145" t="str">
        <f t="shared" si="48"/>
        <v/>
      </c>
    </row>
    <row r="128" spans="2:2">
      <c r="B128" s="145" t="str">
        <f t="shared" si="48"/>
        <v/>
      </c>
    </row>
    <row r="129" spans="2:6" hidden="1">
      <c r="B129" s="145" t="str">
        <f t="shared" si="48"/>
        <v/>
      </c>
    </row>
    <row r="130" spans="2:6" hidden="1">
      <c r="B130" s="145" t="str">
        <f t="shared" si="48"/>
        <v/>
      </c>
    </row>
    <row r="131" spans="2:6" hidden="1">
      <c r="B131" s="145" t="str">
        <f t="shared" si="48"/>
        <v/>
      </c>
    </row>
    <row r="132" spans="2:6" hidden="1">
      <c r="B132" s="145" t="str">
        <f t="shared" si="48"/>
        <v/>
      </c>
      <c r="F132" s="215"/>
    </row>
    <row r="133" spans="2:6" hidden="1">
      <c r="B133" s="145" t="str">
        <f t="shared" si="48"/>
        <v/>
      </c>
    </row>
    <row r="134" spans="2:6" hidden="1">
      <c r="B134" s="145" t="str">
        <f t="shared" si="48"/>
        <v/>
      </c>
    </row>
    <row r="135" spans="2:6" hidden="1">
      <c r="B135" s="145" t="str">
        <f t="shared" si="48"/>
        <v/>
      </c>
    </row>
    <row r="136" spans="2:6" hidden="1">
      <c r="B136" s="145" t="str">
        <f t="shared" si="48"/>
        <v/>
      </c>
    </row>
    <row r="137" spans="2:6" hidden="1">
      <c r="B137" s="145" t="str">
        <f t="shared" si="48"/>
        <v/>
      </c>
    </row>
    <row r="138" spans="2:6" hidden="1">
      <c r="B138" s="145" t="str">
        <f t="shared" si="48"/>
        <v/>
      </c>
    </row>
    <row r="139" spans="2:6" hidden="1">
      <c r="B139" s="145" t="str">
        <f t="shared" si="48"/>
        <v/>
      </c>
    </row>
    <row r="140" spans="2:6" hidden="1">
      <c r="B140" s="145" t="str">
        <f t="shared" si="48"/>
        <v/>
      </c>
    </row>
    <row r="141" spans="2:6" hidden="1">
      <c r="B141" s="145" t="str">
        <f t="shared" si="48"/>
        <v/>
      </c>
    </row>
    <row r="142" spans="2:6" hidden="1">
      <c r="B142" s="145" t="str">
        <f t="shared" si="48"/>
        <v/>
      </c>
    </row>
    <row r="143" spans="2:6" hidden="1">
      <c r="B143" s="145" t="str">
        <f t="shared" si="48"/>
        <v/>
      </c>
    </row>
    <row r="144" spans="2:6">
      <c r="B144" s="145" t="str">
        <f t="shared" si="48"/>
        <v/>
      </c>
    </row>
    <row r="145" spans="2:2">
      <c r="B145" s="145" t="str">
        <f t="shared" si="48"/>
        <v/>
      </c>
    </row>
    <row r="146" spans="2:2">
      <c r="B146" s="145" t="str">
        <f t="shared" si="48"/>
        <v/>
      </c>
    </row>
    <row r="147" spans="2:2" hidden="1">
      <c r="B147" s="145" t="str">
        <f t="shared" si="48"/>
        <v/>
      </c>
    </row>
    <row r="148" spans="2:2" hidden="1">
      <c r="B148" s="145" t="str">
        <f t="shared" si="48"/>
        <v/>
      </c>
    </row>
    <row r="149" spans="2:2" hidden="1">
      <c r="B149" s="145" t="str">
        <f t="shared" si="48"/>
        <v/>
      </c>
    </row>
    <row r="150" spans="2:2" hidden="1">
      <c r="B150" s="145" t="str">
        <f t="shared" si="48"/>
        <v/>
      </c>
    </row>
    <row r="151" spans="2:2" hidden="1">
      <c r="B151" s="145" t="str">
        <f t="shared" si="48"/>
        <v/>
      </c>
    </row>
    <row r="152" spans="2:2" hidden="1">
      <c r="B152" s="145" t="str">
        <f t="shared" si="48"/>
        <v/>
      </c>
    </row>
    <row r="153" spans="2:2" hidden="1">
      <c r="B153" s="145" t="str">
        <f t="shared" si="48"/>
        <v/>
      </c>
    </row>
    <row r="154" spans="2:2" hidden="1">
      <c r="B154" s="145" t="str">
        <f t="shared" si="48"/>
        <v/>
      </c>
    </row>
    <row r="155" spans="2:2" hidden="1">
      <c r="B155" s="145" t="str">
        <f t="shared" si="48"/>
        <v/>
      </c>
    </row>
    <row r="156" spans="2:2" hidden="1">
      <c r="B156" s="145" t="str">
        <f t="shared" si="48"/>
        <v/>
      </c>
    </row>
    <row r="157" spans="2:2" hidden="1">
      <c r="B157" s="145" t="str">
        <f t="shared" si="48"/>
        <v/>
      </c>
    </row>
    <row r="158" spans="2:2" hidden="1">
      <c r="B158" s="145" t="str">
        <f t="shared" si="48"/>
        <v/>
      </c>
    </row>
    <row r="159" spans="2:2" hidden="1">
      <c r="B159" s="145" t="str">
        <f t="shared" si="48"/>
        <v/>
      </c>
    </row>
    <row r="160" spans="2:2" hidden="1">
      <c r="B160" s="145" t="str">
        <f t="shared" si="48"/>
        <v/>
      </c>
    </row>
    <row r="161" spans="2:2" hidden="1">
      <c r="B161" s="145" t="str">
        <f t="shared" si="48"/>
        <v/>
      </c>
    </row>
    <row r="162" spans="2:2" hidden="1">
      <c r="B162" s="145" t="str">
        <f t="shared" si="48"/>
        <v/>
      </c>
    </row>
    <row r="163" spans="2:2" hidden="1">
      <c r="B163" s="145" t="str">
        <f t="shared" si="48"/>
        <v/>
      </c>
    </row>
    <row r="164" spans="2:2" hidden="1">
      <c r="B164" s="145" t="str">
        <f t="shared" si="48"/>
        <v/>
      </c>
    </row>
    <row r="165" spans="2:2" hidden="1">
      <c r="B165" s="145" t="str">
        <f t="shared" si="48"/>
        <v/>
      </c>
    </row>
    <row r="166" spans="2:2" hidden="1">
      <c r="B166" s="145" t="str">
        <f t="shared" si="48"/>
        <v/>
      </c>
    </row>
    <row r="167" spans="2:2" hidden="1">
      <c r="B167" s="145" t="str">
        <f t="shared" si="48"/>
        <v/>
      </c>
    </row>
    <row r="168" spans="2:2" hidden="1">
      <c r="B168" s="145" t="str">
        <f t="shared" si="48"/>
        <v/>
      </c>
    </row>
    <row r="169" spans="2:2" hidden="1">
      <c r="B169" s="145" t="str">
        <f t="shared" si="48"/>
        <v/>
      </c>
    </row>
    <row r="170" spans="2:2" hidden="1">
      <c r="B170" s="145" t="str">
        <f t="shared" si="48"/>
        <v/>
      </c>
    </row>
    <row r="171" spans="2:2" hidden="1">
      <c r="B171" s="145" t="str">
        <f t="shared" si="48"/>
        <v/>
      </c>
    </row>
    <row r="172" spans="2:2" hidden="1">
      <c r="B172" s="145" t="str">
        <f t="shared" si="48"/>
        <v/>
      </c>
    </row>
    <row r="173" spans="2:2" hidden="1">
      <c r="B173" s="145" t="str">
        <f t="shared" si="48"/>
        <v/>
      </c>
    </row>
    <row r="174" spans="2:2" hidden="1">
      <c r="B174" s="145" t="str">
        <f t="shared" si="48"/>
        <v/>
      </c>
    </row>
    <row r="175" spans="2:2" hidden="1">
      <c r="B175" s="145" t="str">
        <f t="shared" si="48"/>
        <v/>
      </c>
    </row>
    <row r="176" spans="2:2" hidden="1">
      <c r="B176" s="145" t="str">
        <f t="shared" si="48"/>
        <v/>
      </c>
    </row>
    <row r="177" spans="2:2" hidden="1">
      <c r="B177" s="145" t="str">
        <f t="shared" si="48"/>
        <v/>
      </c>
    </row>
    <row r="178" spans="2:2" hidden="1">
      <c r="B178" s="145" t="str">
        <f t="shared" si="48"/>
        <v/>
      </c>
    </row>
    <row r="179" spans="2:2" hidden="1">
      <c r="B179" s="145" t="str">
        <f t="shared" si="48"/>
        <v/>
      </c>
    </row>
    <row r="180" spans="2:2" hidden="1">
      <c r="B180" s="145" t="str">
        <f t="shared" si="48"/>
        <v/>
      </c>
    </row>
    <row r="181" spans="2:2" hidden="1">
      <c r="B181" s="145" t="str">
        <f t="shared" si="48"/>
        <v/>
      </c>
    </row>
    <row r="182" spans="2:2" hidden="1">
      <c r="B182" s="145" t="str">
        <f t="shared" si="48"/>
        <v/>
      </c>
    </row>
    <row r="183" spans="2:2" hidden="1">
      <c r="B183" s="145" t="str">
        <f t="shared" si="48"/>
        <v/>
      </c>
    </row>
    <row r="184" spans="2:2" hidden="1">
      <c r="B184" s="145" t="str">
        <f t="shared" si="48"/>
        <v/>
      </c>
    </row>
    <row r="185" spans="2:2" hidden="1">
      <c r="B185" s="145" t="str">
        <f t="shared" si="48"/>
        <v/>
      </c>
    </row>
    <row r="186" spans="2:2" hidden="1">
      <c r="B186" s="145" t="str">
        <f t="shared" si="48"/>
        <v/>
      </c>
    </row>
    <row r="187" spans="2:2" hidden="1">
      <c r="B187" s="145" t="str">
        <f t="shared" si="48"/>
        <v/>
      </c>
    </row>
    <row r="188" spans="2:2" hidden="1">
      <c r="B188" s="145" t="str">
        <f t="shared" ref="B188:B223" si="49">+I76</f>
        <v/>
      </c>
    </row>
    <row r="189" spans="2:2" hidden="1">
      <c r="B189" s="145" t="str">
        <f t="shared" si="49"/>
        <v/>
      </c>
    </row>
    <row r="190" spans="2:2" hidden="1">
      <c r="B190" s="145" t="str">
        <f t="shared" si="49"/>
        <v/>
      </c>
    </row>
    <row r="191" spans="2:2" hidden="1">
      <c r="B191" s="145" t="str">
        <f t="shared" si="49"/>
        <v/>
      </c>
    </row>
    <row r="192" spans="2:2" hidden="1">
      <c r="B192" s="145" t="str">
        <f t="shared" si="49"/>
        <v/>
      </c>
    </row>
    <row r="193" spans="2:2" hidden="1">
      <c r="B193" s="145" t="str">
        <f t="shared" si="49"/>
        <v/>
      </c>
    </row>
    <row r="194" spans="2:2" hidden="1">
      <c r="B194" s="145" t="str">
        <f t="shared" si="49"/>
        <v/>
      </c>
    </row>
    <row r="195" spans="2:2" hidden="1">
      <c r="B195" s="145" t="str">
        <f t="shared" si="49"/>
        <v/>
      </c>
    </row>
    <row r="196" spans="2:2" hidden="1">
      <c r="B196" s="145" t="str">
        <f t="shared" si="49"/>
        <v/>
      </c>
    </row>
    <row r="197" spans="2:2" hidden="1">
      <c r="B197" s="145" t="str">
        <f t="shared" si="49"/>
        <v/>
      </c>
    </row>
    <row r="198" spans="2:2" hidden="1">
      <c r="B198" s="145" t="str">
        <f t="shared" si="49"/>
        <v/>
      </c>
    </row>
    <row r="199" spans="2:2" hidden="1">
      <c r="B199" s="145" t="str">
        <f t="shared" si="49"/>
        <v/>
      </c>
    </row>
    <row r="200" spans="2:2" hidden="1">
      <c r="B200" s="145" t="str">
        <f t="shared" si="49"/>
        <v/>
      </c>
    </row>
    <row r="201" spans="2:2" hidden="1">
      <c r="B201" s="145" t="str">
        <f t="shared" si="49"/>
        <v/>
      </c>
    </row>
    <row r="202" spans="2:2" hidden="1">
      <c r="B202" s="145" t="str">
        <f t="shared" si="49"/>
        <v/>
      </c>
    </row>
    <row r="203" spans="2:2" hidden="1">
      <c r="B203" s="145" t="str">
        <f t="shared" si="49"/>
        <v/>
      </c>
    </row>
    <row r="204" spans="2:2" hidden="1">
      <c r="B204" s="145" t="str">
        <f t="shared" si="49"/>
        <v/>
      </c>
    </row>
    <row r="205" spans="2:2" hidden="1">
      <c r="B205" s="145" t="str">
        <f t="shared" si="49"/>
        <v/>
      </c>
    </row>
    <row r="206" spans="2:2" hidden="1">
      <c r="B206" s="145" t="str">
        <f t="shared" si="49"/>
        <v/>
      </c>
    </row>
    <row r="207" spans="2:2" hidden="1">
      <c r="B207" s="145" t="str">
        <f t="shared" si="49"/>
        <v/>
      </c>
    </row>
    <row r="208" spans="2:2" hidden="1">
      <c r="B208" s="145" t="str">
        <f t="shared" si="49"/>
        <v/>
      </c>
    </row>
    <row r="209" spans="2:2" hidden="1">
      <c r="B209" s="145" t="str">
        <f t="shared" si="49"/>
        <v/>
      </c>
    </row>
    <row r="210" spans="2:2" hidden="1">
      <c r="B210" s="145" t="str">
        <f t="shared" si="49"/>
        <v/>
      </c>
    </row>
    <row r="211" spans="2:2" hidden="1">
      <c r="B211" s="145" t="str">
        <f t="shared" si="49"/>
        <v/>
      </c>
    </row>
    <row r="212" spans="2:2" hidden="1">
      <c r="B212" s="145" t="str">
        <f t="shared" si="49"/>
        <v/>
      </c>
    </row>
    <row r="213" spans="2:2" hidden="1">
      <c r="B213" s="145" t="str">
        <f t="shared" si="49"/>
        <v/>
      </c>
    </row>
    <row r="214" spans="2:2" hidden="1">
      <c r="B214" s="145" t="str">
        <f t="shared" si="49"/>
        <v/>
      </c>
    </row>
    <row r="215" spans="2:2" hidden="1">
      <c r="B215" s="145" t="str">
        <f t="shared" si="49"/>
        <v/>
      </c>
    </row>
    <row r="216" spans="2:2" hidden="1">
      <c r="B216" s="145" t="str">
        <f t="shared" si="49"/>
        <v/>
      </c>
    </row>
    <row r="217" spans="2:2" hidden="1">
      <c r="B217" s="145" t="str">
        <f t="shared" si="49"/>
        <v/>
      </c>
    </row>
    <row r="218" spans="2:2" hidden="1">
      <c r="B218" s="145" t="str">
        <f t="shared" si="49"/>
        <v/>
      </c>
    </row>
    <row r="219" spans="2:2" hidden="1">
      <c r="B219" s="145" t="str">
        <f t="shared" si="49"/>
        <v/>
      </c>
    </row>
    <row r="220" spans="2:2" hidden="1">
      <c r="B220" s="145" t="str">
        <f t="shared" si="49"/>
        <v/>
      </c>
    </row>
    <row r="221" spans="2:2" hidden="1">
      <c r="B221" s="145" t="str">
        <f t="shared" si="49"/>
        <v/>
      </c>
    </row>
    <row r="222" spans="2:2" hidden="1">
      <c r="B222" s="145" t="str">
        <f t="shared" si="49"/>
        <v/>
      </c>
    </row>
    <row r="223" spans="2:2" hidden="1">
      <c r="B223" s="145" t="str">
        <f t="shared" si="49"/>
        <v/>
      </c>
    </row>
    <row r="224" spans="2:2">
      <c r="B224" s="165" t="s">
        <v>948</v>
      </c>
    </row>
    <row r="225" spans="2:6">
      <c r="B225" s="116" t="s">
        <v>116</v>
      </c>
    </row>
    <row r="226" spans="2:6">
      <c r="B226" s="116" t="e">
        <f>+#REF!</f>
        <v>#REF!</v>
      </c>
    </row>
    <row r="227" spans="2:6">
      <c r="B227" s="116" t="str">
        <f>+A6&amp;fieldcreatorv2!L17&amp;A7</f>
        <v>mysql_select_db("healmy5_pray", $con);</v>
      </c>
    </row>
    <row r="228" spans="2:6">
      <c r="B228" s="116" t="s">
        <v>1115</v>
      </c>
    </row>
    <row r="229" spans="2:6">
      <c r="B229" s="116" t="e">
        <f>+B1&amp;fieldcreatorv2!L15&amp;fieldcreatorv2!L19&amp;IF(fieldcreatorv2!L29="si",B2&amp;fieldcreatorv2!C16&amp;B5&amp;#REF!&amp;B3&amp;fieldcreatorv2!C17&amp;B5&amp;#REF!&amp;$D$5,"")&amp;E2</f>
        <v>#REF!</v>
      </c>
    </row>
    <row r="230" spans="2:6" hidden="1">
      <c r="B230" s="116" t="str">
        <f>+fieldcreatorv2!B626</f>
        <v>$result = mysql_query("SELECT * FROM Jesus1 WHERE tipo_doc_id='$tipo_doc_id' AND numd='$numd'");</v>
      </c>
    </row>
    <row r="231" spans="2:6">
      <c r="B231" s="116" t="s">
        <v>944</v>
      </c>
    </row>
    <row r="232" spans="2:6">
      <c r="B232" s="116" t="s">
        <v>934</v>
      </c>
    </row>
    <row r="233" spans="2:6">
      <c r="B233" s="116" t="s">
        <v>941</v>
      </c>
    </row>
    <row r="234" spans="2:6" hidden="1">
      <c r="B234" s="116" t="str">
        <f t="shared" ref="B234:B265" si="50">+F12</f>
        <v/>
      </c>
    </row>
    <row r="235" spans="2:6" hidden="1">
      <c r="B235" s="116" t="str">
        <f t="shared" si="50"/>
        <v/>
      </c>
      <c r="F235" s="12" t="s">
        <v>937</v>
      </c>
    </row>
    <row r="236" spans="2:6" hidden="1">
      <c r="B236" s="116" t="str">
        <f t="shared" si="50"/>
        <v/>
      </c>
    </row>
    <row r="237" spans="2:6" hidden="1">
      <c r="B237" s="116" t="str">
        <f t="shared" si="50"/>
        <v/>
      </c>
    </row>
    <row r="238" spans="2:6">
      <c r="B238" s="116" t="str">
        <f t="shared" si="50"/>
        <v/>
      </c>
    </row>
    <row r="239" spans="2:6" hidden="1">
      <c r="B239" s="116" t="str">
        <f t="shared" si="50"/>
        <v/>
      </c>
    </row>
    <row r="240" spans="2:6" hidden="1">
      <c r="B240" s="116" t="str">
        <f t="shared" si="50"/>
        <v/>
      </c>
    </row>
    <row r="241" spans="2:2" hidden="1">
      <c r="B241" s="116" t="str">
        <f t="shared" si="50"/>
        <v/>
      </c>
    </row>
    <row r="242" spans="2:2" hidden="1">
      <c r="B242" s="116" t="str">
        <f t="shared" si="50"/>
        <v/>
      </c>
    </row>
    <row r="243" spans="2:2" hidden="1">
      <c r="B243" s="116" t="str">
        <f t="shared" si="50"/>
        <v/>
      </c>
    </row>
    <row r="244" spans="2:2" hidden="1">
      <c r="B244" s="116" t="str">
        <f t="shared" si="50"/>
        <v/>
      </c>
    </row>
    <row r="245" spans="2:2" hidden="1">
      <c r="B245" s="116" t="str">
        <f t="shared" si="50"/>
        <v/>
      </c>
    </row>
    <row r="246" spans="2:2" hidden="1">
      <c r="B246" s="116" t="str">
        <f t="shared" si="50"/>
        <v/>
      </c>
    </row>
    <row r="247" spans="2:2" hidden="1">
      <c r="B247" s="116" t="str">
        <f t="shared" si="50"/>
        <v/>
      </c>
    </row>
    <row r="248" spans="2:2" hidden="1">
      <c r="B248" s="116" t="str">
        <f t="shared" si="50"/>
        <v/>
      </c>
    </row>
    <row r="249" spans="2:2" hidden="1">
      <c r="B249" s="116" t="str">
        <f t="shared" si="50"/>
        <v/>
      </c>
    </row>
    <row r="250" spans="2:2" hidden="1">
      <c r="B250" s="116" t="str">
        <f t="shared" si="50"/>
        <v/>
      </c>
    </row>
    <row r="251" spans="2:2" hidden="1">
      <c r="B251" s="116" t="str">
        <f t="shared" si="50"/>
        <v/>
      </c>
    </row>
    <row r="252" spans="2:2" hidden="1">
      <c r="B252" s="116" t="str">
        <f t="shared" si="50"/>
        <v/>
      </c>
    </row>
    <row r="253" spans="2:2" hidden="1">
      <c r="B253" s="116" t="str">
        <f t="shared" si="50"/>
        <v/>
      </c>
    </row>
    <row r="254" spans="2:2">
      <c r="B254" s="116" t="str">
        <f t="shared" si="50"/>
        <v/>
      </c>
    </row>
    <row r="255" spans="2:2">
      <c r="B255" s="116" t="str">
        <f t="shared" si="50"/>
        <v/>
      </c>
    </row>
    <row r="256" spans="2:2">
      <c r="B256" s="116" t="str">
        <f t="shared" si="50"/>
        <v/>
      </c>
    </row>
    <row r="257" spans="2:2" hidden="1">
      <c r="B257" s="116" t="str">
        <f t="shared" si="50"/>
        <v/>
      </c>
    </row>
    <row r="258" spans="2:2" hidden="1">
      <c r="B258" s="116" t="str">
        <f t="shared" si="50"/>
        <v/>
      </c>
    </row>
    <row r="259" spans="2:2" hidden="1">
      <c r="B259" s="116" t="str">
        <f t="shared" si="50"/>
        <v/>
      </c>
    </row>
    <row r="260" spans="2:2" hidden="1">
      <c r="B260" s="116" t="str">
        <f t="shared" si="50"/>
        <v/>
      </c>
    </row>
    <row r="261" spans="2:2" hidden="1">
      <c r="B261" s="116" t="str">
        <f t="shared" si="50"/>
        <v/>
      </c>
    </row>
    <row r="262" spans="2:2" hidden="1">
      <c r="B262" s="116" t="str">
        <f t="shared" si="50"/>
        <v/>
      </c>
    </row>
    <row r="263" spans="2:2" hidden="1">
      <c r="B263" s="116" t="str">
        <f t="shared" si="50"/>
        <v/>
      </c>
    </row>
    <row r="264" spans="2:2" hidden="1">
      <c r="B264" s="116" t="str">
        <f t="shared" si="50"/>
        <v/>
      </c>
    </row>
    <row r="265" spans="2:2" hidden="1">
      <c r="B265" s="116" t="str">
        <f t="shared" si="50"/>
        <v/>
      </c>
    </row>
    <row r="266" spans="2:2" hidden="1">
      <c r="B266" s="116" t="str">
        <f t="shared" ref="B266:B297" si="51">+F44</f>
        <v/>
      </c>
    </row>
    <row r="267" spans="2:2" hidden="1">
      <c r="B267" s="116" t="str">
        <f t="shared" si="51"/>
        <v/>
      </c>
    </row>
    <row r="268" spans="2:2" hidden="1">
      <c r="B268" s="116" t="str">
        <f t="shared" si="51"/>
        <v/>
      </c>
    </row>
    <row r="269" spans="2:2" hidden="1">
      <c r="B269" s="116" t="str">
        <f t="shared" si="51"/>
        <v/>
      </c>
    </row>
    <row r="270" spans="2:2" hidden="1">
      <c r="B270" s="116" t="str">
        <f t="shared" si="51"/>
        <v/>
      </c>
    </row>
    <row r="271" spans="2:2" hidden="1">
      <c r="B271" s="116" t="str">
        <f t="shared" si="51"/>
        <v/>
      </c>
    </row>
    <row r="272" spans="2:2" hidden="1">
      <c r="B272" s="116" t="str">
        <f t="shared" si="51"/>
        <v/>
      </c>
    </row>
    <row r="273" spans="2:2" hidden="1">
      <c r="B273" s="116" t="str">
        <f t="shared" si="51"/>
        <v/>
      </c>
    </row>
    <row r="274" spans="2:2" hidden="1">
      <c r="B274" s="116" t="str">
        <f t="shared" si="51"/>
        <v/>
      </c>
    </row>
    <row r="275" spans="2:2" hidden="1">
      <c r="B275" s="116" t="str">
        <f t="shared" si="51"/>
        <v/>
      </c>
    </row>
    <row r="276" spans="2:2" hidden="1">
      <c r="B276" s="116" t="str">
        <f t="shared" si="51"/>
        <v/>
      </c>
    </row>
    <row r="277" spans="2:2" hidden="1">
      <c r="B277" s="116" t="str">
        <f t="shared" si="51"/>
        <v/>
      </c>
    </row>
    <row r="278" spans="2:2" hidden="1">
      <c r="B278" s="116" t="str">
        <f t="shared" si="51"/>
        <v/>
      </c>
    </row>
    <row r="279" spans="2:2" hidden="1">
      <c r="B279" s="116" t="str">
        <f t="shared" si="51"/>
        <v/>
      </c>
    </row>
    <row r="280" spans="2:2" hidden="1">
      <c r="B280" s="116" t="str">
        <f t="shared" si="51"/>
        <v/>
      </c>
    </row>
    <row r="281" spans="2:2" hidden="1">
      <c r="B281" s="116" t="str">
        <f t="shared" si="51"/>
        <v/>
      </c>
    </row>
    <row r="282" spans="2:2" hidden="1">
      <c r="B282" s="116" t="str">
        <f t="shared" si="51"/>
        <v/>
      </c>
    </row>
    <row r="283" spans="2:2" hidden="1">
      <c r="B283" s="116" t="str">
        <f t="shared" si="51"/>
        <v/>
      </c>
    </row>
    <row r="284" spans="2:2" hidden="1">
      <c r="B284" s="116" t="str">
        <f t="shared" si="51"/>
        <v/>
      </c>
    </row>
    <row r="285" spans="2:2" hidden="1">
      <c r="B285" s="116" t="str">
        <f t="shared" si="51"/>
        <v/>
      </c>
    </row>
    <row r="286" spans="2:2" hidden="1">
      <c r="B286" s="116" t="str">
        <f t="shared" si="51"/>
        <v/>
      </c>
    </row>
    <row r="287" spans="2:2" hidden="1">
      <c r="B287" s="116" t="str">
        <f t="shared" si="51"/>
        <v/>
      </c>
    </row>
    <row r="288" spans="2:2" hidden="1">
      <c r="B288" s="116" t="str">
        <f t="shared" si="51"/>
        <v/>
      </c>
    </row>
    <row r="289" spans="2:2" hidden="1">
      <c r="B289" s="116" t="str">
        <f t="shared" si="51"/>
        <v/>
      </c>
    </row>
    <row r="290" spans="2:2" hidden="1">
      <c r="B290" s="116" t="str">
        <f t="shared" si="51"/>
        <v/>
      </c>
    </row>
    <row r="291" spans="2:2" hidden="1">
      <c r="B291" s="116" t="str">
        <f t="shared" si="51"/>
        <v/>
      </c>
    </row>
    <row r="292" spans="2:2" hidden="1">
      <c r="B292" s="116" t="str">
        <f t="shared" si="51"/>
        <v/>
      </c>
    </row>
    <row r="293" spans="2:2" hidden="1">
      <c r="B293" s="116" t="str">
        <f t="shared" si="51"/>
        <v/>
      </c>
    </row>
    <row r="294" spans="2:2" hidden="1">
      <c r="B294" s="116" t="str">
        <f t="shared" si="51"/>
        <v/>
      </c>
    </row>
    <row r="295" spans="2:2" hidden="1">
      <c r="B295" s="116" t="str">
        <f t="shared" si="51"/>
        <v/>
      </c>
    </row>
    <row r="296" spans="2:2" hidden="1">
      <c r="B296" s="116" t="str">
        <f t="shared" si="51"/>
        <v/>
      </c>
    </row>
    <row r="297" spans="2:2" hidden="1">
      <c r="B297" s="116" t="str">
        <f t="shared" si="51"/>
        <v/>
      </c>
    </row>
    <row r="298" spans="2:2" hidden="1">
      <c r="B298" s="116" t="str">
        <f t="shared" ref="B298:B329" si="52">+F76</f>
        <v/>
      </c>
    </row>
    <row r="299" spans="2:2" hidden="1">
      <c r="B299" s="116" t="str">
        <f t="shared" si="52"/>
        <v/>
      </c>
    </row>
    <row r="300" spans="2:2" hidden="1">
      <c r="B300" s="116" t="str">
        <f t="shared" si="52"/>
        <v/>
      </c>
    </row>
    <row r="301" spans="2:2" hidden="1">
      <c r="B301" s="116" t="str">
        <f t="shared" si="52"/>
        <v/>
      </c>
    </row>
    <row r="302" spans="2:2" hidden="1">
      <c r="B302" s="116" t="str">
        <f t="shared" si="52"/>
        <v/>
      </c>
    </row>
    <row r="303" spans="2:2" hidden="1">
      <c r="B303" s="116" t="str">
        <f t="shared" si="52"/>
        <v/>
      </c>
    </row>
    <row r="304" spans="2:2" hidden="1">
      <c r="B304" s="116" t="str">
        <f t="shared" si="52"/>
        <v/>
      </c>
    </row>
    <row r="305" spans="2:2" hidden="1">
      <c r="B305" s="116" t="str">
        <f t="shared" si="52"/>
        <v/>
      </c>
    </row>
    <row r="306" spans="2:2" hidden="1">
      <c r="B306" s="116" t="str">
        <f t="shared" si="52"/>
        <v/>
      </c>
    </row>
    <row r="307" spans="2:2" hidden="1">
      <c r="B307" s="116" t="str">
        <f t="shared" si="52"/>
        <v/>
      </c>
    </row>
    <row r="308" spans="2:2" hidden="1">
      <c r="B308" s="116" t="str">
        <f t="shared" si="52"/>
        <v/>
      </c>
    </row>
    <row r="309" spans="2:2" hidden="1">
      <c r="B309" s="116" t="str">
        <f t="shared" si="52"/>
        <v/>
      </c>
    </row>
    <row r="310" spans="2:2" hidden="1">
      <c r="B310" s="116" t="str">
        <f t="shared" si="52"/>
        <v/>
      </c>
    </row>
    <row r="311" spans="2:2" hidden="1">
      <c r="B311" s="116" t="str">
        <f t="shared" si="52"/>
        <v/>
      </c>
    </row>
    <row r="312" spans="2:2" hidden="1">
      <c r="B312" s="116" t="str">
        <f t="shared" si="52"/>
        <v/>
      </c>
    </row>
    <row r="313" spans="2:2" hidden="1">
      <c r="B313" s="116" t="str">
        <f t="shared" si="52"/>
        <v/>
      </c>
    </row>
    <row r="314" spans="2:2" hidden="1">
      <c r="B314" s="116" t="str">
        <f t="shared" si="52"/>
        <v/>
      </c>
    </row>
    <row r="315" spans="2:2" hidden="1">
      <c r="B315" s="116" t="str">
        <f t="shared" si="52"/>
        <v/>
      </c>
    </row>
    <row r="316" spans="2:2" hidden="1">
      <c r="B316" s="116" t="str">
        <f t="shared" si="52"/>
        <v/>
      </c>
    </row>
    <row r="317" spans="2:2" hidden="1">
      <c r="B317" s="116" t="str">
        <f t="shared" si="52"/>
        <v/>
      </c>
    </row>
    <row r="318" spans="2:2" hidden="1">
      <c r="B318" s="116" t="str">
        <f t="shared" si="52"/>
        <v/>
      </c>
    </row>
    <row r="319" spans="2:2" hidden="1">
      <c r="B319" s="116" t="str">
        <f t="shared" si="52"/>
        <v/>
      </c>
    </row>
    <row r="320" spans="2:2" hidden="1">
      <c r="B320" s="116" t="str">
        <f t="shared" si="52"/>
        <v/>
      </c>
    </row>
    <row r="321" spans="2:2" hidden="1">
      <c r="B321" s="116" t="str">
        <f t="shared" si="52"/>
        <v/>
      </c>
    </row>
    <row r="322" spans="2:2" hidden="1">
      <c r="B322" s="116" t="str">
        <f t="shared" si="52"/>
        <v/>
      </c>
    </row>
    <row r="323" spans="2:2" hidden="1">
      <c r="B323" s="116" t="str">
        <f t="shared" si="52"/>
        <v/>
      </c>
    </row>
    <row r="324" spans="2:2" hidden="1">
      <c r="B324" s="116" t="str">
        <f t="shared" si="52"/>
        <v/>
      </c>
    </row>
    <row r="325" spans="2:2" hidden="1">
      <c r="B325" s="116" t="str">
        <f t="shared" si="52"/>
        <v/>
      </c>
    </row>
    <row r="326" spans="2:2" hidden="1">
      <c r="B326" s="116" t="str">
        <f t="shared" si="52"/>
        <v/>
      </c>
    </row>
    <row r="327" spans="2:2" hidden="1">
      <c r="B327" s="116" t="str">
        <f t="shared" si="52"/>
        <v/>
      </c>
    </row>
    <row r="328" spans="2:2" hidden="1">
      <c r="B328" s="116" t="str">
        <f t="shared" si="52"/>
        <v/>
      </c>
    </row>
    <row r="329" spans="2:2" hidden="1">
      <c r="B329" s="116" t="str">
        <f t="shared" si="52"/>
        <v/>
      </c>
    </row>
    <row r="330" spans="2:2" hidden="1">
      <c r="B330" s="116" t="str">
        <f>+F108</f>
        <v/>
      </c>
    </row>
    <row r="331" spans="2:2" hidden="1">
      <c r="B331" s="116" t="str">
        <f>+F109</f>
        <v/>
      </c>
    </row>
    <row r="332" spans="2:2" hidden="1">
      <c r="B332" s="116" t="str">
        <f>+F110</f>
        <v/>
      </c>
    </row>
    <row r="333" spans="2:2" hidden="1">
      <c r="B333" s="116" t="str">
        <f>+F111</f>
        <v/>
      </c>
    </row>
    <row r="334" spans="2:2">
      <c r="B334" s="116" t="s">
        <v>935</v>
      </c>
    </row>
    <row r="335" spans="2:2">
      <c r="B335" s="116" t="s">
        <v>943</v>
      </c>
    </row>
    <row r="336" spans="2:2">
      <c r="B336" s="116" t="s">
        <v>940</v>
      </c>
    </row>
    <row r="337" spans="2:2">
      <c r="B337" s="145" t="s">
        <v>942</v>
      </c>
    </row>
    <row r="338" spans="2:2">
      <c r="B338" s="240" t="str">
        <f>+E1&amp;fieldcreatorv2!L15&amp;E3&amp;fieldcreatorv2!L15&amp;fieldcreatorv2!L19&amp;E4</f>
        <v>&lt;div id="limit_Jesus" style="display:none"&gt;&lt;?$count=mysql_query("SELECT COUNT(id) FROM Jesus1"); $count2=mysql_fetch_array($count); echo $count2[0]; ?&gt;&lt;/div&gt;</v>
      </c>
    </row>
  </sheetData>
  <sheetProtection sheet="1" objects="1" scenarios="1"/>
  <autoFilter ref="B115:B338">
    <filterColumn colId="0">
      <customFilters>
        <customFilter operator="notEqual" val=" "/>
      </customFilters>
    </filterColumn>
  </autoFilter>
  <dataValidations count="1">
    <dataValidation type="list" allowBlank="1" showInputMessage="1" showErrorMessage="1" sqref="C12:C111">
      <formula1>$H$2:$H$3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filterMode="1"/>
  <dimension ref="A1:DF1021"/>
  <sheetViews>
    <sheetView topLeftCell="A13" zoomScale="80" zoomScaleNormal="80" workbookViewId="0">
      <selection activeCell="L29" sqref="L29"/>
    </sheetView>
  </sheetViews>
  <sheetFormatPr baseColWidth="10" defaultRowHeight="15"/>
  <cols>
    <col min="1" max="1" width="4.28515625" style="12" customWidth="1"/>
    <col min="2" max="2" width="32.42578125" style="12" customWidth="1"/>
    <col min="3" max="3" width="8.140625" style="12" customWidth="1"/>
    <col min="4" max="4" width="6.5703125" style="12" customWidth="1"/>
    <col min="5" max="5" width="7.7109375" style="12" customWidth="1"/>
    <col min="6" max="6" width="9.7109375" style="12" customWidth="1"/>
    <col min="7" max="8" width="11.42578125" style="12"/>
    <col min="9" max="9" width="14.85546875" style="12" customWidth="1"/>
    <col min="10" max="10" width="23.7109375" style="12" customWidth="1"/>
    <col min="11" max="11" width="9.28515625" style="12" customWidth="1"/>
    <col min="12" max="16" width="11.42578125" style="12"/>
    <col min="17" max="17" width="14" style="12" bestFit="1" customWidth="1"/>
    <col min="18" max="27" width="11.42578125" style="12"/>
    <col min="28" max="28" width="7" style="12" bestFit="1" customWidth="1"/>
    <col min="29" max="29" width="4.28515625" style="12" customWidth="1"/>
    <col min="30" max="30" width="3.7109375" style="12" customWidth="1"/>
    <col min="31" max="31" width="2.85546875" style="12" customWidth="1"/>
    <col min="32" max="32" width="15.28515625" style="12" bestFit="1" customWidth="1"/>
    <col min="33" max="34" width="0.28515625" style="12" customWidth="1"/>
    <col min="35" max="35" width="1" style="12" customWidth="1"/>
    <col min="36" max="36" width="9.5703125" style="12" customWidth="1"/>
    <col min="37" max="37" width="12.5703125" style="12" customWidth="1"/>
    <col min="38" max="38" width="9.7109375" style="12" customWidth="1"/>
    <col min="39" max="39" width="3" style="12" customWidth="1"/>
    <col min="40" max="40" width="27.85546875" style="12" customWidth="1"/>
    <col min="41" max="41" width="10.7109375" style="12" customWidth="1"/>
    <col min="42" max="42" width="11.5703125" style="12" customWidth="1"/>
    <col min="43" max="43" width="10.140625" style="12" customWidth="1"/>
    <col min="44" max="45" width="10.28515625" style="12" customWidth="1"/>
    <col min="46" max="47" width="11" style="12" customWidth="1"/>
    <col min="48" max="48" width="22.140625" style="12" customWidth="1"/>
    <col min="49" max="50" width="11" style="12" customWidth="1"/>
    <col min="51" max="51" width="3.85546875" style="12" customWidth="1"/>
    <col min="52" max="52" width="3.140625" style="12" customWidth="1"/>
    <col min="53" max="53" width="8.5703125" style="12" customWidth="1"/>
    <col min="54" max="54" width="10" style="12" customWidth="1"/>
    <col min="55" max="55" width="26.5703125" style="12" customWidth="1"/>
    <col min="56" max="56" width="1.85546875" style="12" customWidth="1"/>
    <col min="57" max="57" width="19.140625" style="12" customWidth="1"/>
    <col min="58" max="58" width="8.7109375" style="12" bestFit="1" customWidth="1"/>
    <col min="59" max="59" width="12.85546875" style="12" customWidth="1"/>
    <col min="60" max="60" width="11.42578125" style="12" customWidth="1"/>
    <col min="61" max="61" width="16.28515625" style="12" customWidth="1"/>
    <col min="62" max="63" width="10.5703125" style="12" customWidth="1"/>
    <col min="64" max="64" width="19" style="12" customWidth="1"/>
    <col min="65" max="65" width="17.140625" style="12" customWidth="1"/>
    <col min="66" max="66" width="2.7109375" style="12" customWidth="1"/>
    <col min="67" max="67" width="18.28515625" style="12" customWidth="1"/>
    <col min="68" max="68" width="30" style="12" customWidth="1"/>
    <col min="69" max="69" width="19.140625" style="12" customWidth="1"/>
    <col min="70" max="73" width="0.140625" style="12" customWidth="1"/>
    <col min="74" max="74" width="2.28515625" style="12" customWidth="1"/>
    <col min="75" max="75" width="3" style="12" customWidth="1"/>
    <col min="76" max="76" width="12.42578125" style="12" customWidth="1"/>
    <col min="77" max="78" width="2.85546875" style="12" customWidth="1"/>
    <col min="79" max="79" width="8.42578125" style="12" customWidth="1"/>
    <col min="80" max="80" width="11.7109375" style="12" customWidth="1"/>
    <col min="81" max="81" width="10.7109375" style="12" customWidth="1"/>
    <col min="82" max="82" width="12.42578125" style="12" customWidth="1"/>
    <col min="83" max="83" width="11.5703125" style="12" bestFit="1" customWidth="1"/>
    <col min="84" max="84" width="31.5703125" style="12" customWidth="1"/>
    <col min="85" max="85" width="13.28515625" style="12" customWidth="1"/>
    <col min="86" max="86" width="18.28515625" style="12" customWidth="1"/>
    <col min="87" max="87" width="14.7109375" style="12" customWidth="1"/>
    <col min="88" max="88" width="17" style="12" customWidth="1"/>
    <col min="89" max="90" width="0.85546875" style="12" customWidth="1"/>
    <col min="91" max="91" width="11.85546875" style="12" customWidth="1"/>
    <col min="92" max="98" width="11.42578125" style="12"/>
    <col min="99" max="99" width="0.7109375" style="12" customWidth="1"/>
    <col min="100" max="100" width="7.42578125" style="12" customWidth="1"/>
    <col min="101" max="101" width="9.5703125" style="12" customWidth="1"/>
    <col min="102" max="102" width="10.85546875" style="12" customWidth="1"/>
    <col min="103" max="16384" width="11.42578125" style="12"/>
  </cols>
  <sheetData>
    <row r="1" spans="1:110" hidden="1">
      <c r="A1" s="12" t="s">
        <v>164</v>
      </c>
      <c r="B1" s="12" t="s">
        <v>192</v>
      </c>
      <c r="C1" s="131" t="s">
        <v>43</v>
      </c>
      <c r="D1" s="12" t="s">
        <v>312</v>
      </c>
      <c r="E1" s="65" t="str">
        <f>+IF(SUM(BS15:BS114)&gt;0,E5&amp;L15&amp;L19&amp;E6,"")</f>
        <v/>
      </c>
      <c r="F1" s="65"/>
      <c r="G1" s="12" t="s">
        <v>348</v>
      </c>
      <c r="H1" s="65" t="str">
        <f>+IF(G12="session_true","session_start();","")</f>
        <v>session_start();</v>
      </c>
      <c r="I1" s="61" t="s">
        <v>385</v>
      </c>
      <c r="J1" s="12" t="str">
        <f>+IF(L29="si","b","")</f>
        <v>b</v>
      </c>
      <c r="K1" s="12" t="s">
        <v>503</v>
      </c>
      <c r="L1" s="31" t="s">
        <v>132</v>
      </c>
      <c r="M1" s="32" t="s">
        <v>133</v>
      </c>
      <c r="N1" s="33" t="s">
        <v>139</v>
      </c>
      <c r="O1" s="12" t="s">
        <v>1026</v>
      </c>
      <c r="P1" s="12" t="s">
        <v>605</v>
      </c>
      <c r="Q1" s="122" t="s">
        <v>668</v>
      </c>
      <c r="R1" s="12" t="s">
        <v>716</v>
      </c>
      <c r="S1" s="12" t="s">
        <v>881</v>
      </c>
      <c r="T1" s="61" t="s">
        <v>1145</v>
      </c>
      <c r="U1" s="238" t="s">
        <v>1106</v>
      </c>
      <c r="V1" s="61" t="s">
        <v>1146</v>
      </c>
    </row>
    <row r="2" spans="1:110" hidden="1">
      <c r="A2" s="12" t="s">
        <v>165</v>
      </c>
      <c r="B2" s="12" t="s">
        <v>193</v>
      </c>
      <c r="C2" s="131" t="s">
        <v>54</v>
      </c>
      <c r="D2" s="12" t="s">
        <v>314</v>
      </c>
      <c r="E2" s="65" t="str">
        <f>+IF(SUM(BS15:BS114)&gt;0,E7,"")</f>
        <v/>
      </c>
      <c r="F2" s="65"/>
      <c r="G2" s="12" t="str">
        <f>"'."</f>
        <v>'.</v>
      </c>
      <c r="H2" s="131" t="str">
        <f>"&lt;div id='hiden"&amp;L19&amp;"1'&gt;"</f>
        <v>&lt;div id='hiden11'&gt;</v>
      </c>
      <c r="I2" s="12" t="s">
        <v>387</v>
      </c>
      <c r="J2" s="12" t="str">
        <f>IF(L29="si",C16&amp;"='$"&amp;C16&amp;"' AND "&amp;C17&amp;"='$"&amp;C17,C15&amp;"='$"&amp;C15)</f>
        <v>tipo_doc_id='$tipo_doc_id' AND numd='$numd</v>
      </c>
      <c r="K2" s="13" t="str">
        <f>"'"</f>
        <v>'</v>
      </c>
      <c r="L2" s="25" t="s">
        <v>111</v>
      </c>
      <c r="M2" s="26" t="s">
        <v>135</v>
      </c>
      <c r="N2" s="27" t="s">
        <v>24</v>
      </c>
      <c r="O2" s="12" t="s">
        <v>527</v>
      </c>
      <c r="P2" s="61" t="s">
        <v>157</v>
      </c>
      <c r="Q2" s="61" t="s">
        <v>670</v>
      </c>
      <c r="R2" s="116" t="s">
        <v>301</v>
      </c>
      <c r="S2" s="12" t="s">
        <v>656</v>
      </c>
      <c r="T2" s="241" t="s">
        <v>1033</v>
      </c>
      <c r="U2" s="238" t="s">
        <v>1107</v>
      </c>
    </row>
    <row r="3" spans="1:110" hidden="1">
      <c r="A3" s="41" t="s">
        <v>166</v>
      </c>
      <c r="B3" s="65" t="str">
        <f>+IF(AND(COUNTIF(G15:G114,"si")=0,H10=0),"","if (")</f>
        <v/>
      </c>
      <c r="C3" s="131" t="s">
        <v>305</v>
      </c>
      <c r="D3" s="61" t="s">
        <v>315</v>
      </c>
      <c r="E3" s="65" t="str">
        <f>+IF(SUM(BS15:BS114)&gt;0,E8,"")</f>
        <v/>
      </c>
      <c r="F3" s="65"/>
      <c r="G3" s="131" t="s">
        <v>352</v>
      </c>
      <c r="H3" s="65" t="str">
        <f>+IF(L21=N2,C5&amp;"hiden"&amp;L19&amp;H4,"")</f>
        <v>$("#hiden1").hide("fast");</v>
      </c>
      <c r="I3" s="12" t="s">
        <v>390</v>
      </c>
      <c r="J3" s="12" t="str">
        <f>"'"&amp;D4&amp;");"</f>
        <v>'");</v>
      </c>
      <c r="K3" s="12" t="s">
        <v>504</v>
      </c>
      <c r="L3" s="25" t="s">
        <v>113</v>
      </c>
      <c r="M3" s="26" t="s">
        <v>9</v>
      </c>
      <c r="N3" s="27" t="s">
        <v>48</v>
      </c>
      <c r="O3" s="12" t="s">
        <v>1025</v>
      </c>
      <c r="P3" s="61" t="s">
        <v>607</v>
      </c>
      <c r="Q3" s="61" t="s">
        <v>676</v>
      </c>
      <c r="R3" s="116" t="s">
        <v>369</v>
      </c>
      <c r="S3" s="41" t="s">
        <v>752</v>
      </c>
      <c r="T3" s="61" t="s">
        <v>1034</v>
      </c>
      <c r="U3" s="239" t="s">
        <v>1108</v>
      </c>
    </row>
    <row r="4" spans="1:110" hidden="1">
      <c r="A4" s="12" t="s">
        <v>167</v>
      </c>
      <c r="B4" s="12" t="s">
        <v>75</v>
      </c>
      <c r="C4" s="131" t="s">
        <v>306</v>
      </c>
      <c r="D4" s="117" t="s">
        <v>65</v>
      </c>
      <c r="E4" s="65" t="str">
        <f>+IF(SUM(BS15:BS114)&gt;0,E11&amp;" else {","")</f>
        <v/>
      </c>
      <c r="F4" s="65"/>
      <c r="G4" s="12" t="s">
        <v>353</v>
      </c>
      <c r="H4" s="61" t="s">
        <v>675</v>
      </c>
      <c r="I4" s="12" t="s">
        <v>65</v>
      </c>
      <c r="J4" s="12" t="s">
        <v>21</v>
      </c>
      <c r="K4" s="12" t="s">
        <v>407</v>
      </c>
      <c r="L4" s="25" t="s">
        <v>114</v>
      </c>
      <c r="M4" s="26" t="s">
        <v>136</v>
      </c>
      <c r="N4" s="80" t="s">
        <v>37</v>
      </c>
      <c r="P4" s="61" t="s">
        <v>648</v>
      </c>
      <c r="Q4" s="61" t="s">
        <v>679</v>
      </c>
      <c r="R4" s="12" t="s">
        <v>717</v>
      </c>
      <c r="S4" s="12" t="s">
        <v>887</v>
      </c>
      <c r="T4" s="61" t="s">
        <v>1035</v>
      </c>
      <c r="U4" s="238" t="s">
        <v>1109</v>
      </c>
      <c r="CZ4" s="12" t="s">
        <v>714</v>
      </c>
    </row>
    <row r="5" spans="1:110" hidden="1">
      <c r="A5" s="12" t="s">
        <v>187</v>
      </c>
      <c r="B5" s="65" t="str">
        <f>+IF(AND(COUNTIF(G15:G114,"si")=0,H10=0),"",") {")</f>
        <v/>
      </c>
      <c r="C5" s="76" t="s">
        <v>301</v>
      </c>
      <c r="D5" s="12" t="s">
        <v>316</v>
      </c>
      <c r="E5" s="12" t="s">
        <v>68</v>
      </c>
      <c r="G5" s="131" t="s">
        <v>355</v>
      </c>
      <c r="H5" s="61" t="s">
        <v>376</v>
      </c>
      <c r="I5" s="41" t="s">
        <v>395</v>
      </c>
      <c r="J5" s="12" t="s">
        <v>656</v>
      </c>
      <c r="K5" s="12" t="s">
        <v>506</v>
      </c>
      <c r="L5" s="25" t="s">
        <v>109</v>
      </c>
      <c r="M5" s="26" t="s">
        <v>137</v>
      </c>
      <c r="N5" s="27" t="s">
        <v>38</v>
      </c>
      <c r="O5" s="12" t="s">
        <v>595</v>
      </c>
      <c r="P5" s="131" t="s">
        <v>610</v>
      </c>
      <c r="Q5" s="61" t="s">
        <v>680</v>
      </c>
      <c r="R5" s="116" t="s">
        <v>720</v>
      </c>
      <c r="S5" s="12" t="s">
        <v>955</v>
      </c>
      <c r="T5" s="61" t="s">
        <v>1036</v>
      </c>
      <c r="U5" s="61" t="s">
        <v>1110</v>
      </c>
      <c r="CV5" s="12" t="s">
        <v>714</v>
      </c>
    </row>
    <row r="6" spans="1:110" hidden="1">
      <c r="A6" s="12" t="s">
        <v>188</v>
      </c>
      <c r="B6" s="65" t="str">
        <f>+IF(AND(COUNTIF(G15:G114,"si")=0,COUNTIF(E15:E114,"radio")=0),"",C5&amp;N19&amp;B10&amp;"NO PUEDE DEJAR CAMPOS VACIOS"&amp;B11&amp;";")</f>
        <v/>
      </c>
      <c r="C6" s="12" t="s">
        <v>303</v>
      </c>
      <c r="D6" s="76" t="s">
        <v>313</v>
      </c>
      <c r="E6" s="12" t="s">
        <v>21</v>
      </c>
      <c r="G6" s="131" t="s">
        <v>356</v>
      </c>
      <c r="H6" s="61" t="s">
        <v>371</v>
      </c>
      <c r="I6" s="12" t="s">
        <v>396</v>
      </c>
      <c r="J6" s="12" t="s">
        <v>656</v>
      </c>
      <c r="K6" s="41" t="s">
        <v>507</v>
      </c>
      <c r="L6" s="25" t="str">
        <f>""</f>
        <v/>
      </c>
      <c r="M6" s="26" t="s">
        <v>138</v>
      </c>
      <c r="N6" s="27" t="s">
        <v>398</v>
      </c>
      <c r="O6" s="12" t="s">
        <v>596</v>
      </c>
      <c r="P6" s="131" t="s">
        <v>611</v>
      </c>
      <c r="Q6" s="145" t="s">
        <v>415</v>
      </c>
      <c r="R6" s="12" t="s">
        <v>703</v>
      </c>
      <c r="S6" s="12" t="s">
        <v>956</v>
      </c>
      <c r="T6" s="61" t="s">
        <v>1039</v>
      </c>
      <c r="U6" s="61" t="s">
        <v>1111</v>
      </c>
    </row>
    <row r="7" spans="1:110" hidden="1">
      <c r="A7" s="12" t="s">
        <v>189</v>
      </c>
      <c r="B7" s="65" t="str">
        <f>+IF(AND(COUNTIF(G15:G114,"si")=0,H10=0),"","} else {")</f>
        <v/>
      </c>
      <c r="C7" s="12" t="s">
        <v>304</v>
      </c>
      <c r="D7" s="12" t="s">
        <v>318</v>
      </c>
      <c r="E7" s="12" t="s">
        <v>338</v>
      </c>
      <c r="G7" s="12" t="s">
        <v>29</v>
      </c>
      <c r="H7" s="61" t="s">
        <v>377</v>
      </c>
      <c r="I7" s="12" t="s">
        <v>20</v>
      </c>
      <c r="J7" s="12" t="s">
        <v>656</v>
      </c>
      <c r="K7" s="12" t="str">
        <f>"';}"</f>
        <v>';}</v>
      </c>
      <c r="L7" s="25"/>
      <c r="M7" s="26" t="s">
        <v>131</v>
      </c>
      <c r="N7" s="27"/>
      <c r="O7" s="12" t="s">
        <v>597</v>
      </c>
      <c r="P7" s="131" t="s">
        <v>616</v>
      </c>
      <c r="Q7" s="145" t="s">
        <v>693</v>
      </c>
      <c r="R7" s="116" t="str">
        <f>" mysql_select_db('"&amp;L17&amp;"', $con);"</f>
        <v xml:space="preserve"> mysql_select_db('healmy5_pray', $con);</v>
      </c>
      <c r="S7" s="12" t="s">
        <v>957</v>
      </c>
      <c r="T7" s="61" t="s">
        <v>1037</v>
      </c>
      <c r="U7" s="61" t="s">
        <v>1114</v>
      </c>
    </row>
    <row r="8" spans="1:110" hidden="1">
      <c r="A8" s="12" t="s">
        <v>367</v>
      </c>
      <c r="B8" s="65" t="str">
        <f>+IF(AND(COUNTIF(G15:G114,"si")=0,H10=0),"","}")</f>
        <v/>
      </c>
      <c r="C8" s="61" t="s">
        <v>371</v>
      </c>
      <c r="D8" s="12" t="s">
        <v>19</v>
      </c>
      <c r="E8" s="12" t="s">
        <v>342</v>
      </c>
      <c r="G8" s="61" t="s">
        <v>359</v>
      </c>
      <c r="H8" s="61" t="s">
        <v>378</v>
      </c>
      <c r="I8" s="12" t="s">
        <v>399</v>
      </c>
      <c r="J8" s="12" t="s">
        <v>404</v>
      </c>
      <c r="K8" s="131" t="s">
        <v>642</v>
      </c>
      <c r="L8" s="25" t="str">
        <f>""</f>
        <v/>
      </c>
      <c r="M8" s="26" t="s">
        <v>361</v>
      </c>
      <c r="N8" s="27"/>
      <c r="O8" s="12" t="s">
        <v>598</v>
      </c>
      <c r="P8" s="131" t="s">
        <v>628</v>
      </c>
      <c r="Q8" s="116" t="s">
        <v>412</v>
      </c>
      <c r="R8" s="123" t="s">
        <v>856</v>
      </c>
      <c r="S8" s="12" t="s">
        <v>958</v>
      </c>
      <c r="T8" s="61" t="s">
        <v>1038</v>
      </c>
      <c r="U8" s="122" t="s">
        <v>1112</v>
      </c>
      <c r="AX8" s="12" t="str">
        <f>+AX15</f>
        <v/>
      </c>
    </row>
    <row r="9" spans="1:110" hidden="1">
      <c r="A9" s="131" t="s">
        <v>86</v>
      </c>
      <c r="B9" s="65" t="str">
        <f>+IF(COUNTIF(G15:G114,"si")=0,"","set if code and proper brackets")</f>
        <v/>
      </c>
      <c r="C9" s="12" t="s">
        <v>308</v>
      </c>
      <c r="D9" s="12" t="str">
        <f>"'])) {$"</f>
        <v>'])) {$</v>
      </c>
      <c r="E9" s="65" t="str">
        <f>+IF(SUM(BS15:BS114)&gt;0,"}","")</f>
        <v/>
      </c>
      <c r="F9" s="65"/>
      <c r="G9" s="61" t="s">
        <v>1201</v>
      </c>
      <c r="H9" s="12" t="s">
        <v>379</v>
      </c>
      <c r="I9" s="12" t="s">
        <v>858</v>
      </c>
      <c r="J9" s="41" t="s">
        <v>405</v>
      </c>
      <c r="K9" s="131" t="s">
        <v>527</v>
      </c>
      <c r="L9" s="28"/>
      <c r="M9" s="29" t="s">
        <v>344</v>
      </c>
      <c r="N9" s="30"/>
      <c r="O9" s="12" t="s">
        <v>599</v>
      </c>
      <c r="P9" s="131" t="s">
        <v>662</v>
      </c>
      <c r="Q9" s="116" t="s">
        <v>600</v>
      </c>
      <c r="R9" s="192" t="s">
        <v>859</v>
      </c>
      <c r="S9" s="12" t="s">
        <v>959</v>
      </c>
      <c r="T9" s="12" t="s">
        <v>1040</v>
      </c>
      <c r="U9" s="61" t="s">
        <v>1113</v>
      </c>
      <c r="AX9" s="12" t="str">
        <f>+AX16</f>
        <v/>
      </c>
    </row>
    <row r="10" spans="1:110" hidden="1">
      <c r="A10" s="131" t="s">
        <v>16</v>
      </c>
      <c r="B10" s="12" t="s">
        <v>297</v>
      </c>
      <c r="C10" s="12" t="s">
        <v>307</v>
      </c>
      <c r="D10" s="41" t="s">
        <v>44</v>
      </c>
      <c r="E10" s="12" t="s">
        <v>341</v>
      </c>
      <c r="G10" s="131" t="s">
        <v>161</v>
      </c>
      <c r="H10" s="12">
        <f>+COUNTIF(E15:E114,"radio")</f>
        <v>0</v>
      </c>
      <c r="I10" s="12" t="str">
        <f>"); if (!$con)  {die('Could not connect: ' . mysql_error());} "</f>
        <v xml:space="preserve">); if (!$con)  {die('Could not connect: ' . mysql_error());} </v>
      </c>
      <c r="J10" s="12" t="str">
        <f>"'];"</f>
        <v>'];</v>
      </c>
      <c r="K10" s="131" t="s">
        <v>643</v>
      </c>
      <c r="L10" s="12" t="s">
        <v>1055</v>
      </c>
      <c r="O10" s="12" t="s">
        <v>600</v>
      </c>
      <c r="P10" s="61" t="s">
        <v>664</v>
      </c>
      <c r="Q10" s="116" t="s">
        <v>705</v>
      </c>
      <c r="R10" s="192" t="s">
        <v>312</v>
      </c>
      <c r="S10" s="12" t="s">
        <v>960</v>
      </c>
      <c r="T10" s="12" t="s">
        <v>1103</v>
      </c>
      <c r="U10" s="61" t="s">
        <v>860</v>
      </c>
    </row>
    <row r="11" spans="1:110" hidden="1">
      <c r="A11" s="12" t="s">
        <v>857</v>
      </c>
      <c r="B11" s="12" t="s">
        <v>298</v>
      </c>
      <c r="C11" s="131" t="s">
        <v>310</v>
      </c>
      <c r="D11" s="12" t="str">
        <f>"']);}else $"</f>
        <v>']);}else $</v>
      </c>
      <c r="E11" s="12" t="s">
        <v>80</v>
      </c>
      <c r="G11" s="12" t="s">
        <v>357</v>
      </c>
      <c r="H11" s="61" t="s">
        <v>381</v>
      </c>
      <c r="I11" s="12" t="str">
        <f>I7&amp;IF(L23=N5,I9,I8)&amp;I10</f>
        <v xml:space="preserve">$con=mysql_connect('localhost','healmy5_healmy5','jatter'); if (!$con)  {die('Could not connect: ' . mysql_error());} </v>
      </c>
      <c r="J11" s="12" t="s">
        <v>407</v>
      </c>
      <c r="K11" s="131" t="s">
        <v>644</v>
      </c>
      <c r="L11" s="12" t="s">
        <v>650</v>
      </c>
      <c r="M11" s="12" t="s">
        <v>593</v>
      </c>
      <c r="O11" s="12" t="s">
        <v>601</v>
      </c>
      <c r="P11" s="122" t="s">
        <v>665</v>
      </c>
      <c r="Q11" s="116" t="str">
        <f>"$_SESSION['"&amp;"a01unique"</f>
        <v>$_SESSION['a01unique</v>
      </c>
      <c r="R11" s="61" t="s">
        <v>877</v>
      </c>
      <c r="S11" s="12" t="s">
        <v>961</v>
      </c>
      <c r="T11" s="12" t="s">
        <v>1104</v>
      </c>
      <c r="U11" s="61" t="s">
        <v>861</v>
      </c>
    </row>
    <row r="12" spans="1:110" hidden="1">
      <c r="A12" s="12" t="s">
        <v>110</v>
      </c>
      <c r="B12" s="12" t="s">
        <v>300</v>
      </c>
      <c r="C12" s="12" t="s">
        <v>311</v>
      </c>
      <c r="D12" s="41" t="s">
        <v>67</v>
      </c>
      <c r="E12" s="12" t="s">
        <v>81</v>
      </c>
      <c r="G12" s="66" t="str">
        <f>IF(COUNTIF(E15:E114,M8)&gt;0,"session_true","")</f>
        <v>session_true</v>
      </c>
      <c r="H12" s="61" t="s">
        <v>382</v>
      </c>
      <c r="I12" s="116" t="s">
        <v>192</v>
      </c>
      <c r="J12" s="131" t="s">
        <v>672</v>
      </c>
      <c r="K12" s="39" t="s">
        <v>641</v>
      </c>
      <c r="L12" s="12" t="s">
        <v>651</v>
      </c>
      <c r="M12" s="12" t="s">
        <v>594</v>
      </c>
      <c r="O12" s="12" t="s">
        <v>602</v>
      </c>
      <c r="P12" s="122" t="s">
        <v>666</v>
      </c>
      <c r="Q12" s="116" t="str">
        <f>": '.$row['"</f>
        <v>: '.$row['</v>
      </c>
      <c r="R12" s="12" t="s">
        <v>880</v>
      </c>
      <c r="S12" s="41" t="s">
        <v>976</v>
      </c>
      <c r="T12" s="12" t="s">
        <v>1105</v>
      </c>
      <c r="U12" s="61" t="s">
        <v>862</v>
      </c>
    </row>
    <row r="13" spans="1:110" s="17" customFormat="1">
      <c r="AG13" s="17" t="s">
        <v>322</v>
      </c>
      <c r="AO13" s="17" t="s">
        <v>323</v>
      </c>
      <c r="AW13" s="17" t="str">
        <f>+BC20</f>
        <v>0:&lt;span id="adv_0"&gt;&lt;/span&gt;&lt;br/&gt;&lt;input type="radio" name="0" id="" value="" /&gt;</v>
      </c>
      <c r="BT13" s="17">
        <v>1</v>
      </c>
      <c r="BX13" s="42" t="s">
        <v>335</v>
      </c>
    </row>
    <row r="14" spans="1:110" s="17" customFormat="1" ht="45">
      <c r="B14" s="34" t="s">
        <v>127</v>
      </c>
      <c r="C14" s="34" t="s">
        <v>72</v>
      </c>
      <c r="D14" s="34" t="s">
        <v>128</v>
      </c>
      <c r="E14" s="34" t="s">
        <v>133</v>
      </c>
      <c r="F14" s="119" t="s">
        <v>1349</v>
      </c>
      <c r="G14" s="34" t="s">
        <v>134</v>
      </c>
      <c r="H14" s="119" t="s">
        <v>333</v>
      </c>
      <c r="I14" s="119" t="s">
        <v>658</v>
      </c>
      <c r="J14" s="34" t="s">
        <v>657</v>
      </c>
      <c r="L14" s="17" t="s">
        <v>712</v>
      </c>
      <c r="N14" s="174"/>
      <c r="Z14" s="34" t="s">
        <v>132</v>
      </c>
      <c r="AB14" s="47" t="s">
        <v>294</v>
      </c>
      <c r="AC14" s="52" t="s">
        <v>501</v>
      </c>
      <c r="AD14" s="97" t="s">
        <v>392</v>
      </c>
      <c r="AE14" s="71" t="s">
        <v>393</v>
      </c>
      <c r="AF14" s="91" t="s">
        <v>394</v>
      </c>
      <c r="AG14" s="71" t="s">
        <v>296</v>
      </c>
      <c r="AH14" s="71">
        <v>0</v>
      </c>
      <c r="AI14" s="71" t="s">
        <v>358</v>
      </c>
      <c r="AJ14" s="93" t="s">
        <v>295</v>
      </c>
      <c r="AK14" s="77" t="s">
        <v>374</v>
      </c>
      <c r="AL14" s="94" t="s">
        <v>372</v>
      </c>
      <c r="AM14" s="92" t="s">
        <v>1353</v>
      </c>
      <c r="AN14" s="92" t="s">
        <v>1354</v>
      </c>
      <c r="AO14" s="98" t="s">
        <v>325</v>
      </c>
      <c r="AP14" s="99" t="s">
        <v>328</v>
      </c>
      <c r="AQ14" s="99" t="s">
        <v>852</v>
      </c>
      <c r="AR14" s="68" t="s">
        <v>326</v>
      </c>
      <c r="AS14" s="91" t="s">
        <v>327</v>
      </c>
      <c r="AT14" s="101" t="s">
        <v>324</v>
      </c>
      <c r="AU14" s="147" t="s">
        <v>640</v>
      </c>
      <c r="AV14" s="147" t="s">
        <v>645</v>
      </c>
      <c r="AW14" s="147" t="s">
        <v>646</v>
      </c>
      <c r="AX14" s="146" t="s">
        <v>639</v>
      </c>
      <c r="AY14" s="101" t="s">
        <v>854</v>
      </c>
      <c r="AZ14" s="101" t="s">
        <v>855</v>
      </c>
      <c r="BA14" s="112" t="s">
        <v>309</v>
      </c>
      <c r="BB14" s="71" t="s">
        <v>317</v>
      </c>
      <c r="BC14" s="68" t="s">
        <v>319</v>
      </c>
      <c r="BD14" s="71" t="s">
        <v>360</v>
      </c>
      <c r="BE14" s="91" t="s">
        <v>329</v>
      </c>
      <c r="BF14" s="99" t="s">
        <v>697</v>
      </c>
      <c r="BG14" s="91" t="s">
        <v>364</v>
      </c>
      <c r="BH14" s="101" t="s">
        <v>330</v>
      </c>
      <c r="BI14" s="104" t="s">
        <v>354</v>
      </c>
      <c r="BJ14" s="106" t="s">
        <v>351</v>
      </c>
      <c r="BK14" s="106" t="s">
        <v>1024</v>
      </c>
      <c r="BL14" s="108" t="s">
        <v>320</v>
      </c>
      <c r="BM14" s="91" t="s">
        <v>321</v>
      </c>
      <c r="BN14" s="71" t="s">
        <v>363</v>
      </c>
      <c r="BO14" s="91" t="s">
        <v>331</v>
      </c>
      <c r="BP14" s="111" t="s">
        <v>332</v>
      </c>
      <c r="BQ14" s="104" t="s">
        <v>302</v>
      </c>
      <c r="BR14" s="71" t="s">
        <v>299</v>
      </c>
      <c r="BS14" s="71" t="s">
        <v>334</v>
      </c>
      <c r="BT14" s="71">
        <v>0</v>
      </c>
      <c r="BU14" s="71" t="s">
        <v>502</v>
      </c>
      <c r="BV14" s="71" t="s">
        <v>340</v>
      </c>
      <c r="BW14" s="71" t="s">
        <v>343</v>
      </c>
      <c r="BX14" s="112" t="s">
        <v>337</v>
      </c>
      <c r="BY14" s="71" t="s">
        <v>336</v>
      </c>
      <c r="BZ14" s="71" t="s">
        <v>339</v>
      </c>
      <c r="CA14" s="71" t="s">
        <v>345</v>
      </c>
      <c r="CB14" s="71" t="s">
        <v>346</v>
      </c>
      <c r="CC14" s="71" t="s">
        <v>349</v>
      </c>
      <c r="CD14" s="71" t="s">
        <v>975</v>
      </c>
      <c r="CE14" s="101" t="s">
        <v>350</v>
      </c>
      <c r="CF14" s="115" t="s">
        <v>362</v>
      </c>
      <c r="CG14" s="77" t="s">
        <v>383</v>
      </c>
      <c r="CH14" s="97" t="s">
        <v>386</v>
      </c>
      <c r="CI14" s="97" t="s">
        <v>384</v>
      </c>
      <c r="CJ14" s="97" t="s">
        <v>391</v>
      </c>
      <c r="CK14" s="97" t="s">
        <v>380</v>
      </c>
      <c r="CL14" s="97" t="s">
        <v>388</v>
      </c>
      <c r="CM14" s="114" t="s">
        <v>402</v>
      </c>
      <c r="CN14" s="118" t="s">
        <v>505</v>
      </c>
      <c r="CO14" s="77" t="s">
        <v>663</v>
      </c>
      <c r="CP14" s="77" t="s">
        <v>659</v>
      </c>
      <c r="CQ14" s="77" t="s">
        <v>660</v>
      </c>
      <c r="CR14" s="77" t="s">
        <v>661</v>
      </c>
      <c r="CS14" s="161" t="s">
        <v>673</v>
      </c>
      <c r="CT14" s="161" t="s">
        <v>674</v>
      </c>
      <c r="CU14" s="162" t="s">
        <v>681</v>
      </c>
      <c r="CV14" s="162" t="s">
        <v>682</v>
      </c>
      <c r="CW14" s="162" t="s">
        <v>683</v>
      </c>
      <c r="CX14" s="162" t="s">
        <v>879</v>
      </c>
      <c r="CY14" s="77" t="s">
        <v>678</v>
      </c>
      <c r="CZ14" s="114" t="s">
        <v>715</v>
      </c>
      <c r="DA14" s="17" t="s">
        <v>1048</v>
      </c>
      <c r="DB14" s="17" t="s">
        <v>1050</v>
      </c>
      <c r="DC14" s="17" t="s">
        <v>1049</v>
      </c>
      <c r="DD14" s="17" t="s">
        <v>1186</v>
      </c>
      <c r="DE14" s="263" t="s">
        <v>1351</v>
      </c>
      <c r="DF14" s="263" t="s">
        <v>1350</v>
      </c>
    </row>
    <row r="15" spans="1:110" s="17" customFormat="1">
      <c r="B15" s="89"/>
      <c r="C15" s="35" t="str">
        <f>+sessioncreator!C15</f>
        <v>user</v>
      </c>
      <c r="D15" s="36">
        <v>50</v>
      </c>
      <c r="E15" s="89" t="s">
        <v>361</v>
      </c>
      <c r="F15" s="89"/>
      <c r="G15" s="89"/>
      <c r="H15" s="89"/>
      <c r="J15" s="89" t="str">
        <f ca="1">+sessioncreator!B440</f>
        <v>$_SESSION["standard141509_Virgin_Mary_user"]</v>
      </c>
      <c r="K15" s="150"/>
      <c r="L15" s="35" t="s">
        <v>1356</v>
      </c>
      <c r="M15" s="44" t="s">
        <v>186</v>
      </c>
      <c r="N15" s="45" t="str">
        <f>+L15&amp;L19&amp;".php"</f>
        <v>Jesus1.php</v>
      </c>
      <c r="Z15" s="172" t="str">
        <f t="shared" ref="Z15:Z46" si="0">+IF(OR(E15="radio",E15="texto",E15="check",E15="selectlist",E15="bigtext",E15="session"),"VARCHAR",IF(E15="date","DATE",""))</f>
        <v>VARCHAR</v>
      </c>
      <c r="AB15" s="47" t="s">
        <v>194</v>
      </c>
      <c r="AC15" s="52" t="str">
        <f t="shared" ref="AC15:AC35" si="1">+IF(G15="si",BX15&amp;"=="&amp;$B$4,IF(AND(E15="radio",BB15&lt;&gt;""),B15&amp;"=="&amp;$B$4,""))</f>
        <v/>
      </c>
      <c r="AD15" s="52">
        <f>+IF(OR(E15=$M$2,E15=$M$6,E15=$M$7),1,0)</f>
        <v>0</v>
      </c>
      <c r="AE15" s="48">
        <f>+AD15</f>
        <v>0</v>
      </c>
      <c r="AF15" s="61" t="str">
        <f t="shared" ref="AF15:AF46" si="2">+IF(AD15=0,"",IF(AE15=1,"if (","else if (")&amp;C15&amp;$I$5&amp;C15&amp;$I$6)</f>
        <v/>
      </c>
      <c r="AG15" s="52">
        <f t="shared" ref="AG15:AG46" si="3">+IF(G15="si",1,IF(AND(E15="radio",BB15&lt;&gt;""),1,0))</f>
        <v>0</v>
      </c>
      <c r="AH15" s="52">
        <f t="shared" ref="AH15:AH46" si="4">+AG15+AH14</f>
        <v>0</v>
      </c>
      <c r="AI15" s="52" t="str">
        <f t="shared" ref="AI15:AI46" si="5">IF(AH14=0,"",IF(AH15=AH14,"","||"))</f>
        <v/>
      </c>
      <c r="AJ15" s="61" t="str">
        <f t="shared" ref="AJ15:AJ46" si="6">IF(AND($B$3&lt;&gt;"",E15&lt;&gt;"title"),AI15&amp;AC15,"")</f>
        <v/>
      </c>
      <c r="AK15" s="95" t="str">
        <f t="shared" ref="AK15:AK78" si="7">IF(E15="title","",IF(AND(E15="radio",B15&lt;&gt;""),AM15,IF(AND(B15&lt;&gt;"",E15="selectlist",G15="si"),AN15,IF(G15="si",AL15,""))))</f>
        <v/>
      </c>
      <c r="AL15" s="61" t="str">
        <f t="shared" ref="AL15:AL46" si="8">+$G$7&amp;AC15&amp;$G$8&amp;C15&amp;$G$9&amp;$C$5&amp;C15&amp;$H$6&amp;$H$5&amp;C15&amp;$H$7&amp;C15&amp;$H$8</f>
        <v>if () {$("#adv_user").html("Required");$("#user").css({"background":"yellow"});} else {$("#adv_user").html("");$("#user").css({"background":"white"});}</v>
      </c>
      <c r="AM15" s="61" t="str">
        <f t="shared" ref="AM15:AM46" si="9">$G$7&amp;B15&amp;"=="&amp;$B$4&amp;$G$8&amp;B15&amp;$G$9&amp;$H$11&amp;B15&amp;$H$6&amp;$H$5&amp;B15&amp;$B$10&amp;$B$11&amp;$H$9</f>
        <v>if (=="") {$("#adv_").html("Required");$("#adv_").css({"background":"yellow"});} else {$("#adv_").html("");}</v>
      </c>
      <c r="AN15" s="61" t="str">
        <f t="shared" ref="AN15:AN18" si="10">$G$7&amp;B15&amp;"=="&amp;$B$4&amp;$G$8&amp;B15&amp;$G$9&amp;$C$5&amp;B15&amp;$H$6&amp;$H$5&amp;B15&amp;$B$10&amp;$R$6&amp;$C$5&amp;B15&amp;$H$8</f>
        <v>if (=="") {$("#adv_").html("Required");$("#").css({"background":"yellow"});} else {$("#adv_").html("");$("#").css({"background":"white"});}</v>
      </c>
      <c r="AO15" s="50" t="str">
        <f t="shared" ref="AO15:AO46" si="11">IF(C15="","",B15&amp;$C$1&amp;C15&amp;$C$2&amp;C15&amp;$C$3)</f>
        <v>&lt;input type="text" id="user" name="user" size="15" /&gt;</v>
      </c>
      <c r="AP15" s="61" t="str">
        <f t="shared" ref="AP15:AP46" si="12">+C15&amp;$A$3&amp;C15&amp;$A$4</f>
        <v>user=$("#user").val();</v>
      </c>
      <c r="AQ15" s="61" t="str">
        <f t="shared" ref="AQ15:AQ46" si="13">IF(AND(E15="selectlist",B15&lt;&gt;""),B15&amp;$A$3&amp;B15&amp;$A$4,"")</f>
        <v/>
      </c>
      <c r="AR15" s="50" t="str">
        <f t="shared" ref="AR15:AR46" si="14">B15&amp;$C$4&amp;C15&amp;$C$2&amp;C15&amp;$C$10</f>
        <v>&lt;input type="checkbox" id="user" name="user" value="1" /&gt;</v>
      </c>
      <c r="AS15" s="61" t="str">
        <f t="shared" ref="AS15:AS46" si="15">+C15&amp;"="&amp;$D$6&amp;C15&amp;$D$7</f>
        <v>user=document.getElementById("user").checked;</v>
      </c>
      <c r="AT15" s="102" t="str">
        <f t="shared" ref="AT15:AT46" si="16">+$D$8&amp;C15&amp;$D$9&amp;C15&amp;$D$10&amp;C15&amp;$D$11&amp;C15&amp;$D$12</f>
        <v>if (isset($_GET['user'])) {$user=($_GET['user']);}else $user='';</v>
      </c>
      <c r="AU15" s="52" t="str">
        <f t="shared" ref="AU15:AU46" si="17">+IF(AND(B15&lt;&gt;"",E15=$M$5),B15,IF(AND(B15="",E15=$M$5),AU14,""))</f>
        <v/>
      </c>
      <c r="AV15" s="52" t="str">
        <f t="shared" ref="AV15:AV35" si="18">AU15&amp;$K$8&amp;AU15&amp;$C$11&amp;AU15&amp;$K$9&amp;$L$10&amp;$K$10&amp;C15&amp;$K$9&amp;C15&amp;$K$11</f>
        <v>&lt;select size="1" name="" id=""&gt;&lt;option value=""&gt;&lt;/option&gt;&lt;option value="user"&gt;user&lt;/option&gt;</v>
      </c>
      <c r="AW15" s="52" t="str">
        <f t="shared" ref="AW15:AW46" si="19">$K$10&amp;C15&amp;$K$9&amp;C15&amp;$K$11</f>
        <v>&lt;option value="user"&gt;user&lt;/option&gt;</v>
      </c>
      <c r="AX15" s="145" t="str">
        <f t="shared" ref="AX15:AX46" si="20">IF(AU15="","",IF(AND(AU15&lt;&gt;AU14,AU15&lt;&gt;""),AV15,IF(AU15=AU16,AW15,AW15&amp;$K$12)))</f>
        <v/>
      </c>
      <c r="AY15" s="102">
        <f t="shared" ref="AY15:AY35" si="21">+IF(AND(E15="selectlist",G15="si"),1,0)</f>
        <v>0</v>
      </c>
      <c r="AZ15" s="102">
        <f t="shared" ref="AZ15:AZ35" si="22">+IF(AND(E15="selectlist",B15=""),AZ14,AY15)</f>
        <v>0</v>
      </c>
      <c r="BA15" s="113">
        <f t="shared" ref="BA15:BA46" si="23">+IF(AND(B15="",E15="radio"),BA14,B15)</f>
        <v>0</v>
      </c>
      <c r="BB15" s="103" t="str">
        <f t="shared" ref="BB15:BB46" si="24">+IF(OR(AND(BA15=BA14,E15="radio"),AND(AU15=AU14,E15="selectlist")),"",BA15&amp;":")</f>
        <v>0:</v>
      </c>
      <c r="BC15" s="50" t="str">
        <f t="shared" ref="BC15:BC46" si="25">BB15&amp;IF(BB15="","",$C$6&amp;BA15&amp;$C$7&amp;"&lt;br/&gt;")&amp;C15&amp;$C$9&amp;BA15&amp;$C$11&amp;C15&amp;$C$12&amp;C15&amp;$D$1</f>
        <v>0:&lt;span id="adv_0"&gt;&lt;/span&gt;&lt;br/&gt;user&lt;input type="radio" name="0" id="user" value="user" /&gt;</v>
      </c>
      <c r="BD15" s="52" t="str">
        <f t="shared" ref="BD15:BD46" si="26">IF(BA15&lt;&gt;BA14,$D$2,"else "&amp;$D$2)</f>
        <v>if (document.getElementById("</v>
      </c>
      <c r="BE15" s="61" t="str">
        <f t="shared" ref="BE15:BE46" si="27">BD15&amp;C15&amp;$D$3&amp;BA15&amp;"="&amp;$D$4&amp;C15&amp;$D$5&amp;IF(AND(BB15="",BB16&lt;&gt;""),"else "&amp;BA15&amp;"="&amp;$B$4&amp;";","")</f>
        <v>if (document.getElementById("user").checked==true) {0="user";}</v>
      </c>
      <c r="BF15" s="61" t="str">
        <f t="shared" ref="BF15:BF46" si="28">+IF(BN15&lt;2,"",",")</f>
        <v/>
      </c>
      <c r="BG15" s="61" t="str">
        <f t="shared" ref="BG15:BG46" si="29">IF(BB15="","",BF15&amp;BB15&amp;LEFT(BB15,LEN(BB15)-1))</f>
        <v>0:0</v>
      </c>
      <c r="BH15" s="102" t="str">
        <f t="shared" ref="BH15:BH46" si="30">IF(BB15="","",$D$8&amp;BA15&amp;$D$9&amp;BA15&amp;$D$10&amp;BA15&amp;$D$11&amp;BA15&amp;$D$12)</f>
        <v>if (isset($_GET['0'])) {$0=($_GET['0']);}else $0='';</v>
      </c>
      <c r="BI15" s="105" t="str">
        <f t="shared" ref="BI15:BI46" si="31">+B15&amp;$G$5&amp;C15&amp;$G$6</f>
        <v>&lt;br/&gt;&lt;textarea rows="2" cols="80" id="user"&gt;&lt;/textarea&gt;&lt;br/&gt;</v>
      </c>
      <c r="BJ15" s="107" t="str">
        <f t="shared" ref="BJ15:BJ46" si="32">+B15&amp;$G$3&amp;C15&amp;$G$4</f>
        <v>&lt;input type="text"  size="7"  id="user" class="datepicker"/&gt;</v>
      </c>
      <c r="BK15" s="107" t="str">
        <f t="shared" ref="BK15:BK46" si="33">+$O$1&amp;C15&amp;$O$2&amp;B15&amp;$O$3</f>
        <v>&lt;h2 id="user"&gt;&lt;/h2&gt;</v>
      </c>
      <c r="BL15" s="39" t="str">
        <f>CS15&amp;IF(C15="","",IF(E15="check",AR15,IF(E15="texto",AO15,IF(E15="radio",BC15,IF(E15="date",BJ15,IF(E15="bigtext",BI15,IF(E15=$M$8,"",AX15)))))))&amp;CT15</f>
        <v/>
      </c>
      <c r="BM15" s="61" t="str">
        <f>IF(C15="","",IF(E15="texto",AP15,IF(E15="check",AS15,IF(E15="radio",BE15,IF(E15="date",AP15,IF(E15="bigtext",AP15,IF(E15=$M$8,"",AQ15)))))))</f>
        <v/>
      </c>
      <c r="BN15" s="110">
        <f>+IF(BM15="",0,1)</f>
        <v>0</v>
      </c>
      <c r="BO15" s="67" t="str">
        <f>IF(E15=$M$8,"",IF(E15="radio",BG15,C15&amp;":"&amp;C15))</f>
        <v/>
      </c>
      <c r="BP15" s="39" t="str">
        <f>IF(E15=$M$8,"",IF(C15="","",IF(OR(E15="radio",E15="selectlist"),BH15,AT15)))</f>
        <v/>
      </c>
      <c r="BQ15" s="39" t="str">
        <f>IF(BL15="","",IF(AZ15=1,IF(AU15&lt;&gt;AU16,$C$6&amp;AU15&amp;$C$7,""),IF(G15="si",$C$6&amp;C15&amp;$C$7,""))&amp;"&lt;br/&gt;")</f>
        <v/>
      </c>
      <c r="BR15" s="52" t="str">
        <f t="shared" ref="BR15:BR46" si="34">+IF(G15="si","required advise","")</f>
        <v/>
      </c>
      <c r="BS15" s="52">
        <f t="shared" ref="BS15:BS46" si="35">+IF(H15="si",1,0)</f>
        <v>0</v>
      </c>
      <c r="BT15" s="52">
        <f>+BS15</f>
        <v>0</v>
      </c>
      <c r="BU15" s="52" t="str">
        <f t="shared" ref="BU15:BU46" si="36">IF(BT14=0,"",IF(BT15=BT14,""," AND "))</f>
        <v/>
      </c>
      <c r="BV15" s="52" t="str">
        <f t="shared" ref="BV15:BV46" si="37">+IF(BU15=" AND ",$E$10,"")</f>
        <v/>
      </c>
      <c r="BW15" s="52" t="str">
        <f>IF(BW14="comma","",IF(BX15="","",","))</f>
        <v/>
      </c>
      <c r="BX15" s="113" t="str">
        <f>IF(E15="","",IF(OR(E15="radio",E15="selectlist"),IF(B15&lt;&gt;"",B15,""),C15))</f>
        <v>user</v>
      </c>
      <c r="BY15" s="52" t="str">
        <f t="shared" ref="BY15:BY46" si="38">IF(BS15=0,"",IF(BX15="","",BU15&amp;BX15&amp;"='$"&amp;BX15&amp;"'"))</f>
        <v/>
      </c>
      <c r="BZ15" s="52" t="str">
        <f t="shared" ref="BZ15:BZ46" si="39">+IF(BS15=0,"",BV15&amp;".$"&amp;BX15)</f>
        <v/>
      </c>
      <c r="CA15" s="39" t="str">
        <f>+BW15&amp;BX15</f>
        <v>user</v>
      </c>
      <c r="CB15" s="39" t="str">
        <f>IF(BX15="","",BW15&amp;"'$"&amp;BX15&amp;"'")</f>
        <v>'$user'</v>
      </c>
      <c r="CC15" s="52" t="str">
        <f t="shared" ref="CC15:CC46" si="40">IF(BX15="","","$"&amp;BX15)</f>
        <v>$user</v>
      </c>
      <c r="CD15" s="52" t="str">
        <f t="shared" ref="CD15:CD46" si="41">IF(C15="","",IF(OR(E15="texto",E15="bigtext"),CC15&amp;$S$12&amp;CC15&amp;");",""))</f>
        <v/>
      </c>
      <c r="CE15" s="102" t="str">
        <f>IF(BX15="","",IF(E15="check",$G$7&amp;"$"&amp;C15&amp;$K$6&amp;B15&amp;$K$7,$G$1&amp;B15&amp;$G$2&amp;CC15&amp;";"))</f>
        <v>echo ''.$user;</v>
      </c>
      <c r="CF15" s="116" t="str">
        <f t="shared" ref="CF15:CF46" ca="1" si="42">IF(E15=$M$8,"$"&amp;C15&amp;"="&amp;J15&amp;";","")</f>
        <v>$user=$_SESSION["standard141509_Virgin_Mary_user"];</v>
      </c>
      <c r="CG15" s="61" t="str">
        <f>+IF(OR(E15="texto",E15="bigtext",E15="selectlist",E15="date"),CJ15,IF(E15="check",CL15,CK15))</f>
        <v/>
      </c>
      <c r="CH15" s="52" t="str">
        <f t="shared" ref="CH15:CH18" si="43">IF(AND(E15="selectlist",B15&lt;&gt;""),$C$5&amp;B15&amp;$I$2,IF(OR(C15="",E15="selectlist"),"",$C$5&amp;C15&amp;$I$2))</f>
        <v>$("#user").val("");</v>
      </c>
      <c r="CI15" s="52" t="str">
        <f t="shared" ref="CI15:CI18" si="44">IF(AND(E15="selectlist",B15&lt;&gt;"",G15="si"),$H$11&amp;B15&amp;$H$12&amp;$C$5&amp;B15&amp;$I$1,IF(AND(G15="si",C15&lt;&gt;""),$H$11&amp;C15&amp;$H$12&amp;$C$5&amp;C15&amp;$I$1,""))</f>
        <v/>
      </c>
      <c r="CJ15" s="52" t="str">
        <f t="shared" ref="CJ15:CJ46" si="45">+CH15&amp;CI15</f>
        <v>$("#user").val("");</v>
      </c>
      <c r="CK15" s="52" t="str">
        <f t="shared" ref="CK15:CK46" si="46">IF(E15="radio",$D$6&amp;C15&amp;$I$3&amp;IF(B15="","",$H$11&amp;B15&amp;$H$12),"")</f>
        <v/>
      </c>
      <c r="CL15" s="52" t="str">
        <f t="shared" ref="CL15:CL46" si="47">IF(E15="check",$D$6&amp;C15&amp;$I$3,"")</f>
        <v/>
      </c>
      <c r="CM15" s="102" t="str">
        <f t="shared" ref="CM15:CM46" si="48">IF(OR(C15="",B15=""),"",$J$8&amp;BX15&amp;$J$9&amp;BX15&amp;$J$10)</f>
        <v/>
      </c>
      <c r="CN15" s="116" t="str">
        <f t="shared" ref="CN15:CN46" si="49">IF(B15="","",IF(E15="check",$K$1&amp;BX15&amp;$K$2&amp;$K$3&amp;" "&amp;$D$4&amp;B15&amp;$D$4&amp;$H$9,$K$4&amp;$D$4&amp;B15&amp;":"&amp;$D$4&amp;"."&amp;$K$5&amp;BX15&amp;$K$2&amp;"];"))</f>
        <v/>
      </c>
      <c r="CO15" s="61">
        <f>IF(AND(CO16=2,BA15=BA16),2,IF(IF(K16="si",1,0)=1,2,0))</f>
        <v>0</v>
      </c>
      <c r="CP15" s="61" t="str">
        <f t="shared" ref="CP15:CP23" si="50">IF(I15="si",IF(E14="radio",$G$7&amp;$D$6&amp;C14&amp;$P$10&amp;C15&amp;$P$11&amp;C15&amp;$P$9&amp;$P$12&amp;C15&amp;$P$9&amp;"=0;",IF(E14="selectlist",$G$7&amp;AU14&amp;$S$3&amp;C15,"")),"")</f>
        <v/>
      </c>
      <c r="CQ15" s="61" t="str">
        <f>+IF(K15="si","||"&amp;C15&amp;$P$9&amp;$Q$1,"")</f>
        <v/>
      </c>
      <c r="CR15" s="61" t="str">
        <f>+IF(K15="si",$G$7&amp;C15&amp;$P$11&amp;$C$5&amp;C15&amp;$C$8&amp;$Q$2&amp;C15&amp;$H$8,"")</f>
        <v/>
      </c>
      <c r="CS15" s="105" t="str">
        <f>+IF(K15="si",$A$9&amp;C15&amp;$P$9&amp;$J$12,"")</f>
        <v/>
      </c>
      <c r="CT15" s="105" t="str">
        <f>+IF(K15="si","&lt;/div&gt;","")</f>
        <v/>
      </c>
      <c r="CU15" s="61" t="str">
        <f>IF(K15="si",$C$5&amp;C15&amp;$P$9&amp;$H$4&amp;$C$5&amp;C15&amp;$Q$3,"")</f>
        <v/>
      </c>
      <c r="CV15" s="61" t="str">
        <f>+IF(CO15=2,CV16,IF(K15="si",C15,""))</f>
        <v/>
      </c>
      <c r="CW15" s="61" t="str">
        <f t="shared" ref="CW15:CW46" si="51">+IF(CO15=2,IF(CO16=0,C15,CW16),"")</f>
        <v/>
      </c>
      <c r="CX15" s="61" t="str">
        <f t="shared" ref="CX15:CX31" si="52">+IF(AND(E15="texto",I15="si",E14="selectlist"),$C$5&amp;AU14&amp;$Q$4&amp;AU14&amp;$R$12&amp;C14&amp;$S$1&amp;C15&amp;$P$9&amp;$Q$5&amp;C15&amp;$P$9&amp;$H$4&amp;"}})","")</f>
        <v/>
      </c>
      <c r="CY15" s="61" t="str">
        <f t="shared" ref="CY15:CY43" si="53">IF(E14="selectlist",CX15,IF(CO15=2,$C$5&amp;C15&amp;$Q$4&amp;CW15&amp;$D$3&amp;$C$5&amp;CV15&amp;$P$9&amp;$Q$5&amp;CV15&amp;$P$9&amp;$H$4&amp;"}})",""))</f>
        <v/>
      </c>
      <c r="CZ15" s="102" t="str">
        <f t="shared" ref="CZ15:CZ46" si="54">IF(OR(BX15="",E15="session",E15="title"),"",$G$1&amp;BX15&amp;$Q$12&amp;BX15&amp;$J$10)</f>
        <v/>
      </c>
      <c r="DA15" s="17">
        <f t="shared" ref="DA15:DA46" si="55">+LEN(C15)</f>
        <v>4</v>
      </c>
      <c r="DB15" s="17" t="str">
        <f t="shared" ref="DB15:DB48" si="56">+LOWER(C15)</f>
        <v>user</v>
      </c>
      <c r="DC15" s="17">
        <f t="shared" ref="DC15:DC38" si="57">IF(DB15&lt;&gt;"",COUNTIF($DB$15:$DB$114,DB15),0)</f>
        <v>1</v>
      </c>
      <c r="DD15" s="17">
        <f t="shared" ref="DD15:DD46" si="58">IF(OR(E15="radio",E15="selectlist"),LEN(C15),0)</f>
        <v>0</v>
      </c>
      <c r="DE15" s="17" t="str">
        <f t="shared" ref="DE15:DE46" si="59">+IF(AND(E15="radio",F15&lt;&gt;"",C15&lt;&gt;""),$G$7&amp;"$"&amp;BA15&amp;"=="&amp;$D$4&amp;C15&amp;$D$4&amp;") "&amp; "$"&amp;BA15&amp;"="&amp;$D$4&amp;F15&amp;$D$4&amp;";","")</f>
        <v/>
      </c>
      <c r="DF15" s="17" t="str">
        <f t="shared" ref="DF15:DF46" si="60">+IF(AND(E15="radio",F15&lt;&gt;"",C15&lt;&gt;""),$G$7&amp;"$row['"&amp;BA15&amp;"']=="&amp;$D$4&amp;C15&amp;$D$4&amp;") "&amp; "$row['"&amp;BA15&amp;"']="&amp;$D$4&amp;F15&amp;$D$4&amp;";","")</f>
        <v/>
      </c>
    </row>
    <row r="16" spans="1:110" s="17" customFormat="1">
      <c r="B16" s="89"/>
      <c r="C16" s="89" t="str">
        <f>IF(L29="si",unique_id!B16,"")</f>
        <v>tipo_doc_id</v>
      </c>
      <c r="D16" s="36">
        <f>+IF(L29="si",10,"")</f>
        <v>10</v>
      </c>
      <c r="E16" s="89" t="str">
        <f>+IF($L$29="si","session","")</f>
        <v>session</v>
      </c>
      <c r="F16" s="89"/>
      <c r="G16" s="89"/>
      <c r="H16" s="89"/>
      <c r="J16" s="89" t="str">
        <f>IF(L29="si",unique_id!L6&amp;unique_id!B16&amp;"']","")</f>
        <v>$_SESSION['a01healmy5_pray_tipo_doc_id']</v>
      </c>
      <c r="K16" s="150"/>
      <c r="L16" s="17" t="s">
        <v>711</v>
      </c>
      <c r="Z16" s="172" t="str">
        <f t="shared" si="0"/>
        <v>VARCHAR</v>
      </c>
      <c r="AB16" s="47" t="s">
        <v>195</v>
      </c>
      <c r="AC16" s="52" t="str">
        <f t="shared" si="1"/>
        <v/>
      </c>
      <c r="AD16" s="52">
        <f>+IF(OR(E16=$M$2,E16=$M$6,E16=$M$7),1,0)</f>
        <v>0</v>
      </c>
      <c r="AE16" s="52">
        <f t="shared" ref="AE16:AE47" si="61">+AE15+AD16</f>
        <v>0</v>
      </c>
      <c r="AF16" s="61" t="str">
        <f t="shared" si="2"/>
        <v/>
      </c>
      <c r="AG16" s="52">
        <f t="shared" si="3"/>
        <v>0</v>
      </c>
      <c r="AH16" s="52">
        <f t="shared" si="4"/>
        <v>0</v>
      </c>
      <c r="AI16" s="52" t="str">
        <f t="shared" si="5"/>
        <v/>
      </c>
      <c r="AJ16" s="61" t="str">
        <f t="shared" si="6"/>
        <v/>
      </c>
      <c r="AK16" s="95" t="str">
        <f t="shared" si="7"/>
        <v/>
      </c>
      <c r="AL16" s="61" t="str">
        <f t="shared" si="8"/>
        <v>if () {$("#adv_tipo_doc_id").html("Required");$("#tipo_doc_id").css({"background":"yellow"});} else {$("#adv_tipo_doc_id").html("");$("#tipo_doc_id").css({"background":"white"});}</v>
      </c>
      <c r="AM16" s="61" t="str">
        <f t="shared" si="9"/>
        <v>if (=="") {$("#adv_").html("Required");$("#adv_").css({"background":"yellow"});} else {$("#adv_").html("");}</v>
      </c>
      <c r="AN16" s="61" t="str">
        <f t="shared" si="10"/>
        <v>if (=="") {$("#adv_").html("Required");$("#").css({"background":"yellow"});} else {$("#adv_").html("");$("#").css({"background":"white"});}</v>
      </c>
      <c r="AO16" s="50" t="str">
        <f t="shared" si="11"/>
        <v>&lt;input type="text" id="tipo_doc_id" name="tipo_doc_id" size="15" /&gt;</v>
      </c>
      <c r="AP16" s="61" t="str">
        <f t="shared" si="12"/>
        <v>tipo_doc_id=$("#tipo_doc_id").val();</v>
      </c>
      <c r="AQ16" s="61" t="str">
        <f t="shared" si="13"/>
        <v/>
      </c>
      <c r="AR16" s="50" t="str">
        <f t="shared" si="14"/>
        <v>&lt;input type="checkbox" id="tipo_doc_id" name="tipo_doc_id" value="1" /&gt;</v>
      </c>
      <c r="AS16" s="61" t="str">
        <f t="shared" si="15"/>
        <v>tipo_doc_id=document.getElementById("tipo_doc_id").checked;</v>
      </c>
      <c r="AT16" s="102" t="str">
        <f t="shared" si="16"/>
        <v>if (isset($_GET['tipo_doc_id'])) {$tipo_doc_id=($_GET['tipo_doc_id']);}else $tipo_doc_id='';</v>
      </c>
      <c r="AU16" s="52" t="str">
        <f t="shared" si="17"/>
        <v/>
      </c>
      <c r="AV16" s="52" t="str">
        <f t="shared" si="18"/>
        <v>&lt;select size="1" name="" id=""&gt;&lt;option value=""&gt;&lt;/option&gt;&lt;option value="tipo_doc_id"&gt;tipo_doc_id&lt;/option&gt;</v>
      </c>
      <c r="AW16" s="52" t="str">
        <f t="shared" si="19"/>
        <v>&lt;option value="tipo_doc_id"&gt;tipo_doc_id&lt;/option&gt;</v>
      </c>
      <c r="AX16" s="145" t="str">
        <f t="shared" si="20"/>
        <v/>
      </c>
      <c r="AY16" s="102">
        <f t="shared" si="21"/>
        <v>0</v>
      </c>
      <c r="AZ16" s="102">
        <f t="shared" si="22"/>
        <v>0</v>
      </c>
      <c r="BA16" s="113">
        <f t="shared" si="23"/>
        <v>0</v>
      </c>
      <c r="BB16" s="103" t="str">
        <f t="shared" si="24"/>
        <v>0:</v>
      </c>
      <c r="BC16" s="50" t="str">
        <f t="shared" si="25"/>
        <v>0:&lt;span id="adv_0"&gt;&lt;/span&gt;&lt;br/&gt;tipo_doc_id&lt;input type="radio" name="0" id="tipo_doc_id" value="tipo_doc_id" /&gt;</v>
      </c>
      <c r="BD16" s="52" t="str">
        <f t="shared" si="26"/>
        <v>else if (document.getElementById("</v>
      </c>
      <c r="BE16" s="61" t="str">
        <f t="shared" si="27"/>
        <v>else if (document.getElementById("tipo_doc_id").checked==true) {0="tipo_doc_id";}</v>
      </c>
      <c r="BF16" s="61" t="str">
        <f t="shared" si="28"/>
        <v/>
      </c>
      <c r="BG16" s="61" t="str">
        <f t="shared" si="29"/>
        <v>0:0</v>
      </c>
      <c r="BH16" s="102" t="str">
        <f t="shared" si="30"/>
        <v>if (isset($_GET['0'])) {$0=($_GET['0']);}else $0='';</v>
      </c>
      <c r="BI16" s="105" t="str">
        <f t="shared" si="31"/>
        <v>&lt;br/&gt;&lt;textarea rows="2" cols="80" id="tipo_doc_id"&gt;&lt;/textarea&gt;&lt;br/&gt;</v>
      </c>
      <c r="BJ16" s="107" t="str">
        <f t="shared" si="32"/>
        <v>&lt;input type="text"  size="7"  id="tipo_doc_id" class="datepicker"/&gt;</v>
      </c>
      <c r="BK16" s="107" t="str">
        <f t="shared" si="33"/>
        <v>&lt;h2 id="tipo_doc_id"&gt;&lt;/h2&gt;</v>
      </c>
      <c r="BL16" s="39" t="str">
        <f>CS16&amp;IF(C16="","",IF(E16="check",AR16,IF(E16="texto",AO16,IF(E16="radio",BC16,IF(E16="date",BJ16,IF(E16="bigtext",BI16,IF(E16=$M$8,"",AX16)))))))&amp;CT16</f>
        <v/>
      </c>
      <c r="BM16" s="61" t="str">
        <f>IF(C16="","",IF(E16="texto",AP16,IF(E16="check",AS16,IF(E16="radio",BE16,IF(E16="date",AP16,IF(E16="bigtext",AP16,IF(E16=$M$8,"",AQ16)))))))</f>
        <v/>
      </c>
      <c r="BN16" s="52">
        <f t="shared" ref="BN16:BN47" si="62">+IF(BM16="",0,1)+BN15</f>
        <v>0</v>
      </c>
      <c r="BO16" s="61" t="str">
        <f>IF(E16=$M$8,"",IF(C16="","",IF(OR(E16="radio",E16="selectlist"),BG16,IF(BN16=1,"",",")&amp;C16&amp;":"&amp;C16)))</f>
        <v/>
      </c>
      <c r="BP16" s="39" t="str">
        <f>IF(E16=$M$8,"",IF(C16="","",IF(OR(E16="radio",E16="selectlist"),BH16,AT16)))</f>
        <v/>
      </c>
      <c r="BQ16" s="39" t="str">
        <f>IF(BL16="","",IF(AZ16=1,IF(AU16&lt;&gt;AU17,$C$6&amp;AU16&amp;$C$7,""),IF(G16="si",$C$6&amp;C16&amp;$C$7,""))&amp;"&lt;br/&gt;")</f>
        <v/>
      </c>
      <c r="BR16" s="52" t="str">
        <f t="shared" si="34"/>
        <v/>
      </c>
      <c r="BS16" s="52">
        <f t="shared" si="35"/>
        <v>0</v>
      </c>
      <c r="BT16" s="52">
        <f t="shared" ref="BT16:BT47" si="63">+BS16+BT15</f>
        <v>0</v>
      </c>
      <c r="BU16" s="52" t="str">
        <f t="shared" si="36"/>
        <v/>
      </c>
      <c r="BV16" s="52" t="str">
        <f t="shared" si="37"/>
        <v/>
      </c>
      <c r="BW16" s="52" t="str">
        <f t="shared" ref="BW16:BW47" si="64">+IF(BX16="","",",")</f>
        <v>,</v>
      </c>
      <c r="BX16" s="113" t="str">
        <f>IF(E16="","",IF(OR(E16="radio",E16="selectlist"),IF(B16&lt;&gt;"",B16,""),C16))</f>
        <v>tipo_doc_id</v>
      </c>
      <c r="BY16" s="52" t="str">
        <f t="shared" si="38"/>
        <v/>
      </c>
      <c r="BZ16" s="52" t="str">
        <f t="shared" si="39"/>
        <v/>
      </c>
      <c r="CA16" s="39" t="str">
        <f>+BW16&amp;BX16</f>
        <v>,tipo_doc_id</v>
      </c>
      <c r="CB16" s="39" t="str">
        <f>IF(BX16="","",BW16&amp;"'$"&amp;BX16&amp;"'")</f>
        <v>,'$tipo_doc_id'</v>
      </c>
      <c r="CC16" s="52" t="str">
        <f t="shared" si="40"/>
        <v>$tipo_doc_id</v>
      </c>
      <c r="CD16" s="52" t="str">
        <f t="shared" si="41"/>
        <v/>
      </c>
      <c r="CE16" s="102" t="str">
        <f>IF(BX16="","",IF(E16="check",$G$7&amp;"$"&amp;C16&amp;$K$6&amp;B16&amp;$K$7,$G$1&amp;B16&amp;$G$2&amp;CC16&amp;";"))</f>
        <v>echo ''.$tipo_doc_id;</v>
      </c>
      <c r="CF16" s="116" t="str">
        <f t="shared" si="42"/>
        <v>$tipo_doc_id=$_SESSION['a01healmy5_pray_tipo_doc_id'];</v>
      </c>
      <c r="CG16" s="61" t="str">
        <f>+IF(OR(E16="texto",E16="bigtext",E16="selectlist",E16="date"),CJ16,IF(E16="check",CL16,CK16))</f>
        <v/>
      </c>
      <c r="CH16" s="52" t="str">
        <f t="shared" si="43"/>
        <v>$("#tipo_doc_id").val("");</v>
      </c>
      <c r="CI16" s="52" t="str">
        <f t="shared" si="44"/>
        <v/>
      </c>
      <c r="CJ16" s="52" t="str">
        <f t="shared" si="45"/>
        <v>$("#tipo_doc_id").val("");</v>
      </c>
      <c r="CK16" s="52" t="str">
        <f t="shared" si="46"/>
        <v/>
      </c>
      <c r="CL16" s="52" t="str">
        <f t="shared" si="47"/>
        <v/>
      </c>
      <c r="CM16" s="102" t="str">
        <f t="shared" si="48"/>
        <v/>
      </c>
      <c r="CN16" s="116" t="str">
        <f t="shared" si="49"/>
        <v/>
      </c>
      <c r="CO16" s="61">
        <f>IF(AND(CO17=2,BA16=BA17),2,IF(IF(K17="si",1,0)=1,2,0))</f>
        <v>0</v>
      </c>
      <c r="CP16" s="61" t="str">
        <f t="shared" si="50"/>
        <v/>
      </c>
      <c r="CQ16" s="61" t="str">
        <f>+IF(K16="si","||"&amp;C16&amp;$P$9&amp;$Q$1,"")</f>
        <v/>
      </c>
      <c r="CR16" s="61" t="str">
        <f>+IF(K16="si",$G$7&amp;C16&amp;$P$11&amp;$C$5&amp;C16&amp;$C$8&amp;$Q$2&amp;C16&amp;$H$8,"")</f>
        <v/>
      </c>
      <c r="CS16" s="105" t="str">
        <f>+IF(K16="si",$A$9&amp;C16&amp;$P$9&amp;$J$12,"")</f>
        <v/>
      </c>
      <c r="CT16" s="105" t="str">
        <f>+IF(K16="si","&lt;/div&gt;","")</f>
        <v/>
      </c>
      <c r="CU16" s="61" t="str">
        <f>IF(K16="si",$C$5&amp;C16&amp;$P$9&amp;$H$4&amp;$C$5&amp;C16&amp;$Q$3,"")</f>
        <v/>
      </c>
      <c r="CV16" s="61" t="str">
        <f>+IF(CO16=2,CV17,IF(K16="si",C16,""))</f>
        <v/>
      </c>
      <c r="CW16" s="61" t="str">
        <f t="shared" si="51"/>
        <v/>
      </c>
      <c r="CX16" s="61" t="str">
        <f t="shared" si="52"/>
        <v/>
      </c>
      <c r="CY16" s="61" t="str">
        <f t="shared" si="53"/>
        <v/>
      </c>
      <c r="CZ16" s="102" t="str">
        <f t="shared" si="54"/>
        <v/>
      </c>
      <c r="DA16" s="17">
        <f t="shared" si="55"/>
        <v>11</v>
      </c>
      <c r="DB16" s="17" t="str">
        <f t="shared" si="56"/>
        <v>tipo_doc_id</v>
      </c>
      <c r="DC16" s="17">
        <f t="shared" si="57"/>
        <v>1</v>
      </c>
      <c r="DD16" s="17">
        <f t="shared" si="58"/>
        <v>0</v>
      </c>
      <c r="DE16" s="17" t="str">
        <f t="shared" si="59"/>
        <v/>
      </c>
      <c r="DF16" s="17" t="str">
        <f t="shared" si="60"/>
        <v/>
      </c>
    </row>
    <row r="17" spans="2:110" s="17" customFormat="1">
      <c r="B17" s="89"/>
      <c r="C17" s="89" t="str">
        <f>IF(L29="si",unique_id!C21,"")</f>
        <v>numd</v>
      </c>
      <c r="D17" s="36">
        <f>+IF(L29="si",50,"")</f>
        <v>50</v>
      </c>
      <c r="E17" s="89" t="str">
        <f>+IF($L$29="si","session","")</f>
        <v>session</v>
      </c>
      <c r="F17" s="89"/>
      <c r="G17" s="89"/>
      <c r="H17" s="89"/>
      <c r="J17" s="89" t="str">
        <f>IF(L29="si",unique_id!L6&amp;unique_id!C21&amp;"']","")</f>
        <v>$_SESSION['a01healmy5_pray_numd']</v>
      </c>
      <c r="K17" s="150"/>
      <c r="L17" s="35" t="s">
        <v>1357</v>
      </c>
      <c r="Z17" s="172" t="str">
        <f t="shared" si="0"/>
        <v>VARCHAR</v>
      </c>
      <c r="AB17" s="47" t="s">
        <v>196</v>
      </c>
      <c r="AC17" s="52" t="str">
        <f t="shared" si="1"/>
        <v/>
      </c>
      <c r="AD17" s="52">
        <f>+IF(OR(E17=$M$2,E17=$M$6,E17=$M$7),1,0)</f>
        <v>0</v>
      </c>
      <c r="AE17" s="52">
        <f t="shared" si="61"/>
        <v>0</v>
      </c>
      <c r="AF17" s="61" t="str">
        <f t="shared" si="2"/>
        <v/>
      </c>
      <c r="AG17" s="52">
        <f t="shared" si="3"/>
        <v>0</v>
      </c>
      <c r="AH17" s="52">
        <f t="shared" si="4"/>
        <v>0</v>
      </c>
      <c r="AI17" s="52" t="str">
        <f t="shared" si="5"/>
        <v/>
      </c>
      <c r="AJ17" s="61" t="str">
        <f t="shared" si="6"/>
        <v/>
      </c>
      <c r="AK17" s="95" t="str">
        <f t="shared" si="7"/>
        <v/>
      </c>
      <c r="AL17" s="61" t="str">
        <f t="shared" si="8"/>
        <v>if () {$("#adv_numd").html("Required");$("#numd").css({"background":"yellow"});} else {$("#adv_numd").html("");$("#numd").css({"background":"white"});}</v>
      </c>
      <c r="AM17" s="61" t="str">
        <f t="shared" si="9"/>
        <v>if (=="") {$("#adv_").html("Required");$("#adv_").css({"background":"yellow"});} else {$("#adv_").html("");}</v>
      </c>
      <c r="AN17" s="61" t="str">
        <f t="shared" si="10"/>
        <v>if (=="") {$("#adv_").html("Required");$("#").css({"background":"yellow"});} else {$("#adv_").html("");$("#").css({"background":"white"});}</v>
      </c>
      <c r="AO17" s="50" t="str">
        <f t="shared" si="11"/>
        <v>&lt;input type="text" id="numd" name="numd" size="15" /&gt;</v>
      </c>
      <c r="AP17" s="61" t="str">
        <f t="shared" si="12"/>
        <v>numd=$("#numd").val();</v>
      </c>
      <c r="AQ17" s="61" t="str">
        <f t="shared" si="13"/>
        <v/>
      </c>
      <c r="AR17" s="50" t="str">
        <f t="shared" si="14"/>
        <v>&lt;input type="checkbox" id="numd" name="numd" value="1" /&gt;</v>
      </c>
      <c r="AS17" s="61" t="str">
        <f t="shared" si="15"/>
        <v>numd=document.getElementById("numd").checked;</v>
      </c>
      <c r="AT17" s="102" t="str">
        <f t="shared" si="16"/>
        <v>if (isset($_GET['numd'])) {$numd=($_GET['numd']);}else $numd='';</v>
      </c>
      <c r="AU17" s="52" t="str">
        <f t="shared" si="17"/>
        <v/>
      </c>
      <c r="AV17" s="52" t="str">
        <f t="shared" si="18"/>
        <v>&lt;select size="1" name="" id=""&gt;&lt;option value=""&gt;&lt;/option&gt;&lt;option value="numd"&gt;numd&lt;/option&gt;</v>
      </c>
      <c r="AW17" s="52" t="str">
        <f t="shared" si="19"/>
        <v>&lt;option value="numd"&gt;numd&lt;/option&gt;</v>
      </c>
      <c r="AX17" s="145" t="str">
        <f t="shared" si="20"/>
        <v/>
      </c>
      <c r="AY17" s="102">
        <f t="shared" si="21"/>
        <v>0</v>
      </c>
      <c r="AZ17" s="102">
        <f t="shared" si="22"/>
        <v>0</v>
      </c>
      <c r="BA17" s="113">
        <f t="shared" si="23"/>
        <v>0</v>
      </c>
      <c r="BB17" s="103" t="str">
        <f t="shared" si="24"/>
        <v>0:</v>
      </c>
      <c r="BC17" s="50" t="str">
        <f t="shared" si="25"/>
        <v>0:&lt;span id="adv_0"&gt;&lt;/span&gt;&lt;br/&gt;numd&lt;input type="radio" name="0" id="numd" value="numd" /&gt;</v>
      </c>
      <c r="BD17" s="52" t="str">
        <f t="shared" si="26"/>
        <v>else if (document.getElementById("</v>
      </c>
      <c r="BE17" s="61" t="str">
        <f t="shared" si="27"/>
        <v>else if (document.getElementById("numd").checked==true) {0="numd";}</v>
      </c>
      <c r="BF17" s="61" t="str">
        <f t="shared" si="28"/>
        <v/>
      </c>
      <c r="BG17" s="61" t="str">
        <f t="shared" si="29"/>
        <v>0:0</v>
      </c>
      <c r="BH17" s="102" t="str">
        <f t="shared" si="30"/>
        <v>if (isset($_GET['0'])) {$0=($_GET['0']);}else $0='';</v>
      </c>
      <c r="BI17" s="105" t="str">
        <f t="shared" si="31"/>
        <v>&lt;br/&gt;&lt;textarea rows="2" cols="80" id="numd"&gt;&lt;/textarea&gt;&lt;br/&gt;</v>
      </c>
      <c r="BJ17" s="107" t="str">
        <f t="shared" si="32"/>
        <v>&lt;input type="text"  size="7"  id="numd" class="datepicker"/&gt;</v>
      </c>
      <c r="BK17" s="107" t="str">
        <f t="shared" si="33"/>
        <v>&lt;h2 id="numd"&gt;&lt;/h2&gt;</v>
      </c>
      <c r="BL17" s="39" t="str">
        <f>CS17&amp;IF(C17="","",IF(E17="check",AR17,IF(E17="texto",AO17,IF(E17="radio",BC17,IF(E17="date",BJ17,IF(E17="bigtext",BI17,IF(E17=$M$8,"",AX17)))))))&amp;CT17</f>
        <v/>
      </c>
      <c r="BM17" s="61" t="str">
        <f>IF(C17="","",IF(E17="texto",AP17,IF(E17="check",AS17,IF(E17="radio",BE17,IF(E17="date",AP17,IF(E17="bigtext",AP17,IF(E17=$M$8,"",AQ17)))))))</f>
        <v/>
      </c>
      <c r="BN17" s="52">
        <f t="shared" si="62"/>
        <v>0</v>
      </c>
      <c r="BO17" s="61" t="str">
        <f>IF(E17=$M$8,"",IF(C17="","",IF(OR(E17="radio",E17="selectlist"),BG17,IF(BN17=1,"",",")&amp;C17&amp;":"&amp;C17)))</f>
        <v/>
      </c>
      <c r="BP17" s="39" t="str">
        <f>IF(E17=$M$8,"",IF(C17="","",IF(OR(E17="radio",E17="selectlist"),BH17,AT17)))</f>
        <v/>
      </c>
      <c r="BQ17" s="39" t="str">
        <f>IF(BL17="","",IF(AZ17=1,IF(AU17&lt;&gt;AU18,$C$6&amp;AU17&amp;$C$7,""),IF(G17="si",$C$6&amp;C17&amp;$C$7,""))&amp;"&lt;br/&gt;")</f>
        <v/>
      </c>
      <c r="BR17" s="52" t="str">
        <f t="shared" si="34"/>
        <v/>
      </c>
      <c r="BS17" s="52">
        <f t="shared" si="35"/>
        <v>0</v>
      </c>
      <c r="BT17" s="52">
        <f t="shared" si="63"/>
        <v>0</v>
      </c>
      <c r="BU17" s="52" t="str">
        <f t="shared" si="36"/>
        <v/>
      </c>
      <c r="BV17" s="52" t="str">
        <f t="shared" si="37"/>
        <v/>
      </c>
      <c r="BW17" s="52" t="str">
        <f t="shared" si="64"/>
        <v>,</v>
      </c>
      <c r="BX17" s="113" t="str">
        <f>IF(E17="","",IF(OR(E17="radio",E17="selectlist"),IF(B17&lt;&gt;"",B17,""),C17))</f>
        <v>numd</v>
      </c>
      <c r="BY17" s="52" t="str">
        <f t="shared" si="38"/>
        <v/>
      </c>
      <c r="BZ17" s="52" t="str">
        <f t="shared" si="39"/>
        <v/>
      </c>
      <c r="CA17" s="39" t="str">
        <f>+BW17&amp;BX17</f>
        <v>,numd</v>
      </c>
      <c r="CB17" s="39" t="str">
        <f>IF(BX17="","",BW17&amp;"'$"&amp;BX17&amp;"'")</f>
        <v>,'$numd'</v>
      </c>
      <c r="CC17" s="52" t="str">
        <f t="shared" si="40"/>
        <v>$numd</v>
      </c>
      <c r="CD17" s="52" t="str">
        <f t="shared" si="41"/>
        <v/>
      </c>
      <c r="CE17" s="102" t="str">
        <f>IF(BX17="","",IF(E17="check",$G$7&amp;"$"&amp;C17&amp;$K$6&amp;B17&amp;$K$7,$G$1&amp;B17&amp;$G$2&amp;CC17&amp;";"))</f>
        <v>echo ''.$numd;</v>
      </c>
      <c r="CF17" s="116" t="str">
        <f t="shared" si="42"/>
        <v>$numd=$_SESSION['a01healmy5_pray_numd'];</v>
      </c>
      <c r="CG17" s="61" t="str">
        <f>+IF(OR(E17="texto",E17="bigtext",E17="selectlist",E17="date"),CJ17,IF(E17="check",CL17,CK17))</f>
        <v/>
      </c>
      <c r="CH17" s="52" t="str">
        <f t="shared" si="43"/>
        <v>$("#numd").val("");</v>
      </c>
      <c r="CI17" s="52" t="str">
        <f t="shared" si="44"/>
        <v/>
      </c>
      <c r="CJ17" s="52" t="str">
        <f t="shared" si="45"/>
        <v>$("#numd").val("");</v>
      </c>
      <c r="CK17" s="52" t="str">
        <f t="shared" si="46"/>
        <v/>
      </c>
      <c r="CL17" s="52" t="str">
        <f t="shared" si="47"/>
        <v/>
      </c>
      <c r="CM17" s="102" t="str">
        <f t="shared" si="48"/>
        <v/>
      </c>
      <c r="CN17" s="116" t="str">
        <f t="shared" si="49"/>
        <v/>
      </c>
      <c r="CO17" s="61">
        <f t="shared" ref="CO17:CO48" si="65">IF(AND(CO18=2,BA17=BA18),2,IF(IF(I18="si",1,0)=1,2,0))</f>
        <v>0</v>
      </c>
      <c r="CP17" s="61" t="str">
        <f t="shared" si="50"/>
        <v/>
      </c>
      <c r="CQ17" s="61" t="str">
        <f>+IF(K17="si","||"&amp;C17&amp;$P$9&amp;$Q$1,"")</f>
        <v/>
      </c>
      <c r="CR17" s="61" t="str">
        <f>+IF(K17="si",$G$7&amp;C17&amp;$P$11&amp;$C$5&amp;C17&amp;$C$8&amp;$Q$2&amp;C17&amp;$H$8,"")</f>
        <v/>
      </c>
      <c r="CS17" s="105" t="str">
        <f>+IF(K17="si",$A$9&amp;C17&amp;$P$9&amp;$J$12,"")</f>
        <v/>
      </c>
      <c r="CT17" s="105" t="str">
        <f>+IF(K17="si","&lt;/div&gt;","")</f>
        <v/>
      </c>
      <c r="CU17" s="61" t="str">
        <f>IF(K17="si",$C$5&amp;C17&amp;$P$9&amp;$H$4&amp;$C$5&amp;C17&amp;$Q$3,"")</f>
        <v/>
      </c>
      <c r="CV17" s="61" t="str">
        <f>+IF(CO17=2,CV18,IF(K17="si",C17,""))</f>
        <v/>
      </c>
      <c r="CW17" s="61" t="str">
        <f t="shared" si="51"/>
        <v/>
      </c>
      <c r="CX17" s="61" t="str">
        <f t="shared" si="52"/>
        <v/>
      </c>
      <c r="CY17" s="61" t="str">
        <f t="shared" si="53"/>
        <v/>
      </c>
      <c r="CZ17" s="102" t="str">
        <f t="shared" si="54"/>
        <v/>
      </c>
      <c r="DA17" s="17">
        <f t="shared" si="55"/>
        <v>4</v>
      </c>
      <c r="DB17" s="17" t="str">
        <f t="shared" si="56"/>
        <v>numd</v>
      </c>
      <c r="DC17" s="17">
        <f t="shared" si="57"/>
        <v>1</v>
      </c>
      <c r="DD17" s="17">
        <f t="shared" si="58"/>
        <v>0</v>
      </c>
      <c r="DE17" s="17" t="str">
        <f t="shared" si="59"/>
        <v/>
      </c>
      <c r="DF17" s="17" t="str">
        <f t="shared" si="60"/>
        <v/>
      </c>
    </row>
    <row r="18" spans="2:110" s="17" customFormat="1">
      <c r="B18" s="89" t="s">
        <v>853</v>
      </c>
      <c r="C18" s="89" t="s">
        <v>796</v>
      </c>
      <c r="D18" s="36"/>
      <c r="E18" s="89" t="s">
        <v>131</v>
      </c>
      <c r="F18" s="89"/>
      <c r="G18" s="89"/>
      <c r="H18" s="35"/>
      <c r="J18" s="59"/>
      <c r="L18" s="17" t="s">
        <v>710</v>
      </c>
      <c r="Z18" s="89" t="str">
        <f t="shared" si="0"/>
        <v>DATE</v>
      </c>
      <c r="AB18" s="47" t="s">
        <v>197</v>
      </c>
      <c r="AC18" s="52" t="str">
        <f t="shared" si="1"/>
        <v/>
      </c>
      <c r="AD18" s="39">
        <v>0</v>
      </c>
      <c r="AE18" s="52">
        <f t="shared" si="61"/>
        <v>0</v>
      </c>
      <c r="AF18" s="61" t="str">
        <f t="shared" si="2"/>
        <v/>
      </c>
      <c r="AG18" s="52">
        <f t="shared" si="3"/>
        <v>0</v>
      </c>
      <c r="AH18" s="52">
        <f t="shared" si="4"/>
        <v>0</v>
      </c>
      <c r="AI18" s="52" t="str">
        <f t="shared" si="5"/>
        <v/>
      </c>
      <c r="AJ18" s="61" t="str">
        <f t="shared" si="6"/>
        <v/>
      </c>
      <c r="AK18" s="95" t="str">
        <f t="shared" si="7"/>
        <v/>
      </c>
      <c r="AL18" s="61" t="str">
        <f t="shared" si="8"/>
        <v>if () {$("#adv_tms_1").html("Required");$("#tms_1").css({"background":"yellow"});} else {$("#adv_tms_1").html("");$("#tms_1").css({"background":"white"});}</v>
      </c>
      <c r="AM18" s="61" t="str">
        <f t="shared" si="9"/>
        <v>if (Timestamp (not shown)=="") {$("#adv_Timestamp (not shown)").html("Required");$("#adv_Timestamp (not shown)").css({"background":"yellow"});} else {$("#adv_Timestamp (not shown)").html("");}</v>
      </c>
      <c r="AN18" s="61" t="str">
        <f t="shared" si="10"/>
        <v>if (Timestamp (not shown)=="") {$("#adv_Timestamp (not shown)").html("Required");$("#Timestamp (not shown)").css({"background":"yellow"});} else {$("#adv_Timestamp (not shown)").html("");$("#Timestamp (not shown)").css({"background":"white"});}</v>
      </c>
      <c r="AO18" s="50" t="str">
        <f t="shared" si="11"/>
        <v>Timestamp (not shown)&lt;input type="text" id="tms_1" name="tms_1" size="15" /&gt;</v>
      </c>
      <c r="AP18" s="61" t="str">
        <f t="shared" si="12"/>
        <v>tms_1=$("#tms_1").val();</v>
      </c>
      <c r="AQ18" s="61" t="str">
        <f t="shared" si="13"/>
        <v/>
      </c>
      <c r="AR18" s="50" t="str">
        <f t="shared" si="14"/>
        <v>Timestamp (not shown)&lt;input type="checkbox" id="tms_1" name="tms_1" value="1" /&gt;</v>
      </c>
      <c r="AS18" s="61" t="str">
        <f t="shared" si="15"/>
        <v>tms_1=document.getElementById("tms_1").checked;</v>
      </c>
      <c r="AT18" s="102" t="str">
        <f t="shared" si="16"/>
        <v>if (isset($_GET['tms_1'])) {$tms_1=($_GET['tms_1']);}else $tms_1='';</v>
      </c>
      <c r="AU18" s="52" t="str">
        <f t="shared" si="17"/>
        <v/>
      </c>
      <c r="AV18" s="52" t="str">
        <f t="shared" si="18"/>
        <v>&lt;select size="1" name="" id=""&gt;&lt;option value=""&gt;&lt;/option&gt;&lt;option value="tms_1"&gt;tms_1&lt;/option&gt;</v>
      </c>
      <c r="AW18" s="52" t="str">
        <f t="shared" si="19"/>
        <v>&lt;option value="tms_1"&gt;tms_1&lt;/option&gt;</v>
      </c>
      <c r="AX18" s="145" t="str">
        <f t="shared" si="20"/>
        <v/>
      </c>
      <c r="AY18" s="102">
        <f t="shared" si="21"/>
        <v>0</v>
      </c>
      <c r="AZ18" s="102">
        <f t="shared" si="22"/>
        <v>0</v>
      </c>
      <c r="BA18" s="113" t="str">
        <f t="shared" si="23"/>
        <v>Timestamp (not shown)</v>
      </c>
      <c r="BB18" s="103" t="str">
        <f t="shared" si="24"/>
        <v>Timestamp (not shown):</v>
      </c>
      <c r="BC18" s="50" t="str">
        <f t="shared" si="25"/>
        <v>Timestamp (not shown):&lt;span id="adv_Timestamp (not shown)"&gt;&lt;/span&gt;&lt;br/&gt;tms_1&lt;input type="radio" name="Timestamp (not shown)" id="tms_1" value="tms_1" /&gt;</v>
      </c>
      <c r="BD18" s="52" t="str">
        <f t="shared" si="26"/>
        <v>if (document.getElementById("</v>
      </c>
      <c r="BE18" s="61" t="str">
        <f t="shared" si="27"/>
        <v>if (document.getElementById("tms_1").checked==true) {Timestamp (not shown)="tms_1";}</v>
      </c>
      <c r="BF18" s="61" t="str">
        <f t="shared" si="28"/>
        <v/>
      </c>
      <c r="BG18" s="61" t="str">
        <f t="shared" si="29"/>
        <v>Timestamp (not shown):Timestamp (not shown)</v>
      </c>
      <c r="BH18" s="102" t="str">
        <f t="shared" si="30"/>
        <v>if (isset($_GET['Timestamp (not shown)'])) {$Timestamp (not shown)=($_GET['Timestamp (not shown)']);}else $Timestamp (not shown)='';</v>
      </c>
      <c r="BI18" s="105" t="str">
        <f t="shared" si="31"/>
        <v>Timestamp (not shown)&lt;br/&gt;&lt;textarea rows="2" cols="80" id="tms_1"&gt;&lt;/textarea&gt;&lt;br/&gt;</v>
      </c>
      <c r="BJ18" s="107" t="str">
        <f t="shared" si="32"/>
        <v>Timestamp (not shown)&lt;input type="text"  size="7"  id="tms_1" class="datepicker"/&gt;</v>
      </c>
      <c r="BK18" s="107" t="str">
        <f t="shared" si="33"/>
        <v>&lt;h2 id="tms_1"&gt;Timestamp (not shown)&lt;/h2&gt;</v>
      </c>
      <c r="BL18" s="39" t="str">
        <f>""</f>
        <v/>
      </c>
      <c r="BM18" s="39" t="str">
        <f>""</f>
        <v/>
      </c>
      <c r="BN18" s="52">
        <f t="shared" si="62"/>
        <v>0</v>
      </c>
      <c r="BO18" s="39" t="str">
        <f>""</f>
        <v/>
      </c>
      <c r="BP18" s="39" t="str">
        <f>+"$"&amp;C18&amp;R8</f>
        <v>$tms_1=date("Y/m/d");</v>
      </c>
      <c r="BQ18" s="39" t="str">
        <f>""</f>
        <v/>
      </c>
      <c r="BR18" s="52" t="str">
        <f t="shared" si="34"/>
        <v/>
      </c>
      <c r="BS18" s="52">
        <f t="shared" si="35"/>
        <v>0</v>
      </c>
      <c r="BT18" s="52">
        <f t="shared" si="63"/>
        <v>0</v>
      </c>
      <c r="BU18" s="52" t="str">
        <f t="shared" si="36"/>
        <v/>
      </c>
      <c r="BV18" s="52" t="str">
        <f t="shared" si="37"/>
        <v/>
      </c>
      <c r="BW18" s="52" t="str">
        <f t="shared" si="64"/>
        <v>,</v>
      </c>
      <c r="BX18" s="113" t="str">
        <f>IF(E18="","",IF(OR(E18="radio",E18="selectlist"),IF(B18&lt;&gt;"",B18,""),C18))</f>
        <v>tms_1</v>
      </c>
      <c r="BY18" s="52" t="str">
        <f t="shared" si="38"/>
        <v/>
      </c>
      <c r="BZ18" s="52" t="str">
        <f t="shared" si="39"/>
        <v/>
      </c>
      <c r="CA18" s="39" t="str">
        <f>+BW18&amp;BX18</f>
        <v>,tms_1</v>
      </c>
      <c r="CB18" s="39" t="str">
        <f>IF(BX18="","",BW18&amp;"'$"&amp;BX18&amp;"'")</f>
        <v>,'$tms_1'</v>
      </c>
      <c r="CC18" s="52" t="str">
        <f t="shared" si="40"/>
        <v>$tms_1</v>
      </c>
      <c r="CD18" s="52" t="str">
        <f t="shared" si="41"/>
        <v/>
      </c>
      <c r="CE18" s="39" t="str">
        <f>IF(BX18="","",IF(E18="check",$G$7&amp;"$"&amp;C18&amp;$K$6&amp;B18&amp;$K$7,$G$1&amp;B18&amp;$G$2&amp;CC18&amp;";"))</f>
        <v>echo 'Timestamp (not shown)'.$tms_1;</v>
      </c>
      <c r="CF18" s="116" t="str">
        <f t="shared" si="42"/>
        <v/>
      </c>
      <c r="CG18" s="39"/>
      <c r="CH18" s="52" t="str">
        <f t="shared" si="43"/>
        <v>$("#tms_1").val("");</v>
      </c>
      <c r="CI18" s="52" t="str">
        <f t="shared" si="44"/>
        <v/>
      </c>
      <c r="CJ18" s="52" t="str">
        <f t="shared" si="45"/>
        <v>$("#tms_1").val("");</v>
      </c>
      <c r="CK18" s="52" t="str">
        <f t="shared" si="46"/>
        <v/>
      </c>
      <c r="CL18" s="52" t="str">
        <f t="shared" si="47"/>
        <v/>
      </c>
      <c r="CM18" s="102" t="str">
        <f t="shared" si="48"/>
        <v>$call_tms_1=$row['tms_1'];</v>
      </c>
      <c r="CN18" s="116" t="str">
        <f t="shared" si="49"/>
        <v>echo "Timestamp (not shown):".$row['tms_1'];</v>
      </c>
      <c r="CO18" s="61">
        <f t="shared" si="65"/>
        <v>0</v>
      </c>
      <c r="CP18" s="61" t="str">
        <f t="shared" si="50"/>
        <v/>
      </c>
      <c r="CQ18" s="61" t="str">
        <f t="shared" ref="CQ18:CQ49" si="66">+IF(I18="si","||"&amp;C18&amp;$P$9&amp;$Q$1,"")</f>
        <v/>
      </c>
      <c r="CR18" s="61" t="str">
        <f t="shared" ref="CR18:CR49" si="67">+IF(I18="si",$G$7&amp;C18&amp;$P$11&amp;$C$5&amp;C18&amp;$C$8&amp;$Q$2&amp;C18&amp;$H$8,"")</f>
        <v/>
      </c>
      <c r="CS18" s="105" t="str">
        <f t="shared" ref="CS18:CS49" si="68">+IF(I18="si",$A$9&amp;C18&amp;$P$9&amp;$J$12,"")</f>
        <v/>
      </c>
      <c r="CT18" s="105" t="str">
        <f t="shared" ref="CT18:CT49" si="69">+IF(I18="si","&lt;/div&gt;","")</f>
        <v/>
      </c>
      <c r="CU18" s="61" t="str">
        <f t="shared" ref="CU18:CU49" si="70">IF(I18="si",$C$5&amp;C18&amp;$P$9&amp;$H$4&amp;$C$5&amp;C18&amp;$Q$3,"")</f>
        <v/>
      </c>
      <c r="CV18" s="61" t="str">
        <f t="shared" ref="CV18:CV49" si="71">+IF(CO18=2,CV19,IF(I18="si",C18,""))</f>
        <v/>
      </c>
      <c r="CW18" s="61" t="str">
        <f t="shared" si="51"/>
        <v/>
      </c>
      <c r="CX18" s="61" t="str">
        <f t="shared" si="52"/>
        <v/>
      </c>
      <c r="CY18" s="61" t="str">
        <f t="shared" si="53"/>
        <v/>
      </c>
      <c r="CZ18" s="102" t="str">
        <f t="shared" si="54"/>
        <v>echo 'tms_1: '.$row['tms_1'];</v>
      </c>
      <c r="DA18" s="17">
        <f t="shared" si="55"/>
        <v>5</v>
      </c>
      <c r="DB18" s="17" t="str">
        <f t="shared" si="56"/>
        <v>tms_1</v>
      </c>
      <c r="DC18" s="17">
        <f t="shared" si="57"/>
        <v>1</v>
      </c>
      <c r="DD18" s="17">
        <f t="shared" si="58"/>
        <v>0</v>
      </c>
      <c r="DE18" s="17" t="str">
        <f t="shared" si="59"/>
        <v/>
      </c>
      <c r="DF18" s="17" t="str">
        <f t="shared" si="60"/>
        <v/>
      </c>
    </row>
    <row r="19" spans="2:110" s="17" customFormat="1">
      <c r="B19" s="35"/>
      <c r="C19" s="35"/>
      <c r="D19" s="36"/>
      <c r="E19" s="35"/>
      <c r="F19" s="35"/>
      <c r="G19" s="35"/>
      <c r="H19" s="35"/>
      <c r="I19" s="35"/>
      <c r="J19" s="59"/>
      <c r="L19" s="35">
        <v>1</v>
      </c>
      <c r="M19" s="43" t="s">
        <v>190</v>
      </c>
      <c r="N19" s="42" t="str">
        <f>+"check"&amp;L19</f>
        <v>check1</v>
      </c>
      <c r="Z19" s="172" t="str">
        <f t="shared" si="0"/>
        <v/>
      </c>
      <c r="AB19" s="47" t="s">
        <v>198</v>
      </c>
      <c r="AC19" s="52" t="str">
        <f t="shared" si="1"/>
        <v/>
      </c>
      <c r="AD19" s="52">
        <f t="shared" ref="AD19:AD50" si="72">+IF(OR(E19=$M$2,E19=$M$6,E19=$M$7),1,0)</f>
        <v>0</v>
      </c>
      <c r="AE19" s="52">
        <f t="shared" si="61"/>
        <v>0</v>
      </c>
      <c r="AF19" s="61" t="str">
        <f t="shared" si="2"/>
        <v/>
      </c>
      <c r="AG19" s="52">
        <f t="shared" si="3"/>
        <v>0</v>
      </c>
      <c r="AH19" s="52">
        <f t="shared" si="4"/>
        <v>0</v>
      </c>
      <c r="AI19" s="52" t="str">
        <f t="shared" si="5"/>
        <v/>
      </c>
      <c r="AJ19" s="61" t="str">
        <f t="shared" si="6"/>
        <v/>
      </c>
      <c r="AK19" s="95" t="str">
        <f t="shared" si="7"/>
        <v/>
      </c>
      <c r="AL19" s="61" t="str">
        <f t="shared" si="8"/>
        <v>if () {$("#adv_").html("Required");$("#").css({"background":"yellow"});} else {$("#adv_").html("");$("#").css({"background":"white"});}</v>
      </c>
      <c r="AM19" s="61" t="str">
        <f>$G$7&amp;B19&amp;"=="&amp;$B$4&amp;$G$8&amp;B19&amp;$G$9&amp;$H$11&amp;B19&amp;$H$6&amp;$H$5&amp;B19&amp;$B$10&amp;$B$11&amp;$H$9</f>
        <v>if (=="") {$("#adv_").html("Required");$("#adv_").css({"background":"yellow"});} else {$("#adv_").html("");}</v>
      </c>
      <c r="AN19" s="61" t="str">
        <f>$G$7&amp;B19&amp;"=="&amp;$B$4&amp;$G$8&amp;B19&amp;$G$9&amp;$C$5&amp;B19&amp;$H$6&amp;$H$5&amp;B19&amp;$B$10&amp;$R$6&amp;$C$5&amp;B19&amp;$H$8</f>
        <v>if (=="") {$("#adv_").html("Required");$("#").css({"background":"yellow"});} else {$("#adv_").html("");$("#").css({"background":"white"});}</v>
      </c>
      <c r="AO19" s="50" t="str">
        <f t="shared" si="11"/>
        <v/>
      </c>
      <c r="AP19" s="61" t="str">
        <f t="shared" si="12"/>
        <v>=$("#").val();</v>
      </c>
      <c r="AQ19" s="61" t="str">
        <f t="shared" si="13"/>
        <v/>
      </c>
      <c r="AR19" s="50" t="str">
        <f t="shared" si="14"/>
        <v>&lt;input type="checkbox" id="" name="" value="1" /&gt;</v>
      </c>
      <c r="AS19" s="61" t="str">
        <f t="shared" si="15"/>
        <v>=document.getElementById("").checked;</v>
      </c>
      <c r="AT19" s="102" t="str">
        <f t="shared" si="16"/>
        <v>if (isset($_GET[''])) {$=($_GET['']);}else $='';</v>
      </c>
      <c r="AU19" s="52" t="str">
        <f t="shared" si="17"/>
        <v/>
      </c>
      <c r="AV19" s="52" t="str">
        <f t="shared" si="18"/>
        <v>&lt;select size="1" name="" id=""&gt;&lt;option value=""&gt;&lt;/option&gt;&lt;option value=""&gt;&lt;/option&gt;</v>
      </c>
      <c r="AW19" s="52" t="str">
        <f t="shared" si="19"/>
        <v>&lt;option value=""&gt;&lt;/option&gt;</v>
      </c>
      <c r="AX19" s="145" t="str">
        <f t="shared" si="20"/>
        <v/>
      </c>
      <c r="AY19" s="102">
        <f t="shared" si="21"/>
        <v>0</v>
      </c>
      <c r="AZ19" s="102">
        <f t="shared" si="22"/>
        <v>0</v>
      </c>
      <c r="BA19" s="113">
        <f t="shared" si="23"/>
        <v>0</v>
      </c>
      <c r="BB19" s="103" t="str">
        <f t="shared" si="24"/>
        <v>0:</v>
      </c>
      <c r="BC19" s="50" t="str">
        <f t="shared" si="25"/>
        <v>0:&lt;span id="adv_0"&gt;&lt;/span&gt;&lt;br/&gt;&lt;input type="radio" name="0" id="" value="" /&gt;</v>
      </c>
      <c r="BD19" s="52" t="str">
        <f t="shared" si="26"/>
        <v>if (document.getElementById("</v>
      </c>
      <c r="BE19" s="61" t="str">
        <f t="shared" si="27"/>
        <v>if (document.getElementById("").checked==true) {0="";}</v>
      </c>
      <c r="BF19" s="61" t="str">
        <f t="shared" si="28"/>
        <v/>
      </c>
      <c r="BG19" s="61" t="str">
        <f t="shared" si="29"/>
        <v>0:0</v>
      </c>
      <c r="BH19" s="102" t="str">
        <f t="shared" si="30"/>
        <v>if (isset($_GET['0'])) {$0=($_GET['0']);}else $0='';</v>
      </c>
      <c r="BI19" s="105" t="str">
        <f t="shared" si="31"/>
        <v>&lt;br/&gt;&lt;textarea rows="2" cols="80" id=""&gt;&lt;/textarea&gt;&lt;br/&gt;</v>
      </c>
      <c r="BJ19" s="107" t="str">
        <f t="shared" si="32"/>
        <v>&lt;input type="text"  size="7"  id="" class="datepicker"/&gt;</v>
      </c>
      <c r="BK19" s="107" t="str">
        <f t="shared" si="33"/>
        <v>&lt;h2 id=""&gt;&lt;/h2&gt;</v>
      </c>
      <c r="BL19" s="109" t="str">
        <f t="shared" ref="BL19:BL50" si="73">IF(AND(E19="title",B19&lt;&gt;"",C19&lt;&gt;""),BK19,CS19&amp;IF(C19="","",IF(E19="check",AR19,IF(E19="texto",AO19,IF(E19="radio",BC19,IF(E19="date",BJ19,IF(E19="bigtext",BI19,IF(E19=$M$8,"",AX19)))))))&amp;CT19)</f>
        <v/>
      </c>
      <c r="BM19" s="61" t="str">
        <f t="shared" ref="BM19:BM50" si="74">IF(C19="","",IF(E19="texto",AP19,IF(E19="check",AS19,IF(E19="radio",BE19,IF(E19="date",AP19,IF(E19="bigtext",AP19,IF(E19=$M$8,"",AQ19)))))))</f>
        <v/>
      </c>
      <c r="BN19" s="52">
        <f t="shared" si="62"/>
        <v>0</v>
      </c>
      <c r="BO19" s="61" t="str">
        <f t="shared" ref="BO19:BO50" si="75">IF(E19="title","",IF(E19=$M$8,"",IF(C19="","",IF(OR(E19="radio",E19="selectlist"),BG19,IF(BN19=1,"",",")&amp;C19&amp;":"&amp;C19))))</f>
        <v/>
      </c>
      <c r="BP19" s="102" t="str">
        <f t="shared" ref="BP19:BP50" si="76">IF(AND(E19="title",C19&lt;&gt;"",B19&lt;&gt;""),"",IF(E19=$M$8,"",IF(C19="","",IF(OR(E19="radio",E19="selectlist"),BH19,AT19))))</f>
        <v/>
      </c>
      <c r="BQ19" s="105" t="str">
        <f t="shared" ref="BQ19:BQ50" si="77">IF(AND(E19="title",C19&lt;&gt;"",B19&lt;&gt;""),"",IF(BL19="","",IF(AZ19=1,IF(AU19&lt;&gt;AU20,$C$6&amp;AU19&amp;$C$7,""),IF(G19="si",$C$6&amp;C19&amp;$C$7,""))&amp;"&lt;br/&gt;"))</f>
        <v/>
      </c>
      <c r="BR19" s="52" t="str">
        <f t="shared" si="34"/>
        <v/>
      </c>
      <c r="BS19" s="52">
        <f t="shared" si="35"/>
        <v>0</v>
      </c>
      <c r="BT19" s="52">
        <f t="shared" si="63"/>
        <v>0</v>
      </c>
      <c r="BU19" s="52" t="str">
        <f t="shared" si="36"/>
        <v/>
      </c>
      <c r="BV19" s="52" t="str">
        <f t="shared" si="37"/>
        <v/>
      </c>
      <c r="BW19" s="52" t="str">
        <f t="shared" si="64"/>
        <v/>
      </c>
      <c r="BX19" s="113" t="str">
        <f t="shared" ref="BX19:BX50" si="78">IF(E19="session",C19,IF(B19="","",IF(OR(E19="radio",E19="selectlist"),B19,C19)))</f>
        <v/>
      </c>
      <c r="BY19" s="52" t="str">
        <f t="shared" si="38"/>
        <v/>
      </c>
      <c r="BZ19" s="52" t="str">
        <f t="shared" si="39"/>
        <v/>
      </c>
      <c r="CA19" s="52" t="str">
        <f t="shared" ref="CA19:CA50" si="79">IF(AND(E19="title",C19&lt;&gt;"",B19&lt;&gt;""),"",BW19&amp;BX19)</f>
        <v/>
      </c>
      <c r="CB19" s="52" t="str">
        <f t="shared" ref="CB19:CB50" si="80">IF(AND(E19="title",C19&lt;&gt;"",B19&lt;&gt;""),"",IF(BX19="","",BW19&amp;"'$"&amp;BX19&amp;"'"))</f>
        <v/>
      </c>
      <c r="CC19" s="52" t="str">
        <f t="shared" si="40"/>
        <v/>
      </c>
      <c r="CD19" s="52" t="str">
        <f t="shared" si="41"/>
        <v/>
      </c>
      <c r="CE19" s="102" t="str">
        <f t="shared" ref="CE19:CE50" si="81">IF(AND(E19="title",C19&lt;&gt;"",B19&lt;&gt;""),"",IF(BX19="","",IF(E19="check",$G$7&amp;"$"&amp;C19&amp;$K$6&amp;B19&amp;$K$7,$G$1&amp;B19&amp;$G$2&amp;CC19&amp;";")))</f>
        <v/>
      </c>
      <c r="CF19" s="116" t="str">
        <f t="shared" si="42"/>
        <v/>
      </c>
      <c r="CG19" s="61" t="str">
        <f t="shared" ref="CG19:CG50" si="82">+IF(OR(E19="texto",E19="bigtext",E19="selectlist",E19="date"),CJ19,IF(E19="check",CL19,CK19))</f>
        <v/>
      </c>
      <c r="CH19" s="52" t="str">
        <f>IF(AND(E19="selectlist",B19&lt;&gt;""),$C$5&amp;B19&amp;$I$2,IF(OR(C19="",E19="selectlist"),"",$C$5&amp;C19&amp;$I$2))</f>
        <v/>
      </c>
      <c r="CI19" s="52" t="str">
        <f>IF(AND(E19="selectlist",B19&lt;&gt;"",G19="si"),$H$11&amp;B19&amp;$H$12&amp;$C$5&amp;B19&amp;$I$1,IF(AND(G19="si",C19&lt;&gt;""),$H$11&amp;C19&amp;$H$12&amp;$C$5&amp;C19&amp;$I$1,""))</f>
        <v/>
      </c>
      <c r="CJ19" s="52" t="str">
        <f t="shared" si="45"/>
        <v/>
      </c>
      <c r="CK19" s="52" t="str">
        <f t="shared" si="46"/>
        <v/>
      </c>
      <c r="CL19" s="52" t="str">
        <f t="shared" si="47"/>
        <v/>
      </c>
      <c r="CM19" s="102" t="str">
        <f t="shared" si="48"/>
        <v/>
      </c>
      <c r="CN19" s="116" t="str">
        <f t="shared" si="49"/>
        <v/>
      </c>
      <c r="CO19" s="61">
        <f t="shared" si="65"/>
        <v>0</v>
      </c>
      <c r="CP19" s="61" t="str">
        <f t="shared" si="50"/>
        <v/>
      </c>
      <c r="CQ19" s="61" t="str">
        <f t="shared" si="66"/>
        <v/>
      </c>
      <c r="CR19" s="61" t="str">
        <f t="shared" si="67"/>
        <v/>
      </c>
      <c r="CS19" s="105" t="str">
        <f t="shared" si="68"/>
        <v/>
      </c>
      <c r="CT19" s="105" t="str">
        <f t="shared" si="69"/>
        <v/>
      </c>
      <c r="CU19" s="61" t="str">
        <f t="shared" si="70"/>
        <v/>
      </c>
      <c r="CV19" s="61" t="str">
        <f t="shared" si="71"/>
        <v/>
      </c>
      <c r="CW19" s="61" t="str">
        <f t="shared" si="51"/>
        <v/>
      </c>
      <c r="CX19" s="61" t="str">
        <f t="shared" si="52"/>
        <v/>
      </c>
      <c r="CY19" s="61" t="str">
        <f t="shared" si="53"/>
        <v/>
      </c>
      <c r="CZ19" s="102" t="str">
        <f t="shared" si="54"/>
        <v/>
      </c>
      <c r="DA19" s="17">
        <f t="shared" si="55"/>
        <v>0</v>
      </c>
      <c r="DB19" s="17" t="str">
        <f t="shared" si="56"/>
        <v/>
      </c>
      <c r="DC19" s="17">
        <f t="shared" si="57"/>
        <v>0</v>
      </c>
      <c r="DD19" s="17">
        <f t="shared" si="58"/>
        <v>0</v>
      </c>
      <c r="DE19" s="17" t="str">
        <f t="shared" si="59"/>
        <v/>
      </c>
      <c r="DF19" s="17" t="str">
        <f t="shared" si="60"/>
        <v/>
      </c>
    </row>
    <row r="20" spans="2:110" s="17" customFormat="1">
      <c r="B20" s="35"/>
      <c r="C20" s="35"/>
      <c r="D20" s="36"/>
      <c r="E20" s="35"/>
      <c r="F20" s="35"/>
      <c r="G20" s="35"/>
      <c r="H20" s="35"/>
      <c r="I20" s="35"/>
      <c r="J20" s="59"/>
      <c r="L20" s="17" t="s">
        <v>709</v>
      </c>
      <c r="Z20" s="172" t="str">
        <f t="shared" si="0"/>
        <v/>
      </c>
      <c r="AB20" s="47" t="s">
        <v>199</v>
      </c>
      <c r="AC20" s="52" t="str">
        <f t="shared" si="1"/>
        <v/>
      </c>
      <c r="AD20" s="52">
        <f t="shared" si="72"/>
        <v>0</v>
      </c>
      <c r="AE20" s="52">
        <f t="shared" si="61"/>
        <v>0</v>
      </c>
      <c r="AF20" s="61" t="str">
        <f t="shared" si="2"/>
        <v/>
      </c>
      <c r="AG20" s="52">
        <f t="shared" si="3"/>
        <v>0</v>
      </c>
      <c r="AH20" s="52">
        <f t="shared" si="4"/>
        <v>0</v>
      </c>
      <c r="AI20" s="52" t="str">
        <f t="shared" si="5"/>
        <v/>
      </c>
      <c r="AJ20" s="61" t="str">
        <f t="shared" si="6"/>
        <v/>
      </c>
      <c r="AK20" s="95" t="str">
        <f t="shared" si="7"/>
        <v/>
      </c>
      <c r="AL20" s="61" t="str">
        <f t="shared" si="8"/>
        <v>if () {$("#adv_").html("Required");$("#").css({"background":"yellow"});} else {$("#adv_").html("");$("#").css({"background":"white"});}</v>
      </c>
      <c r="AM20" s="61" t="str">
        <f t="shared" si="9"/>
        <v>if (=="") {$("#adv_").html("Required");$("#adv_").css({"background":"yellow"});} else {$("#adv_").html("");}</v>
      </c>
      <c r="AN20" s="61" t="str">
        <f t="shared" ref="AN20:AN83" si="83">$G$7&amp;B20&amp;"=="&amp;$B$4&amp;$G$8&amp;B20&amp;$G$9&amp;$C$5&amp;B20&amp;$H$6&amp;$H$5&amp;B20&amp;$B$10&amp;$R$6&amp;$C$5&amp;B20&amp;$H$8</f>
        <v>if (=="") {$("#adv_").html("Required");$("#").css({"background":"yellow"});} else {$("#adv_").html("");$("#").css({"background":"white"});}</v>
      </c>
      <c r="AO20" s="50" t="str">
        <f>IF(C20="","",B20&amp;$C$1&amp;C20&amp;$C$2&amp;C20&amp;$C$3)</f>
        <v/>
      </c>
      <c r="AP20" s="61" t="str">
        <f t="shared" si="12"/>
        <v>=$("#").val();</v>
      </c>
      <c r="AQ20" s="61" t="str">
        <f>IF(AND(E20="selectlist",B20&lt;&gt;""),B20&amp;$A$3&amp;B20&amp;$A$4,"")</f>
        <v/>
      </c>
      <c r="AR20" s="50" t="str">
        <f>B20&amp;$C$4&amp;C20&amp;$C$2&amp;C20&amp;$C$10</f>
        <v>&lt;input type="checkbox" id="" name="" value="1" /&gt;</v>
      </c>
      <c r="AS20" s="61" t="str">
        <f t="shared" si="15"/>
        <v>=document.getElementById("").checked;</v>
      </c>
      <c r="AT20" s="102" t="str">
        <f t="shared" si="16"/>
        <v>if (isset($_GET[''])) {$=($_GET['']);}else $='';</v>
      </c>
      <c r="AU20" s="52" t="str">
        <f t="shared" si="17"/>
        <v/>
      </c>
      <c r="AV20" s="52" t="str">
        <f t="shared" si="18"/>
        <v>&lt;select size="1" name="" id=""&gt;&lt;option value=""&gt;&lt;/option&gt;&lt;option value=""&gt;&lt;/option&gt;</v>
      </c>
      <c r="AW20" s="52" t="str">
        <f t="shared" si="19"/>
        <v>&lt;option value=""&gt;&lt;/option&gt;</v>
      </c>
      <c r="AX20" s="145" t="str">
        <f t="shared" si="20"/>
        <v/>
      </c>
      <c r="AY20" s="102">
        <f t="shared" si="21"/>
        <v>0</v>
      </c>
      <c r="AZ20" s="102">
        <f t="shared" si="22"/>
        <v>0</v>
      </c>
      <c r="BA20" s="113">
        <f t="shared" si="23"/>
        <v>0</v>
      </c>
      <c r="BB20" s="103" t="str">
        <f t="shared" si="24"/>
        <v>0:</v>
      </c>
      <c r="BC20" s="50" t="str">
        <f t="shared" si="25"/>
        <v>0:&lt;span id="adv_0"&gt;&lt;/span&gt;&lt;br/&gt;&lt;input type="radio" name="0" id="" value="" /&gt;</v>
      </c>
      <c r="BD20" s="52" t="str">
        <f t="shared" si="26"/>
        <v>else if (document.getElementById("</v>
      </c>
      <c r="BE20" s="61" t="str">
        <f t="shared" si="27"/>
        <v>else if (document.getElementById("").checked==true) {0="";}</v>
      </c>
      <c r="BF20" s="61" t="str">
        <f t="shared" si="28"/>
        <v/>
      </c>
      <c r="BG20" s="61" t="str">
        <f t="shared" si="29"/>
        <v>0:0</v>
      </c>
      <c r="BH20" s="102" t="str">
        <f t="shared" si="30"/>
        <v>if (isset($_GET['0'])) {$0=($_GET['0']);}else $0='';</v>
      </c>
      <c r="BI20" s="105" t="str">
        <f>+B20&amp;$G$5&amp;C20&amp;$G$6</f>
        <v>&lt;br/&gt;&lt;textarea rows="2" cols="80" id=""&gt;&lt;/textarea&gt;&lt;br/&gt;</v>
      </c>
      <c r="BJ20" s="107" t="str">
        <f>+B20&amp;$G$3&amp;C20&amp;$G$4</f>
        <v>&lt;input type="text"  size="7"  id="" class="datepicker"/&gt;</v>
      </c>
      <c r="BK20" s="107" t="str">
        <f>+$O$1&amp;C20&amp;$O$2&amp;B20&amp;$O$3</f>
        <v>&lt;h2 id=""&gt;&lt;/h2&gt;</v>
      </c>
      <c r="BL20" s="109" t="str">
        <f t="shared" si="73"/>
        <v/>
      </c>
      <c r="BM20" s="61" t="str">
        <f t="shared" si="74"/>
        <v/>
      </c>
      <c r="BN20" s="52">
        <f t="shared" si="62"/>
        <v>0</v>
      </c>
      <c r="BO20" s="61" t="str">
        <f t="shared" si="75"/>
        <v/>
      </c>
      <c r="BP20" s="102" t="str">
        <f t="shared" si="76"/>
        <v/>
      </c>
      <c r="BQ20" s="105" t="str">
        <f t="shared" si="77"/>
        <v/>
      </c>
      <c r="BR20" s="52" t="str">
        <f t="shared" si="34"/>
        <v/>
      </c>
      <c r="BS20" s="52">
        <f t="shared" si="35"/>
        <v>0</v>
      </c>
      <c r="BT20" s="52">
        <f t="shared" si="63"/>
        <v>0</v>
      </c>
      <c r="BU20" s="52" t="str">
        <f t="shared" si="36"/>
        <v/>
      </c>
      <c r="BV20" s="52" t="str">
        <f t="shared" si="37"/>
        <v/>
      </c>
      <c r="BW20" s="52" t="str">
        <f t="shared" si="64"/>
        <v/>
      </c>
      <c r="BX20" s="113" t="str">
        <f>IF(E20="session",C20,IF(B20="","",IF(OR(E20="radio",E20="selectlist"),B20,C20)))</f>
        <v/>
      </c>
      <c r="BY20" s="52" t="str">
        <f t="shared" si="38"/>
        <v/>
      </c>
      <c r="BZ20" s="52" t="str">
        <f t="shared" si="39"/>
        <v/>
      </c>
      <c r="CA20" s="52" t="str">
        <f t="shared" si="79"/>
        <v/>
      </c>
      <c r="CB20" s="52" t="str">
        <f t="shared" si="80"/>
        <v/>
      </c>
      <c r="CC20" s="52" t="str">
        <f t="shared" si="40"/>
        <v/>
      </c>
      <c r="CD20" s="52" t="str">
        <f t="shared" si="41"/>
        <v/>
      </c>
      <c r="CE20" s="102" t="str">
        <f t="shared" si="81"/>
        <v/>
      </c>
      <c r="CF20" s="116" t="str">
        <f t="shared" si="42"/>
        <v/>
      </c>
      <c r="CG20" s="61" t="str">
        <f t="shared" si="82"/>
        <v/>
      </c>
      <c r="CH20" s="52" t="str">
        <f t="shared" ref="CH20:CH83" si="84">IF(AND(E20="selectlist",B20&lt;&gt;""),$C$5&amp;B20&amp;$I$2,IF(OR(C20="",E20="selectlist"),"",$C$5&amp;C20&amp;$I$2))</f>
        <v/>
      </c>
      <c r="CI20" s="52" t="str">
        <f t="shared" ref="CI20:CI83" si="85">IF(AND(E20="selectlist",B20&lt;&gt;"",G20="si"),$H$11&amp;B20&amp;$H$12&amp;$C$5&amp;B20&amp;$I$1,IF(AND(G20="si",C20&lt;&gt;""),$H$11&amp;C20&amp;$H$12&amp;$C$5&amp;C20&amp;$I$1,""))</f>
        <v/>
      </c>
      <c r="CJ20" s="52" t="str">
        <f t="shared" si="45"/>
        <v/>
      </c>
      <c r="CK20" s="52" t="str">
        <f t="shared" si="46"/>
        <v/>
      </c>
      <c r="CL20" s="52" t="str">
        <f t="shared" si="47"/>
        <v/>
      </c>
      <c r="CM20" s="102" t="str">
        <f t="shared" si="48"/>
        <v/>
      </c>
      <c r="CN20" s="116" t="str">
        <f t="shared" si="49"/>
        <v/>
      </c>
      <c r="CO20" s="61">
        <f t="shared" si="65"/>
        <v>0</v>
      </c>
      <c r="CP20" s="61" t="str">
        <f t="shared" si="50"/>
        <v/>
      </c>
      <c r="CQ20" s="61" t="str">
        <f t="shared" si="66"/>
        <v/>
      </c>
      <c r="CR20" s="61" t="str">
        <f t="shared" si="67"/>
        <v/>
      </c>
      <c r="CS20" s="105" t="str">
        <f t="shared" si="68"/>
        <v/>
      </c>
      <c r="CT20" s="105" t="str">
        <f t="shared" si="69"/>
        <v/>
      </c>
      <c r="CU20" s="61" t="str">
        <f t="shared" si="70"/>
        <v/>
      </c>
      <c r="CV20" s="61" t="str">
        <f t="shared" si="71"/>
        <v/>
      </c>
      <c r="CW20" s="61" t="str">
        <f t="shared" si="51"/>
        <v/>
      </c>
      <c r="CX20" s="61" t="str">
        <f t="shared" si="52"/>
        <v/>
      </c>
      <c r="CY20" s="61" t="str">
        <f t="shared" si="53"/>
        <v/>
      </c>
      <c r="CZ20" s="102" t="str">
        <f t="shared" si="54"/>
        <v/>
      </c>
      <c r="DA20" s="17">
        <f t="shared" si="55"/>
        <v>0</v>
      </c>
      <c r="DB20" s="17" t="str">
        <f t="shared" si="56"/>
        <v/>
      </c>
      <c r="DC20" s="17">
        <f t="shared" si="57"/>
        <v>0</v>
      </c>
      <c r="DD20" s="17">
        <f t="shared" si="58"/>
        <v>0</v>
      </c>
      <c r="DE20" s="17" t="str">
        <f t="shared" si="59"/>
        <v/>
      </c>
      <c r="DF20" s="17" t="str">
        <f t="shared" si="60"/>
        <v/>
      </c>
    </row>
    <row r="21" spans="2:110" s="17" customFormat="1">
      <c r="B21" s="35"/>
      <c r="C21" s="35"/>
      <c r="D21" s="36"/>
      <c r="E21" s="35"/>
      <c r="F21" s="35"/>
      <c r="G21" s="35"/>
      <c r="H21" s="35"/>
      <c r="I21" s="35"/>
      <c r="J21" s="59"/>
      <c r="L21" s="35" t="s">
        <v>24</v>
      </c>
      <c r="Z21" s="172" t="str">
        <f t="shared" si="0"/>
        <v/>
      </c>
      <c r="AB21" s="47" t="s">
        <v>200</v>
      </c>
      <c r="AC21" s="52" t="str">
        <f t="shared" si="1"/>
        <v/>
      </c>
      <c r="AD21" s="52">
        <f t="shared" si="72"/>
        <v>0</v>
      </c>
      <c r="AE21" s="52">
        <f t="shared" si="61"/>
        <v>0</v>
      </c>
      <c r="AF21" s="61" t="str">
        <f t="shared" si="2"/>
        <v/>
      </c>
      <c r="AG21" s="52">
        <f t="shared" si="3"/>
        <v>0</v>
      </c>
      <c r="AH21" s="52">
        <f t="shared" si="4"/>
        <v>0</v>
      </c>
      <c r="AI21" s="52" t="str">
        <f t="shared" si="5"/>
        <v/>
      </c>
      <c r="AJ21" s="61" t="str">
        <f t="shared" si="6"/>
        <v/>
      </c>
      <c r="AK21" s="95" t="str">
        <f t="shared" si="7"/>
        <v/>
      </c>
      <c r="AL21" s="61" t="str">
        <f t="shared" si="8"/>
        <v>if () {$("#adv_").html("Required");$("#").css({"background":"yellow"});} else {$("#adv_").html("");$("#").css({"background":"white"});}</v>
      </c>
      <c r="AM21" s="61" t="str">
        <f t="shared" si="9"/>
        <v>if (=="") {$("#adv_").html("Required");$("#adv_").css({"background":"yellow"});} else {$("#adv_").html("");}</v>
      </c>
      <c r="AN21" s="61" t="str">
        <f t="shared" si="83"/>
        <v>if (=="") {$("#adv_").html("Required");$("#").css({"background":"yellow"});} else {$("#adv_").html("");$("#").css({"background":"white"});}</v>
      </c>
      <c r="AO21" s="50" t="str">
        <f t="shared" si="11"/>
        <v/>
      </c>
      <c r="AP21" s="61" t="str">
        <f t="shared" si="12"/>
        <v>=$("#").val();</v>
      </c>
      <c r="AQ21" s="61" t="str">
        <f t="shared" si="13"/>
        <v/>
      </c>
      <c r="AR21" s="50" t="str">
        <f t="shared" si="14"/>
        <v>&lt;input type="checkbox" id="" name="" value="1" /&gt;</v>
      </c>
      <c r="AS21" s="61" t="str">
        <f t="shared" si="15"/>
        <v>=document.getElementById("").checked;</v>
      </c>
      <c r="AT21" s="102" t="str">
        <f t="shared" si="16"/>
        <v>if (isset($_GET[''])) {$=($_GET['']);}else $='';</v>
      </c>
      <c r="AU21" s="52" t="str">
        <f t="shared" si="17"/>
        <v/>
      </c>
      <c r="AV21" s="52" t="str">
        <f t="shared" si="18"/>
        <v>&lt;select size="1" name="" id=""&gt;&lt;option value=""&gt;&lt;/option&gt;&lt;option value=""&gt;&lt;/option&gt;</v>
      </c>
      <c r="AW21" s="52" t="str">
        <f t="shared" si="19"/>
        <v>&lt;option value=""&gt;&lt;/option&gt;</v>
      </c>
      <c r="AX21" s="145" t="str">
        <f t="shared" si="20"/>
        <v/>
      </c>
      <c r="AY21" s="102">
        <f t="shared" si="21"/>
        <v>0</v>
      </c>
      <c r="AZ21" s="102">
        <f t="shared" si="22"/>
        <v>0</v>
      </c>
      <c r="BA21" s="113">
        <f t="shared" si="23"/>
        <v>0</v>
      </c>
      <c r="BB21" s="103" t="str">
        <f t="shared" si="24"/>
        <v>0:</v>
      </c>
      <c r="BC21" s="50" t="str">
        <f t="shared" si="25"/>
        <v>0:&lt;span id="adv_0"&gt;&lt;/span&gt;&lt;br/&gt;&lt;input type="radio" name="0" id="" value="" /&gt;</v>
      </c>
      <c r="BD21" s="52" t="str">
        <f t="shared" si="26"/>
        <v>else if (document.getElementById("</v>
      </c>
      <c r="BE21" s="61" t="str">
        <f t="shared" si="27"/>
        <v>else if (document.getElementById("").checked==true) {0="";}</v>
      </c>
      <c r="BF21" s="61" t="str">
        <f t="shared" si="28"/>
        <v/>
      </c>
      <c r="BG21" s="61" t="str">
        <f t="shared" si="29"/>
        <v>0:0</v>
      </c>
      <c r="BH21" s="102" t="str">
        <f t="shared" si="30"/>
        <v>if (isset($_GET['0'])) {$0=($_GET['0']);}else $0='';</v>
      </c>
      <c r="BI21" s="105" t="str">
        <f t="shared" si="31"/>
        <v>&lt;br/&gt;&lt;textarea rows="2" cols="80" id=""&gt;&lt;/textarea&gt;&lt;br/&gt;</v>
      </c>
      <c r="BJ21" s="107" t="str">
        <f t="shared" si="32"/>
        <v>&lt;input type="text"  size="7"  id="" class="datepicker"/&gt;</v>
      </c>
      <c r="BK21" s="107" t="str">
        <f t="shared" si="33"/>
        <v>&lt;h2 id=""&gt;&lt;/h2&gt;</v>
      </c>
      <c r="BL21" s="109" t="str">
        <f t="shared" si="73"/>
        <v/>
      </c>
      <c r="BM21" s="61" t="str">
        <f t="shared" si="74"/>
        <v/>
      </c>
      <c r="BN21" s="52">
        <f t="shared" si="62"/>
        <v>0</v>
      </c>
      <c r="BO21" s="61" t="str">
        <f t="shared" si="75"/>
        <v/>
      </c>
      <c r="BP21" s="102" t="str">
        <f t="shared" si="76"/>
        <v/>
      </c>
      <c r="BQ21" s="105" t="str">
        <f t="shared" si="77"/>
        <v/>
      </c>
      <c r="BR21" s="52" t="str">
        <f t="shared" si="34"/>
        <v/>
      </c>
      <c r="BS21" s="52">
        <f t="shared" si="35"/>
        <v>0</v>
      </c>
      <c r="BT21" s="52">
        <f t="shared" si="63"/>
        <v>0</v>
      </c>
      <c r="BU21" s="52" t="str">
        <f t="shared" si="36"/>
        <v/>
      </c>
      <c r="BV21" s="52" t="str">
        <f t="shared" si="37"/>
        <v/>
      </c>
      <c r="BW21" s="52" t="str">
        <f t="shared" si="64"/>
        <v/>
      </c>
      <c r="BX21" s="113" t="str">
        <f t="shared" si="78"/>
        <v/>
      </c>
      <c r="BY21" s="52" t="str">
        <f t="shared" si="38"/>
        <v/>
      </c>
      <c r="BZ21" s="52" t="str">
        <f t="shared" si="39"/>
        <v/>
      </c>
      <c r="CA21" s="52" t="str">
        <f t="shared" si="79"/>
        <v/>
      </c>
      <c r="CB21" s="52" t="str">
        <f t="shared" si="80"/>
        <v/>
      </c>
      <c r="CC21" s="52" t="str">
        <f t="shared" si="40"/>
        <v/>
      </c>
      <c r="CD21" s="52" t="str">
        <f t="shared" si="41"/>
        <v/>
      </c>
      <c r="CE21" s="102" t="str">
        <f t="shared" si="81"/>
        <v/>
      </c>
      <c r="CF21" s="116" t="str">
        <f t="shared" si="42"/>
        <v/>
      </c>
      <c r="CG21" s="61" t="str">
        <f t="shared" si="82"/>
        <v/>
      </c>
      <c r="CH21" s="52" t="str">
        <f t="shared" si="84"/>
        <v/>
      </c>
      <c r="CI21" s="52" t="str">
        <f t="shared" si="85"/>
        <v/>
      </c>
      <c r="CJ21" s="52" t="str">
        <f t="shared" si="45"/>
        <v/>
      </c>
      <c r="CK21" s="52" t="str">
        <f t="shared" si="46"/>
        <v/>
      </c>
      <c r="CL21" s="52" t="str">
        <f t="shared" si="47"/>
        <v/>
      </c>
      <c r="CM21" s="102" t="str">
        <f t="shared" si="48"/>
        <v/>
      </c>
      <c r="CN21" s="116" t="str">
        <f t="shared" si="49"/>
        <v/>
      </c>
      <c r="CO21" s="61">
        <f t="shared" si="65"/>
        <v>0</v>
      </c>
      <c r="CP21" s="61" t="str">
        <f t="shared" si="50"/>
        <v/>
      </c>
      <c r="CQ21" s="61" t="str">
        <f t="shared" si="66"/>
        <v/>
      </c>
      <c r="CR21" s="61" t="str">
        <f t="shared" si="67"/>
        <v/>
      </c>
      <c r="CS21" s="105" t="str">
        <f t="shared" si="68"/>
        <v/>
      </c>
      <c r="CT21" s="105" t="str">
        <f t="shared" si="69"/>
        <v/>
      </c>
      <c r="CU21" s="61" t="str">
        <f t="shared" si="70"/>
        <v/>
      </c>
      <c r="CV21" s="61" t="str">
        <f t="shared" si="71"/>
        <v/>
      </c>
      <c r="CW21" s="61" t="str">
        <f t="shared" si="51"/>
        <v/>
      </c>
      <c r="CX21" s="61" t="str">
        <f t="shared" si="52"/>
        <v/>
      </c>
      <c r="CY21" s="61" t="str">
        <f t="shared" si="53"/>
        <v/>
      </c>
      <c r="CZ21" s="102" t="str">
        <f t="shared" si="54"/>
        <v/>
      </c>
      <c r="DA21" s="17">
        <f t="shared" si="55"/>
        <v>0</v>
      </c>
      <c r="DB21" s="17" t="str">
        <f t="shared" si="56"/>
        <v/>
      </c>
      <c r="DC21" s="17">
        <f t="shared" si="57"/>
        <v>0</v>
      </c>
      <c r="DD21" s="17">
        <f t="shared" si="58"/>
        <v>0</v>
      </c>
      <c r="DE21" s="17" t="str">
        <f t="shared" si="59"/>
        <v/>
      </c>
      <c r="DF21" s="17" t="str">
        <f t="shared" si="60"/>
        <v/>
      </c>
    </row>
    <row r="22" spans="2:110" s="17" customFormat="1">
      <c r="B22" s="35"/>
      <c r="C22" s="35"/>
      <c r="D22" s="36"/>
      <c r="E22" s="35"/>
      <c r="F22" s="35"/>
      <c r="G22" s="35"/>
      <c r="H22" s="35"/>
      <c r="I22" s="35"/>
      <c r="J22" s="59"/>
      <c r="L22" s="17" t="s">
        <v>713</v>
      </c>
      <c r="Z22" s="172" t="str">
        <f t="shared" si="0"/>
        <v/>
      </c>
      <c r="AB22" s="47" t="s">
        <v>201</v>
      </c>
      <c r="AC22" s="52" t="str">
        <f t="shared" si="1"/>
        <v/>
      </c>
      <c r="AD22" s="52">
        <f t="shared" si="72"/>
        <v>0</v>
      </c>
      <c r="AE22" s="52">
        <f t="shared" si="61"/>
        <v>0</v>
      </c>
      <c r="AF22" s="61" t="str">
        <f t="shared" si="2"/>
        <v/>
      </c>
      <c r="AG22" s="52">
        <f t="shared" si="3"/>
        <v>0</v>
      </c>
      <c r="AH22" s="52">
        <f t="shared" si="4"/>
        <v>0</v>
      </c>
      <c r="AI22" s="52" t="str">
        <f t="shared" si="5"/>
        <v/>
      </c>
      <c r="AJ22" s="61" t="str">
        <f t="shared" si="6"/>
        <v/>
      </c>
      <c r="AK22" s="95" t="str">
        <f t="shared" si="7"/>
        <v/>
      </c>
      <c r="AL22" s="61" t="str">
        <f t="shared" si="8"/>
        <v>if () {$("#adv_").html("Required");$("#").css({"background":"yellow"});} else {$("#adv_").html("");$("#").css({"background":"white"});}</v>
      </c>
      <c r="AM22" s="61" t="str">
        <f t="shared" si="9"/>
        <v>if (=="") {$("#adv_").html("Required");$("#adv_").css({"background":"yellow"});} else {$("#adv_").html("");}</v>
      </c>
      <c r="AN22" s="61" t="str">
        <f t="shared" si="83"/>
        <v>if (=="") {$("#adv_").html("Required");$("#").css({"background":"yellow"});} else {$("#adv_").html("");$("#").css({"background":"white"});}</v>
      </c>
      <c r="AO22" s="50" t="str">
        <f t="shared" si="11"/>
        <v/>
      </c>
      <c r="AP22" s="61" t="str">
        <f t="shared" si="12"/>
        <v>=$("#").val();</v>
      </c>
      <c r="AQ22" s="61" t="str">
        <f t="shared" si="13"/>
        <v/>
      </c>
      <c r="AR22" s="50" t="str">
        <f t="shared" si="14"/>
        <v>&lt;input type="checkbox" id="" name="" value="1" /&gt;</v>
      </c>
      <c r="AS22" s="61" t="str">
        <f t="shared" si="15"/>
        <v>=document.getElementById("").checked;</v>
      </c>
      <c r="AT22" s="102" t="str">
        <f t="shared" si="16"/>
        <v>if (isset($_GET[''])) {$=($_GET['']);}else $='';</v>
      </c>
      <c r="AU22" s="52" t="str">
        <f t="shared" si="17"/>
        <v/>
      </c>
      <c r="AV22" s="52" t="str">
        <f t="shared" si="18"/>
        <v>&lt;select size="1" name="" id=""&gt;&lt;option value=""&gt;&lt;/option&gt;&lt;option value=""&gt;&lt;/option&gt;</v>
      </c>
      <c r="AW22" s="52" t="str">
        <f t="shared" si="19"/>
        <v>&lt;option value=""&gt;&lt;/option&gt;</v>
      </c>
      <c r="AX22" s="145" t="str">
        <f t="shared" si="20"/>
        <v/>
      </c>
      <c r="AY22" s="102">
        <f t="shared" si="21"/>
        <v>0</v>
      </c>
      <c r="AZ22" s="102">
        <f t="shared" si="22"/>
        <v>0</v>
      </c>
      <c r="BA22" s="113">
        <f t="shared" si="23"/>
        <v>0</v>
      </c>
      <c r="BB22" s="103" t="str">
        <f t="shared" si="24"/>
        <v>0:</v>
      </c>
      <c r="BC22" s="50" t="str">
        <f t="shared" si="25"/>
        <v>0:&lt;span id="adv_0"&gt;&lt;/span&gt;&lt;br/&gt;&lt;input type="radio" name="0" id="" value="" /&gt;</v>
      </c>
      <c r="BD22" s="52" t="str">
        <f t="shared" si="26"/>
        <v>else if (document.getElementById("</v>
      </c>
      <c r="BE22" s="61" t="str">
        <f t="shared" si="27"/>
        <v>else if (document.getElementById("").checked==true) {0="";}</v>
      </c>
      <c r="BF22" s="61" t="str">
        <f t="shared" si="28"/>
        <v/>
      </c>
      <c r="BG22" s="61" t="str">
        <f t="shared" si="29"/>
        <v>0:0</v>
      </c>
      <c r="BH22" s="102" t="str">
        <f t="shared" si="30"/>
        <v>if (isset($_GET['0'])) {$0=($_GET['0']);}else $0='';</v>
      </c>
      <c r="BI22" s="105" t="str">
        <f t="shared" si="31"/>
        <v>&lt;br/&gt;&lt;textarea rows="2" cols="80" id=""&gt;&lt;/textarea&gt;&lt;br/&gt;</v>
      </c>
      <c r="BJ22" s="107" t="str">
        <f t="shared" si="32"/>
        <v>&lt;input type="text"  size="7"  id="" class="datepicker"/&gt;</v>
      </c>
      <c r="BK22" s="107" t="str">
        <f t="shared" si="33"/>
        <v>&lt;h2 id=""&gt;&lt;/h2&gt;</v>
      </c>
      <c r="BL22" s="109" t="str">
        <f t="shared" si="73"/>
        <v/>
      </c>
      <c r="BM22" s="61" t="str">
        <f t="shared" si="74"/>
        <v/>
      </c>
      <c r="BN22" s="52">
        <f t="shared" si="62"/>
        <v>0</v>
      </c>
      <c r="BO22" s="61" t="str">
        <f t="shared" si="75"/>
        <v/>
      </c>
      <c r="BP22" s="102" t="str">
        <f t="shared" si="76"/>
        <v/>
      </c>
      <c r="BQ22" s="105" t="str">
        <f t="shared" si="77"/>
        <v/>
      </c>
      <c r="BR22" s="52" t="str">
        <f t="shared" si="34"/>
        <v/>
      </c>
      <c r="BS22" s="52">
        <f t="shared" si="35"/>
        <v>0</v>
      </c>
      <c r="BT22" s="52">
        <f t="shared" si="63"/>
        <v>0</v>
      </c>
      <c r="BU22" s="52" t="str">
        <f t="shared" si="36"/>
        <v/>
      </c>
      <c r="BV22" s="52" t="str">
        <f t="shared" si="37"/>
        <v/>
      </c>
      <c r="BW22" s="52" t="str">
        <f t="shared" si="64"/>
        <v/>
      </c>
      <c r="BX22" s="113" t="str">
        <f t="shared" si="78"/>
        <v/>
      </c>
      <c r="BY22" s="52" t="str">
        <f t="shared" si="38"/>
        <v/>
      </c>
      <c r="BZ22" s="52" t="str">
        <f t="shared" si="39"/>
        <v/>
      </c>
      <c r="CA22" s="52" t="str">
        <f t="shared" si="79"/>
        <v/>
      </c>
      <c r="CB22" s="52" t="str">
        <f t="shared" si="80"/>
        <v/>
      </c>
      <c r="CC22" s="52" t="str">
        <f t="shared" si="40"/>
        <v/>
      </c>
      <c r="CD22" s="52" t="str">
        <f t="shared" si="41"/>
        <v/>
      </c>
      <c r="CE22" s="102" t="str">
        <f t="shared" si="81"/>
        <v/>
      </c>
      <c r="CF22" s="116" t="str">
        <f t="shared" si="42"/>
        <v/>
      </c>
      <c r="CG22" s="61" t="str">
        <f t="shared" si="82"/>
        <v/>
      </c>
      <c r="CH22" s="52" t="str">
        <f t="shared" si="84"/>
        <v/>
      </c>
      <c r="CI22" s="52" t="str">
        <f t="shared" si="85"/>
        <v/>
      </c>
      <c r="CJ22" s="52" t="str">
        <f t="shared" si="45"/>
        <v/>
      </c>
      <c r="CK22" s="52" t="str">
        <f t="shared" si="46"/>
        <v/>
      </c>
      <c r="CL22" s="52" t="str">
        <f t="shared" si="47"/>
        <v/>
      </c>
      <c r="CM22" s="102" t="str">
        <f t="shared" si="48"/>
        <v/>
      </c>
      <c r="CN22" s="116" t="str">
        <f t="shared" si="49"/>
        <v/>
      </c>
      <c r="CO22" s="61">
        <f t="shared" si="65"/>
        <v>0</v>
      </c>
      <c r="CP22" s="61" t="str">
        <f t="shared" si="50"/>
        <v/>
      </c>
      <c r="CQ22" s="61" t="str">
        <f t="shared" si="66"/>
        <v/>
      </c>
      <c r="CR22" s="61" t="str">
        <f t="shared" si="67"/>
        <v/>
      </c>
      <c r="CS22" s="105" t="str">
        <f t="shared" si="68"/>
        <v/>
      </c>
      <c r="CT22" s="105" t="str">
        <f t="shared" si="69"/>
        <v/>
      </c>
      <c r="CU22" s="61" t="str">
        <f t="shared" si="70"/>
        <v/>
      </c>
      <c r="CV22" s="61" t="str">
        <f t="shared" si="71"/>
        <v/>
      </c>
      <c r="CW22" s="61" t="str">
        <f t="shared" si="51"/>
        <v/>
      </c>
      <c r="CX22" s="61" t="str">
        <f t="shared" si="52"/>
        <v/>
      </c>
      <c r="CY22" s="61" t="str">
        <f t="shared" si="53"/>
        <v/>
      </c>
      <c r="CZ22" s="102" t="str">
        <f t="shared" si="54"/>
        <v/>
      </c>
      <c r="DA22" s="17">
        <f t="shared" si="55"/>
        <v>0</v>
      </c>
      <c r="DB22" s="17" t="str">
        <f t="shared" si="56"/>
        <v/>
      </c>
      <c r="DC22" s="17">
        <f t="shared" si="57"/>
        <v>0</v>
      </c>
      <c r="DD22" s="17">
        <f t="shared" si="58"/>
        <v>0</v>
      </c>
      <c r="DE22" s="17" t="str">
        <f t="shared" si="59"/>
        <v/>
      </c>
      <c r="DF22" s="17" t="str">
        <f t="shared" si="60"/>
        <v/>
      </c>
    </row>
    <row r="23" spans="2:110" s="17" customFormat="1">
      <c r="B23" s="35"/>
      <c r="C23" s="35"/>
      <c r="D23" s="36"/>
      <c r="E23" s="35"/>
      <c r="F23" s="35"/>
      <c r="G23" s="35"/>
      <c r="H23" s="35"/>
      <c r="I23" s="35"/>
      <c r="J23" s="59"/>
      <c r="L23" s="35" t="s">
        <v>398</v>
      </c>
      <c r="Z23" s="172" t="str">
        <f t="shared" si="0"/>
        <v/>
      </c>
      <c r="AB23" s="47" t="s">
        <v>202</v>
      </c>
      <c r="AC23" s="52" t="str">
        <f t="shared" si="1"/>
        <v/>
      </c>
      <c r="AD23" s="52">
        <f t="shared" si="72"/>
        <v>0</v>
      </c>
      <c r="AE23" s="52">
        <f t="shared" si="61"/>
        <v>0</v>
      </c>
      <c r="AF23" s="61" t="str">
        <f t="shared" si="2"/>
        <v/>
      </c>
      <c r="AG23" s="52">
        <f t="shared" si="3"/>
        <v>0</v>
      </c>
      <c r="AH23" s="52">
        <f t="shared" si="4"/>
        <v>0</v>
      </c>
      <c r="AI23" s="52" t="str">
        <f t="shared" si="5"/>
        <v/>
      </c>
      <c r="AJ23" s="61" t="str">
        <f t="shared" si="6"/>
        <v/>
      </c>
      <c r="AK23" s="95" t="str">
        <f t="shared" si="7"/>
        <v/>
      </c>
      <c r="AL23" s="61" t="str">
        <f t="shared" si="8"/>
        <v>if () {$("#adv_").html("Required");$("#").css({"background":"yellow"});} else {$("#adv_").html("");$("#").css({"background":"white"});}</v>
      </c>
      <c r="AM23" s="61" t="str">
        <f t="shared" si="9"/>
        <v>if (=="") {$("#adv_").html("Required");$("#adv_").css({"background":"yellow"});} else {$("#adv_").html("");}</v>
      </c>
      <c r="AN23" s="61" t="str">
        <f t="shared" si="83"/>
        <v>if (=="") {$("#adv_").html("Required");$("#").css({"background":"yellow"});} else {$("#adv_").html("");$("#").css({"background":"white"});}</v>
      </c>
      <c r="AO23" s="50" t="str">
        <f t="shared" si="11"/>
        <v/>
      </c>
      <c r="AP23" s="61" t="str">
        <f t="shared" si="12"/>
        <v>=$("#").val();</v>
      </c>
      <c r="AQ23" s="61" t="str">
        <f t="shared" si="13"/>
        <v/>
      </c>
      <c r="AR23" s="50" t="str">
        <f t="shared" si="14"/>
        <v>&lt;input type="checkbox" id="" name="" value="1" /&gt;</v>
      </c>
      <c r="AS23" s="61" t="str">
        <f t="shared" si="15"/>
        <v>=document.getElementById("").checked;</v>
      </c>
      <c r="AT23" s="102" t="str">
        <f t="shared" si="16"/>
        <v>if (isset($_GET[''])) {$=($_GET['']);}else $='';</v>
      </c>
      <c r="AU23" s="52" t="str">
        <f t="shared" si="17"/>
        <v/>
      </c>
      <c r="AV23" s="52" t="str">
        <f t="shared" si="18"/>
        <v>&lt;select size="1" name="" id=""&gt;&lt;option value=""&gt;&lt;/option&gt;&lt;option value=""&gt;&lt;/option&gt;</v>
      </c>
      <c r="AW23" s="52" t="str">
        <f t="shared" si="19"/>
        <v>&lt;option value=""&gt;&lt;/option&gt;</v>
      </c>
      <c r="AX23" s="145" t="str">
        <f t="shared" si="20"/>
        <v/>
      </c>
      <c r="AY23" s="102">
        <f t="shared" si="21"/>
        <v>0</v>
      </c>
      <c r="AZ23" s="102">
        <f t="shared" si="22"/>
        <v>0</v>
      </c>
      <c r="BA23" s="113">
        <f t="shared" si="23"/>
        <v>0</v>
      </c>
      <c r="BB23" s="103" t="str">
        <f t="shared" si="24"/>
        <v>0:</v>
      </c>
      <c r="BC23" s="50" t="str">
        <f t="shared" si="25"/>
        <v>0:&lt;span id="adv_0"&gt;&lt;/span&gt;&lt;br/&gt;&lt;input type="radio" name="0" id="" value="" /&gt;</v>
      </c>
      <c r="BD23" s="52" t="str">
        <f t="shared" si="26"/>
        <v>else if (document.getElementById("</v>
      </c>
      <c r="BE23" s="61" t="str">
        <f t="shared" si="27"/>
        <v>else if (document.getElementById("").checked==true) {0="";}</v>
      </c>
      <c r="BF23" s="61" t="str">
        <f t="shared" si="28"/>
        <v/>
      </c>
      <c r="BG23" s="61" t="str">
        <f t="shared" si="29"/>
        <v>0:0</v>
      </c>
      <c r="BH23" s="102" t="str">
        <f t="shared" si="30"/>
        <v>if (isset($_GET['0'])) {$0=($_GET['0']);}else $0='';</v>
      </c>
      <c r="BI23" s="105" t="str">
        <f t="shared" si="31"/>
        <v>&lt;br/&gt;&lt;textarea rows="2" cols="80" id=""&gt;&lt;/textarea&gt;&lt;br/&gt;</v>
      </c>
      <c r="BJ23" s="107" t="str">
        <f t="shared" si="32"/>
        <v>&lt;input type="text"  size="7"  id="" class="datepicker"/&gt;</v>
      </c>
      <c r="BK23" s="107" t="str">
        <f t="shared" si="33"/>
        <v>&lt;h2 id=""&gt;&lt;/h2&gt;</v>
      </c>
      <c r="BL23" s="109" t="str">
        <f t="shared" si="73"/>
        <v/>
      </c>
      <c r="BM23" s="61" t="str">
        <f t="shared" si="74"/>
        <v/>
      </c>
      <c r="BN23" s="52">
        <f t="shared" si="62"/>
        <v>0</v>
      </c>
      <c r="BO23" s="61" t="str">
        <f t="shared" si="75"/>
        <v/>
      </c>
      <c r="BP23" s="102" t="str">
        <f t="shared" si="76"/>
        <v/>
      </c>
      <c r="BQ23" s="105" t="str">
        <f t="shared" si="77"/>
        <v/>
      </c>
      <c r="BR23" s="52" t="str">
        <f t="shared" si="34"/>
        <v/>
      </c>
      <c r="BS23" s="52">
        <f t="shared" si="35"/>
        <v>0</v>
      </c>
      <c r="BT23" s="52">
        <f t="shared" si="63"/>
        <v>0</v>
      </c>
      <c r="BU23" s="52" t="str">
        <f t="shared" si="36"/>
        <v/>
      </c>
      <c r="BV23" s="52" t="str">
        <f t="shared" si="37"/>
        <v/>
      </c>
      <c r="BW23" s="52" t="str">
        <f t="shared" si="64"/>
        <v/>
      </c>
      <c r="BX23" s="113" t="str">
        <f t="shared" si="78"/>
        <v/>
      </c>
      <c r="BY23" s="52" t="str">
        <f t="shared" si="38"/>
        <v/>
      </c>
      <c r="BZ23" s="52" t="str">
        <f t="shared" si="39"/>
        <v/>
      </c>
      <c r="CA23" s="52" t="str">
        <f t="shared" si="79"/>
        <v/>
      </c>
      <c r="CB23" s="52" t="str">
        <f t="shared" si="80"/>
        <v/>
      </c>
      <c r="CC23" s="52" t="str">
        <f t="shared" si="40"/>
        <v/>
      </c>
      <c r="CD23" s="52" t="str">
        <f t="shared" si="41"/>
        <v/>
      </c>
      <c r="CE23" s="102" t="str">
        <f t="shared" si="81"/>
        <v/>
      </c>
      <c r="CF23" s="116" t="str">
        <f t="shared" si="42"/>
        <v/>
      </c>
      <c r="CG23" s="61" t="str">
        <f t="shared" si="82"/>
        <v/>
      </c>
      <c r="CH23" s="52" t="str">
        <f t="shared" si="84"/>
        <v/>
      </c>
      <c r="CI23" s="52" t="str">
        <f t="shared" si="85"/>
        <v/>
      </c>
      <c r="CJ23" s="52" t="str">
        <f t="shared" si="45"/>
        <v/>
      </c>
      <c r="CK23" s="52" t="str">
        <f t="shared" si="46"/>
        <v/>
      </c>
      <c r="CL23" s="52" t="str">
        <f t="shared" si="47"/>
        <v/>
      </c>
      <c r="CM23" s="102" t="str">
        <f t="shared" si="48"/>
        <v/>
      </c>
      <c r="CN23" s="116" t="str">
        <f t="shared" si="49"/>
        <v/>
      </c>
      <c r="CO23" s="61">
        <f t="shared" si="65"/>
        <v>0</v>
      </c>
      <c r="CP23" s="61" t="str">
        <f t="shared" si="50"/>
        <v/>
      </c>
      <c r="CQ23" s="61" t="str">
        <f t="shared" si="66"/>
        <v/>
      </c>
      <c r="CR23" s="61" t="str">
        <f t="shared" si="67"/>
        <v/>
      </c>
      <c r="CS23" s="105" t="str">
        <f t="shared" si="68"/>
        <v/>
      </c>
      <c r="CT23" s="105" t="str">
        <f t="shared" si="69"/>
        <v/>
      </c>
      <c r="CU23" s="61" t="str">
        <f t="shared" si="70"/>
        <v/>
      </c>
      <c r="CV23" s="61" t="str">
        <f t="shared" si="71"/>
        <v/>
      </c>
      <c r="CW23" s="61" t="str">
        <f t="shared" si="51"/>
        <v/>
      </c>
      <c r="CX23" s="61" t="str">
        <f t="shared" si="52"/>
        <v/>
      </c>
      <c r="CY23" s="61" t="str">
        <f t="shared" si="53"/>
        <v/>
      </c>
      <c r="CZ23" s="102" t="str">
        <f t="shared" si="54"/>
        <v/>
      </c>
      <c r="DA23" s="17">
        <f t="shared" si="55"/>
        <v>0</v>
      </c>
      <c r="DB23" s="17" t="str">
        <f t="shared" si="56"/>
        <v/>
      </c>
      <c r="DC23" s="17">
        <f t="shared" si="57"/>
        <v>0</v>
      </c>
      <c r="DD23" s="17">
        <f t="shared" si="58"/>
        <v>0</v>
      </c>
      <c r="DE23" s="17" t="str">
        <f t="shared" si="59"/>
        <v/>
      </c>
      <c r="DF23" s="17" t="str">
        <f t="shared" si="60"/>
        <v/>
      </c>
    </row>
    <row r="24" spans="2:110" s="17" customFormat="1">
      <c r="B24" s="35"/>
      <c r="C24" s="35"/>
      <c r="D24" s="36"/>
      <c r="E24" s="35"/>
      <c r="F24" s="35"/>
      <c r="G24" s="35"/>
      <c r="H24" s="35"/>
      <c r="I24" s="35"/>
      <c r="J24" s="59"/>
      <c r="Z24" s="172" t="str">
        <f t="shared" si="0"/>
        <v/>
      </c>
      <c r="AB24" s="47" t="s">
        <v>203</v>
      </c>
      <c r="AC24" s="52" t="str">
        <f t="shared" si="1"/>
        <v/>
      </c>
      <c r="AD24" s="52">
        <f t="shared" si="72"/>
        <v>0</v>
      </c>
      <c r="AE24" s="52">
        <f t="shared" si="61"/>
        <v>0</v>
      </c>
      <c r="AF24" s="61" t="str">
        <f t="shared" si="2"/>
        <v/>
      </c>
      <c r="AG24" s="52">
        <f t="shared" si="3"/>
        <v>0</v>
      </c>
      <c r="AH24" s="52">
        <f t="shared" si="4"/>
        <v>0</v>
      </c>
      <c r="AI24" s="52" t="str">
        <f t="shared" si="5"/>
        <v/>
      </c>
      <c r="AJ24" s="61" t="str">
        <f t="shared" si="6"/>
        <v/>
      </c>
      <c r="AK24" s="95" t="str">
        <f t="shared" si="7"/>
        <v/>
      </c>
      <c r="AL24" s="61" t="str">
        <f t="shared" si="8"/>
        <v>if () {$("#adv_").html("Required");$("#").css({"background":"yellow"});} else {$("#adv_").html("");$("#").css({"background":"white"});}</v>
      </c>
      <c r="AM24" s="61" t="str">
        <f t="shared" si="9"/>
        <v>if (=="") {$("#adv_").html("Required");$("#adv_").css({"background":"yellow"});} else {$("#adv_").html("");}</v>
      </c>
      <c r="AN24" s="61" t="str">
        <f t="shared" si="83"/>
        <v>if (=="") {$("#adv_").html("Required");$("#").css({"background":"yellow"});} else {$("#adv_").html("");$("#").css({"background":"white"});}</v>
      </c>
      <c r="AO24" s="50" t="str">
        <f t="shared" si="11"/>
        <v/>
      </c>
      <c r="AP24" s="61" t="str">
        <f t="shared" si="12"/>
        <v>=$("#").val();</v>
      </c>
      <c r="AQ24" s="61" t="str">
        <f t="shared" si="13"/>
        <v/>
      </c>
      <c r="AR24" s="50" t="str">
        <f t="shared" si="14"/>
        <v>&lt;input type="checkbox" id="" name="" value="1" /&gt;</v>
      </c>
      <c r="AS24" s="61" t="str">
        <f t="shared" si="15"/>
        <v>=document.getElementById("").checked;</v>
      </c>
      <c r="AT24" s="102" t="str">
        <f t="shared" si="16"/>
        <v>if (isset($_GET[''])) {$=($_GET['']);}else $='';</v>
      </c>
      <c r="AU24" s="52" t="str">
        <f t="shared" si="17"/>
        <v/>
      </c>
      <c r="AV24" s="52" t="str">
        <f t="shared" si="18"/>
        <v>&lt;select size="1" name="" id=""&gt;&lt;option value=""&gt;&lt;/option&gt;&lt;option value=""&gt;&lt;/option&gt;</v>
      </c>
      <c r="AW24" s="52" t="str">
        <f t="shared" si="19"/>
        <v>&lt;option value=""&gt;&lt;/option&gt;</v>
      </c>
      <c r="AX24" s="145" t="str">
        <f t="shared" si="20"/>
        <v/>
      </c>
      <c r="AY24" s="102">
        <f t="shared" si="21"/>
        <v>0</v>
      </c>
      <c r="AZ24" s="102">
        <f t="shared" si="22"/>
        <v>0</v>
      </c>
      <c r="BA24" s="113">
        <f t="shared" si="23"/>
        <v>0</v>
      </c>
      <c r="BB24" s="103" t="str">
        <f t="shared" si="24"/>
        <v>0:</v>
      </c>
      <c r="BC24" s="50" t="str">
        <f t="shared" si="25"/>
        <v>0:&lt;span id="adv_0"&gt;&lt;/span&gt;&lt;br/&gt;&lt;input type="radio" name="0" id="" value="" /&gt;</v>
      </c>
      <c r="BD24" s="52" t="str">
        <f t="shared" si="26"/>
        <v>else if (document.getElementById("</v>
      </c>
      <c r="BE24" s="61" t="str">
        <f t="shared" si="27"/>
        <v>else if (document.getElementById("").checked==true) {0="";}</v>
      </c>
      <c r="BF24" s="61" t="str">
        <f t="shared" si="28"/>
        <v/>
      </c>
      <c r="BG24" s="61" t="str">
        <f t="shared" si="29"/>
        <v>0:0</v>
      </c>
      <c r="BH24" s="102" t="str">
        <f t="shared" si="30"/>
        <v>if (isset($_GET['0'])) {$0=($_GET['0']);}else $0='';</v>
      </c>
      <c r="BI24" s="105" t="str">
        <f t="shared" si="31"/>
        <v>&lt;br/&gt;&lt;textarea rows="2" cols="80" id=""&gt;&lt;/textarea&gt;&lt;br/&gt;</v>
      </c>
      <c r="BJ24" s="107" t="str">
        <f t="shared" si="32"/>
        <v>&lt;input type="text"  size="7"  id="" class="datepicker"/&gt;</v>
      </c>
      <c r="BK24" s="107" t="str">
        <f t="shared" si="33"/>
        <v>&lt;h2 id=""&gt;&lt;/h2&gt;</v>
      </c>
      <c r="BL24" s="109" t="str">
        <f t="shared" si="73"/>
        <v/>
      </c>
      <c r="BM24" s="61" t="str">
        <f t="shared" si="74"/>
        <v/>
      </c>
      <c r="BN24" s="52">
        <f t="shared" si="62"/>
        <v>0</v>
      </c>
      <c r="BO24" s="61" t="str">
        <f t="shared" si="75"/>
        <v/>
      </c>
      <c r="BP24" s="102" t="str">
        <f t="shared" si="76"/>
        <v/>
      </c>
      <c r="BQ24" s="105" t="str">
        <f t="shared" si="77"/>
        <v/>
      </c>
      <c r="BR24" s="52" t="str">
        <f t="shared" si="34"/>
        <v/>
      </c>
      <c r="BS24" s="52">
        <f t="shared" si="35"/>
        <v>0</v>
      </c>
      <c r="BT24" s="52">
        <f t="shared" si="63"/>
        <v>0</v>
      </c>
      <c r="BU24" s="52" t="str">
        <f t="shared" si="36"/>
        <v/>
      </c>
      <c r="BV24" s="52" t="str">
        <f t="shared" si="37"/>
        <v/>
      </c>
      <c r="BW24" s="52" t="str">
        <f t="shared" si="64"/>
        <v/>
      </c>
      <c r="BX24" s="113" t="str">
        <f t="shared" si="78"/>
        <v/>
      </c>
      <c r="BY24" s="52" t="str">
        <f t="shared" si="38"/>
        <v/>
      </c>
      <c r="BZ24" s="52" t="str">
        <f t="shared" si="39"/>
        <v/>
      </c>
      <c r="CA24" s="52" t="str">
        <f t="shared" si="79"/>
        <v/>
      </c>
      <c r="CB24" s="52" t="str">
        <f t="shared" si="80"/>
        <v/>
      </c>
      <c r="CC24" s="52" t="str">
        <f t="shared" si="40"/>
        <v/>
      </c>
      <c r="CD24" s="52" t="str">
        <f t="shared" si="41"/>
        <v/>
      </c>
      <c r="CE24" s="102" t="str">
        <f t="shared" si="81"/>
        <v/>
      </c>
      <c r="CF24" s="116" t="str">
        <f t="shared" si="42"/>
        <v/>
      </c>
      <c r="CG24" s="61" t="str">
        <f t="shared" si="82"/>
        <v/>
      </c>
      <c r="CH24" s="52" t="str">
        <f t="shared" si="84"/>
        <v/>
      </c>
      <c r="CI24" s="52" t="str">
        <f t="shared" si="85"/>
        <v/>
      </c>
      <c r="CJ24" s="52" t="str">
        <f t="shared" si="45"/>
        <v/>
      </c>
      <c r="CK24" s="52" t="str">
        <f t="shared" si="46"/>
        <v/>
      </c>
      <c r="CL24" s="52" t="str">
        <f t="shared" si="47"/>
        <v/>
      </c>
      <c r="CM24" s="102" t="str">
        <f t="shared" si="48"/>
        <v/>
      </c>
      <c r="CN24" s="116" t="str">
        <f t="shared" si="49"/>
        <v/>
      </c>
      <c r="CO24" s="61">
        <f t="shared" si="65"/>
        <v>0</v>
      </c>
      <c r="CP24" s="61" t="str">
        <f t="shared" ref="CP24:CP35" si="86">IF(I24="si",IF(E23="radio",$G$7&amp;$D$6&amp;C23&amp;$P$10&amp;C24&amp;$P$11&amp;C24&amp;$P$9&amp;$P$12&amp;C24&amp;$P$9&amp;"=0;",IF(E23="selectlist",$G$7&amp;AU23&amp;$S$3&amp;C23&amp;$S$4&amp;C24&amp;$P$11&amp;C24&amp;$P$9&amp;$P$12&amp;C24&amp;$P$9&amp;"=0;","")),"")</f>
        <v/>
      </c>
      <c r="CQ24" s="61" t="str">
        <f t="shared" si="66"/>
        <v/>
      </c>
      <c r="CR24" s="61" t="str">
        <f t="shared" si="67"/>
        <v/>
      </c>
      <c r="CS24" s="105" t="str">
        <f t="shared" si="68"/>
        <v/>
      </c>
      <c r="CT24" s="105" t="str">
        <f t="shared" si="69"/>
        <v/>
      </c>
      <c r="CU24" s="61" t="str">
        <f t="shared" si="70"/>
        <v/>
      </c>
      <c r="CV24" s="61" t="str">
        <f t="shared" si="71"/>
        <v/>
      </c>
      <c r="CW24" s="61" t="str">
        <f t="shared" si="51"/>
        <v/>
      </c>
      <c r="CX24" s="61" t="str">
        <f t="shared" si="52"/>
        <v/>
      </c>
      <c r="CY24" s="61" t="str">
        <f t="shared" si="53"/>
        <v/>
      </c>
      <c r="CZ24" s="102" t="str">
        <f t="shared" si="54"/>
        <v/>
      </c>
      <c r="DA24" s="17">
        <f t="shared" si="55"/>
        <v>0</v>
      </c>
      <c r="DB24" s="17" t="str">
        <f t="shared" si="56"/>
        <v/>
      </c>
      <c r="DC24" s="17">
        <f t="shared" si="57"/>
        <v>0</v>
      </c>
      <c r="DD24" s="17">
        <f t="shared" si="58"/>
        <v>0</v>
      </c>
      <c r="DE24" s="17" t="str">
        <f t="shared" si="59"/>
        <v/>
      </c>
      <c r="DF24" s="17" t="str">
        <f t="shared" si="60"/>
        <v/>
      </c>
    </row>
    <row r="25" spans="2:110" s="17" customFormat="1">
      <c r="B25" s="35"/>
      <c r="C25" s="35"/>
      <c r="D25" s="36"/>
      <c r="E25" s="35"/>
      <c r="F25" s="35"/>
      <c r="G25" s="35"/>
      <c r="H25" s="35"/>
      <c r="I25" s="35"/>
      <c r="J25" s="59"/>
      <c r="L25" s="17" t="s">
        <v>649</v>
      </c>
      <c r="Z25" s="172" t="str">
        <f t="shared" si="0"/>
        <v/>
      </c>
      <c r="AB25" s="47" t="s">
        <v>204</v>
      </c>
      <c r="AC25" s="52" t="str">
        <f t="shared" si="1"/>
        <v/>
      </c>
      <c r="AD25" s="52">
        <f t="shared" si="72"/>
        <v>0</v>
      </c>
      <c r="AE25" s="52">
        <f t="shared" si="61"/>
        <v>0</v>
      </c>
      <c r="AF25" s="61" t="str">
        <f t="shared" si="2"/>
        <v/>
      </c>
      <c r="AG25" s="52">
        <f t="shared" si="3"/>
        <v>0</v>
      </c>
      <c r="AH25" s="52">
        <f t="shared" si="4"/>
        <v>0</v>
      </c>
      <c r="AI25" s="52" t="str">
        <f t="shared" si="5"/>
        <v/>
      </c>
      <c r="AJ25" s="61" t="str">
        <f t="shared" si="6"/>
        <v/>
      </c>
      <c r="AK25" s="95" t="str">
        <f t="shared" si="7"/>
        <v/>
      </c>
      <c r="AL25" s="61" t="str">
        <f t="shared" si="8"/>
        <v>if () {$("#adv_").html("Required");$("#").css({"background":"yellow"});} else {$("#adv_").html("");$("#").css({"background":"white"});}</v>
      </c>
      <c r="AM25" s="61" t="str">
        <f t="shared" si="9"/>
        <v>if (=="") {$("#adv_").html("Required");$("#adv_").css({"background":"yellow"});} else {$("#adv_").html("");}</v>
      </c>
      <c r="AN25" s="61" t="str">
        <f t="shared" si="83"/>
        <v>if (=="") {$("#adv_").html("Required");$("#").css({"background":"yellow"});} else {$("#adv_").html("");$("#").css({"background":"white"});}</v>
      </c>
      <c r="AO25" s="50" t="str">
        <f t="shared" si="11"/>
        <v/>
      </c>
      <c r="AP25" s="61" t="str">
        <f t="shared" si="12"/>
        <v>=$("#").val();</v>
      </c>
      <c r="AQ25" s="61" t="str">
        <f t="shared" si="13"/>
        <v/>
      </c>
      <c r="AR25" s="50" t="str">
        <f t="shared" si="14"/>
        <v>&lt;input type="checkbox" id="" name="" value="1" /&gt;</v>
      </c>
      <c r="AS25" s="61" t="str">
        <f t="shared" si="15"/>
        <v>=document.getElementById("").checked;</v>
      </c>
      <c r="AT25" s="102" t="str">
        <f t="shared" si="16"/>
        <v>if (isset($_GET[''])) {$=($_GET['']);}else $='';</v>
      </c>
      <c r="AU25" s="52" t="str">
        <f t="shared" si="17"/>
        <v/>
      </c>
      <c r="AV25" s="52" t="str">
        <f t="shared" si="18"/>
        <v>&lt;select size="1" name="" id=""&gt;&lt;option value=""&gt;&lt;/option&gt;&lt;option value=""&gt;&lt;/option&gt;</v>
      </c>
      <c r="AW25" s="52" t="str">
        <f t="shared" si="19"/>
        <v>&lt;option value=""&gt;&lt;/option&gt;</v>
      </c>
      <c r="AX25" s="145" t="str">
        <f t="shared" si="20"/>
        <v/>
      </c>
      <c r="AY25" s="102">
        <f t="shared" si="21"/>
        <v>0</v>
      </c>
      <c r="AZ25" s="102">
        <f t="shared" si="22"/>
        <v>0</v>
      </c>
      <c r="BA25" s="113">
        <f t="shared" si="23"/>
        <v>0</v>
      </c>
      <c r="BB25" s="103" t="str">
        <f t="shared" si="24"/>
        <v>0:</v>
      </c>
      <c r="BC25" s="50" t="str">
        <f t="shared" si="25"/>
        <v>0:&lt;span id="adv_0"&gt;&lt;/span&gt;&lt;br/&gt;&lt;input type="radio" name="0" id="" value="" /&gt;</v>
      </c>
      <c r="BD25" s="52" t="str">
        <f t="shared" si="26"/>
        <v>else if (document.getElementById("</v>
      </c>
      <c r="BE25" s="61" t="str">
        <f t="shared" si="27"/>
        <v>else if (document.getElementById("").checked==true) {0="";}</v>
      </c>
      <c r="BF25" s="61" t="str">
        <f t="shared" si="28"/>
        <v/>
      </c>
      <c r="BG25" s="61" t="str">
        <f t="shared" si="29"/>
        <v>0:0</v>
      </c>
      <c r="BH25" s="102" t="str">
        <f t="shared" si="30"/>
        <v>if (isset($_GET['0'])) {$0=($_GET['0']);}else $0='';</v>
      </c>
      <c r="BI25" s="105" t="str">
        <f t="shared" si="31"/>
        <v>&lt;br/&gt;&lt;textarea rows="2" cols="80" id=""&gt;&lt;/textarea&gt;&lt;br/&gt;</v>
      </c>
      <c r="BJ25" s="107" t="str">
        <f t="shared" si="32"/>
        <v>&lt;input type="text"  size="7"  id="" class="datepicker"/&gt;</v>
      </c>
      <c r="BK25" s="107" t="str">
        <f t="shared" si="33"/>
        <v>&lt;h2 id=""&gt;&lt;/h2&gt;</v>
      </c>
      <c r="BL25" s="109" t="str">
        <f t="shared" si="73"/>
        <v/>
      </c>
      <c r="BM25" s="61" t="str">
        <f t="shared" si="74"/>
        <v/>
      </c>
      <c r="BN25" s="52">
        <f t="shared" si="62"/>
        <v>0</v>
      </c>
      <c r="BO25" s="61" t="str">
        <f t="shared" si="75"/>
        <v/>
      </c>
      <c r="BP25" s="102" t="str">
        <f t="shared" si="76"/>
        <v/>
      </c>
      <c r="BQ25" s="105" t="str">
        <f t="shared" si="77"/>
        <v/>
      </c>
      <c r="BR25" s="52" t="str">
        <f t="shared" si="34"/>
        <v/>
      </c>
      <c r="BS25" s="52">
        <f t="shared" si="35"/>
        <v>0</v>
      </c>
      <c r="BT25" s="52">
        <f t="shared" si="63"/>
        <v>0</v>
      </c>
      <c r="BU25" s="52" t="str">
        <f t="shared" si="36"/>
        <v/>
      </c>
      <c r="BV25" s="52" t="str">
        <f t="shared" si="37"/>
        <v/>
      </c>
      <c r="BW25" s="52" t="str">
        <f t="shared" si="64"/>
        <v/>
      </c>
      <c r="BX25" s="113" t="str">
        <f t="shared" si="78"/>
        <v/>
      </c>
      <c r="BY25" s="52" t="str">
        <f t="shared" si="38"/>
        <v/>
      </c>
      <c r="BZ25" s="52" t="str">
        <f t="shared" si="39"/>
        <v/>
      </c>
      <c r="CA25" s="52" t="str">
        <f t="shared" si="79"/>
        <v/>
      </c>
      <c r="CB25" s="52" t="str">
        <f t="shared" si="80"/>
        <v/>
      </c>
      <c r="CC25" s="52" t="str">
        <f t="shared" si="40"/>
        <v/>
      </c>
      <c r="CD25" s="52" t="str">
        <f t="shared" si="41"/>
        <v/>
      </c>
      <c r="CE25" s="102" t="str">
        <f t="shared" si="81"/>
        <v/>
      </c>
      <c r="CF25" s="116" t="str">
        <f t="shared" si="42"/>
        <v/>
      </c>
      <c r="CG25" s="61" t="str">
        <f t="shared" si="82"/>
        <v/>
      </c>
      <c r="CH25" s="52" t="str">
        <f t="shared" si="84"/>
        <v/>
      </c>
      <c r="CI25" s="52" t="str">
        <f t="shared" si="85"/>
        <v/>
      </c>
      <c r="CJ25" s="52" t="str">
        <f t="shared" si="45"/>
        <v/>
      </c>
      <c r="CK25" s="52" t="str">
        <f t="shared" si="46"/>
        <v/>
      </c>
      <c r="CL25" s="52" t="str">
        <f t="shared" si="47"/>
        <v/>
      </c>
      <c r="CM25" s="102" t="str">
        <f t="shared" si="48"/>
        <v/>
      </c>
      <c r="CN25" s="116" t="str">
        <f t="shared" si="49"/>
        <v/>
      </c>
      <c r="CO25" s="61">
        <f t="shared" si="65"/>
        <v>0</v>
      </c>
      <c r="CP25" s="61" t="str">
        <f t="shared" si="86"/>
        <v/>
      </c>
      <c r="CQ25" s="61" t="str">
        <f t="shared" si="66"/>
        <v/>
      </c>
      <c r="CR25" s="61" t="str">
        <f t="shared" si="67"/>
        <v/>
      </c>
      <c r="CS25" s="105" t="str">
        <f t="shared" si="68"/>
        <v/>
      </c>
      <c r="CT25" s="105" t="str">
        <f t="shared" si="69"/>
        <v/>
      </c>
      <c r="CU25" s="61" t="str">
        <f t="shared" si="70"/>
        <v/>
      </c>
      <c r="CV25" s="61" t="str">
        <f t="shared" si="71"/>
        <v/>
      </c>
      <c r="CW25" s="61" t="str">
        <f t="shared" si="51"/>
        <v/>
      </c>
      <c r="CX25" s="61" t="str">
        <f t="shared" si="52"/>
        <v/>
      </c>
      <c r="CY25" s="61" t="str">
        <f t="shared" si="53"/>
        <v/>
      </c>
      <c r="CZ25" s="102" t="str">
        <f t="shared" si="54"/>
        <v/>
      </c>
      <c r="DA25" s="17">
        <f t="shared" si="55"/>
        <v>0</v>
      </c>
      <c r="DB25" s="17" t="str">
        <f t="shared" si="56"/>
        <v/>
      </c>
      <c r="DC25" s="17">
        <f t="shared" si="57"/>
        <v>0</v>
      </c>
      <c r="DD25" s="17">
        <f t="shared" si="58"/>
        <v>0</v>
      </c>
      <c r="DE25" s="17" t="str">
        <f t="shared" si="59"/>
        <v/>
      </c>
      <c r="DF25" s="17" t="str">
        <f t="shared" si="60"/>
        <v/>
      </c>
    </row>
    <row r="26" spans="2:110" s="17" customFormat="1">
      <c r="B26" s="35"/>
      <c r="C26" s="35"/>
      <c r="D26" s="36"/>
      <c r="E26" s="35"/>
      <c r="F26" s="35"/>
      <c r="G26" s="35"/>
      <c r="H26" s="35"/>
      <c r="I26" s="35"/>
      <c r="J26" s="59"/>
      <c r="L26" s="35" t="s">
        <v>24</v>
      </c>
      <c r="Z26" s="172" t="str">
        <f t="shared" si="0"/>
        <v/>
      </c>
      <c r="AB26" s="47" t="s">
        <v>205</v>
      </c>
      <c r="AC26" s="52" t="str">
        <f t="shared" si="1"/>
        <v/>
      </c>
      <c r="AD26" s="52">
        <f t="shared" si="72"/>
        <v>0</v>
      </c>
      <c r="AE26" s="52">
        <f t="shared" si="61"/>
        <v>0</v>
      </c>
      <c r="AF26" s="61" t="str">
        <f t="shared" si="2"/>
        <v/>
      </c>
      <c r="AG26" s="52">
        <f t="shared" si="3"/>
        <v>0</v>
      </c>
      <c r="AH26" s="52">
        <f t="shared" si="4"/>
        <v>0</v>
      </c>
      <c r="AI26" s="52" t="str">
        <f t="shared" si="5"/>
        <v/>
      </c>
      <c r="AJ26" s="61" t="str">
        <f t="shared" si="6"/>
        <v/>
      </c>
      <c r="AK26" s="95" t="str">
        <f t="shared" si="7"/>
        <v/>
      </c>
      <c r="AL26" s="61" t="str">
        <f t="shared" si="8"/>
        <v>if () {$("#adv_").html("Required");$("#").css({"background":"yellow"});} else {$("#adv_").html("");$("#").css({"background":"white"});}</v>
      </c>
      <c r="AM26" s="61" t="str">
        <f t="shared" si="9"/>
        <v>if (=="") {$("#adv_").html("Required");$("#adv_").css({"background":"yellow"});} else {$("#adv_").html("");}</v>
      </c>
      <c r="AN26" s="61" t="str">
        <f t="shared" si="83"/>
        <v>if (=="") {$("#adv_").html("Required");$("#").css({"background":"yellow"});} else {$("#adv_").html("");$("#").css({"background":"white"});}</v>
      </c>
      <c r="AO26" s="50" t="str">
        <f t="shared" si="11"/>
        <v/>
      </c>
      <c r="AP26" s="61" t="str">
        <f t="shared" si="12"/>
        <v>=$("#").val();</v>
      </c>
      <c r="AQ26" s="61" t="str">
        <f t="shared" si="13"/>
        <v/>
      </c>
      <c r="AR26" s="50" t="str">
        <f t="shared" si="14"/>
        <v>&lt;input type="checkbox" id="" name="" value="1" /&gt;</v>
      </c>
      <c r="AS26" s="61" t="str">
        <f t="shared" si="15"/>
        <v>=document.getElementById("").checked;</v>
      </c>
      <c r="AT26" s="102" t="str">
        <f t="shared" si="16"/>
        <v>if (isset($_GET[''])) {$=($_GET['']);}else $='';</v>
      </c>
      <c r="AU26" s="52" t="str">
        <f t="shared" si="17"/>
        <v/>
      </c>
      <c r="AV26" s="52" t="str">
        <f t="shared" si="18"/>
        <v>&lt;select size="1" name="" id=""&gt;&lt;option value=""&gt;&lt;/option&gt;&lt;option value=""&gt;&lt;/option&gt;</v>
      </c>
      <c r="AW26" s="52" t="str">
        <f t="shared" si="19"/>
        <v>&lt;option value=""&gt;&lt;/option&gt;</v>
      </c>
      <c r="AX26" s="145" t="str">
        <f t="shared" si="20"/>
        <v/>
      </c>
      <c r="AY26" s="102">
        <f t="shared" si="21"/>
        <v>0</v>
      </c>
      <c r="AZ26" s="102">
        <f t="shared" si="22"/>
        <v>0</v>
      </c>
      <c r="BA26" s="113">
        <f t="shared" si="23"/>
        <v>0</v>
      </c>
      <c r="BB26" s="103" t="str">
        <f t="shared" si="24"/>
        <v>0:</v>
      </c>
      <c r="BC26" s="50" t="str">
        <f t="shared" si="25"/>
        <v>0:&lt;span id="adv_0"&gt;&lt;/span&gt;&lt;br/&gt;&lt;input type="radio" name="0" id="" value="" /&gt;</v>
      </c>
      <c r="BD26" s="52" t="str">
        <f t="shared" si="26"/>
        <v>else if (document.getElementById("</v>
      </c>
      <c r="BE26" s="61" t="str">
        <f t="shared" si="27"/>
        <v>else if (document.getElementById("").checked==true) {0="";}</v>
      </c>
      <c r="BF26" s="61" t="str">
        <f t="shared" si="28"/>
        <v/>
      </c>
      <c r="BG26" s="61" t="str">
        <f t="shared" si="29"/>
        <v>0:0</v>
      </c>
      <c r="BH26" s="102" t="str">
        <f t="shared" si="30"/>
        <v>if (isset($_GET['0'])) {$0=($_GET['0']);}else $0='';</v>
      </c>
      <c r="BI26" s="105" t="str">
        <f t="shared" si="31"/>
        <v>&lt;br/&gt;&lt;textarea rows="2" cols="80" id=""&gt;&lt;/textarea&gt;&lt;br/&gt;</v>
      </c>
      <c r="BJ26" s="107" t="str">
        <f t="shared" si="32"/>
        <v>&lt;input type="text"  size="7"  id="" class="datepicker"/&gt;</v>
      </c>
      <c r="BK26" s="107" t="str">
        <f t="shared" si="33"/>
        <v>&lt;h2 id=""&gt;&lt;/h2&gt;</v>
      </c>
      <c r="BL26" s="109" t="str">
        <f t="shared" si="73"/>
        <v/>
      </c>
      <c r="BM26" s="61" t="str">
        <f t="shared" si="74"/>
        <v/>
      </c>
      <c r="BN26" s="52">
        <f t="shared" si="62"/>
        <v>0</v>
      </c>
      <c r="BO26" s="61" t="str">
        <f t="shared" si="75"/>
        <v/>
      </c>
      <c r="BP26" s="102" t="str">
        <f t="shared" si="76"/>
        <v/>
      </c>
      <c r="BQ26" s="105" t="str">
        <f t="shared" si="77"/>
        <v/>
      </c>
      <c r="BR26" s="52" t="str">
        <f t="shared" si="34"/>
        <v/>
      </c>
      <c r="BS26" s="52">
        <f t="shared" si="35"/>
        <v>0</v>
      </c>
      <c r="BT26" s="52">
        <f t="shared" si="63"/>
        <v>0</v>
      </c>
      <c r="BU26" s="52" t="str">
        <f t="shared" si="36"/>
        <v/>
      </c>
      <c r="BV26" s="52" t="str">
        <f t="shared" si="37"/>
        <v/>
      </c>
      <c r="BW26" s="52" t="str">
        <f t="shared" si="64"/>
        <v/>
      </c>
      <c r="BX26" s="113" t="str">
        <f t="shared" si="78"/>
        <v/>
      </c>
      <c r="BY26" s="52" t="str">
        <f t="shared" si="38"/>
        <v/>
      </c>
      <c r="BZ26" s="52" t="str">
        <f t="shared" si="39"/>
        <v/>
      </c>
      <c r="CA26" s="52" t="str">
        <f t="shared" si="79"/>
        <v/>
      </c>
      <c r="CB26" s="52" t="str">
        <f t="shared" si="80"/>
        <v/>
      </c>
      <c r="CC26" s="52" t="str">
        <f t="shared" si="40"/>
        <v/>
      </c>
      <c r="CD26" s="52" t="str">
        <f t="shared" si="41"/>
        <v/>
      </c>
      <c r="CE26" s="102" t="str">
        <f t="shared" si="81"/>
        <v/>
      </c>
      <c r="CF26" s="116" t="str">
        <f t="shared" si="42"/>
        <v/>
      </c>
      <c r="CG26" s="61" t="str">
        <f t="shared" si="82"/>
        <v/>
      </c>
      <c r="CH26" s="52" t="str">
        <f t="shared" si="84"/>
        <v/>
      </c>
      <c r="CI26" s="52" t="str">
        <f t="shared" si="85"/>
        <v/>
      </c>
      <c r="CJ26" s="52" t="str">
        <f t="shared" si="45"/>
        <v/>
      </c>
      <c r="CK26" s="52" t="str">
        <f t="shared" si="46"/>
        <v/>
      </c>
      <c r="CL26" s="52" t="str">
        <f t="shared" si="47"/>
        <v/>
      </c>
      <c r="CM26" s="102" t="str">
        <f t="shared" si="48"/>
        <v/>
      </c>
      <c r="CN26" s="116" t="str">
        <f t="shared" si="49"/>
        <v/>
      </c>
      <c r="CO26" s="61">
        <f t="shared" si="65"/>
        <v>0</v>
      </c>
      <c r="CP26" s="61" t="str">
        <f t="shared" si="86"/>
        <v/>
      </c>
      <c r="CQ26" s="61" t="str">
        <f t="shared" si="66"/>
        <v/>
      </c>
      <c r="CR26" s="61" t="str">
        <f t="shared" si="67"/>
        <v/>
      </c>
      <c r="CS26" s="105" t="str">
        <f t="shared" si="68"/>
        <v/>
      </c>
      <c r="CT26" s="105" t="str">
        <f t="shared" si="69"/>
        <v/>
      </c>
      <c r="CU26" s="61" t="str">
        <f t="shared" si="70"/>
        <v/>
      </c>
      <c r="CV26" s="61" t="str">
        <f t="shared" si="71"/>
        <v/>
      </c>
      <c r="CW26" s="61" t="str">
        <f t="shared" si="51"/>
        <v/>
      </c>
      <c r="CX26" s="61" t="str">
        <f t="shared" si="52"/>
        <v/>
      </c>
      <c r="CY26" s="61" t="str">
        <f t="shared" si="53"/>
        <v/>
      </c>
      <c r="CZ26" s="102" t="str">
        <f t="shared" si="54"/>
        <v/>
      </c>
      <c r="DA26" s="17">
        <f t="shared" si="55"/>
        <v>0</v>
      </c>
      <c r="DB26" s="17" t="str">
        <f t="shared" si="56"/>
        <v/>
      </c>
      <c r="DC26" s="17">
        <f t="shared" si="57"/>
        <v>0</v>
      </c>
      <c r="DD26" s="17">
        <f t="shared" si="58"/>
        <v>0</v>
      </c>
      <c r="DE26" s="17" t="str">
        <f t="shared" si="59"/>
        <v/>
      </c>
      <c r="DF26" s="17" t="str">
        <f t="shared" si="60"/>
        <v/>
      </c>
    </row>
    <row r="27" spans="2:110" s="17" customFormat="1">
      <c r="B27" s="35"/>
      <c r="C27" s="35"/>
      <c r="D27" s="36"/>
      <c r="E27" s="35"/>
      <c r="F27" s="35"/>
      <c r="G27" s="35"/>
      <c r="H27" s="35"/>
      <c r="I27" s="35"/>
      <c r="J27" s="59"/>
      <c r="Z27" s="172" t="str">
        <f t="shared" si="0"/>
        <v/>
      </c>
      <c r="AB27" s="47" t="s">
        <v>206</v>
      </c>
      <c r="AC27" s="52" t="str">
        <f t="shared" si="1"/>
        <v/>
      </c>
      <c r="AD27" s="52">
        <f t="shared" si="72"/>
        <v>0</v>
      </c>
      <c r="AE27" s="52">
        <f t="shared" si="61"/>
        <v>0</v>
      </c>
      <c r="AF27" s="61" t="str">
        <f t="shared" si="2"/>
        <v/>
      </c>
      <c r="AG27" s="52">
        <f t="shared" si="3"/>
        <v>0</v>
      </c>
      <c r="AH27" s="52">
        <f t="shared" si="4"/>
        <v>0</v>
      </c>
      <c r="AI27" s="52" t="str">
        <f t="shared" si="5"/>
        <v/>
      </c>
      <c r="AJ27" s="61" t="str">
        <f t="shared" si="6"/>
        <v/>
      </c>
      <c r="AK27" s="95" t="str">
        <f t="shared" si="7"/>
        <v/>
      </c>
      <c r="AL27" s="61" t="str">
        <f t="shared" si="8"/>
        <v>if () {$("#adv_").html("Required");$("#").css({"background":"yellow"});} else {$("#adv_").html("");$("#").css({"background":"white"});}</v>
      </c>
      <c r="AM27" s="61" t="str">
        <f t="shared" si="9"/>
        <v>if (=="") {$("#adv_").html("Required");$("#adv_").css({"background":"yellow"});} else {$("#adv_").html("");}</v>
      </c>
      <c r="AN27" s="61" t="str">
        <f t="shared" si="83"/>
        <v>if (=="") {$("#adv_").html("Required");$("#").css({"background":"yellow"});} else {$("#adv_").html("");$("#").css({"background":"white"});}</v>
      </c>
      <c r="AO27" s="50" t="str">
        <f t="shared" si="11"/>
        <v/>
      </c>
      <c r="AP27" s="61" t="str">
        <f t="shared" si="12"/>
        <v>=$("#").val();</v>
      </c>
      <c r="AQ27" s="61" t="str">
        <f t="shared" si="13"/>
        <v/>
      </c>
      <c r="AR27" s="50" t="str">
        <f t="shared" si="14"/>
        <v>&lt;input type="checkbox" id="" name="" value="1" /&gt;</v>
      </c>
      <c r="AS27" s="61" t="str">
        <f t="shared" si="15"/>
        <v>=document.getElementById("").checked;</v>
      </c>
      <c r="AT27" s="102" t="str">
        <f t="shared" si="16"/>
        <v>if (isset($_GET[''])) {$=($_GET['']);}else $='';</v>
      </c>
      <c r="AU27" s="52" t="str">
        <f t="shared" si="17"/>
        <v/>
      </c>
      <c r="AV27" s="52" t="str">
        <f t="shared" si="18"/>
        <v>&lt;select size="1" name="" id=""&gt;&lt;option value=""&gt;&lt;/option&gt;&lt;option value=""&gt;&lt;/option&gt;</v>
      </c>
      <c r="AW27" s="52" t="str">
        <f t="shared" si="19"/>
        <v>&lt;option value=""&gt;&lt;/option&gt;</v>
      </c>
      <c r="AX27" s="145" t="str">
        <f t="shared" si="20"/>
        <v/>
      </c>
      <c r="AY27" s="102">
        <f t="shared" si="21"/>
        <v>0</v>
      </c>
      <c r="AZ27" s="102">
        <f t="shared" si="22"/>
        <v>0</v>
      </c>
      <c r="BA27" s="113">
        <f t="shared" si="23"/>
        <v>0</v>
      </c>
      <c r="BB27" s="103" t="str">
        <f t="shared" si="24"/>
        <v>0:</v>
      </c>
      <c r="BC27" s="50" t="str">
        <f t="shared" si="25"/>
        <v>0:&lt;span id="adv_0"&gt;&lt;/span&gt;&lt;br/&gt;&lt;input type="radio" name="0" id="" value="" /&gt;</v>
      </c>
      <c r="BD27" s="52" t="str">
        <f t="shared" si="26"/>
        <v>else if (document.getElementById("</v>
      </c>
      <c r="BE27" s="61" t="str">
        <f t="shared" si="27"/>
        <v>else if (document.getElementById("").checked==true) {0="";}</v>
      </c>
      <c r="BF27" s="61" t="str">
        <f t="shared" si="28"/>
        <v/>
      </c>
      <c r="BG27" s="61" t="str">
        <f t="shared" si="29"/>
        <v>0:0</v>
      </c>
      <c r="BH27" s="102" t="str">
        <f t="shared" si="30"/>
        <v>if (isset($_GET['0'])) {$0=($_GET['0']);}else $0='';</v>
      </c>
      <c r="BI27" s="105" t="str">
        <f t="shared" si="31"/>
        <v>&lt;br/&gt;&lt;textarea rows="2" cols="80" id=""&gt;&lt;/textarea&gt;&lt;br/&gt;</v>
      </c>
      <c r="BJ27" s="107" t="str">
        <f t="shared" si="32"/>
        <v>&lt;input type="text"  size="7"  id="" class="datepicker"/&gt;</v>
      </c>
      <c r="BK27" s="107" t="str">
        <f t="shared" si="33"/>
        <v>&lt;h2 id=""&gt;&lt;/h2&gt;</v>
      </c>
      <c r="BL27" s="109" t="str">
        <f t="shared" si="73"/>
        <v/>
      </c>
      <c r="BM27" s="61" t="str">
        <f t="shared" si="74"/>
        <v/>
      </c>
      <c r="BN27" s="52">
        <f t="shared" si="62"/>
        <v>0</v>
      </c>
      <c r="BO27" s="61" t="str">
        <f t="shared" si="75"/>
        <v/>
      </c>
      <c r="BP27" s="102" t="str">
        <f t="shared" si="76"/>
        <v/>
      </c>
      <c r="BQ27" s="105" t="str">
        <f t="shared" si="77"/>
        <v/>
      </c>
      <c r="BR27" s="52" t="str">
        <f t="shared" si="34"/>
        <v/>
      </c>
      <c r="BS27" s="52">
        <f t="shared" si="35"/>
        <v>0</v>
      </c>
      <c r="BT27" s="52">
        <f t="shared" si="63"/>
        <v>0</v>
      </c>
      <c r="BU27" s="52" t="str">
        <f t="shared" si="36"/>
        <v/>
      </c>
      <c r="BV27" s="52" t="str">
        <f t="shared" si="37"/>
        <v/>
      </c>
      <c r="BW27" s="52" t="str">
        <f t="shared" si="64"/>
        <v/>
      </c>
      <c r="BX27" s="113" t="str">
        <f t="shared" si="78"/>
        <v/>
      </c>
      <c r="BY27" s="52" t="str">
        <f t="shared" si="38"/>
        <v/>
      </c>
      <c r="BZ27" s="52" t="str">
        <f t="shared" si="39"/>
        <v/>
      </c>
      <c r="CA27" s="52" t="str">
        <f t="shared" si="79"/>
        <v/>
      </c>
      <c r="CB27" s="52" t="str">
        <f t="shared" si="80"/>
        <v/>
      </c>
      <c r="CC27" s="52" t="str">
        <f t="shared" si="40"/>
        <v/>
      </c>
      <c r="CD27" s="52" t="str">
        <f t="shared" si="41"/>
        <v/>
      </c>
      <c r="CE27" s="102" t="str">
        <f t="shared" si="81"/>
        <v/>
      </c>
      <c r="CF27" s="116" t="str">
        <f t="shared" si="42"/>
        <v/>
      </c>
      <c r="CG27" s="61" t="str">
        <f t="shared" si="82"/>
        <v/>
      </c>
      <c r="CH27" s="52" t="str">
        <f t="shared" si="84"/>
        <v/>
      </c>
      <c r="CI27" s="52" t="str">
        <f t="shared" si="85"/>
        <v/>
      </c>
      <c r="CJ27" s="52" t="str">
        <f t="shared" si="45"/>
        <v/>
      </c>
      <c r="CK27" s="52" t="str">
        <f t="shared" si="46"/>
        <v/>
      </c>
      <c r="CL27" s="52" t="str">
        <f t="shared" si="47"/>
        <v/>
      </c>
      <c r="CM27" s="102" t="str">
        <f t="shared" si="48"/>
        <v/>
      </c>
      <c r="CN27" s="116" t="str">
        <f t="shared" si="49"/>
        <v/>
      </c>
      <c r="CO27" s="61">
        <f t="shared" si="65"/>
        <v>0</v>
      </c>
      <c r="CP27" s="61" t="str">
        <f t="shared" si="86"/>
        <v/>
      </c>
      <c r="CQ27" s="61" t="str">
        <f t="shared" si="66"/>
        <v/>
      </c>
      <c r="CR27" s="61" t="str">
        <f t="shared" si="67"/>
        <v/>
      </c>
      <c r="CS27" s="105" t="str">
        <f t="shared" si="68"/>
        <v/>
      </c>
      <c r="CT27" s="105" t="str">
        <f t="shared" si="69"/>
        <v/>
      </c>
      <c r="CU27" s="61" t="str">
        <f t="shared" si="70"/>
        <v/>
      </c>
      <c r="CV27" s="61" t="str">
        <f t="shared" si="71"/>
        <v/>
      </c>
      <c r="CW27" s="61" t="str">
        <f t="shared" si="51"/>
        <v/>
      </c>
      <c r="CX27" s="61" t="str">
        <f t="shared" si="52"/>
        <v/>
      </c>
      <c r="CY27" s="61" t="str">
        <f t="shared" si="53"/>
        <v/>
      </c>
      <c r="CZ27" s="102" t="str">
        <f t="shared" si="54"/>
        <v/>
      </c>
      <c r="DA27" s="17">
        <f t="shared" si="55"/>
        <v>0</v>
      </c>
      <c r="DB27" s="17" t="str">
        <f t="shared" si="56"/>
        <v/>
      </c>
      <c r="DC27" s="17">
        <f t="shared" si="57"/>
        <v>0</v>
      </c>
      <c r="DD27" s="17">
        <f t="shared" si="58"/>
        <v>0</v>
      </c>
      <c r="DE27" s="17" t="str">
        <f t="shared" si="59"/>
        <v/>
      </c>
      <c r="DF27" s="17" t="str">
        <f t="shared" si="60"/>
        <v/>
      </c>
    </row>
    <row r="28" spans="2:110" s="17" customFormat="1">
      <c r="B28" s="35"/>
      <c r="C28" s="35"/>
      <c r="D28" s="36"/>
      <c r="E28" s="35"/>
      <c r="F28" s="35"/>
      <c r="G28" s="35"/>
      <c r="H28" s="35"/>
      <c r="I28" s="35"/>
      <c r="J28" s="59"/>
      <c r="L28" s="17" t="s">
        <v>725</v>
      </c>
      <c r="Z28" s="172" t="str">
        <f t="shared" si="0"/>
        <v/>
      </c>
      <c r="AB28" s="47" t="s">
        <v>207</v>
      </c>
      <c r="AC28" s="52" t="str">
        <f t="shared" si="1"/>
        <v/>
      </c>
      <c r="AD28" s="52">
        <f t="shared" si="72"/>
        <v>0</v>
      </c>
      <c r="AE28" s="52">
        <f t="shared" si="61"/>
        <v>0</v>
      </c>
      <c r="AF28" s="61" t="str">
        <f t="shared" si="2"/>
        <v/>
      </c>
      <c r="AG28" s="52">
        <f t="shared" si="3"/>
        <v>0</v>
      </c>
      <c r="AH28" s="52">
        <f t="shared" si="4"/>
        <v>0</v>
      </c>
      <c r="AI28" s="52" t="str">
        <f t="shared" si="5"/>
        <v/>
      </c>
      <c r="AJ28" s="61" t="str">
        <f t="shared" si="6"/>
        <v/>
      </c>
      <c r="AK28" s="95" t="str">
        <f t="shared" si="7"/>
        <v/>
      </c>
      <c r="AL28" s="61" t="str">
        <f t="shared" si="8"/>
        <v>if () {$("#adv_").html("Required");$("#").css({"background":"yellow"});} else {$("#adv_").html("");$("#").css({"background":"white"});}</v>
      </c>
      <c r="AM28" s="61" t="str">
        <f t="shared" si="9"/>
        <v>if (=="") {$("#adv_").html("Required");$("#adv_").css({"background":"yellow"});} else {$("#adv_").html("");}</v>
      </c>
      <c r="AN28" s="61" t="str">
        <f t="shared" si="83"/>
        <v>if (=="") {$("#adv_").html("Required");$("#").css({"background":"yellow"});} else {$("#adv_").html("");$("#").css({"background":"white"});}</v>
      </c>
      <c r="AO28" s="50" t="str">
        <f t="shared" si="11"/>
        <v/>
      </c>
      <c r="AP28" s="61" t="str">
        <f t="shared" si="12"/>
        <v>=$("#").val();</v>
      </c>
      <c r="AQ28" s="61" t="str">
        <f t="shared" si="13"/>
        <v/>
      </c>
      <c r="AR28" s="50" t="str">
        <f t="shared" si="14"/>
        <v>&lt;input type="checkbox" id="" name="" value="1" /&gt;</v>
      </c>
      <c r="AS28" s="61" t="str">
        <f t="shared" si="15"/>
        <v>=document.getElementById("").checked;</v>
      </c>
      <c r="AT28" s="102" t="str">
        <f t="shared" si="16"/>
        <v>if (isset($_GET[''])) {$=($_GET['']);}else $='';</v>
      </c>
      <c r="AU28" s="52" t="str">
        <f t="shared" si="17"/>
        <v/>
      </c>
      <c r="AV28" s="52" t="str">
        <f t="shared" si="18"/>
        <v>&lt;select size="1" name="" id=""&gt;&lt;option value=""&gt;&lt;/option&gt;&lt;option value=""&gt;&lt;/option&gt;</v>
      </c>
      <c r="AW28" s="52" t="str">
        <f t="shared" si="19"/>
        <v>&lt;option value=""&gt;&lt;/option&gt;</v>
      </c>
      <c r="AX28" s="145" t="str">
        <f t="shared" si="20"/>
        <v/>
      </c>
      <c r="AY28" s="102">
        <f t="shared" si="21"/>
        <v>0</v>
      </c>
      <c r="AZ28" s="102">
        <f t="shared" si="22"/>
        <v>0</v>
      </c>
      <c r="BA28" s="113">
        <f t="shared" si="23"/>
        <v>0</v>
      </c>
      <c r="BB28" s="103" t="str">
        <f t="shared" si="24"/>
        <v>0:</v>
      </c>
      <c r="BC28" s="50" t="str">
        <f t="shared" si="25"/>
        <v>0:&lt;span id="adv_0"&gt;&lt;/span&gt;&lt;br/&gt;&lt;input type="radio" name="0" id="" value="" /&gt;</v>
      </c>
      <c r="BD28" s="52" t="str">
        <f t="shared" si="26"/>
        <v>else if (document.getElementById("</v>
      </c>
      <c r="BE28" s="61" t="str">
        <f t="shared" si="27"/>
        <v>else if (document.getElementById("").checked==true) {0="";}</v>
      </c>
      <c r="BF28" s="61" t="str">
        <f t="shared" si="28"/>
        <v/>
      </c>
      <c r="BG28" s="61" t="str">
        <f t="shared" si="29"/>
        <v>0:0</v>
      </c>
      <c r="BH28" s="102" t="str">
        <f t="shared" si="30"/>
        <v>if (isset($_GET['0'])) {$0=($_GET['0']);}else $0='';</v>
      </c>
      <c r="BI28" s="105" t="str">
        <f t="shared" si="31"/>
        <v>&lt;br/&gt;&lt;textarea rows="2" cols="80" id=""&gt;&lt;/textarea&gt;&lt;br/&gt;</v>
      </c>
      <c r="BJ28" s="107" t="str">
        <f t="shared" si="32"/>
        <v>&lt;input type="text"  size="7"  id="" class="datepicker"/&gt;</v>
      </c>
      <c r="BK28" s="107" t="str">
        <f t="shared" si="33"/>
        <v>&lt;h2 id=""&gt;&lt;/h2&gt;</v>
      </c>
      <c r="BL28" s="109" t="str">
        <f t="shared" si="73"/>
        <v/>
      </c>
      <c r="BM28" s="61" t="str">
        <f t="shared" si="74"/>
        <v/>
      </c>
      <c r="BN28" s="52">
        <f t="shared" si="62"/>
        <v>0</v>
      </c>
      <c r="BO28" s="61" t="str">
        <f t="shared" si="75"/>
        <v/>
      </c>
      <c r="BP28" s="102" t="str">
        <f t="shared" si="76"/>
        <v/>
      </c>
      <c r="BQ28" s="105" t="str">
        <f t="shared" si="77"/>
        <v/>
      </c>
      <c r="BR28" s="52" t="str">
        <f t="shared" si="34"/>
        <v/>
      </c>
      <c r="BS28" s="52">
        <f t="shared" si="35"/>
        <v>0</v>
      </c>
      <c r="BT28" s="52">
        <f t="shared" si="63"/>
        <v>0</v>
      </c>
      <c r="BU28" s="52" t="str">
        <f t="shared" si="36"/>
        <v/>
      </c>
      <c r="BV28" s="52" t="str">
        <f t="shared" si="37"/>
        <v/>
      </c>
      <c r="BW28" s="52" t="str">
        <f t="shared" si="64"/>
        <v/>
      </c>
      <c r="BX28" s="113" t="str">
        <f t="shared" si="78"/>
        <v/>
      </c>
      <c r="BY28" s="52" t="str">
        <f t="shared" si="38"/>
        <v/>
      </c>
      <c r="BZ28" s="52" t="str">
        <f t="shared" si="39"/>
        <v/>
      </c>
      <c r="CA28" s="52" t="str">
        <f t="shared" si="79"/>
        <v/>
      </c>
      <c r="CB28" s="52" t="str">
        <f t="shared" si="80"/>
        <v/>
      </c>
      <c r="CC28" s="52" t="str">
        <f t="shared" si="40"/>
        <v/>
      </c>
      <c r="CD28" s="52" t="str">
        <f t="shared" si="41"/>
        <v/>
      </c>
      <c r="CE28" s="102" t="str">
        <f t="shared" si="81"/>
        <v/>
      </c>
      <c r="CF28" s="116" t="str">
        <f t="shared" si="42"/>
        <v/>
      </c>
      <c r="CG28" s="61" t="str">
        <f t="shared" si="82"/>
        <v/>
      </c>
      <c r="CH28" s="52" t="str">
        <f t="shared" si="84"/>
        <v/>
      </c>
      <c r="CI28" s="52" t="str">
        <f t="shared" si="85"/>
        <v/>
      </c>
      <c r="CJ28" s="52" t="str">
        <f t="shared" si="45"/>
        <v/>
      </c>
      <c r="CK28" s="52" t="str">
        <f t="shared" si="46"/>
        <v/>
      </c>
      <c r="CL28" s="52" t="str">
        <f t="shared" si="47"/>
        <v/>
      </c>
      <c r="CM28" s="102" t="str">
        <f t="shared" si="48"/>
        <v/>
      </c>
      <c r="CN28" s="116" t="str">
        <f t="shared" si="49"/>
        <v/>
      </c>
      <c r="CO28" s="61">
        <f t="shared" si="65"/>
        <v>0</v>
      </c>
      <c r="CP28" s="61" t="str">
        <f t="shared" si="86"/>
        <v/>
      </c>
      <c r="CQ28" s="61" t="str">
        <f t="shared" si="66"/>
        <v/>
      </c>
      <c r="CR28" s="61" t="str">
        <f t="shared" si="67"/>
        <v/>
      </c>
      <c r="CS28" s="105" t="str">
        <f t="shared" si="68"/>
        <v/>
      </c>
      <c r="CT28" s="105" t="str">
        <f t="shared" si="69"/>
        <v/>
      </c>
      <c r="CU28" s="61" t="str">
        <f t="shared" si="70"/>
        <v/>
      </c>
      <c r="CV28" s="61" t="str">
        <f t="shared" si="71"/>
        <v/>
      </c>
      <c r="CW28" s="61" t="str">
        <f t="shared" si="51"/>
        <v/>
      </c>
      <c r="CX28" s="61" t="str">
        <f t="shared" si="52"/>
        <v/>
      </c>
      <c r="CY28" s="61" t="str">
        <f t="shared" si="53"/>
        <v/>
      </c>
      <c r="CZ28" s="102" t="str">
        <f t="shared" si="54"/>
        <v/>
      </c>
      <c r="DA28" s="17">
        <f t="shared" si="55"/>
        <v>0</v>
      </c>
      <c r="DB28" s="17" t="str">
        <f t="shared" si="56"/>
        <v/>
      </c>
      <c r="DC28" s="17">
        <f t="shared" si="57"/>
        <v>0</v>
      </c>
      <c r="DD28" s="17">
        <f t="shared" si="58"/>
        <v>0</v>
      </c>
      <c r="DE28" s="17" t="str">
        <f t="shared" si="59"/>
        <v/>
      </c>
      <c r="DF28" s="17" t="str">
        <f t="shared" si="60"/>
        <v/>
      </c>
    </row>
    <row r="29" spans="2:110" s="17" customFormat="1">
      <c r="B29" s="35"/>
      <c r="C29" s="35"/>
      <c r="D29" s="36"/>
      <c r="E29" s="35"/>
      <c r="F29" s="35"/>
      <c r="G29" s="35"/>
      <c r="H29" s="35"/>
      <c r="I29" s="35"/>
      <c r="J29" s="59"/>
      <c r="L29" s="35" t="s">
        <v>24</v>
      </c>
      <c r="Z29" s="172" t="str">
        <f t="shared" si="0"/>
        <v/>
      </c>
      <c r="AB29" s="47" t="s">
        <v>208</v>
      </c>
      <c r="AC29" s="52" t="str">
        <f t="shared" si="1"/>
        <v/>
      </c>
      <c r="AD29" s="52">
        <f t="shared" si="72"/>
        <v>0</v>
      </c>
      <c r="AE29" s="52">
        <f t="shared" si="61"/>
        <v>0</v>
      </c>
      <c r="AF29" s="61" t="str">
        <f t="shared" si="2"/>
        <v/>
      </c>
      <c r="AG29" s="52">
        <f t="shared" si="3"/>
        <v>0</v>
      </c>
      <c r="AH29" s="52">
        <f t="shared" si="4"/>
        <v>0</v>
      </c>
      <c r="AI29" s="52" t="str">
        <f t="shared" si="5"/>
        <v/>
      </c>
      <c r="AJ29" s="61" t="str">
        <f t="shared" si="6"/>
        <v/>
      </c>
      <c r="AK29" s="95" t="str">
        <f t="shared" si="7"/>
        <v/>
      </c>
      <c r="AL29" s="61" t="str">
        <f t="shared" si="8"/>
        <v>if () {$("#adv_").html("Required");$("#").css({"background":"yellow"});} else {$("#adv_").html("");$("#").css({"background":"white"});}</v>
      </c>
      <c r="AM29" s="61" t="str">
        <f t="shared" si="9"/>
        <v>if (=="") {$("#adv_").html("Required");$("#adv_").css({"background":"yellow"});} else {$("#adv_").html("");}</v>
      </c>
      <c r="AN29" s="61" t="str">
        <f t="shared" si="83"/>
        <v>if (=="") {$("#adv_").html("Required");$("#").css({"background":"yellow"});} else {$("#adv_").html("");$("#").css({"background":"white"});}</v>
      </c>
      <c r="AO29" s="50" t="str">
        <f t="shared" si="11"/>
        <v/>
      </c>
      <c r="AP29" s="61" t="str">
        <f t="shared" si="12"/>
        <v>=$("#").val();</v>
      </c>
      <c r="AQ29" s="61" t="str">
        <f t="shared" si="13"/>
        <v/>
      </c>
      <c r="AR29" s="50" t="str">
        <f t="shared" si="14"/>
        <v>&lt;input type="checkbox" id="" name="" value="1" /&gt;</v>
      </c>
      <c r="AS29" s="61" t="str">
        <f t="shared" si="15"/>
        <v>=document.getElementById("").checked;</v>
      </c>
      <c r="AT29" s="102" t="str">
        <f t="shared" si="16"/>
        <v>if (isset($_GET[''])) {$=($_GET['']);}else $='';</v>
      </c>
      <c r="AU29" s="52" t="str">
        <f t="shared" si="17"/>
        <v/>
      </c>
      <c r="AV29" s="52" t="str">
        <f t="shared" si="18"/>
        <v>&lt;select size="1" name="" id=""&gt;&lt;option value=""&gt;&lt;/option&gt;&lt;option value=""&gt;&lt;/option&gt;</v>
      </c>
      <c r="AW29" s="52" t="str">
        <f t="shared" si="19"/>
        <v>&lt;option value=""&gt;&lt;/option&gt;</v>
      </c>
      <c r="AX29" s="145" t="str">
        <f t="shared" si="20"/>
        <v/>
      </c>
      <c r="AY29" s="102">
        <f t="shared" si="21"/>
        <v>0</v>
      </c>
      <c r="AZ29" s="102">
        <f t="shared" si="22"/>
        <v>0</v>
      </c>
      <c r="BA29" s="113">
        <f t="shared" si="23"/>
        <v>0</v>
      </c>
      <c r="BB29" s="103" t="str">
        <f t="shared" si="24"/>
        <v>0:</v>
      </c>
      <c r="BC29" s="50" t="str">
        <f t="shared" si="25"/>
        <v>0:&lt;span id="adv_0"&gt;&lt;/span&gt;&lt;br/&gt;&lt;input type="radio" name="0" id="" value="" /&gt;</v>
      </c>
      <c r="BD29" s="52" t="str">
        <f t="shared" si="26"/>
        <v>else if (document.getElementById("</v>
      </c>
      <c r="BE29" s="61" t="str">
        <f t="shared" si="27"/>
        <v>else if (document.getElementById("").checked==true) {0="";}</v>
      </c>
      <c r="BF29" s="61" t="str">
        <f t="shared" si="28"/>
        <v/>
      </c>
      <c r="BG29" s="61" t="str">
        <f t="shared" si="29"/>
        <v>0:0</v>
      </c>
      <c r="BH29" s="102" t="str">
        <f t="shared" si="30"/>
        <v>if (isset($_GET['0'])) {$0=($_GET['0']);}else $0='';</v>
      </c>
      <c r="BI29" s="105" t="str">
        <f t="shared" si="31"/>
        <v>&lt;br/&gt;&lt;textarea rows="2" cols="80" id=""&gt;&lt;/textarea&gt;&lt;br/&gt;</v>
      </c>
      <c r="BJ29" s="107" t="str">
        <f t="shared" si="32"/>
        <v>&lt;input type="text"  size="7"  id="" class="datepicker"/&gt;</v>
      </c>
      <c r="BK29" s="107" t="str">
        <f t="shared" si="33"/>
        <v>&lt;h2 id=""&gt;&lt;/h2&gt;</v>
      </c>
      <c r="BL29" s="109" t="str">
        <f t="shared" si="73"/>
        <v/>
      </c>
      <c r="BM29" s="61" t="str">
        <f t="shared" si="74"/>
        <v/>
      </c>
      <c r="BN29" s="52">
        <f t="shared" si="62"/>
        <v>0</v>
      </c>
      <c r="BO29" s="61" t="str">
        <f t="shared" si="75"/>
        <v/>
      </c>
      <c r="BP29" s="102" t="str">
        <f t="shared" si="76"/>
        <v/>
      </c>
      <c r="BQ29" s="105" t="str">
        <f t="shared" si="77"/>
        <v/>
      </c>
      <c r="BR29" s="52" t="str">
        <f t="shared" si="34"/>
        <v/>
      </c>
      <c r="BS29" s="52">
        <f t="shared" si="35"/>
        <v>0</v>
      </c>
      <c r="BT29" s="52">
        <f t="shared" si="63"/>
        <v>0</v>
      </c>
      <c r="BU29" s="52" t="str">
        <f t="shared" si="36"/>
        <v/>
      </c>
      <c r="BV29" s="52" t="str">
        <f t="shared" si="37"/>
        <v/>
      </c>
      <c r="BW29" s="52" t="str">
        <f t="shared" si="64"/>
        <v/>
      </c>
      <c r="BX29" s="113" t="str">
        <f t="shared" si="78"/>
        <v/>
      </c>
      <c r="BY29" s="52" t="str">
        <f t="shared" si="38"/>
        <v/>
      </c>
      <c r="BZ29" s="52" t="str">
        <f t="shared" si="39"/>
        <v/>
      </c>
      <c r="CA29" s="52" t="str">
        <f t="shared" si="79"/>
        <v/>
      </c>
      <c r="CB29" s="52" t="str">
        <f t="shared" si="80"/>
        <v/>
      </c>
      <c r="CC29" s="52" t="str">
        <f t="shared" si="40"/>
        <v/>
      </c>
      <c r="CD29" s="52" t="str">
        <f t="shared" si="41"/>
        <v/>
      </c>
      <c r="CE29" s="102" t="str">
        <f t="shared" si="81"/>
        <v/>
      </c>
      <c r="CF29" s="116" t="str">
        <f t="shared" si="42"/>
        <v/>
      </c>
      <c r="CG29" s="61" t="str">
        <f t="shared" si="82"/>
        <v/>
      </c>
      <c r="CH29" s="52" t="str">
        <f t="shared" si="84"/>
        <v/>
      </c>
      <c r="CI29" s="52" t="str">
        <f t="shared" si="85"/>
        <v/>
      </c>
      <c r="CJ29" s="52" t="str">
        <f t="shared" si="45"/>
        <v/>
      </c>
      <c r="CK29" s="52" t="str">
        <f t="shared" si="46"/>
        <v/>
      </c>
      <c r="CL29" s="52" t="str">
        <f t="shared" si="47"/>
        <v/>
      </c>
      <c r="CM29" s="102" t="str">
        <f t="shared" si="48"/>
        <v/>
      </c>
      <c r="CN29" s="116" t="str">
        <f t="shared" si="49"/>
        <v/>
      </c>
      <c r="CO29" s="61">
        <f t="shared" si="65"/>
        <v>0</v>
      </c>
      <c r="CP29" s="61" t="str">
        <f t="shared" si="86"/>
        <v/>
      </c>
      <c r="CQ29" s="61" t="str">
        <f t="shared" si="66"/>
        <v/>
      </c>
      <c r="CR29" s="61" t="str">
        <f t="shared" si="67"/>
        <v/>
      </c>
      <c r="CS29" s="105" t="str">
        <f t="shared" si="68"/>
        <v/>
      </c>
      <c r="CT29" s="105" t="str">
        <f t="shared" si="69"/>
        <v/>
      </c>
      <c r="CU29" s="61" t="str">
        <f t="shared" si="70"/>
        <v/>
      </c>
      <c r="CV29" s="61" t="str">
        <f t="shared" si="71"/>
        <v/>
      </c>
      <c r="CW29" s="61" t="str">
        <f t="shared" si="51"/>
        <v/>
      </c>
      <c r="CX29" s="61" t="str">
        <f t="shared" si="52"/>
        <v/>
      </c>
      <c r="CY29" s="61" t="str">
        <f t="shared" si="53"/>
        <v/>
      </c>
      <c r="CZ29" s="102" t="str">
        <f t="shared" si="54"/>
        <v/>
      </c>
      <c r="DA29" s="17">
        <f t="shared" si="55"/>
        <v>0</v>
      </c>
      <c r="DB29" s="17" t="str">
        <f t="shared" si="56"/>
        <v/>
      </c>
      <c r="DC29" s="17">
        <f t="shared" si="57"/>
        <v>0</v>
      </c>
      <c r="DD29" s="17">
        <f t="shared" si="58"/>
        <v>0</v>
      </c>
      <c r="DE29" s="17" t="str">
        <f t="shared" si="59"/>
        <v/>
      </c>
      <c r="DF29" s="17" t="str">
        <f t="shared" si="60"/>
        <v/>
      </c>
    </row>
    <row r="30" spans="2:110" s="17" customFormat="1">
      <c r="B30" s="35"/>
      <c r="C30" s="35"/>
      <c r="D30" s="36"/>
      <c r="E30" s="35"/>
      <c r="F30" s="35"/>
      <c r="G30" s="35"/>
      <c r="H30" s="35"/>
      <c r="I30" s="35"/>
      <c r="J30" s="59"/>
      <c r="L30" s="170"/>
      <c r="Z30" s="172" t="str">
        <f t="shared" si="0"/>
        <v/>
      </c>
      <c r="AB30" s="47" t="s">
        <v>209</v>
      </c>
      <c r="AC30" s="52" t="str">
        <f t="shared" si="1"/>
        <v/>
      </c>
      <c r="AD30" s="52">
        <f t="shared" si="72"/>
        <v>0</v>
      </c>
      <c r="AE30" s="52">
        <f t="shared" si="61"/>
        <v>0</v>
      </c>
      <c r="AF30" s="61" t="str">
        <f t="shared" si="2"/>
        <v/>
      </c>
      <c r="AG30" s="52">
        <f t="shared" si="3"/>
        <v>0</v>
      </c>
      <c r="AH30" s="52">
        <f t="shared" si="4"/>
        <v>0</v>
      </c>
      <c r="AI30" s="52" t="str">
        <f t="shared" si="5"/>
        <v/>
      </c>
      <c r="AJ30" s="61" t="str">
        <f t="shared" si="6"/>
        <v/>
      </c>
      <c r="AK30" s="95" t="str">
        <f t="shared" si="7"/>
        <v/>
      </c>
      <c r="AL30" s="61" t="str">
        <f t="shared" si="8"/>
        <v>if () {$("#adv_").html("Required");$("#").css({"background":"yellow"});} else {$("#adv_").html("");$("#").css({"background":"white"});}</v>
      </c>
      <c r="AM30" s="61" t="str">
        <f t="shared" si="9"/>
        <v>if (=="") {$("#adv_").html("Required");$("#adv_").css({"background":"yellow"});} else {$("#adv_").html("");}</v>
      </c>
      <c r="AN30" s="61" t="str">
        <f t="shared" si="83"/>
        <v>if (=="") {$("#adv_").html("Required");$("#").css({"background":"yellow"});} else {$("#adv_").html("");$("#").css({"background":"white"});}</v>
      </c>
      <c r="AO30" s="50" t="str">
        <f t="shared" si="11"/>
        <v/>
      </c>
      <c r="AP30" s="61" t="str">
        <f t="shared" si="12"/>
        <v>=$("#").val();</v>
      </c>
      <c r="AQ30" s="61" t="str">
        <f t="shared" si="13"/>
        <v/>
      </c>
      <c r="AR30" s="50" t="str">
        <f t="shared" si="14"/>
        <v>&lt;input type="checkbox" id="" name="" value="1" /&gt;</v>
      </c>
      <c r="AS30" s="61" t="str">
        <f t="shared" si="15"/>
        <v>=document.getElementById("").checked;</v>
      </c>
      <c r="AT30" s="102" t="str">
        <f t="shared" si="16"/>
        <v>if (isset($_GET[''])) {$=($_GET['']);}else $='';</v>
      </c>
      <c r="AU30" s="52" t="str">
        <f t="shared" si="17"/>
        <v/>
      </c>
      <c r="AV30" s="52" t="str">
        <f t="shared" si="18"/>
        <v>&lt;select size="1" name="" id=""&gt;&lt;option value=""&gt;&lt;/option&gt;&lt;option value=""&gt;&lt;/option&gt;</v>
      </c>
      <c r="AW30" s="52" t="str">
        <f t="shared" si="19"/>
        <v>&lt;option value=""&gt;&lt;/option&gt;</v>
      </c>
      <c r="AX30" s="145" t="str">
        <f t="shared" si="20"/>
        <v/>
      </c>
      <c r="AY30" s="102">
        <f t="shared" si="21"/>
        <v>0</v>
      </c>
      <c r="AZ30" s="102">
        <f t="shared" si="22"/>
        <v>0</v>
      </c>
      <c r="BA30" s="113">
        <f t="shared" si="23"/>
        <v>0</v>
      </c>
      <c r="BB30" s="103" t="str">
        <f t="shared" si="24"/>
        <v>0:</v>
      </c>
      <c r="BC30" s="50" t="str">
        <f t="shared" si="25"/>
        <v>0:&lt;span id="adv_0"&gt;&lt;/span&gt;&lt;br/&gt;&lt;input type="radio" name="0" id="" value="" /&gt;</v>
      </c>
      <c r="BD30" s="52" t="str">
        <f t="shared" si="26"/>
        <v>else if (document.getElementById("</v>
      </c>
      <c r="BE30" s="61" t="str">
        <f t="shared" si="27"/>
        <v>else if (document.getElementById("").checked==true) {0="";}</v>
      </c>
      <c r="BF30" s="61" t="str">
        <f t="shared" si="28"/>
        <v/>
      </c>
      <c r="BG30" s="61" t="str">
        <f t="shared" si="29"/>
        <v>0:0</v>
      </c>
      <c r="BH30" s="102" t="str">
        <f t="shared" si="30"/>
        <v>if (isset($_GET['0'])) {$0=($_GET['0']);}else $0='';</v>
      </c>
      <c r="BI30" s="105" t="str">
        <f t="shared" si="31"/>
        <v>&lt;br/&gt;&lt;textarea rows="2" cols="80" id=""&gt;&lt;/textarea&gt;&lt;br/&gt;</v>
      </c>
      <c r="BJ30" s="107" t="str">
        <f t="shared" si="32"/>
        <v>&lt;input type="text"  size="7"  id="" class="datepicker"/&gt;</v>
      </c>
      <c r="BK30" s="107" t="str">
        <f t="shared" si="33"/>
        <v>&lt;h2 id=""&gt;&lt;/h2&gt;</v>
      </c>
      <c r="BL30" s="109" t="str">
        <f t="shared" si="73"/>
        <v/>
      </c>
      <c r="BM30" s="61" t="str">
        <f t="shared" si="74"/>
        <v/>
      </c>
      <c r="BN30" s="52">
        <f t="shared" si="62"/>
        <v>0</v>
      </c>
      <c r="BO30" s="61" t="str">
        <f t="shared" si="75"/>
        <v/>
      </c>
      <c r="BP30" s="102" t="str">
        <f t="shared" si="76"/>
        <v/>
      </c>
      <c r="BQ30" s="105" t="str">
        <f t="shared" si="77"/>
        <v/>
      </c>
      <c r="BR30" s="52" t="str">
        <f t="shared" si="34"/>
        <v/>
      </c>
      <c r="BS30" s="52">
        <f t="shared" si="35"/>
        <v>0</v>
      </c>
      <c r="BT30" s="52">
        <f t="shared" si="63"/>
        <v>0</v>
      </c>
      <c r="BU30" s="52" t="str">
        <f t="shared" si="36"/>
        <v/>
      </c>
      <c r="BV30" s="52" t="str">
        <f t="shared" si="37"/>
        <v/>
      </c>
      <c r="BW30" s="52" t="str">
        <f t="shared" si="64"/>
        <v/>
      </c>
      <c r="BX30" s="113" t="str">
        <f t="shared" si="78"/>
        <v/>
      </c>
      <c r="BY30" s="52" t="str">
        <f t="shared" si="38"/>
        <v/>
      </c>
      <c r="BZ30" s="52" t="str">
        <f t="shared" si="39"/>
        <v/>
      </c>
      <c r="CA30" s="52" t="str">
        <f t="shared" si="79"/>
        <v/>
      </c>
      <c r="CB30" s="52" t="str">
        <f t="shared" si="80"/>
        <v/>
      </c>
      <c r="CC30" s="52" t="str">
        <f t="shared" si="40"/>
        <v/>
      </c>
      <c r="CD30" s="52" t="str">
        <f t="shared" si="41"/>
        <v/>
      </c>
      <c r="CE30" s="102" t="str">
        <f t="shared" si="81"/>
        <v/>
      </c>
      <c r="CF30" s="116" t="str">
        <f t="shared" si="42"/>
        <v/>
      </c>
      <c r="CG30" s="61" t="str">
        <f t="shared" si="82"/>
        <v/>
      </c>
      <c r="CH30" s="52" t="str">
        <f t="shared" si="84"/>
        <v/>
      </c>
      <c r="CI30" s="52" t="str">
        <f t="shared" si="85"/>
        <v/>
      </c>
      <c r="CJ30" s="52" t="str">
        <f t="shared" si="45"/>
        <v/>
      </c>
      <c r="CK30" s="52" t="str">
        <f t="shared" si="46"/>
        <v/>
      </c>
      <c r="CL30" s="52" t="str">
        <f t="shared" si="47"/>
        <v/>
      </c>
      <c r="CM30" s="102" t="str">
        <f t="shared" si="48"/>
        <v/>
      </c>
      <c r="CN30" s="116" t="str">
        <f t="shared" si="49"/>
        <v/>
      </c>
      <c r="CO30" s="61">
        <f t="shared" si="65"/>
        <v>0</v>
      </c>
      <c r="CP30" s="61" t="str">
        <f t="shared" si="86"/>
        <v/>
      </c>
      <c r="CQ30" s="61" t="str">
        <f t="shared" si="66"/>
        <v/>
      </c>
      <c r="CR30" s="61" t="str">
        <f t="shared" si="67"/>
        <v/>
      </c>
      <c r="CS30" s="105" t="str">
        <f t="shared" si="68"/>
        <v/>
      </c>
      <c r="CT30" s="105" t="str">
        <f t="shared" si="69"/>
        <v/>
      </c>
      <c r="CU30" s="61" t="str">
        <f t="shared" si="70"/>
        <v/>
      </c>
      <c r="CV30" s="61" t="str">
        <f t="shared" si="71"/>
        <v/>
      </c>
      <c r="CW30" s="61" t="str">
        <f t="shared" si="51"/>
        <v/>
      </c>
      <c r="CX30" s="61" t="str">
        <f t="shared" si="52"/>
        <v/>
      </c>
      <c r="CY30" s="61" t="str">
        <f t="shared" si="53"/>
        <v/>
      </c>
      <c r="CZ30" s="102" t="str">
        <f t="shared" si="54"/>
        <v/>
      </c>
      <c r="DA30" s="17">
        <f t="shared" si="55"/>
        <v>0</v>
      </c>
      <c r="DB30" s="17" t="str">
        <f t="shared" si="56"/>
        <v/>
      </c>
      <c r="DC30" s="17">
        <f t="shared" si="57"/>
        <v>0</v>
      </c>
      <c r="DD30" s="17">
        <f t="shared" si="58"/>
        <v>0</v>
      </c>
      <c r="DE30" s="17" t="str">
        <f t="shared" si="59"/>
        <v/>
      </c>
      <c r="DF30" s="17" t="str">
        <f t="shared" si="60"/>
        <v/>
      </c>
    </row>
    <row r="31" spans="2:110" s="17" customFormat="1">
      <c r="B31" s="35"/>
      <c r="C31" s="35"/>
      <c r="D31" s="36"/>
      <c r="E31" s="35"/>
      <c r="F31" s="35"/>
      <c r="G31" s="35"/>
      <c r="H31" s="35"/>
      <c r="I31" s="35"/>
      <c r="J31" s="59"/>
      <c r="L31" s="170" t="s">
        <v>400</v>
      </c>
      <c r="Z31" s="172" t="str">
        <f t="shared" si="0"/>
        <v/>
      </c>
      <c r="AB31" s="47" t="s">
        <v>210</v>
      </c>
      <c r="AC31" s="52" t="str">
        <f t="shared" si="1"/>
        <v/>
      </c>
      <c r="AD31" s="52">
        <f t="shared" si="72"/>
        <v>0</v>
      </c>
      <c r="AE31" s="52">
        <f t="shared" si="61"/>
        <v>0</v>
      </c>
      <c r="AF31" s="61" t="str">
        <f t="shared" si="2"/>
        <v/>
      </c>
      <c r="AG31" s="52">
        <f t="shared" si="3"/>
        <v>0</v>
      </c>
      <c r="AH31" s="52">
        <f t="shared" si="4"/>
        <v>0</v>
      </c>
      <c r="AI31" s="52" t="str">
        <f t="shared" si="5"/>
        <v/>
      </c>
      <c r="AJ31" s="61" t="str">
        <f t="shared" si="6"/>
        <v/>
      </c>
      <c r="AK31" s="95" t="str">
        <f t="shared" si="7"/>
        <v/>
      </c>
      <c r="AL31" s="61" t="str">
        <f t="shared" si="8"/>
        <v>if () {$("#adv_").html("Required");$("#").css({"background":"yellow"});} else {$("#adv_").html("");$("#").css({"background":"white"});}</v>
      </c>
      <c r="AM31" s="61" t="str">
        <f t="shared" si="9"/>
        <v>if (=="") {$("#adv_").html("Required");$("#adv_").css({"background":"yellow"});} else {$("#adv_").html("");}</v>
      </c>
      <c r="AN31" s="61" t="str">
        <f t="shared" si="83"/>
        <v>if (=="") {$("#adv_").html("Required");$("#").css({"background":"yellow"});} else {$("#adv_").html("");$("#").css({"background":"white"});}</v>
      </c>
      <c r="AO31" s="50" t="str">
        <f t="shared" si="11"/>
        <v/>
      </c>
      <c r="AP31" s="61" t="str">
        <f t="shared" si="12"/>
        <v>=$("#").val();</v>
      </c>
      <c r="AQ31" s="61" t="str">
        <f t="shared" si="13"/>
        <v/>
      </c>
      <c r="AR31" s="50" t="str">
        <f t="shared" si="14"/>
        <v>&lt;input type="checkbox" id="" name="" value="1" /&gt;</v>
      </c>
      <c r="AS31" s="61" t="str">
        <f t="shared" si="15"/>
        <v>=document.getElementById("").checked;</v>
      </c>
      <c r="AT31" s="102" t="str">
        <f t="shared" si="16"/>
        <v>if (isset($_GET[''])) {$=($_GET['']);}else $='';</v>
      </c>
      <c r="AU31" s="52" t="str">
        <f t="shared" si="17"/>
        <v/>
      </c>
      <c r="AV31" s="52" t="str">
        <f t="shared" si="18"/>
        <v>&lt;select size="1" name="" id=""&gt;&lt;option value=""&gt;&lt;/option&gt;&lt;option value=""&gt;&lt;/option&gt;</v>
      </c>
      <c r="AW31" s="52" t="str">
        <f t="shared" si="19"/>
        <v>&lt;option value=""&gt;&lt;/option&gt;</v>
      </c>
      <c r="AX31" s="145" t="str">
        <f t="shared" si="20"/>
        <v/>
      </c>
      <c r="AY31" s="102">
        <f t="shared" si="21"/>
        <v>0</v>
      </c>
      <c r="AZ31" s="102">
        <f t="shared" si="22"/>
        <v>0</v>
      </c>
      <c r="BA31" s="113">
        <f t="shared" si="23"/>
        <v>0</v>
      </c>
      <c r="BB31" s="103" t="str">
        <f t="shared" si="24"/>
        <v>0:</v>
      </c>
      <c r="BC31" s="50" t="str">
        <f t="shared" si="25"/>
        <v>0:&lt;span id="adv_0"&gt;&lt;/span&gt;&lt;br/&gt;&lt;input type="radio" name="0" id="" value="" /&gt;</v>
      </c>
      <c r="BD31" s="52" t="str">
        <f t="shared" si="26"/>
        <v>else if (document.getElementById("</v>
      </c>
      <c r="BE31" s="61" t="str">
        <f t="shared" si="27"/>
        <v>else if (document.getElementById("").checked==true) {0="";}</v>
      </c>
      <c r="BF31" s="61" t="str">
        <f t="shared" si="28"/>
        <v/>
      </c>
      <c r="BG31" s="61" t="str">
        <f t="shared" si="29"/>
        <v>0:0</v>
      </c>
      <c r="BH31" s="102" t="str">
        <f t="shared" si="30"/>
        <v>if (isset($_GET['0'])) {$0=($_GET['0']);}else $0='';</v>
      </c>
      <c r="BI31" s="105" t="str">
        <f t="shared" si="31"/>
        <v>&lt;br/&gt;&lt;textarea rows="2" cols="80" id=""&gt;&lt;/textarea&gt;&lt;br/&gt;</v>
      </c>
      <c r="BJ31" s="107" t="str">
        <f t="shared" si="32"/>
        <v>&lt;input type="text"  size="7"  id="" class="datepicker"/&gt;</v>
      </c>
      <c r="BK31" s="107" t="str">
        <f t="shared" si="33"/>
        <v>&lt;h2 id=""&gt;&lt;/h2&gt;</v>
      </c>
      <c r="BL31" s="109" t="str">
        <f t="shared" si="73"/>
        <v/>
      </c>
      <c r="BM31" s="61" t="str">
        <f t="shared" si="74"/>
        <v/>
      </c>
      <c r="BN31" s="52">
        <f t="shared" si="62"/>
        <v>0</v>
      </c>
      <c r="BO31" s="61" t="str">
        <f t="shared" si="75"/>
        <v/>
      </c>
      <c r="BP31" s="102" t="str">
        <f t="shared" si="76"/>
        <v/>
      </c>
      <c r="BQ31" s="105" t="str">
        <f t="shared" si="77"/>
        <v/>
      </c>
      <c r="BR31" s="52" t="str">
        <f t="shared" si="34"/>
        <v/>
      </c>
      <c r="BS31" s="52">
        <f t="shared" si="35"/>
        <v>0</v>
      </c>
      <c r="BT31" s="52">
        <f t="shared" si="63"/>
        <v>0</v>
      </c>
      <c r="BU31" s="52" t="str">
        <f t="shared" si="36"/>
        <v/>
      </c>
      <c r="BV31" s="52" t="str">
        <f t="shared" si="37"/>
        <v/>
      </c>
      <c r="BW31" s="52" t="str">
        <f t="shared" si="64"/>
        <v/>
      </c>
      <c r="BX31" s="113" t="str">
        <f t="shared" si="78"/>
        <v/>
      </c>
      <c r="BY31" s="52" t="str">
        <f t="shared" si="38"/>
        <v/>
      </c>
      <c r="BZ31" s="52" t="str">
        <f t="shared" si="39"/>
        <v/>
      </c>
      <c r="CA31" s="52" t="str">
        <f t="shared" si="79"/>
        <v/>
      </c>
      <c r="CB31" s="52" t="str">
        <f t="shared" si="80"/>
        <v/>
      </c>
      <c r="CC31" s="52" t="str">
        <f t="shared" si="40"/>
        <v/>
      </c>
      <c r="CD31" s="52" t="str">
        <f t="shared" si="41"/>
        <v/>
      </c>
      <c r="CE31" s="102" t="str">
        <f t="shared" si="81"/>
        <v/>
      </c>
      <c r="CF31" s="116" t="str">
        <f t="shared" si="42"/>
        <v/>
      </c>
      <c r="CG31" s="61" t="str">
        <f t="shared" si="82"/>
        <v/>
      </c>
      <c r="CH31" s="52" t="str">
        <f t="shared" si="84"/>
        <v/>
      </c>
      <c r="CI31" s="52" t="str">
        <f t="shared" si="85"/>
        <v/>
      </c>
      <c r="CJ31" s="52" t="str">
        <f t="shared" si="45"/>
        <v/>
      </c>
      <c r="CK31" s="52" t="str">
        <f t="shared" si="46"/>
        <v/>
      </c>
      <c r="CL31" s="52" t="str">
        <f t="shared" si="47"/>
        <v/>
      </c>
      <c r="CM31" s="102" t="str">
        <f t="shared" si="48"/>
        <v/>
      </c>
      <c r="CN31" s="116" t="str">
        <f t="shared" si="49"/>
        <v/>
      </c>
      <c r="CO31" s="61">
        <f t="shared" si="65"/>
        <v>0</v>
      </c>
      <c r="CP31" s="61" t="str">
        <f t="shared" si="86"/>
        <v/>
      </c>
      <c r="CQ31" s="61" t="str">
        <f t="shared" si="66"/>
        <v/>
      </c>
      <c r="CR31" s="61" t="str">
        <f t="shared" si="67"/>
        <v/>
      </c>
      <c r="CS31" s="105" t="str">
        <f t="shared" si="68"/>
        <v/>
      </c>
      <c r="CT31" s="105" t="str">
        <f t="shared" si="69"/>
        <v/>
      </c>
      <c r="CU31" s="61" t="str">
        <f t="shared" si="70"/>
        <v/>
      </c>
      <c r="CV31" s="61" t="str">
        <f t="shared" si="71"/>
        <v/>
      </c>
      <c r="CW31" s="61" t="str">
        <f t="shared" si="51"/>
        <v/>
      </c>
      <c r="CX31" s="61" t="str">
        <f t="shared" si="52"/>
        <v/>
      </c>
      <c r="CY31" s="61" t="str">
        <f t="shared" si="53"/>
        <v/>
      </c>
      <c r="CZ31" s="102" t="str">
        <f t="shared" si="54"/>
        <v/>
      </c>
      <c r="DA31" s="17">
        <f t="shared" si="55"/>
        <v>0</v>
      </c>
      <c r="DB31" s="17" t="str">
        <f t="shared" si="56"/>
        <v/>
      </c>
      <c r="DC31" s="17">
        <f t="shared" si="57"/>
        <v>0</v>
      </c>
      <c r="DD31" s="17">
        <f t="shared" si="58"/>
        <v>0</v>
      </c>
      <c r="DE31" s="17" t="str">
        <f t="shared" si="59"/>
        <v/>
      </c>
      <c r="DF31" s="17" t="str">
        <f t="shared" si="60"/>
        <v/>
      </c>
    </row>
    <row r="32" spans="2:110" s="17" customFormat="1">
      <c r="B32" s="35"/>
      <c r="C32" s="35"/>
      <c r="D32" s="36"/>
      <c r="E32" s="35"/>
      <c r="F32" s="35"/>
      <c r="G32" s="35"/>
      <c r="H32" s="35"/>
      <c r="I32" s="35"/>
      <c r="J32" s="59"/>
      <c r="L32" s="171"/>
      <c r="Z32" s="172" t="str">
        <f t="shared" si="0"/>
        <v/>
      </c>
      <c r="AB32" s="47" t="s">
        <v>211</v>
      </c>
      <c r="AC32" s="52" t="str">
        <f t="shared" si="1"/>
        <v/>
      </c>
      <c r="AD32" s="52">
        <f t="shared" si="72"/>
        <v>0</v>
      </c>
      <c r="AE32" s="52">
        <f t="shared" si="61"/>
        <v>0</v>
      </c>
      <c r="AF32" s="61" t="str">
        <f t="shared" si="2"/>
        <v/>
      </c>
      <c r="AG32" s="52">
        <f t="shared" si="3"/>
        <v>0</v>
      </c>
      <c r="AH32" s="52">
        <f t="shared" si="4"/>
        <v>0</v>
      </c>
      <c r="AI32" s="52" t="str">
        <f t="shared" si="5"/>
        <v/>
      </c>
      <c r="AJ32" s="61" t="str">
        <f t="shared" si="6"/>
        <v/>
      </c>
      <c r="AK32" s="95" t="str">
        <f t="shared" si="7"/>
        <v/>
      </c>
      <c r="AL32" s="61" t="str">
        <f t="shared" si="8"/>
        <v>if () {$("#adv_").html("Required");$("#").css({"background":"yellow"});} else {$("#adv_").html("");$("#").css({"background":"white"});}</v>
      </c>
      <c r="AM32" s="61" t="str">
        <f t="shared" si="9"/>
        <v>if (=="") {$("#adv_").html("Required");$("#adv_").css({"background":"yellow"});} else {$("#adv_").html("");}</v>
      </c>
      <c r="AN32" s="61" t="str">
        <f t="shared" si="83"/>
        <v>if (=="") {$("#adv_").html("Required");$("#").css({"background":"yellow"});} else {$("#adv_").html("");$("#").css({"background":"white"});}</v>
      </c>
      <c r="AO32" s="50" t="str">
        <f t="shared" si="11"/>
        <v/>
      </c>
      <c r="AP32" s="61" t="str">
        <f t="shared" si="12"/>
        <v>=$("#").val();</v>
      </c>
      <c r="AQ32" s="61" t="str">
        <f t="shared" si="13"/>
        <v/>
      </c>
      <c r="AR32" s="50" t="str">
        <f t="shared" si="14"/>
        <v>&lt;input type="checkbox" id="" name="" value="1" /&gt;</v>
      </c>
      <c r="AS32" s="61" t="str">
        <f t="shared" si="15"/>
        <v>=document.getElementById("").checked;</v>
      </c>
      <c r="AT32" s="102" t="str">
        <f t="shared" si="16"/>
        <v>if (isset($_GET[''])) {$=($_GET['']);}else $='';</v>
      </c>
      <c r="AU32" s="52" t="str">
        <f t="shared" si="17"/>
        <v/>
      </c>
      <c r="AV32" s="52" t="str">
        <f t="shared" si="18"/>
        <v>&lt;select size="1" name="" id=""&gt;&lt;option value=""&gt;&lt;/option&gt;&lt;option value=""&gt;&lt;/option&gt;</v>
      </c>
      <c r="AW32" s="52" t="str">
        <f t="shared" si="19"/>
        <v>&lt;option value=""&gt;&lt;/option&gt;</v>
      </c>
      <c r="AX32" s="145" t="str">
        <f t="shared" si="20"/>
        <v/>
      </c>
      <c r="AY32" s="102">
        <f t="shared" si="21"/>
        <v>0</v>
      </c>
      <c r="AZ32" s="102">
        <f t="shared" si="22"/>
        <v>0</v>
      </c>
      <c r="BA32" s="113">
        <f t="shared" si="23"/>
        <v>0</v>
      </c>
      <c r="BB32" s="103" t="str">
        <f t="shared" si="24"/>
        <v>0:</v>
      </c>
      <c r="BC32" s="50" t="str">
        <f t="shared" si="25"/>
        <v>0:&lt;span id="adv_0"&gt;&lt;/span&gt;&lt;br/&gt;&lt;input type="radio" name="0" id="" value="" /&gt;</v>
      </c>
      <c r="BD32" s="52" t="str">
        <f t="shared" si="26"/>
        <v>else if (document.getElementById("</v>
      </c>
      <c r="BE32" s="61" t="str">
        <f t="shared" si="27"/>
        <v>else if (document.getElementById("").checked==true) {0="";}</v>
      </c>
      <c r="BF32" s="61" t="str">
        <f t="shared" si="28"/>
        <v/>
      </c>
      <c r="BG32" s="61" t="str">
        <f t="shared" si="29"/>
        <v>0:0</v>
      </c>
      <c r="BH32" s="102" t="str">
        <f t="shared" si="30"/>
        <v>if (isset($_GET['0'])) {$0=($_GET['0']);}else $0='';</v>
      </c>
      <c r="BI32" s="105" t="str">
        <f t="shared" si="31"/>
        <v>&lt;br/&gt;&lt;textarea rows="2" cols="80" id=""&gt;&lt;/textarea&gt;&lt;br/&gt;</v>
      </c>
      <c r="BJ32" s="107" t="str">
        <f t="shared" si="32"/>
        <v>&lt;input type="text"  size="7"  id="" class="datepicker"/&gt;</v>
      </c>
      <c r="BK32" s="107" t="str">
        <f t="shared" si="33"/>
        <v>&lt;h2 id=""&gt;&lt;/h2&gt;</v>
      </c>
      <c r="BL32" s="109" t="str">
        <f t="shared" si="73"/>
        <v/>
      </c>
      <c r="BM32" s="61" t="str">
        <f t="shared" si="74"/>
        <v/>
      </c>
      <c r="BN32" s="52">
        <f t="shared" si="62"/>
        <v>0</v>
      </c>
      <c r="BO32" s="61" t="str">
        <f t="shared" si="75"/>
        <v/>
      </c>
      <c r="BP32" s="102" t="str">
        <f t="shared" si="76"/>
        <v/>
      </c>
      <c r="BQ32" s="105" t="str">
        <f t="shared" si="77"/>
        <v/>
      </c>
      <c r="BR32" s="52" t="str">
        <f t="shared" si="34"/>
        <v/>
      </c>
      <c r="BS32" s="52">
        <f t="shared" si="35"/>
        <v>0</v>
      </c>
      <c r="BT32" s="52">
        <f t="shared" si="63"/>
        <v>0</v>
      </c>
      <c r="BU32" s="52" t="str">
        <f t="shared" si="36"/>
        <v/>
      </c>
      <c r="BV32" s="52" t="str">
        <f t="shared" si="37"/>
        <v/>
      </c>
      <c r="BW32" s="52" t="str">
        <f t="shared" si="64"/>
        <v/>
      </c>
      <c r="BX32" s="113" t="str">
        <f t="shared" si="78"/>
        <v/>
      </c>
      <c r="BY32" s="52" t="str">
        <f t="shared" si="38"/>
        <v/>
      </c>
      <c r="BZ32" s="52" t="str">
        <f t="shared" si="39"/>
        <v/>
      </c>
      <c r="CA32" s="52" t="str">
        <f t="shared" si="79"/>
        <v/>
      </c>
      <c r="CB32" s="52" t="str">
        <f t="shared" si="80"/>
        <v/>
      </c>
      <c r="CC32" s="52" t="str">
        <f t="shared" si="40"/>
        <v/>
      </c>
      <c r="CD32" s="52" t="str">
        <f t="shared" si="41"/>
        <v/>
      </c>
      <c r="CE32" s="102" t="str">
        <f t="shared" si="81"/>
        <v/>
      </c>
      <c r="CF32" s="116" t="str">
        <f t="shared" si="42"/>
        <v/>
      </c>
      <c r="CG32" s="61" t="str">
        <f t="shared" si="82"/>
        <v/>
      </c>
      <c r="CH32" s="52" t="str">
        <f t="shared" si="84"/>
        <v/>
      </c>
      <c r="CI32" s="52" t="str">
        <f t="shared" si="85"/>
        <v/>
      </c>
      <c r="CJ32" s="52" t="str">
        <f t="shared" si="45"/>
        <v/>
      </c>
      <c r="CK32" s="52" t="str">
        <f t="shared" si="46"/>
        <v/>
      </c>
      <c r="CL32" s="52" t="str">
        <f t="shared" si="47"/>
        <v/>
      </c>
      <c r="CM32" s="102" t="str">
        <f t="shared" si="48"/>
        <v/>
      </c>
      <c r="CN32" s="116" t="str">
        <f t="shared" si="49"/>
        <v/>
      </c>
      <c r="CO32" s="61">
        <f t="shared" si="65"/>
        <v>0</v>
      </c>
      <c r="CP32" s="61" t="str">
        <f t="shared" si="86"/>
        <v/>
      </c>
      <c r="CQ32" s="61" t="str">
        <f t="shared" si="66"/>
        <v/>
      </c>
      <c r="CR32" s="61" t="str">
        <f t="shared" si="67"/>
        <v/>
      </c>
      <c r="CS32" s="105" t="str">
        <f t="shared" si="68"/>
        <v/>
      </c>
      <c r="CT32" s="105" t="str">
        <f t="shared" si="69"/>
        <v/>
      </c>
      <c r="CU32" s="61" t="str">
        <f t="shared" si="70"/>
        <v/>
      </c>
      <c r="CV32" s="61" t="str">
        <f t="shared" si="71"/>
        <v/>
      </c>
      <c r="CW32" s="61" t="str">
        <f t="shared" si="51"/>
        <v/>
      </c>
      <c r="CX32" s="61" t="str">
        <f t="shared" ref="CX32:CX63" si="87">+IF(AND(OR(E32="texto",E32="bigtext"),I32="si",E31="selectlist"),$C$5&amp;AU31&amp;$Q$4&amp;AU31&amp;$R$12&amp;C31&amp;$S$1&amp;C32&amp;$P$9&amp;$Q$5&amp;C32&amp;$P$9&amp;$H$4&amp;"}})","")</f>
        <v/>
      </c>
      <c r="CY32" s="61" t="str">
        <f t="shared" si="53"/>
        <v/>
      </c>
      <c r="CZ32" s="102" t="str">
        <f t="shared" si="54"/>
        <v/>
      </c>
      <c r="DA32" s="17">
        <f t="shared" si="55"/>
        <v>0</v>
      </c>
      <c r="DB32" s="17" t="str">
        <f t="shared" si="56"/>
        <v/>
      </c>
      <c r="DC32" s="17">
        <f t="shared" si="57"/>
        <v>0</v>
      </c>
      <c r="DD32" s="17">
        <f t="shared" si="58"/>
        <v>0</v>
      </c>
      <c r="DE32" s="17" t="str">
        <f t="shared" si="59"/>
        <v/>
      </c>
      <c r="DF32" s="17" t="str">
        <f t="shared" si="60"/>
        <v/>
      </c>
    </row>
    <row r="33" spans="2:110" s="17" customFormat="1">
      <c r="B33" s="35"/>
      <c r="C33" s="35"/>
      <c r="D33" s="36"/>
      <c r="E33" s="35"/>
      <c r="F33" s="35"/>
      <c r="G33" s="35"/>
      <c r="H33" s="35"/>
      <c r="I33" s="35"/>
      <c r="J33" s="59"/>
      <c r="Z33" s="172" t="str">
        <f t="shared" si="0"/>
        <v/>
      </c>
      <c r="AB33" s="47" t="s">
        <v>212</v>
      </c>
      <c r="AC33" s="52" t="str">
        <f t="shared" si="1"/>
        <v/>
      </c>
      <c r="AD33" s="52">
        <f t="shared" si="72"/>
        <v>0</v>
      </c>
      <c r="AE33" s="52">
        <f t="shared" si="61"/>
        <v>0</v>
      </c>
      <c r="AF33" s="61" t="str">
        <f t="shared" si="2"/>
        <v/>
      </c>
      <c r="AG33" s="52">
        <f t="shared" si="3"/>
        <v>0</v>
      </c>
      <c r="AH33" s="52">
        <f t="shared" si="4"/>
        <v>0</v>
      </c>
      <c r="AI33" s="52" t="str">
        <f t="shared" si="5"/>
        <v/>
      </c>
      <c r="AJ33" s="61" t="str">
        <f t="shared" si="6"/>
        <v/>
      </c>
      <c r="AK33" s="95" t="str">
        <f t="shared" si="7"/>
        <v/>
      </c>
      <c r="AL33" s="61" t="str">
        <f t="shared" si="8"/>
        <v>if () {$("#adv_").html("Required");$("#").css({"background":"yellow"});} else {$("#adv_").html("");$("#").css({"background":"white"});}</v>
      </c>
      <c r="AM33" s="61" t="str">
        <f t="shared" si="9"/>
        <v>if (=="") {$("#adv_").html("Required");$("#adv_").css({"background":"yellow"});} else {$("#adv_").html("");}</v>
      </c>
      <c r="AN33" s="61" t="str">
        <f t="shared" si="83"/>
        <v>if (=="") {$("#adv_").html("Required");$("#").css({"background":"yellow"});} else {$("#adv_").html("");$("#").css({"background":"white"});}</v>
      </c>
      <c r="AO33" s="50" t="str">
        <f t="shared" si="11"/>
        <v/>
      </c>
      <c r="AP33" s="61" t="str">
        <f t="shared" si="12"/>
        <v>=$("#").val();</v>
      </c>
      <c r="AQ33" s="61" t="str">
        <f t="shared" si="13"/>
        <v/>
      </c>
      <c r="AR33" s="50" t="str">
        <f t="shared" si="14"/>
        <v>&lt;input type="checkbox" id="" name="" value="1" /&gt;</v>
      </c>
      <c r="AS33" s="61" t="str">
        <f t="shared" si="15"/>
        <v>=document.getElementById("").checked;</v>
      </c>
      <c r="AT33" s="102" t="str">
        <f t="shared" si="16"/>
        <v>if (isset($_GET[''])) {$=($_GET['']);}else $='';</v>
      </c>
      <c r="AU33" s="52" t="str">
        <f t="shared" si="17"/>
        <v/>
      </c>
      <c r="AV33" s="52" t="str">
        <f t="shared" si="18"/>
        <v>&lt;select size="1" name="" id=""&gt;&lt;option value=""&gt;&lt;/option&gt;&lt;option value=""&gt;&lt;/option&gt;</v>
      </c>
      <c r="AW33" s="52" t="str">
        <f t="shared" si="19"/>
        <v>&lt;option value=""&gt;&lt;/option&gt;</v>
      </c>
      <c r="AX33" s="145" t="str">
        <f t="shared" si="20"/>
        <v/>
      </c>
      <c r="AY33" s="102">
        <f t="shared" si="21"/>
        <v>0</v>
      </c>
      <c r="AZ33" s="102">
        <f t="shared" si="22"/>
        <v>0</v>
      </c>
      <c r="BA33" s="113">
        <f t="shared" si="23"/>
        <v>0</v>
      </c>
      <c r="BB33" s="103" t="str">
        <f t="shared" si="24"/>
        <v>0:</v>
      </c>
      <c r="BC33" s="50" t="str">
        <f t="shared" si="25"/>
        <v>0:&lt;span id="adv_0"&gt;&lt;/span&gt;&lt;br/&gt;&lt;input type="radio" name="0" id="" value="" /&gt;</v>
      </c>
      <c r="BD33" s="52" t="str">
        <f t="shared" si="26"/>
        <v>else if (document.getElementById("</v>
      </c>
      <c r="BE33" s="61" t="str">
        <f t="shared" si="27"/>
        <v>else if (document.getElementById("").checked==true) {0="";}</v>
      </c>
      <c r="BF33" s="61" t="str">
        <f t="shared" si="28"/>
        <v/>
      </c>
      <c r="BG33" s="61" t="str">
        <f t="shared" si="29"/>
        <v>0:0</v>
      </c>
      <c r="BH33" s="102" t="str">
        <f t="shared" si="30"/>
        <v>if (isset($_GET['0'])) {$0=($_GET['0']);}else $0='';</v>
      </c>
      <c r="BI33" s="105" t="str">
        <f t="shared" si="31"/>
        <v>&lt;br/&gt;&lt;textarea rows="2" cols="80" id=""&gt;&lt;/textarea&gt;&lt;br/&gt;</v>
      </c>
      <c r="BJ33" s="107" t="str">
        <f t="shared" si="32"/>
        <v>&lt;input type="text"  size="7"  id="" class="datepicker"/&gt;</v>
      </c>
      <c r="BK33" s="107" t="str">
        <f t="shared" si="33"/>
        <v>&lt;h2 id=""&gt;&lt;/h2&gt;</v>
      </c>
      <c r="BL33" s="109" t="str">
        <f t="shared" si="73"/>
        <v/>
      </c>
      <c r="BM33" s="61" t="str">
        <f t="shared" si="74"/>
        <v/>
      </c>
      <c r="BN33" s="52">
        <f t="shared" si="62"/>
        <v>0</v>
      </c>
      <c r="BO33" s="61" t="str">
        <f t="shared" si="75"/>
        <v/>
      </c>
      <c r="BP33" s="102" t="str">
        <f t="shared" si="76"/>
        <v/>
      </c>
      <c r="BQ33" s="105" t="str">
        <f t="shared" si="77"/>
        <v/>
      </c>
      <c r="BR33" s="52" t="str">
        <f t="shared" si="34"/>
        <v/>
      </c>
      <c r="BS33" s="52">
        <f t="shared" si="35"/>
        <v>0</v>
      </c>
      <c r="BT33" s="52">
        <f t="shared" si="63"/>
        <v>0</v>
      </c>
      <c r="BU33" s="52" t="str">
        <f t="shared" si="36"/>
        <v/>
      </c>
      <c r="BV33" s="52" t="str">
        <f t="shared" si="37"/>
        <v/>
      </c>
      <c r="BW33" s="52" t="str">
        <f t="shared" si="64"/>
        <v/>
      </c>
      <c r="BX33" s="113" t="str">
        <f t="shared" si="78"/>
        <v/>
      </c>
      <c r="BY33" s="52" t="str">
        <f t="shared" si="38"/>
        <v/>
      </c>
      <c r="BZ33" s="52" t="str">
        <f t="shared" si="39"/>
        <v/>
      </c>
      <c r="CA33" s="52" t="str">
        <f t="shared" si="79"/>
        <v/>
      </c>
      <c r="CB33" s="52" t="str">
        <f t="shared" si="80"/>
        <v/>
      </c>
      <c r="CC33" s="52" t="str">
        <f t="shared" si="40"/>
        <v/>
      </c>
      <c r="CD33" s="52" t="str">
        <f t="shared" si="41"/>
        <v/>
      </c>
      <c r="CE33" s="102" t="str">
        <f t="shared" si="81"/>
        <v/>
      </c>
      <c r="CF33" s="116" t="str">
        <f t="shared" si="42"/>
        <v/>
      </c>
      <c r="CG33" s="61" t="str">
        <f t="shared" si="82"/>
        <v/>
      </c>
      <c r="CH33" s="52" t="str">
        <f t="shared" si="84"/>
        <v/>
      </c>
      <c r="CI33" s="52" t="str">
        <f t="shared" si="85"/>
        <v/>
      </c>
      <c r="CJ33" s="52" t="str">
        <f t="shared" si="45"/>
        <v/>
      </c>
      <c r="CK33" s="52" t="str">
        <f t="shared" si="46"/>
        <v/>
      </c>
      <c r="CL33" s="52" t="str">
        <f t="shared" si="47"/>
        <v/>
      </c>
      <c r="CM33" s="102" t="str">
        <f t="shared" si="48"/>
        <v/>
      </c>
      <c r="CN33" s="116" t="str">
        <f t="shared" si="49"/>
        <v/>
      </c>
      <c r="CO33" s="61">
        <f t="shared" si="65"/>
        <v>0</v>
      </c>
      <c r="CP33" s="61" t="str">
        <f t="shared" si="86"/>
        <v/>
      </c>
      <c r="CQ33" s="61" t="str">
        <f t="shared" si="66"/>
        <v/>
      </c>
      <c r="CR33" s="61" t="str">
        <f t="shared" si="67"/>
        <v/>
      </c>
      <c r="CS33" s="105" t="str">
        <f t="shared" si="68"/>
        <v/>
      </c>
      <c r="CT33" s="105" t="str">
        <f t="shared" si="69"/>
        <v/>
      </c>
      <c r="CU33" s="61" t="str">
        <f t="shared" si="70"/>
        <v/>
      </c>
      <c r="CV33" s="61" t="str">
        <f t="shared" si="71"/>
        <v/>
      </c>
      <c r="CW33" s="61" t="str">
        <f t="shared" si="51"/>
        <v/>
      </c>
      <c r="CX33" s="61" t="str">
        <f t="shared" si="87"/>
        <v/>
      </c>
      <c r="CY33" s="61" t="str">
        <f t="shared" si="53"/>
        <v/>
      </c>
      <c r="CZ33" s="102" t="str">
        <f t="shared" si="54"/>
        <v/>
      </c>
      <c r="DA33" s="17">
        <f t="shared" si="55"/>
        <v>0</v>
      </c>
      <c r="DB33" s="17" t="str">
        <f t="shared" si="56"/>
        <v/>
      </c>
      <c r="DC33" s="17">
        <f t="shared" si="57"/>
        <v>0</v>
      </c>
      <c r="DD33" s="17">
        <f t="shared" si="58"/>
        <v>0</v>
      </c>
      <c r="DE33" s="17" t="str">
        <f t="shared" si="59"/>
        <v/>
      </c>
      <c r="DF33" s="17" t="str">
        <f t="shared" si="60"/>
        <v/>
      </c>
    </row>
    <row r="34" spans="2:110" s="17" customFormat="1">
      <c r="B34" s="35"/>
      <c r="C34" s="35"/>
      <c r="D34" s="36"/>
      <c r="E34" s="35"/>
      <c r="F34" s="35"/>
      <c r="G34" s="35"/>
      <c r="H34" s="35"/>
      <c r="I34" s="35"/>
      <c r="J34" s="59"/>
      <c r="Z34" s="172" t="str">
        <f t="shared" si="0"/>
        <v/>
      </c>
      <c r="AB34" s="47" t="s">
        <v>213</v>
      </c>
      <c r="AC34" s="52" t="str">
        <f t="shared" si="1"/>
        <v/>
      </c>
      <c r="AD34" s="52">
        <f t="shared" si="72"/>
        <v>0</v>
      </c>
      <c r="AE34" s="52">
        <f t="shared" si="61"/>
        <v>0</v>
      </c>
      <c r="AF34" s="61" t="str">
        <f t="shared" si="2"/>
        <v/>
      </c>
      <c r="AG34" s="52">
        <f t="shared" si="3"/>
        <v>0</v>
      </c>
      <c r="AH34" s="52">
        <f t="shared" si="4"/>
        <v>0</v>
      </c>
      <c r="AI34" s="52" t="str">
        <f t="shared" si="5"/>
        <v/>
      </c>
      <c r="AJ34" s="61" t="str">
        <f t="shared" si="6"/>
        <v/>
      </c>
      <c r="AK34" s="95" t="str">
        <f t="shared" si="7"/>
        <v/>
      </c>
      <c r="AL34" s="61" t="str">
        <f t="shared" si="8"/>
        <v>if () {$("#adv_").html("Required");$("#").css({"background":"yellow"});} else {$("#adv_").html("");$("#").css({"background":"white"});}</v>
      </c>
      <c r="AM34" s="61" t="str">
        <f t="shared" si="9"/>
        <v>if (=="") {$("#adv_").html("Required");$("#adv_").css({"background":"yellow"});} else {$("#adv_").html("");}</v>
      </c>
      <c r="AN34" s="61" t="str">
        <f t="shared" si="83"/>
        <v>if (=="") {$("#adv_").html("Required");$("#").css({"background":"yellow"});} else {$("#adv_").html("");$("#").css({"background":"white"});}</v>
      </c>
      <c r="AO34" s="50" t="str">
        <f t="shared" si="11"/>
        <v/>
      </c>
      <c r="AP34" s="61" t="str">
        <f t="shared" si="12"/>
        <v>=$("#").val();</v>
      </c>
      <c r="AQ34" s="61" t="str">
        <f t="shared" si="13"/>
        <v/>
      </c>
      <c r="AR34" s="50" t="str">
        <f t="shared" si="14"/>
        <v>&lt;input type="checkbox" id="" name="" value="1" /&gt;</v>
      </c>
      <c r="AS34" s="61" t="str">
        <f t="shared" si="15"/>
        <v>=document.getElementById("").checked;</v>
      </c>
      <c r="AT34" s="102" t="str">
        <f t="shared" si="16"/>
        <v>if (isset($_GET[''])) {$=($_GET['']);}else $='';</v>
      </c>
      <c r="AU34" s="52" t="str">
        <f t="shared" si="17"/>
        <v/>
      </c>
      <c r="AV34" s="52" t="str">
        <f t="shared" si="18"/>
        <v>&lt;select size="1" name="" id=""&gt;&lt;option value=""&gt;&lt;/option&gt;&lt;option value=""&gt;&lt;/option&gt;</v>
      </c>
      <c r="AW34" s="52" t="str">
        <f t="shared" si="19"/>
        <v>&lt;option value=""&gt;&lt;/option&gt;</v>
      </c>
      <c r="AX34" s="145" t="str">
        <f t="shared" si="20"/>
        <v/>
      </c>
      <c r="AY34" s="102">
        <f t="shared" si="21"/>
        <v>0</v>
      </c>
      <c r="AZ34" s="102">
        <f t="shared" si="22"/>
        <v>0</v>
      </c>
      <c r="BA34" s="113">
        <f t="shared" si="23"/>
        <v>0</v>
      </c>
      <c r="BB34" s="103" t="str">
        <f t="shared" si="24"/>
        <v>0:</v>
      </c>
      <c r="BC34" s="50" t="str">
        <f t="shared" si="25"/>
        <v>0:&lt;span id="adv_0"&gt;&lt;/span&gt;&lt;br/&gt;&lt;input type="radio" name="0" id="" value="" /&gt;</v>
      </c>
      <c r="BD34" s="52" t="str">
        <f t="shared" si="26"/>
        <v>else if (document.getElementById("</v>
      </c>
      <c r="BE34" s="61" t="str">
        <f t="shared" si="27"/>
        <v>else if (document.getElementById("").checked==true) {0="";}</v>
      </c>
      <c r="BF34" s="61" t="str">
        <f t="shared" si="28"/>
        <v/>
      </c>
      <c r="BG34" s="61" t="str">
        <f t="shared" si="29"/>
        <v>0:0</v>
      </c>
      <c r="BH34" s="102" t="str">
        <f t="shared" si="30"/>
        <v>if (isset($_GET['0'])) {$0=($_GET['0']);}else $0='';</v>
      </c>
      <c r="BI34" s="105" t="str">
        <f t="shared" si="31"/>
        <v>&lt;br/&gt;&lt;textarea rows="2" cols="80" id=""&gt;&lt;/textarea&gt;&lt;br/&gt;</v>
      </c>
      <c r="BJ34" s="107" t="str">
        <f t="shared" si="32"/>
        <v>&lt;input type="text"  size="7"  id="" class="datepicker"/&gt;</v>
      </c>
      <c r="BK34" s="107" t="str">
        <f t="shared" si="33"/>
        <v>&lt;h2 id=""&gt;&lt;/h2&gt;</v>
      </c>
      <c r="BL34" s="109" t="str">
        <f t="shared" si="73"/>
        <v/>
      </c>
      <c r="BM34" s="61" t="str">
        <f t="shared" si="74"/>
        <v/>
      </c>
      <c r="BN34" s="52">
        <f t="shared" si="62"/>
        <v>0</v>
      </c>
      <c r="BO34" s="61" t="str">
        <f t="shared" si="75"/>
        <v/>
      </c>
      <c r="BP34" s="102" t="str">
        <f t="shared" si="76"/>
        <v/>
      </c>
      <c r="BQ34" s="105" t="str">
        <f t="shared" si="77"/>
        <v/>
      </c>
      <c r="BR34" s="52" t="str">
        <f t="shared" si="34"/>
        <v/>
      </c>
      <c r="BS34" s="52">
        <f t="shared" si="35"/>
        <v>0</v>
      </c>
      <c r="BT34" s="52">
        <f t="shared" si="63"/>
        <v>0</v>
      </c>
      <c r="BU34" s="52" t="str">
        <f t="shared" si="36"/>
        <v/>
      </c>
      <c r="BV34" s="52" t="str">
        <f t="shared" si="37"/>
        <v/>
      </c>
      <c r="BW34" s="52" t="str">
        <f t="shared" si="64"/>
        <v/>
      </c>
      <c r="BX34" s="113" t="str">
        <f t="shared" si="78"/>
        <v/>
      </c>
      <c r="BY34" s="52" t="str">
        <f t="shared" si="38"/>
        <v/>
      </c>
      <c r="BZ34" s="52" t="str">
        <f t="shared" si="39"/>
        <v/>
      </c>
      <c r="CA34" s="52" t="str">
        <f t="shared" si="79"/>
        <v/>
      </c>
      <c r="CB34" s="52" t="str">
        <f t="shared" si="80"/>
        <v/>
      </c>
      <c r="CC34" s="52" t="str">
        <f t="shared" si="40"/>
        <v/>
      </c>
      <c r="CD34" s="52" t="str">
        <f t="shared" si="41"/>
        <v/>
      </c>
      <c r="CE34" s="102" t="str">
        <f t="shared" si="81"/>
        <v/>
      </c>
      <c r="CF34" s="116" t="str">
        <f t="shared" si="42"/>
        <v/>
      </c>
      <c r="CG34" s="61" t="str">
        <f t="shared" si="82"/>
        <v/>
      </c>
      <c r="CH34" s="52" t="str">
        <f t="shared" si="84"/>
        <v/>
      </c>
      <c r="CI34" s="52" t="str">
        <f t="shared" si="85"/>
        <v/>
      </c>
      <c r="CJ34" s="52" t="str">
        <f t="shared" si="45"/>
        <v/>
      </c>
      <c r="CK34" s="52" t="str">
        <f t="shared" si="46"/>
        <v/>
      </c>
      <c r="CL34" s="52" t="str">
        <f t="shared" si="47"/>
        <v/>
      </c>
      <c r="CM34" s="102" t="str">
        <f t="shared" si="48"/>
        <v/>
      </c>
      <c r="CN34" s="116" t="str">
        <f t="shared" si="49"/>
        <v/>
      </c>
      <c r="CO34" s="61">
        <f t="shared" si="65"/>
        <v>0</v>
      </c>
      <c r="CP34" s="61" t="str">
        <f t="shared" si="86"/>
        <v/>
      </c>
      <c r="CQ34" s="61" t="str">
        <f t="shared" si="66"/>
        <v/>
      </c>
      <c r="CR34" s="61" t="str">
        <f t="shared" si="67"/>
        <v/>
      </c>
      <c r="CS34" s="105" t="str">
        <f t="shared" si="68"/>
        <v/>
      </c>
      <c r="CT34" s="105" t="str">
        <f t="shared" si="69"/>
        <v/>
      </c>
      <c r="CU34" s="61" t="str">
        <f t="shared" si="70"/>
        <v/>
      </c>
      <c r="CV34" s="61" t="str">
        <f t="shared" si="71"/>
        <v/>
      </c>
      <c r="CW34" s="61" t="str">
        <f t="shared" si="51"/>
        <v/>
      </c>
      <c r="CX34" s="61" t="str">
        <f t="shared" si="87"/>
        <v/>
      </c>
      <c r="CY34" s="61" t="str">
        <f t="shared" si="53"/>
        <v/>
      </c>
      <c r="CZ34" s="102" t="str">
        <f t="shared" si="54"/>
        <v/>
      </c>
      <c r="DA34" s="17">
        <f t="shared" si="55"/>
        <v>0</v>
      </c>
      <c r="DB34" s="17" t="str">
        <f t="shared" si="56"/>
        <v/>
      </c>
      <c r="DC34" s="17">
        <f t="shared" si="57"/>
        <v>0</v>
      </c>
      <c r="DD34" s="17">
        <f t="shared" si="58"/>
        <v>0</v>
      </c>
      <c r="DE34" s="17" t="str">
        <f t="shared" si="59"/>
        <v/>
      </c>
      <c r="DF34" s="17" t="str">
        <f t="shared" si="60"/>
        <v/>
      </c>
    </row>
    <row r="35" spans="2:110" s="17" customFormat="1">
      <c r="B35" s="35"/>
      <c r="C35" s="35"/>
      <c r="D35" s="36"/>
      <c r="E35" s="35"/>
      <c r="F35" s="35"/>
      <c r="G35" s="35"/>
      <c r="H35" s="35"/>
      <c r="I35" s="35"/>
      <c r="J35" s="59"/>
      <c r="Z35" s="172" t="str">
        <f t="shared" si="0"/>
        <v/>
      </c>
      <c r="AB35" s="47" t="s">
        <v>214</v>
      </c>
      <c r="AC35" s="52" t="str">
        <f t="shared" si="1"/>
        <v/>
      </c>
      <c r="AD35" s="52">
        <f t="shared" si="72"/>
        <v>0</v>
      </c>
      <c r="AE35" s="52">
        <f t="shared" si="61"/>
        <v>0</v>
      </c>
      <c r="AF35" s="61" t="str">
        <f t="shared" si="2"/>
        <v/>
      </c>
      <c r="AG35" s="52">
        <f t="shared" si="3"/>
        <v>0</v>
      </c>
      <c r="AH35" s="52">
        <f t="shared" si="4"/>
        <v>0</v>
      </c>
      <c r="AI35" s="52" t="str">
        <f t="shared" si="5"/>
        <v/>
      </c>
      <c r="AJ35" s="61" t="str">
        <f t="shared" si="6"/>
        <v/>
      </c>
      <c r="AK35" s="95" t="str">
        <f t="shared" si="7"/>
        <v/>
      </c>
      <c r="AL35" s="61" t="str">
        <f t="shared" si="8"/>
        <v>if () {$("#adv_").html("Required");$("#").css({"background":"yellow"});} else {$("#adv_").html("");$("#").css({"background":"white"});}</v>
      </c>
      <c r="AM35" s="61" t="str">
        <f t="shared" si="9"/>
        <v>if (=="") {$("#adv_").html("Required");$("#adv_").css({"background":"yellow"});} else {$("#adv_").html("");}</v>
      </c>
      <c r="AN35" s="61" t="str">
        <f t="shared" si="83"/>
        <v>if (=="") {$("#adv_").html("Required");$("#").css({"background":"yellow"});} else {$("#adv_").html("");$("#").css({"background":"white"});}</v>
      </c>
      <c r="AO35" s="50" t="str">
        <f t="shared" si="11"/>
        <v/>
      </c>
      <c r="AP35" s="61" t="str">
        <f t="shared" si="12"/>
        <v>=$("#").val();</v>
      </c>
      <c r="AQ35" s="61" t="str">
        <f t="shared" si="13"/>
        <v/>
      </c>
      <c r="AR35" s="50" t="str">
        <f t="shared" si="14"/>
        <v>&lt;input type="checkbox" id="" name="" value="1" /&gt;</v>
      </c>
      <c r="AS35" s="61" t="str">
        <f t="shared" si="15"/>
        <v>=document.getElementById("").checked;</v>
      </c>
      <c r="AT35" s="102" t="str">
        <f t="shared" si="16"/>
        <v>if (isset($_GET[''])) {$=($_GET['']);}else $='';</v>
      </c>
      <c r="AU35" s="52" t="str">
        <f t="shared" si="17"/>
        <v/>
      </c>
      <c r="AV35" s="52" t="str">
        <f t="shared" si="18"/>
        <v>&lt;select size="1" name="" id=""&gt;&lt;option value=""&gt;&lt;/option&gt;&lt;option value=""&gt;&lt;/option&gt;</v>
      </c>
      <c r="AW35" s="52" t="str">
        <f t="shared" si="19"/>
        <v>&lt;option value=""&gt;&lt;/option&gt;</v>
      </c>
      <c r="AX35" s="145" t="str">
        <f t="shared" si="20"/>
        <v/>
      </c>
      <c r="AY35" s="102">
        <f t="shared" si="21"/>
        <v>0</v>
      </c>
      <c r="AZ35" s="102">
        <f t="shared" si="22"/>
        <v>0</v>
      </c>
      <c r="BA35" s="113">
        <f t="shared" si="23"/>
        <v>0</v>
      </c>
      <c r="BB35" s="103" t="str">
        <f t="shared" si="24"/>
        <v>0:</v>
      </c>
      <c r="BC35" s="50" t="str">
        <f t="shared" si="25"/>
        <v>0:&lt;span id="adv_0"&gt;&lt;/span&gt;&lt;br/&gt;&lt;input type="radio" name="0" id="" value="" /&gt;</v>
      </c>
      <c r="BD35" s="52" t="str">
        <f t="shared" si="26"/>
        <v>else if (document.getElementById("</v>
      </c>
      <c r="BE35" s="61" t="str">
        <f t="shared" si="27"/>
        <v>else if (document.getElementById("").checked==true) {0="";}</v>
      </c>
      <c r="BF35" s="61" t="str">
        <f t="shared" si="28"/>
        <v/>
      </c>
      <c r="BG35" s="61" t="str">
        <f t="shared" si="29"/>
        <v>0:0</v>
      </c>
      <c r="BH35" s="102" t="str">
        <f t="shared" si="30"/>
        <v>if (isset($_GET['0'])) {$0=($_GET['0']);}else $0='';</v>
      </c>
      <c r="BI35" s="105" t="str">
        <f t="shared" si="31"/>
        <v>&lt;br/&gt;&lt;textarea rows="2" cols="80" id=""&gt;&lt;/textarea&gt;&lt;br/&gt;</v>
      </c>
      <c r="BJ35" s="107" t="str">
        <f t="shared" si="32"/>
        <v>&lt;input type="text"  size="7"  id="" class="datepicker"/&gt;</v>
      </c>
      <c r="BK35" s="107" t="str">
        <f t="shared" si="33"/>
        <v>&lt;h2 id=""&gt;&lt;/h2&gt;</v>
      </c>
      <c r="BL35" s="109" t="str">
        <f t="shared" si="73"/>
        <v/>
      </c>
      <c r="BM35" s="61" t="str">
        <f t="shared" si="74"/>
        <v/>
      </c>
      <c r="BN35" s="52">
        <f t="shared" si="62"/>
        <v>0</v>
      </c>
      <c r="BO35" s="61" t="str">
        <f t="shared" si="75"/>
        <v/>
      </c>
      <c r="BP35" s="102" t="str">
        <f t="shared" si="76"/>
        <v/>
      </c>
      <c r="BQ35" s="105" t="str">
        <f t="shared" si="77"/>
        <v/>
      </c>
      <c r="BR35" s="52" t="str">
        <f t="shared" si="34"/>
        <v/>
      </c>
      <c r="BS35" s="52">
        <f t="shared" si="35"/>
        <v>0</v>
      </c>
      <c r="BT35" s="52">
        <f t="shared" si="63"/>
        <v>0</v>
      </c>
      <c r="BU35" s="52" t="str">
        <f t="shared" si="36"/>
        <v/>
      </c>
      <c r="BV35" s="52" t="str">
        <f t="shared" si="37"/>
        <v/>
      </c>
      <c r="BW35" s="52" t="str">
        <f t="shared" si="64"/>
        <v/>
      </c>
      <c r="BX35" s="113" t="str">
        <f t="shared" si="78"/>
        <v/>
      </c>
      <c r="BY35" s="52" t="str">
        <f t="shared" si="38"/>
        <v/>
      </c>
      <c r="BZ35" s="52" t="str">
        <f t="shared" si="39"/>
        <v/>
      </c>
      <c r="CA35" s="52" t="str">
        <f t="shared" si="79"/>
        <v/>
      </c>
      <c r="CB35" s="52" t="str">
        <f t="shared" si="80"/>
        <v/>
      </c>
      <c r="CC35" s="52" t="str">
        <f t="shared" si="40"/>
        <v/>
      </c>
      <c r="CD35" s="52" t="str">
        <f t="shared" si="41"/>
        <v/>
      </c>
      <c r="CE35" s="102" t="str">
        <f t="shared" si="81"/>
        <v/>
      </c>
      <c r="CF35" s="116" t="str">
        <f t="shared" si="42"/>
        <v/>
      </c>
      <c r="CG35" s="61" t="str">
        <f t="shared" si="82"/>
        <v/>
      </c>
      <c r="CH35" s="52" t="str">
        <f t="shared" si="84"/>
        <v/>
      </c>
      <c r="CI35" s="52" t="str">
        <f t="shared" si="85"/>
        <v/>
      </c>
      <c r="CJ35" s="52" t="str">
        <f t="shared" si="45"/>
        <v/>
      </c>
      <c r="CK35" s="52" t="str">
        <f t="shared" si="46"/>
        <v/>
      </c>
      <c r="CL35" s="52" t="str">
        <f t="shared" si="47"/>
        <v/>
      </c>
      <c r="CM35" s="102" t="str">
        <f t="shared" si="48"/>
        <v/>
      </c>
      <c r="CN35" s="116" t="str">
        <f t="shared" si="49"/>
        <v/>
      </c>
      <c r="CO35" s="61">
        <f t="shared" si="65"/>
        <v>0</v>
      </c>
      <c r="CP35" s="61" t="str">
        <f t="shared" si="86"/>
        <v/>
      </c>
      <c r="CQ35" s="61" t="str">
        <f t="shared" si="66"/>
        <v/>
      </c>
      <c r="CR35" s="61" t="str">
        <f t="shared" si="67"/>
        <v/>
      </c>
      <c r="CS35" s="105" t="str">
        <f t="shared" si="68"/>
        <v/>
      </c>
      <c r="CT35" s="105" t="str">
        <f t="shared" si="69"/>
        <v/>
      </c>
      <c r="CU35" s="61" t="str">
        <f t="shared" si="70"/>
        <v/>
      </c>
      <c r="CV35" s="61" t="str">
        <f t="shared" si="71"/>
        <v/>
      </c>
      <c r="CW35" s="61" t="str">
        <f t="shared" si="51"/>
        <v/>
      </c>
      <c r="CX35" s="61" t="str">
        <f t="shared" si="87"/>
        <v/>
      </c>
      <c r="CY35" s="61" t="str">
        <f t="shared" si="53"/>
        <v/>
      </c>
      <c r="CZ35" s="102" t="str">
        <f t="shared" si="54"/>
        <v/>
      </c>
      <c r="DA35" s="17">
        <f t="shared" si="55"/>
        <v>0</v>
      </c>
      <c r="DB35" s="17" t="str">
        <f t="shared" si="56"/>
        <v/>
      </c>
      <c r="DC35" s="17">
        <f t="shared" si="57"/>
        <v>0</v>
      </c>
      <c r="DD35" s="17">
        <f t="shared" si="58"/>
        <v>0</v>
      </c>
      <c r="DE35" s="17" t="str">
        <f t="shared" si="59"/>
        <v/>
      </c>
      <c r="DF35" s="17" t="str">
        <f t="shared" si="60"/>
        <v/>
      </c>
    </row>
    <row r="36" spans="2:110" s="17" customFormat="1">
      <c r="B36" s="35"/>
      <c r="C36" s="35"/>
      <c r="D36" s="36"/>
      <c r="E36" s="35"/>
      <c r="F36" s="35"/>
      <c r="G36" s="35"/>
      <c r="H36" s="35"/>
      <c r="I36" s="35"/>
      <c r="J36" s="59"/>
      <c r="Z36" s="172" t="str">
        <f t="shared" si="0"/>
        <v/>
      </c>
      <c r="AB36" s="47" t="s">
        <v>215</v>
      </c>
      <c r="AC36" s="52" t="str">
        <f t="shared" ref="AC36:AC67" si="88">+IF(G36="si",C36&amp;"=="&amp;$B$4,IF(AND(E36="radio",BB36&lt;&gt;""),B36&amp;"=="&amp;$B$4,""))</f>
        <v/>
      </c>
      <c r="AD36" s="52">
        <f t="shared" si="72"/>
        <v>0</v>
      </c>
      <c r="AE36" s="52">
        <f t="shared" si="61"/>
        <v>0</v>
      </c>
      <c r="AF36" s="61" t="str">
        <f t="shared" si="2"/>
        <v/>
      </c>
      <c r="AG36" s="52">
        <f t="shared" si="3"/>
        <v>0</v>
      </c>
      <c r="AH36" s="52">
        <f t="shared" si="4"/>
        <v>0</v>
      </c>
      <c r="AI36" s="52" t="str">
        <f t="shared" si="5"/>
        <v/>
      </c>
      <c r="AJ36" s="61" t="str">
        <f t="shared" si="6"/>
        <v/>
      </c>
      <c r="AK36" s="95" t="str">
        <f t="shared" si="7"/>
        <v/>
      </c>
      <c r="AL36" s="61" t="str">
        <f t="shared" si="8"/>
        <v>if () {$("#adv_").html("Required");$("#").css({"background":"yellow"});} else {$("#adv_").html("");$("#").css({"background":"white"});}</v>
      </c>
      <c r="AM36" s="61" t="str">
        <f t="shared" si="9"/>
        <v>if (=="") {$("#adv_").html("Required");$("#adv_").css({"background":"yellow"});} else {$("#adv_").html("");}</v>
      </c>
      <c r="AN36" s="61" t="str">
        <f t="shared" si="83"/>
        <v>if (=="") {$("#adv_").html("Required");$("#").css({"background":"yellow"});} else {$("#adv_").html("");$("#").css({"background":"white"});}</v>
      </c>
      <c r="AO36" s="50" t="str">
        <f t="shared" si="11"/>
        <v/>
      </c>
      <c r="AP36" s="61" t="str">
        <f t="shared" si="12"/>
        <v>=$("#").val();</v>
      </c>
      <c r="AQ36" s="61" t="str">
        <f t="shared" si="13"/>
        <v/>
      </c>
      <c r="AR36" s="50" t="str">
        <f t="shared" si="14"/>
        <v>&lt;input type="checkbox" id="" name="" value="1" /&gt;</v>
      </c>
      <c r="AS36" s="61" t="str">
        <f t="shared" si="15"/>
        <v>=document.getElementById("").checked;</v>
      </c>
      <c r="AT36" s="102" t="str">
        <f t="shared" si="16"/>
        <v>if (isset($_GET[''])) {$=($_GET['']);}else $='';</v>
      </c>
      <c r="AU36" s="52" t="str">
        <f t="shared" si="17"/>
        <v/>
      </c>
      <c r="AV36" s="52" t="str">
        <f t="shared" ref="AV36:AV49" si="89">AU36&amp;$K$8&amp;AU36&amp;$C$11&amp;AU36&amp;$K$9&amp;$K$10&amp;C36&amp;$K$9&amp;C36&amp;I32&amp;$K$11</f>
        <v>&lt;select size="1" name="" id=""&gt;&lt;option value=""&gt;&lt;/option&gt;</v>
      </c>
      <c r="AW36" s="52" t="str">
        <f t="shared" si="19"/>
        <v>&lt;option value=""&gt;&lt;/option&gt;</v>
      </c>
      <c r="AX36" s="145" t="str">
        <f t="shared" si="20"/>
        <v/>
      </c>
      <c r="AY36" s="102" t="str">
        <f>""</f>
        <v/>
      </c>
      <c r="AZ36" s="102"/>
      <c r="BA36" s="113">
        <f t="shared" si="23"/>
        <v>0</v>
      </c>
      <c r="BB36" s="103" t="str">
        <f t="shared" si="24"/>
        <v>0:</v>
      </c>
      <c r="BC36" s="50" t="str">
        <f t="shared" si="25"/>
        <v>0:&lt;span id="adv_0"&gt;&lt;/span&gt;&lt;br/&gt;&lt;input type="radio" name="0" id="" value="" /&gt;</v>
      </c>
      <c r="BD36" s="52" t="str">
        <f t="shared" si="26"/>
        <v>else if (document.getElementById("</v>
      </c>
      <c r="BE36" s="61" t="str">
        <f t="shared" si="27"/>
        <v>else if (document.getElementById("").checked==true) {0="";}</v>
      </c>
      <c r="BF36" s="61" t="str">
        <f t="shared" si="28"/>
        <v/>
      </c>
      <c r="BG36" s="61" t="str">
        <f t="shared" si="29"/>
        <v>0:0</v>
      </c>
      <c r="BH36" s="102" t="str">
        <f t="shared" si="30"/>
        <v>if (isset($_GET['0'])) {$0=($_GET['0']);}else $0='';</v>
      </c>
      <c r="BI36" s="105" t="str">
        <f t="shared" si="31"/>
        <v>&lt;br/&gt;&lt;textarea rows="2" cols="80" id=""&gt;&lt;/textarea&gt;&lt;br/&gt;</v>
      </c>
      <c r="BJ36" s="107" t="str">
        <f t="shared" si="32"/>
        <v>&lt;input type="text"  size="7"  id="" class="datepicker"/&gt;</v>
      </c>
      <c r="BK36" s="107" t="str">
        <f t="shared" si="33"/>
        <v>&lt;h2 id=""&gt;&lt;/h2&gt;</v>
      </c>
      <c r="BL36" s="109" t="str">
        <f t="shared" si="73"/>
        <v/>
      </c>
      <c r="BM36" s="61" t="str">
        <f t="shared" si="74"/>
        <v/>
      </c>
      <c r="BN36" s="52">
        <f t="shared" si="62"/>
        <v>0</v>
      </c>
      <c r="BO36" s="61" t="str">
        <f t="shared" si="75"/>
        <v/>
      </c>
      <c r="BP36" s="102" t="str">
        <f t="shared" si="76"/>
        <v/>
      </c>
      <c r="BQ36" s="105" t="str">
        <f t="shared" si="77"/>
        <v/>
      </c>
      <c r="BR36" s="52" t="str">
        <f t="shared" si="34"/>
        <v/>
      </c>
      <c r="BS36" s="52">
        <f t="shared" si="35"/>
        <v>0</v>
      </c>
      <c r="BT36" s="52">
        <f t="shared" si="63"/>
        <v>0</v>
      </c>
      <c r="BU36" s="52" t="str">
        <f t="shared" si="36"/>
        <v/>
      </c>
      <c r="BV36" s="52" t="str">
        <f t="shared" si="37"/>
        <v/>
      </c>
      <c r="BW36" s="52" t="str">
        <f t="shared" si="64"/>
        <v/>
      </c>
      <c r="BX36" s="113" t="str">
        <f t="shared" si="78"/>
        <v/>
      </c>
      <c r="BY36" s="52" t="str">
        <f t="shared" si="38"/>
        <v/>
      </c>
      <c r="BZ36" s="52" t="str">
        <f t="shared" si="39"/>
        <v/>
      </c>
      <c r="CA36" s="52" t="str">
        <f t="shared" si="79"/>
        <v/>
      </c>
      <c r="CB36" s="52" t="str">
        <f t="shared" si="80"/>
        <v/>
      </c>
      <c r="CC36" s="52" t="str">
        <f t="shared" si="40"/>
        <v/>
      </c>
      <c r="CD36" s="52" t="str">
        <f t="shared" si="41"/>
        <v/>
      </c>
      <c r="CE36" s="102" t="str">
        <f t="shared" si="81"/>
        <v/>
      </c>
      <c r="CF36" s="116" t="str">
        <f t="shared" si="42"/>
        <v/>
      </c>
      <c r="CG36" s="61" t="str">
        <f t="shared" si="82"/>
        <v/>
      </c>
      <c r="CH36" s="52" t="str">
        <f t="shared" si="84"/>
        <v/>
      </c>
      <c r="CI36" s="52" t="str">
        <f t="shared" si="85"/>
        <v/>
      </c>
      <c r="CJ36" s="52" t="str">
        <f t="shared" si="45"/>
        <v/>
      </c>
      <c r="CK36" s="52" t="str">
        <f t="shared" si="46"/>
        <v/>
      </c>
      <c r="CL36" s="52" t="str">
        <f t="shared" si="47"/>
        <v/>
      </c>
      <c r="CM36" s="102" t="str">
        <f t="shared" si="48"/>
        <v/>
      </c>
      <c r="CN36" s="116" t="str">
        <f t="shared" si="49"/>
        <v/>
      </c>
      <c r="CO36" s="61">
        <f t="shared" si="65"/>
        <v>0</v>
      </c>
      <c r="CP36" s="61" t="str">
        <f t="shared" ref="CP36:CP43" si="90">IF(I36="si",IF(E35="radio",$G$7&amp;$D$6&amp;C35&amp;$P$10&amp;C36&amp;$P$11&amp;C36&amp;$P$9&amp;$P$12&amp;C36&amp;$P$9&amp;"=0;",IF(E35="selectlist",$G$7&amp;AU35&amp;$S$3&amp;C36,"")),"")</f>
        <v/>
      </c>
      <c r="CQ36" s="61" t="str">
        <f t="shared" si="66"/>
        <v/>
      </c>
      <c r="CR36" s="61" t="str">
        <f t="shared" si="67"/>
        <v/>
      </c>
      <c r="CS36" s="105" t="str">
        <f t="shared" si="68"/>
        <v/>
      </c>
      <c r="CT36" s="105" t="str">
        <f t="shared" si="69"/>
        <v/>
      </c>
      <c r="CU36" s="61" t="str">
        <f t="shared" si="70"/>
        <v/>
      </c>
      <c r="CV36" s="61" t="str">
        <f t="shared" si="71"/>
        <v/>
      </c>
      <c r="CW36" s="61" t="str">
        <f t="shared" si="51"/>
        <v/>
      </c>
      <c r="CX36" s="61" t="str">
        <f t="shared" si="87"/>
        <v/>
      </c>
      <c r="CY36" s="61" t="str">
        <f t="shared" si="53"/>
        <v/>
      </c>
      <c r="CZ36" s="102" t="str">
        <f t="shared" si="54"/>
        <v/>
      </c>
      <c r="DA36" s="17">
        <f t="shared" si="55"/>
        <v>0</v>
      </c>
      <c r="DB36" s="17" t="str">
        <f t="shared" si="56"/>
        <v/>
      </c>
      <c r="DC36" s="17">
        <f t="shared" si="57"/>
        <v>0</v>
      </c>
      <c r="DD36" s="17">
        <f t="shared" si="58"/>
        <v>0</v>
      </c>
      <c r="DE36" s="17" t="str">
        <f t="shared" si="59"/>
        <v/>
      </c>
      <c r="DF36" s="17" t="str">
        <f t="shared" si="60"/>
        <v/>
      </c>
    </row>
    <row r="37" spans="2:110" s="17" customFormat="1">
      <c r="B37" s="35"/>
      <c r="C37" s="35"/>
      <c r="D37" s="36"/>
      <c r="E37" s="35"/>
      <c r="F37" s="35"/>
      <c r="G37" s="35"/>
      <c r="H37" s="35"/>
      <c r="I37" s="35"/>
      <c r="J37" s="59"/>
      <c r="Z37" s="172" t="str">
        <f t="shared" si="0"/>
        <v/>
      </c>
      <c r="AB37" s="47" t="s">
        <v>216</v>
      </c>
      <c r="AC37" s="52" t="str">
        <f t="shared" si="88"/>
        <v/>
      </c>
      <c r="AD37" s="52">
        <f t="shared" si="72"/>
        <v>0</v>
      </c>
      <c r="AE37" s="52">
        <f t="shared" si="61"/>
        <v>0</v>
      </c>
      <c r="AF37" s="61" t="str">
        <f t="shared" si="2"/>
        <v/>
      </c>
      <c r="AG37" s="52">
        <f t="shared" si="3"/>
        <v>0</v>
      </c>
      <c r="AH37" s="52">
        <f t="shared" si="4"/>
        <v>0</v>
      </c>
      <c r="AI37" s="52" t="str">
        <f t="shared" si="5"/>
        <v/>
      </c>
      <c r="AJ37" s="61" t="str">
        <f t="shared" si="6"/>
        <v/>
      </c>
      <c r="AK37" s="95" t="str">
        <f t="shared" si="7"/>
        <v/>
      </c>
      <c r="AL37" s="61" t="str">
        <f t="shared" si="8"/>
        <v>if () {$("#adv_").html("Required");$("#").css({"background":"yellow"});} else {$("#adv_").html("");$("#").css({"background":"white"});}</v>
      </c>
      <c r="AM37" s="61" t="str">
        <f t="shared" si="9"/>
        <v>if (=="") {$("#adv_").html("Required");$("#adv_").css({"background":"yellow"});} else {$("#adv_").html("");}</v>
      </c>
      <c r="AN37" s="61" t="str">
        <f t="shared" si="83"/>
        <v>if (=="") {$("#adv_").html("Required");$("#").css({"background":"yellow"});} else {$("#adv_").html("");$("#").css({"background":"white"});}</v>
      </c>
      <c r="AO37" s="50" t="str">
        <f t="shared" si="11"/>
        <v/>
      </c>
      <c r="AP37" s="61" t="str">
        <f t="shared" si="12"/>
        <v>=$("#").val();</v>
      </c>
      <c r="AQ37" s="61" t="str">
        <f t="shared" si="13"/>
        <v/>
      </c>
      <c r="AR37" s="50" t="str">
        <f t="shared" si="14"/>
        <v>&lt;input type="checkbox" id="" name="" value="1" /&gt;</v>
      </c>
      <c r="AS37" s="61" t="str">
        <f t="shared" si="15"/>
        <v>=document.getElementById("").checked;</v>
      </c>
      <c r="AT37" s="102" t="str">
        <f t="shared" si="16"/>
        <v>if (isset($_GET[''])) {$=($_GET['']);}else $='';</v>
      </c>
      <c r="AU37" s="52" t="str">
        <f t="shared" si="17"/>
        <v/>
      </c>
      <c r="AV37" s="52" t="str">
        <f t="shared" si="89"/>
        <v>&lt;select size="1" name="" id=""&gt;&lt;option value=""&gt;&lt;/option&gt;</v>
      </c>
      <c r="AW37" s="52" t="str">
        <f t="shared" si="19"/>
        <v>&lt;option value=""&gt;&lt;/option&gt;</v>
      </c>
      <c r="AX37" s="145" t="str">
        <f t="shared" si="20"/>
        <v/>
      </c>
      <c r="AY37" s="102" t="str">
        <f>""</f>
        <v/>
      </c>
      <c r="AZ37" s="102"/>
      <c r="BA37" s="113">
        <f t="shared" si="23"/>
        <v>0</v>
      </c>
      <c r="BB37" s="103" t="str">
        <f t="shared" si="24"/>
        <v>0:</v>
      </c>
      <c r="BC37" s="50" t="str">
        <f t="shared" si="25"/>
        <v>0:&lt;span id="adv_0"&gt;&lt;/span&gt;&lt;br/&gt;&lt;input type="radio" name="0" id="" value="" /&gt;</v>
      </c>
      <c r="BD37" s="52" t="str">
        <f t="shared" si="26"/>
        <v>else if (document.getElementById("</v>
      </c>
      <c r="BE37" s="61" t="str">
        <f t="shared" si="27"/>
        <v>else if (document.getElementById("").checked==true) {0="";}</v>
      </c>
      <c r="BF37" s="61" t="str">
        <f t="shared" si="28"/>
        <v/>
      </c>
      <c r="BG37" s="61" t="str">
        <f t="shared" si="29"/>
        <v>0:0</v>
      </c>
      <c r="BH37" s="102" t="str">
        <f t="shared" si="30"/>
        <v>if (isset($_GET['0'])) {$0=($_GET['0']);}else $0='';</v>
      </c>
      <c r="BI37" s="105" t="str">
        <f t="shared" si="31"/>
        <v>&lt;br/&gt;&lt;textarea rows="2" cols="80" id=""&gt;&lt;/textarea&gt;&lt;br/&gt;</v>
      </c>
      <c r="BJ37" s="107" t="str">
        <f t="shared" si="32"/>
        <v>&lt;input type="text"  size="7"  id="" class="datepicker"/&gt;</v>
      </c>
      <c r="BK37" s="107" t="str">
        <f t="shared" si="33"/>
        <v>&lt;h2 id=""&gt;&lt;/h2&gt;</v>
      </c>
      <c r="BL37" s="109" t="str">
        <f t="shared" si="73"/>
        <v/>
      </c>
      <c r="BM37" s="61" t="str">
        <f t="shared" si="74"/>
        <v/>
      </c>
      <c r="BN37" s="52">
        <f t="shared" si="62"/>
        <v>0</v>
      </c>
      <c r="BO37" s="61" t="str">
        <f t="shared" si="75"/>
        <v/>
      </c>
      <c r="BP37" s="102" t="str">
        <f t="shared" si="76"/>
        <v/>
      </c>
      <c r="BQ37" s="105" t="str">
        <f t="shared" si="77"/>
        <v/>
      </c>
      <c r="BR37" s="52" t="str">
        <f t="shared" si="34"/>
        <v/>
      </c>
      <c r="BS37" s="52">
        <f t="shared" si="35"/>
        <v>0</v>
      </c>
      <c r="BT37" s="52">
        <f t="shared" si="63"/>
        <v>0</v>
      </c>
      <c r="BU37" s="52" t="str">
        <f t="shared" si="36"/>
        <v/>
      </c>
      <c r="BV37" s="52" t="str">
        <f t="shared" si="37"/>
        <v/>
      </c>
      <c r="BW37" s="52" t="str">
        <f t="shared" si="64"/>
        <v/>
      </c>
      <c r="BX37" s="113" t="str">
        <f t="shared" si="78"/>
        <v/>
      </c>
      <c r="BY37" s="52" t="str">
        <f t="shared" si="38"/>
        <v/>
      </c>
      <c r="BZ37" s="52" t="str">
        <f t="shared" si="39"/>
        <v/>
      </c>
      <c r="CA37" s="52" t="str">
        <f t="shared" si="79"/>
        <v/>
      </c>
      <c r="CB37" s="52" t="str">
        <f t="shared" si="80"/>
        <v/>
      </c>
      <c r="CC37" s="52" t="str">
        <f t="shared" si="40"/>
        <v/>
      </c>
      <c r="CD37" s="52" t="str">
        <f t="shared" si="41"/>
        <v/>
      </c>
      <c r="CE37" s="102" t="str">
        <f t="shared" si="81"/>
        <v/>
      </c>
      <c r="CF37" s="116" t="str">
        <f t="shared" si="42"/>
        <v/>
      </c>
      <c r="CG37" s="61" t="str">
        <f t="shared" si="82"/>
        <v/>
      </c>
      <c r="CH37" s="52" t="str">
        <f t="shared" si="84"/>
        <v/>
      </c>
      <c r="CI37" s="52" t="str">
        <f t="shared" si="85"/>
        <v/>
      </c>
      <c r="CJ37" s="52" t="str">
        <f t="shared" si="45"/>
        <v/>
      </c>
      <c r="CK37" s="52" t="str">
        <f t="shared" si="46"/>
        <v/>
      </c>
      <c r="CL37" s="52" t="str">
        <f t="shared" si="47"/>
        <v/>
      </c>
      <c r="CM37" s="102" t="str">
        <f t="shared" si="48"/>
        <v/>
      </c>
      <c r="CN37" s="116" t="str">
        <f t="shared" si="49"/>
        <v/>
      </c>
      <c r="CO37" s="61">
        <f t="shared" si="65"/>
        <v>0</v>
      </c>
      <c r="CP37" s="61" t="str">
        <f t="shared" si="90"/>
        <v/>
      </c>
      <c r="CQ37" s="61" t="str">
        <f t="shared" si="66"/>
        <v/>
      </c>
      <c r="CR37" s="61" t="str">
        <f t="shared" si="67"/>
        <v/>
      </c>
      <c r="CS37" s="105" t="str">
        <f t="shared" si="68"/>
        <v/>
      </c>
      <c r="CT37" s="105" t="str">
        <f t="shared" si="69"/>
        <v/>
      </c>
      <c r="CU37" s="61" t="str">
        <f t="shared" si="70"/>
        <v/>
      </c>
      <c r="CV37" s="61" t="str">
        <f t="shared" si="71"/>
        <v/>
      </c>
      <c r="CW37" s="61" t="str">
        <f t="shared" si="51"/>
        <v/>
      </c>
      <c r="CX37" s="61" t="str">
        <f t="shared" si="87"/>
        <v/>
      </c>
      <c r="CY37" s="61" t="str">
        <f t="shared" si="53"/>
        <v/>
      </c>
      <c r="CZ37" s="102" t="str">
        <f t="shared" si="54"/>
        <v/>
      </c>
      <c r="DA37" s="17">
        <f t="shared" si="55"/>
        <v>0</v>
      </c>
      <c r="DB37" s="17" t="str">
        <f t="shared" si="56"/>
        <v/>
      </c>
      <c r="DC37" s="17">
        <f t="shared" si="57"/>
        <v>0</v>
      </c>
      <c r="DD37" s="17">
        <f t="shared" si="58"/>
        <v>0</v>
      </c>
      <c r="DE37" s="17" t="str">
        <f t="shared" si="59"/>
        <v/>
      </c>
      <c r="DF37" s="17" t="str">
        <f t="shared" si="60"/>
        <v/>
      </c>
    </row>
    <row r="38" spans="2:110" s="17" customFormat="1">
      <c r="B38" s="35"/>
      <c r="C38" s="35"/>
      <c r="D38" s="36"/>
      <c r="E38" s="35"/>
      <c r="F38" s="35"/>
      <c r="G38" s="35"/>
      <c r="H38" s="35"/>
      <c r="I38" s="35"/>
      <c r="J38" s="59"/>
      <c r="Z38" s="172" t="str">
        <f t="shared" si="0"/>
        <v/>
      </c>
      <c r="AB38" s="47" t="s">
        <v>217</v>
      </c>
      <c r="AC38" s="52" t="str">
        <f t="shared" si="88"/>
        <v/>
      </c>
      <c r="AD38" s="52">
        <f t="shared" si="72"/>
        <v>0</v>
      </c>
      <c r="AE38" s="52">
        <f t="shared" si="61"/>
        <v>0</v>
      </c>
      <c r="AF38" s="61" t="str">
        <f t="shared" si="2"/>
        <v/>
      </c>
      <c r="AG38" s="52">
        <f t="shared" si="3"/>
        <v>0</v>
      </c>
      <c r="AH38" s="52">
        <f t="shared" si="4"/>
        <v>0</v>
      </c>
      <c r="AI38" s="52" t="str">
        <f t="shared" si="5"/>
        <v/>
      </c>
      <c r="AJ38" s="61" t="str">
        <f t="shared" si="6"/>
        <v/>
      </c>
      <c r="AK38" s="95" t="str">
        <f t="shared" si="7"/>
        <v/>
      </c>
      <c r="AL38" s="61" t="str">
        <f t="shared" si="8"/>
        <v>if () {$("#adv_").html("Required");$("#").css({"background":"yellow"});} else {$("#adv_").html("");$("#").css({"background":"white"});}</v>
      </c>
      <c r="AM38" s="61" t="str">
        <f t="shared" si="9"/>
        <v>if (=="") {$("#adv_").html("Required");$("#adv_").css({"background":"yellow"});} else {$("#adv_").html("");}</v>
      </c>
      <c r="AN38" s="61" t="str">
        <f t="shared" si="83"/>
        <v>if (=="") {$("#adv_").html("Required");$("#").css({"background":"yellow"});} else {$("#adv_").html("");$("#").css({"background":"white"});}</v>
      </c>
      <c r="AO38" s="50" t="str">
        <f t="shared" si="11"/>
        <v/>
      </c>
      <c r="AP38" s="61" t="str">
        <f t="shared" si="12"/>
        <v>=$("#").val();</v>
      </c>
      <c r="AQ38" s="61" t="str">
        <f t="shared" si="13"/>
        <v/>
      </c>
      <c r="AR38" s="50" t="str">
        <f t="shared" si="14"/>
        <v>&lt;input type="checkbox" id="" name="" value="1" /&gt;</v>
      </c>
      <c r="AS38" s="61" t="str">
        <f t="shared" si="15"/>
        <v>=document.getElementById("").checked;</v>
      </c>
      <c r="AT38" s="102" t="str">
        <f t="shared" si="16"/>
        <v>if (isset($_GET[''])) {$=($_GET['']);}else $='';</v>
      </c>
      <c r="AU38" s="52" t="str">
        <f t="shared" si="17"/>
        <v/>
      </c>
      <c r="AV38" s="52" t="str">
        <f t="shared" si="89"/>
        <v>&lt;select size="1" name="" id=""&gt;&lt;option value=""&gt;&lt;/option&gt;</v>
      </c>
      <c r="AW38" s="52" t="str">
        <f t="shared" si="19"/>
        <v>&lt;option value=""&gt;&lt;/option&gt;</v>
      </c>
      <c r="AX38" s="145" t="str">
        <f t="shared" si="20"/>
        <v/>
      </c>
      <c r="AY38" s="102" t="str">
        <f>""</f>
        <v/>
      </c>
      <c r="AZ38" s="102"/>
      <c r="BA38" s="113">
        <f t="shared" si="23"/>
        <v>0</v>
      </c>
      <c r="BB38" s="103" t="str">
        <f t="shared" si="24"/>
        <v>0:</v>
      </c>
      <c r="BC38" s="50" t="str">
        <f t="shared" si="25"/>
        <v>0:&lt;span id="adv_0"&gt;&lt;/span&gt;&lt;br/&gt;&lt;input type="radio" name="0" id="" value="" /&gt;</v>
      </c>
      <c r="BD38" s="52" t="str">
        <f t="shared" si="26"/>
        <v>else if (document.getElementById("</v>
      </c>
      <c r="BE38" s="61" t="str">
        <f t="shared" si="27"/>
        <v>else if (document.getElementById("").checked==true) {0="";}</v>
      </c>
      <c r="BF38" s="61" t="str">
        <f t="shared" si="28"/>
        <v/>
      </c>
      <c r="BG38" s="61" t="str">
        <f t="shared" si="29"/>
        <v>0:0</v>
      </c>
      <c r="BH38" s="102" t="str">
        <f t="shared" si="30"/>
        <v>if (isset($_GET['0'])) {$0=($_GET['0']);}else $0='';</v>
      </c>
      <c r="BI38" s="105" t="str">
        <f t="shared" si="31"/>
        <v>&lt;br/&gt;&lt;textarea rows="2" cols="80" id=""&gt;&lt;/textarea&gt;&lt;br/&gt;</v>
      </c>
      <c r="BJ38" s="107" t="str">
        <f t="shared" si="32"/>
        <v>&lt;input type="text"  size="7"  id="" class="datepicker"/&gt;</v>
      </c>
      <c r="BK38" s="107" t="str">
        <f t="shared" si="33"/>
        <v>&lt;h2 id=""&gt;&lt;/h2&gt;</v>
      </c>
      <c r="BL38" s="109" t="str">
        <f t="shared" si="73"/>
        <v/>
      </c>
      <c r="BM38" s="61" t="str">
        <f t="shared" si="74"/>
        <v/>
      </c>
      <c r="BN38" s="52">
        <f t="shared" si="62"/>
        <v>0</v>
      </c>
      <c r="BO38" s="61" t="str">
        <f t="shared" si="75"/>
        <v/>
      </c>
      <c r="BP38" s="102" t="str">
        <f t="shared" si="76"/>
        <v/>
      </c>
      <c r="BQ38" s="105" t="str">
        <f t="shared" si="77"/>
        <v/>
      </c>
      <c r="BR38" s="52" t="str">
        <f t="shared" si="34"/>
        <v/>
      </c>
      <c r="BS38" s="52">
        <f t="shared" si="35"/>
        <v>0</v>
      </c>
      <c r="BT38" s="52">
        <f t="shared" si="63"/>
        <v>0</v>
      </c>
      <c r="BU38" s="52" t="str">
        <f t="shared" si="36"/>
        <v/>
      </c>
      <c r="BV38" s="52" t="str">
        <f t="shared" si="37"/>
        <v/>
      </c>
      <c r="BW38" s="52" t="str">
        <f t="shared" si="64"/>
        <v/>
      </c>
      <c r="BX38" s="113" t="str">
        <f t="shared" si="78"/>
        <v/>
      </c>
      <c r="BY38" s="52" t="str">
        <f t="shared" si="38"/>
        <v/>
      </c>
      <c r="BZ38" s="52" t="str">
        <f t="shared" si="39"/>
        <v/>
      </c>
      <c r="CA38" s="52" t="str">
        <f t="shared" si="79"/>
        <v/>
      </c>
      <c r="CB38" s="52" t="str">
        <f t="shared" si="80"/>
        <v/>
      </c>
      <c r="CC38" s="52" t="str">
        <f t="shared" si="40"/>
        <v/>
      </c>
      <c r="CD38" s="52" t="str">
        <f t="shared" si="41"/>
        <v/>
      </c>
      <c r="CE38" s="102" t="str">
        <f t="shared" si="81"/>
        <v/>
      </c>
      <c r="CF38" s="116" t="str">
        <f t="shared" si="42"/>
        <v/>
      </c>
      <c r="CG38" s="61" t="str">
        <f t="shared" si="82"/>
        <v/>
      </c>
      <c r="CH38" s="52" t="str">
        <f t="shared" si="84"/>
        <v/>
      </c>
      <c r="CI38" s="52" t="str">
        <f t="shared" si="85"/>
        <v/>
      </c>
      <c r="CJ38" s="52" t="str">
        <f t="shared" si="45"/>
        <v/>
      </c>
      <c r="CK38" s="52" t="str">
        <f t="shared" si="46"/>
        <v/>
      </c>
      <c r="CL38" s="52" t="str">
        <f t="shared" si="47"/>
        <v/>
      </c>
      <c r="CM38" s="102" t="str">
        <f t="shared" si="48"/>
        <v/>
      </c>
      <c r="CN38" s="116" t="str">
        <f t="shared" si="49"/>
        <v/>
      </c>
      <c r="CO38" s="61">
        <f t="shared" si="65"/>
        <v>0</v>
      </c>
      <c r="CP38" s="61" t="str">
        <f t="shared" si="90"/>
        <v/>
      </c>
      <c r="CQ38" s="61" t="str">
        <f t="shared" si="66"/>
        <v/>
      </c>
      <c r="CR38" s="61" t="str">
        <f t="shared" si="67"/>
        <v/>
      </c>
      <c r="CS38" s="105" t="str">
        <f t="shared" si="68"/>
        <v/>
      </c>
      <c r="CT38" s="105" t="str">
        <f t="shared" si="69"/>
        <v/>
      </c>
      <c r="CU38" s="61" t="str">
        <f t="shared" si="70"/>
        <v/>
      </c>
      <c r="CV38" s="61" t="str">
        <f t="shared" si="71"/>
        <v/>
      </c>
      <c r="CW38" s="61" t="str">
        <f t="shared" si="51"/>
        <v/>
      </c>
      <c r="CX38" s="61" t="str">
        <f t="shared" si="87"/>
        <v/>
      </c>
      <c r="CY38" s="61" t="str">
        <f t="shared" si="53"/>
        <v/>
      </c>
      <c r="CZ38" s="102" t="str">
        <f t="shared" si="54"/>
        <v/>
      </c>
      <c r="DA38" s="17">
        <f t="shared" si="55"/>
        <v>0</v>
      </c>
      <c r="DB38" s="17" t="str">
        <f t="shared" si="56"/>
        <v/>
      </c>
      <c r="DC38" s="17">
        <f t="shared" si="57"/>
        <v>0</v>
      </c>
      <c r="DD38" s="17">
        <f t="shared" si="58"/>
        <v>0</v>
      </c>
      <c r="DE38" s="17" t="str">
        <f t="shared" si="59"/>
        <v/>
      </c>
      <c r="DF38" s="17" t="str">
        <f t="shared" si="60"/>
        <v/>
      </c>
    </row>
    <row r="39" spans="2:110" s="17" customFormat="1">
      <c r="B39" s="35"/>
      <c r="C39" s="35"/>
      <c r="D39" s="36"/>
      <c r="E39" s="35"/>
      <c r="F39" s="35"/>
      <c r="G39" s="35"/>
      <c r="H39" s="35"/>
      <c r="I39" s="35"/>
      <c r="J39" s="59"/>
      <c r="Z39" s="172" t="str">
        <f t="shared" si="0"/>
        <v/>
      </c>
      <c r="AB39" s="47" t="s">
        <v>218</v>
      </c>
      <c r="AC39" s="52" t="str">
        <f t="shared" si="88"/>
        <v/>
      </c>
      <c r="AD39" s="52">
        <f t="shared" si="72"/>
        <v>0</v>
      </c>
      <c r="AE39" s="52">
        <f t="shared" si="61"/>
        <v>0</v>
      </c>
      <c r="AF39" s="61" t="str">
        <f t="shared" si="2"/>
        <v/>
      </c>
      <c r="AG39" s="52">
        <f t="shared" si="3"/>
        <v>0</v>
      </c>
      <c r="AH39" s="52">
        <f t="shared" si="4"/>
        <v>0</v>
      </c>
      <c r="AI39" s="52" t="str">
        <f t="shared" si="5"/>
        <v/>
      </c>
      <c r="AJ39" s="61" t="str">
        <f t="shared" si="6"/>
        <v/>
      </c>
      <c r="AK39" s="95" t="str">
        <f t="shared" si="7"/>
        <v/>
      </c>
      <c r="AL39" s="61" t="str">
        <f t="shared" si="8"/>
        <v>if () {$("#adv_").html("Required");$("#").css({"background":"yellow"});} else {$("#adv_").html("");$("#").css({"background":"white"});}</v>
      </c>
      <c r="AM39" s="61" t="str">
        <f t="shared" si="9"/>
        <v>if (=="") {$("#adv_").html("Required");$("#adv_").css({"background":"yellow"});} else {$("#adv_").html("");}</v>
      </c>
      <c r="AN39" s="61" t="str">
        <f t="shared" si="83"/>
        <v>if (=="") {$("#adv_").html("Required");$("#").css({"background":"yellow"});} else {$("#adv_").html("");$("#").css({"background":"white"});}</v>
      </c>
      <c r="AO39" s="50" t="str">
        <f t="shared" si="11"/>
        <v/>
      </c>
      <c r="AP39" s="61" t="str">
        <f t="shared" si="12"/>
        <v>=$("#").val();</v>
      </c>
      <c r="AQ39" s="61" t="str">
        <f t="shared" si="13"/>
        <v/>
      </c>
      <c r="AR39" s="50" t="str">
        <f t="shared" si="14"/>
        <v>&lt;input type="checkbox" id="" name="" value="1" /&gt;</v>
      </c>
      <c r="AS39" s="61" t="str">
        <f t="shared" si="15"/>
        <v>=document.getElementById("").checked;</v>
      </c>
      <c r="AT39" s="102" t="str">
        <f t="shared" si="16"/>
        <v>if (isset($_GET[''])) {$=($_GET['']);}else $='';</v>
      </c>
      <c r="AU39" s="52" t="str">
        <f t="shared" si="17"/>
        <v/>
      </c>
      <c r="AV39" s="52" t="str">
        <f t="shared" si="89"/>
        <v>&lt;select size="1" name="" id=""&gt;&lt;option value=""&gt;&lt;/option&gt;</v>
      </c>
      <c r="AW39" s="52" t="str">
        <f t="shared" si="19"/>
        <v>&lt;option value=""&gt;&lt;/option&gt;</v>
      </c>
      <c r="AX39" s="145" t="str">
        <f t="shared" si="20"/>
        <v/>
      </c>
      <c r="AY39" s="102" t="str">
        <f>""</f>
        <v/>
      </c>
      <c r="AZ39" s="102"/>
      <c r="BA39" s="113">
        <f t="shared" si="23"/>
        <v>0</v>
      </c>
      <c r="BB39" s="103" t="str">
        <f t="shared" si="24"/>
        <v>0:</v>
      </c>
      <c r="BC39" s="50" t="str">
        <f t="shared" si="25"/>
        <v>0:&lt;span id="adv_0"&gt;&lt;/span&gt;&lt;br/&gt;&lt;input type="radio" name="0" id="" value="" /&gt;</v>
      </c>
      <c r="BD39" s="52" t="str">
        <f t="shared" si="26"/>
        <v>else if (document.getElementById("</v>
      </c>
      <c r="BE39" s="61" t="str">
        <f t="shared" si="27"/>
        <v>else if (document.getElementById("").checked==true) {0="";}</v>
      </c>
      <c r="BF39" s="61" t="str">
        <f t="shared" si="28"/>
        <v/>
      </c>
      <c r="BG39" s="61" t="str">
        <f t="shared" si="29"/>
        <v>0:0</v>
      </c>
      <c r="BH39" s="102" t="str">
        <f t="shared" si="30"/>
        <v>if (isset($_GET['0'])) {$0=($_GET['0']);}else $0='';</v>
      </c>
      <c r="BI39" s="105" t="str">
        <f t="shared" si="31"/>
        <v>&lt;br/&gt;&lt;textarea rows="2" cols="80" id=""&gt;&lt;/textarea&gt;&lt;br/&gt;</v>
      </c>
      <c r="BJ39" s="107" t="str">
        <f t="shared" si="32"/>
        <v>&lt;input type="text"  size="7"  id="" class="datepicker"/&gt;</v>
      </c>
      <c r="BK39" s="107" t="str">
        <f t="shared" si="33"/>
        <v>&lt;h2 id=""&gt;&lt;/h2&gt;</v>
      </c>
      <c r="BL39" s="109" t="str">
        <f t="shared" si="73"/>
        <v/>
      </c>
      <c r="BM39" s="61" t="str">
        <f t="shared" si="74"/>
        <v/>
      </c>
      <c r="BN39" s="52">
        <f t="shared" si="62"/>
        <v>0</v>
      </c>
      <c r="BO39" s="61" t="str">
        <f t="shared" si="75"/>
        <v/>
      </c>
      <c r="BP39" s="102" t="str">
        <f t="shared" si="76"/>
        <v/>
      </c>
      <c r="BQ39" s="105" t="str">
        <f t="shared" si="77"/>
        <v/>
      </c>
      <c r="BR39" s="52" t="str">
        <f t="shared" si="34"/>
        <v/>
      </c>
      <c r="BS39" s="52">
        <f t="shared" si="35"/>
        <v>0</v>
      </c>
      <c r="BT39" s="52">
        <f t="shared" si="63"/>
        <v>0</v>
      </c>
      <c r="BU39" s="52" t="str">
        <f t="shared" si="36"/>
        <v/>
      </c>
      <c r="BV39" s="52" t="str">
        <f t="shared" si="37"/>
        <v/>
      </c>
      <c r="BW39" s="52" t="str">
        <f t="shared" si="64"/>
        <v/>
      </c>
      <c r="BX39" s="113" t="str">
        <f t="shared" si="78"/>
        <v/>
      </c>
      <c r="BY39" s="52" t="str">
        <f t="shared" si="38"/>
        <v/>
      </c>
      <c r="BZ39" s="52" t="str">
        <f t="shared" si="39"/>
        <v/>
      </c>
      <c r="CA39" s="52" t="str">
        <f t="shared" si="79"/>
        <v/>
      </c>
      <c r="CB39" s="52" t="str">
        <f t="shared" si="80"/>
        <v/>
      </c>
      <c r="CC39" s="52" t="str">
        <f t="shared" si="40"/>
        <v/>
      </c>
      <c r="CD39" s="52" t="str">
        <f t="shared" si="41"/>
        <v/>
      </c>
      <c r="CE39" s="102" t="str">
        <f t="shared" si="81"/>
        <v/>
      </c>
      <c r="CF39" s="116" t="str">
        <f t="shared" si="42"/>
        <v/>
      </c>
      <c r="CG39" s="61" t="str">
        <f t="shared" si="82"/>
        <v/>
      </c>
      <c r="CH39" s="52" t="str">
        <f t="shared" si="84"/>
        <v/>
      </c>
      <c r="CI39" s="52" t="str">
        <f t="shared" si="85"/>
        <v/>
      </c>
      <c r="CJ39" s="52" t="str">
        <f t="shared" si="45"/>
        <v/>
      </c>
      <c r="CK39" s="52" t="str">
        <f t="shared" si="46"/>
        <v/>
      </c>
      <c r="CL39" s="52" t="str">
        <f t="shared" si="47"/>
        <v/>
      </c>
      <c r="CM39" s="102" t="str">
        <f t="shared" si="48"/>
        <v/>
      </c>
      <c r="CN39" s="116" t="str">
        <f t="shared" si="49"/>
        <v/>
      </c>
      <c r="CO39" s="61">
        <f t="shared" si="65"/>
        <v>0</v>
      </c>
      <c r="CP39" s="61" t="str">
        <f t="shared" si="90"/>
        <v/>
      </c>
      <c r="CQ39" s="61" t="str">
        <f t="shared" si="66"/>
        <v/>
      </c>
      <c r="CR39" s="61" t="str">
        <f t="shared" si="67"/>
        <v/>
      </c>
      <c r="CS39" s="105" t="str">
        <f t="shared" si="68"/>
        <v/>
      </c>
      <c r="CT39" s="105" t="str">
        <f t="shared" si="69"/>
        <v/>
      </c>
      <c r="CU39" s="61" t="str">
        <f t="shared" si="70"/>
        <v/>
      </c>
      <c r="CV39" s="61" t="str">
        <f t="shared" si="71"/>
        <v/>
      </c>
      <c r="CW39" s="61" t="str">
        <f t="shared" si="51"/>
        <v/>
      </c>
      <c r="CX39" s="61" t="str">
        <f t="shared" si="87"/>
        <v/>
      </c>
      <c r="CY39" s="61" t="str">
        <f t="shared" si="53"/>
        <v/>
      </c>
      <c r="CZ39" s="102" t="str">
        <f t="shared" si="54"/>
        <v/>
      </c>
      <c r="DA39" s="17">
        <f t="shared" si="55"/>
        <v>0</v>
      </c>
      <c r="DB39" s="17" t="str">
        <f t="shared" si="56"/>
        <v/>
      </c>
      <c r="DC39" s="17">
        <f t="shared" ref="DC39:DC70" si="91">IF(C39&lt;&gt;"",COUNTIF($C$15:$C$114,C39),0)</f>
        <v>0</v>
      </c>
      <c r="DD39" s="17">
        <f t="shared" si="58"/>
        <v>0</v>
      </c>
      <c r="DE39" s="17" t="str">
        <f t="shared" si="59"/>
        <v/>
      </c>
      <c r="DF39" s="17" t="str">
        <f t="shared" si="60"/>
        <v/>
      </c>
    </row>
    <row r="40" spans="2:110" s="17" customFormat="1">
      <c r="B40" s="35"/>
      <c r="C40" s="35"/>
      <c r="D40" s="36"/>
      <c r="E40" s="35"/>
      <c r="F40" s="35"/>
      <c r="G40" s="35"/>
      <c r="H40" s="35"/>
      <c r="I40" s="35"/>
      <c r="J40" s="59"/>
      <c r="Z40" s="172" t="str">
        <f t="shared" si="0"/>
        <v/>
      </c>
      <c r="AB40" s="47" t="s">
        <v>219</v>
      </c>
      <c r="AC40" s="52" t="str">
        <f t="shared" si="88"/>
        <v/>
      </c>
      <c r="AD40" s="52">
        <f t="shared" si="72"/>
        <v>0</v>
      </c>
      <c r="AE40" s="52">
        <f t="shared" si="61"/>
        <v>0</v>
      </c>
      <c r="AF40" s="61" t="str">
        <f t="shared" si="2"/>
        <v/>
      </c>
      <c r="AG40" s="52">
        <f t="shared" si="3"/>
        <v>0</v>
      </c>
      <c r="AH40" s="52">
        <f t="shared" si="4"/>
        <v>0</v>
      </c>
      <c r="AI40" s="52" t="str">
        <f t="shared" si="5"/>
        <v/>
      </c>
      <c r="AJ40" s="61" t="str">
        <f t="shared" si="6"/>
        <v/>
      </c>
      <c r="AK40" s="95" t="str">
        <f t="shared" si="7"/>
        <v/>
      </c>
      <c r="AL40" s="61" t="str">
        <f t="shared" si="8"/>
        <v>if () {$("#adv_").html("Required");$("#").css({"background":"yellow"});} else {$("#adv_").html("");$("#").css({"background":"white"});}</v>
      </c>
      <c r="AM40" s="61" t="str">
        <f t="shared" si="9"/>
        <v>if (=="") {$("#adv_").html("Required");$("#adv_").css({"background":"yellow"});} else {$("#adv_").html("");}</v>
      </c>
      <c r="AN40" s="61" t="str">
        <f t="shared" si="83"/>
        <v>if (=="") {$("#adv_").html("Required");$("#").css({"background":"yellow"});} else {$("#adv_").html("");$("#").css({"background":"white"});}</v>
      </c>
      <c r="AO40" s="50" t="str">
        <f t="shared" si="11"/>
        <v/>
      </c>
      <c r="AP40" s="61" t="str">
        <f t="shared" si="12"/>
        <v>=$("#").val();</v>
      </c>
      <c r="AQ40" s="61" t="str">
        <f t="shared" si="13"/>
        <v/>
      </c>
      <c r="AR40" s="50" t="str">
        <f t="shared" si="14"/>
        <v>&lt;input type="checkbox" id="" name="" value="1" /&gt;</v>
      </c>
      <c r="AS40" s="61" t="str">
        <f t="shared" si="15"/>
        <v>=document.getElementById("").checked;</v>
      </c>
      <c r="AT40" s="102" t="str">
        <f t="shared" si="16"/>
        <v>if (isset($_GET[''])) {$=($_GET['']);}else $='';</v>
      </c>
      <c r="AU40" s="52" t="str">
        <f t="shared" si="17"/>
        <v/>
      </c>
      <c r="AV40" s="52" t="str">
        <f t="shared" si="89"/>
        <v>&lt;select size="1" name="" id=""&gt;&lt;option value=""&gt;&lt;/option&gt;</v>
      </c>
      <c r="AW40" s="52" t="str">
        <f t="shared" si="19"/>
        <v>&lt;option value=""&gt;&lt;/option&gt;</v>
      </c>
      <c r="AX40" s="145" t="str">
        <f t="shared" si="20"/>
        <v/>
      </c>
      <c r="AY40" s="102" t="str">
        <f>""</f>
        <v/>
      </c>
      <c r="AZ40" s="102"/>
      <c r="BA40" s="113">
        <f t="shared" si="23"/>
        <v>0</v>
      </c>
      <c r="BB40" s="103" t="str">
        <f t="shared" si="24"/>
        <v>0:</v>
      </c>
      <c r="BC40" s="50" t="str">
        <f t="shared" si="25"/>
        <v>0:&lt;span id="adv_0"&gt;&lt;/span&gt;&lt;br/&gt;&lt;input type="radio" name="0" id="" value="" /&gt;</v>
      </c>
      <c r="BD40" s="52" t="str">
        <f t="shared" si="26"/>
        <v>else if (document.getElementById("</v>
      </c>
      <c r="BE40" s="61" t="str">
        <f t="shared" si="27"/>
        <v>else if (document.getElementById("").checked==true) {0="";}</v>
      </c>
      <c r="BF40" s="61" t="str">
        <f t="shared" si="28"/>
        <v/>
      </c>
      <c r="BG40" s="61" t="str">
        <f t="shared" si="29"/>
        <v>0:0</v>
      </c>
      <c r="BH40" s="102" t="str">
        <f t="shared" si="30"/>
        <v>if (isset($_GET['0'])) {$0=($_GET['0']);}else $0='';</v>
      </c>
      <c r="BI40" s="105" t="str">
        <f t="shared" si="31"/>
        <v>&lt;br/&gt;&lt;textarea rows="2" cols="80" id=""&gt;&lt;/textarea&gt;&lt;br/&gt;</v>
      </c>
      <c r="BJ40" s="107" t="str">
        <f t="shared" si="32"/>
        <v>&lt;input type="text"  size="7"  id="" class="datepicker"/&gt;</v>
      </c>
      <c r="BK40" s="107" t="str">
        <f t="shared" si="33"/>
        <v>&lt;h2 id=""&gt;&lt;/h2&gt;</v>
      </c>
      <c r="BL40" s="109" t="str">
        <f t="shared" si="73"/>
        <v/>
      </c>
      <c r="BM40" s="61" t="str">
        <f t="shared" si="74"/>
        <v/>
      </c>
      <c r="BN40" s="52">
        <f t="shared" si="62"/>
        <v>0</v>
      </c>
      <c r="BO40" s="61" t="str">
        <f t="shared" si="75"/>
        <v/>
      </c>
      <c r="BP40" s="102" t="str">
        <f t="shared" si="76"/>
        <v/>
      </c>
      <c r="BQ40" s="105" t="str">
        <f t="shared" si="77"/>
        <v/>
      </c>
      <c r="BR40" s="52" t="str">
        <f t="shared" si="34"/>
        <v/>
      </c>
      <c r="BS40" s="52">
        <f t="shared" si="35"/>
        <v>0</v>
      </c>
      <c r="BT40" s="52">
        <f t="shared" si="63"/>
        <v>0</v>
      </c>
      <c r="BU40" s="52" t="str">
        <f t="shared" si="36"/>
        <v/>
      </c>
      <c r="BV40" s="52" t="str">
        <f t="shared" si="37"/>
        <v/>
      </c>
      <c r="BW40" s="52" t="str">
        <f t="shared" si="64"/>
        <v/>
      </c>
      <c r="BX40" s="113" t="str">
        <f t="shared" si="78"/>
        <v/>
      </c>
      <c r="BY40" s="52" t="str">
        <f t="shared" si="38"/>
        <v/>
      </c>
      <c r="BZ40" s="52" t="str">
        <f t="shared" si="39"/>
        <v/>
      </c>
      <c r="CA40" s="52" t="str">
        <f t="shared" si="79"/>
        <v/>
      </c>
      <c r="CB40" s="52" t="str">
        <f t="shared" si="80"/>
        <v/>
      </c>
      <c r="CC40" s="52" t="str">
        <f t="shared" si="40"/>
        <v/>
      </c>
      <c r="CD40" s="52" t="str">
        <f t="shared" si="41"/>
        <v/>
      </c>
      <c r="CE40" s="102" t="str">
        <f t="shared" si="81"/>
        <v/>
      </c>
      <c r="CF40" s="116" t="str">
        <f t="shared" si="42"/>
        <v/>
      </c>
      <c r="CG40" s="61" t="str">
        <f t="shared" si="82"/>
        <v/>
      </c>
      <c r="CH40" s="52" t="str">
        <f t="shared" si="84"/>
        <v/>
      </c>
      <c r="CI40" s="52" t="str">
        <f t="shared" si="85"/>
        <v/>
      </c>
      <c r="CJ40" s="52" t="str">
        <f t="shared" si="45"/>
        <v/>
      </c>
      <c r="CK40" s="52" t="str">
        <f t="shared" si="46"/>
        <v/>
      </c>
      <c r="CL40" s="52" t="str">
        <f t="shared" si="47"/>
        <v/>
      </c>
      <c r="CM40" s="102" t="str">
        <f t="shared" si="48"/>
        <v/>
      </c>
      <c r="CN40" s="116" t="str">
        <f t="shared" si="49"/>
        <v/>
      </c>
      <c r="CO40" s="61">
        <f t="shared" si="65"/>
        <v>0</v>
      </c>
      <c r="CP40" s="61" t="str">
        <f t="shared" si="90"/>
        <v/>
      </c>
      <c r="CQ40" s="61" t="str">
        <f t="shared" si="66"/>
        <v/>
      </c>
      <c r="CR40" s="61" t="str">
        <f t="shared" si="67"/>
        <v/>
      </c>
      <c r="CS40" s="105" t="str">
        <f t="shared" si="68"/>
        <v/>
      </c>
      <c r="CT40" s="105" t="str">
        <f t="shared" si="69"/>
        <v/>
      </c>
      <c r="CU40" s="61" t="str">
        <f t="shared" si="70"/>
        <v/>
      </c>
      <c r="CV40" s="61" t="str">
        <f t="shared" si="71"/>
        <v/>
      </c>
      <c r="CW40" s="61" t="str">
        <f t="shared" si="51"/>
        <v/>
      </c>
      <c r="CX40" s="61" t="str">
        <f t="shared" si="87"/>
        <v/>
      </c>
      <c r="CY40" s="61" t="str">
        <f t="shared" si="53"/>
        <v/>
      </c>
      <c r="CZ40" s="102" t="str">
        <f t="shared" si="54"/>
        <v/>
      </c>
      <c r="DA40" s="17">
        <f t="shared" si="55"/>
        <v>0</v>
      </c>
      <c r="DB40" s="17" t="str">
        <f t="shared" si="56"/>
        <v/>
      </c>
      <c r="DC40" s="17">
        <f t="shared" si="91"/>
        <v>0</v>
      </c>
      <c r="DD40" s="17">
        <f t="shared" si="58"/>
        <v>0</v>
      </c>
      <c r="DE40" s="17" t="str">
        <f t="shared" si="59"/>
        <v/>
      </c>
      <c r="DF40" s="17" t="str">
        <f t="shared" si="60"/>
        <v/>
      </c>
    </row>
    <row r="41" spans="2:110" s="17" customFormat="1">
      <c r="B41" s="35"/>
      <c r="C41" s="35"/>
      <c r="D41" s="36"/>
      <c r="E41" s="35"/>
      <c r="F41" s="35"/>
      <c r="G41" s="35"/>
      <c r="H41" s="35"/>
      <c r="I41" s="35"/>
      <c r="J41" s="59"/>
      <c r="Z41" s="172" t="str">
        <f t="shared" si="0"/>
        <v/>
      </c>
      <c r="AB41" s="47" t="s">
        <v>220</v>
      </c>
      <c r="AC41" s="52" t="str">
        <f t="shared" si="88"/>
        <v/>
      </c>
      <c r="AD41" s="52">
        <f t="shared" si="72"/>
        <v>0</v>
      </c>
      <c r="AE41" s="52">
        <f t="shared" si="61"/>
        <v>0</v>
      </c>
      <c r="AF41" s="61" t="str">
        <f t="shared" si="2"/>
        <v/>
      </c>
      <c r="AG41" s="52">
        <f t="shared" si="3"/>
        <v>0</v>
      </c>
      <c r="AH41" s="52">
        <f t="shared" si="4"/>
        <v>0</v>
      </c>
      <c r="AI41" s="52" t="str">
        <f t="shared" si="5"/>
        <v/>
      </c>
      <c r="AJ41" s="61" t="str">
        <f t="shared" si="6"/>
        <v/>
      </c>
      <c r="AK41" s="95" t="str">
        <f t="shared" si="7"/>
        <v/>
      </c>
      <c r="AL41" s="61" t="str">
        <f t="shared" si="8"/>
        <v>if () {$("#adv_").html("Required");$("#").css({"background":"yellow"});} else {$("#adv_").html("");$("#").css({"background":"white"});}</v>
      </c>
      <c r="AM41" s="61" t="str">
        <f t="shared" si="9"/>
        <v>if (=="") {$("#adv_").html("Required");$("#adv_").css({"background":"yellow"});} else {$("#adv_").html("");}</v>
      </c>
      <c r="AN41" s="61" t="str">
        <f t="shared" si="83"/>
        <v>if (=="") {$("#adv_").html("Required");$("#").css({"background":"yellow"});} else {$("#adv_").html("");$("#").css({"background":"white"});}</v>
      </c>
      <c r="AO41" s="50" t="str">
        <f t="shared" si="11"/>
        <v/>
      </c>
      <c r="AP41" s="61" t="str">
        <f t="shared" si="12"/>
        <v>=$("#").val();</v>
      </c>
      <c r="AQ41" s="61" t="str">
        <f t="shared" si="13"/>
        <v/>
      </c>
      <c r="AR41" s="50" t="str">
        <f t="shared" si="14"/>
        <v>&lt;input type="checkbox" id="" name="" value="1" /&gt;</v>
      </c>
      <c r="AS41" s="61" t="str">
        <f t="shared" si="15"/>
        <v>=document.getElementById("").checked;</v>
      </c>
      <c r="AT41" s="102" t="str">
        <f t="shared" si="16"/>
        <v>if (isset($_GET[''])) {$=($_GET['']);}else $='';</v>
      </c>
      <c r="AU41" s="52" t="str">
        <f t="shared" si="17"/>
        <v/>
      </c>
      <c r="AV41" s="52" t="str">
        <f t="shared" si="89"/>
        <v>&lt;select size="1" name="" id=""&gt;&lt;option value=""&gt;&lt;/option&gt;</v>
      </c>
      <c r="AW41" s="52" t="str">
        <f t="shared" si="19"/>
        <v>&lt;option value=""&gt;&lt;/option&gt;</v>
      </c>
      <c r="AX41" s="145" t="str">
        <f t="shared" si="20"/>
        <v/>
      </c>
      <c r="AY41" s="102" t="str">
        <f>""</f>
        <v/>
      </c>
      <c r="AZ41" s="102"/>
      <c r="BA41" s="113">
        <f t="shared" si="23"/>
        <v>0</v>
      </c>
      <c r="BB41" s="103" t="str">
        <f t="shared" si="24"/>
        <v>0:</v>
      </c>
      <c r="BC41" s="50" t="str">
        <f t="shared" si="25"/>
        <v>0:&lt;span id="adv_0"&gt;&lt;/span&gt;&lt;br/&gt;&lt;input type="radio" name="0" id="" value="" /&gt;</v>
      </c>
      <c r="BD41" s="52" t="str">
        <f t="shared" si="26"/>
        <v>else if (document.getElementById("</v>
      </c>
      <c r="BE41" s="61" t="str">
        <f t="shared" si="27"/>
        <v>else if (document.getElementById("").checked==true) {0="";}</v>
      </c>
      <c r="BF41" s="61" t="str">
        <f t="shared" si="28"/>
        <v/>
      </c>
      <c r="BG41" s="61" t="str">
        <f t="shared" si="29"/>
        <v>0:0</v>
      </c>
      <c r="BH41" s="102" t="str">
        <f t="shared" si="30"/>
        <v>if (isset($_GET['0'])) {$0=($_GET['0']);}else $0='';</v>
      </c>
      <c r="BI41" s="105" t="str">
        <f t="shared" si="31"/>
        <v>&lt;br/&gt;&lt;textarea rows="2" cols="80" id=""&gt;&lt;/textarea&gt;&lt;br/&gt;</v>
      </c>
      <c r="BJ41" s="107" t="str">
        <f t="shared" si="32"/>
        <v>&lt;input type="text"  size="7"  id="" class="datepicker"/&gt;</v>
      </c>
      <c r="BK41" s="107" t="str">
        <f t="shared" si="33"/>
        <v>&lt;h2 id=""&gt;&lt;/h2&gt;</v>
      </c>
      <c r="BL41" s="109" t="str">
        <f t="shared" si="73"/>
        <v/>
      </c>
      <c r="BM41" s="61" t="str">
        <f t="shared" si="74"/>
        <v/>
      </c>
      <c r="BN41" s="52">
        <f t="shared" si="62"/>
        <v>0</v>
      </c>
      <c r="BO41" s="61" t="str">
        <f t="shared" si="75"/>
        <v/>
      </c>
      <c r="BP41" s="102" t="str">
        <f t="shared" si="76"/>
        <v/>
      </c>
      <c r="BQ41" s="105" t="str">
        <f t="shared" si="77"/>
        <v/>
      </c>
      <c r="BR41" s="52" t="str">
        <f t="shared" si="34"/>
        <v/>
      </c>
      <c r="BS41" s="52">
        <f t="shared" si="35"/>
        <v>0</v>
      </c>
      <c r="BT41" s="52">
        <f t="shared" si="63"/>
        <v>0</v>
      </c>
      <c r="BU41" s="52" t="str">
        <f t="shared" si="36"/>
        <v/>
      </c>
      <c r="BV41" s="52" t="str">
        <f t="shared" si="37"/>
        <v/>
      </c>
      <c r="BW41" s="52" t="str">
        <f t="shared" si="64"/>
        <v/>
      </c>
      <c r="BX41" s="113" t="str">
        <f t="shared" si="78"/>
        <v/>
      </c>
      <c r="BY41" s="52" t="str">
        <f t="shared" si="38"/>
        <v/>
      </c>
      <c r="BZ41" s="52" t="str">
        <f t="shared" si="39"/>
        <v/>
      </c>
      <c r="CA41" s="52" t="str">
        <f t="shared" si="79"/>
        <v/>
      </c>
      <c r="CB41" s="52" t="str">
        <f t="shared" si="80"/>
        <v/>
      </c>
      <c r="CC41" s="52" t="str">
        <f t="shared" si="40"/>
        <v/>
      </c>
      <c r="CD41" s="52" t="str">
        <f t="shared" si="41"/>
        <v/>
      </c>
      <c r="CE41" s="102" t="str">
        <f t="shared" si="81"/>
        <v/>
      </c>
      <c r="CF41" s="116" t="str">
        <f t="shared" si="42"/>
        <v/>
      </c>
      <c r="CG41" s="61" t="str">
        <f t="shared" si="82"/>
        <v/>
      </c>
      <c r="CH41" s="52" t="str">
        <f t="shared" si="84"/>
        <v/>
      </c>
      <c r="CI41" s="52" t="str">
        <f t="shared" si="85"/>
        <v/>
      </c>
      <c r="CJ41" s="52" t="str">
        <f t="shared" si="45"/>
        <v/>
      </c>
      <c r="CK41" s="52" t="str">
        <f t="shared" si="46"/>
        <v/>
      </c>
      <c r="CL41" s="52" t="str">
        <f t="shared" si="47"/>
        <v/>
      </c>
      <c r="CM41" s="102" t="str">
        <f t="shared" si="48"/>
        <v/>
      </c>
      <c r="CN41" s="116" t="str">
        <f t="shared" si="49"/>
        <v/>
      </c>
      <c r="CO41" s="61">
        <f t="shared" si="65"/>
        <v>0</v>
      </c>
      <c r="CP41" s="61" t="str">
        <f t="shared" si="90"/>
        <v/>
      </c>
      <c r="CQ41" s="61" t="str">
        <f t="shared" si="66"/>
        <v/>
      </c>
      <c r="CR41" s="61" t="str">
        <f t="shared" si="67"/>
        <v/>
      </c>
      <c r="CS41" s="105" t="str">
        <f t="shared" si="68"/>
        <v/>
      </c>
      <c r="CT41" s="105" t="str">
        <f t="shared" si="69"/>
        <v/>
      </c>
      <c r="CU41" s="61" t="str">
        <f t="shared" si="70"/>
        <v/>
      </c>
      <c r="CV41" s="61" t="str">
        <f t="shared" si="71"/>
        <v/>
      </c>
      <c r="CW41" s="61" t="str">
        <f t="shared" si="51"/>
        <v/>
      </c>
      <c r="CX41" s="61" t="str">
        <f t="shared" si="87"/>
        <v/>
      </c>
      <c r="CY41" s="61" t="str">
        <f t="shared" si="53"/>
        <v/>
      </c>
      <c r="CZ41" s="102" t="str">
        <f t="shared" si="54"/>
        <v/>
      </c>
      <c r="DA41" s="17">
        <f t="shared" si="55"/>
        <v>0</v>
      </c>
      <c r="DB41" s="17" t="str">
        <f t="shared" si="56"/>
        <v/>
      </c>
      <c r="DC41" s="17">
        <f t="shared" si="91"/>
        <v>0</v>
      </c>
      <c r="DD41" s="17">
        <f t="shared" si="58"/>
        <v>0</v>
      </c>
      <c r="DE41" s="17" t="str">
        <f t="shared" si="59"/>
        <v/>
      </c>
      <c r="DF41" s="17" t="str">
        <f t="shared" si="60"/>
        <v/>
      </c>
    </row>
    <row r="42" spans="2:110" s="17" customFormat="1">
      <c r="B42" s="35"/>
      <c r="C42" s="35"/>
      <c r="D42" s="36"/>
      <c r="E42" s="35"/>
      <c r="F42" s="35"/>
      <c r="G42" s="35"/>
      <c r="H42" s="35"/>
      <c r="I42" s="35"/>
      <c r="J42" s="59"/>
      <c r="Z42" s="172" t="str">
        <f t="shared" si="0"/>
        <v/>
      </c>
      <c r="AB42" s="47" t="s">
        <v>221</v>
      </c>
      <c r="AC42" s="52" t="str">
        <f t="shared" si="88"/>
        <v/>
      </c>
      <c r="AD42" s="52">
        <f t="shared" si="72"/>
        <v>0</v>
      </c>
      <c r="AE42" s="52">
        <f t="shared" si="61"/>
        <v>0</v>
      </c>
      <c r="AF42" s="61" t="str">
        <f t="shared" si="2"/>
        <v/>
      </c>
      <c r="AG42" s="52">
        <f t="shared" si="3"/>
        <v>0</v>
      </c>
      <c r="AH42" s="52">
        <f t="shared" si="4"/>
        <v>0</v>
      </c>
      <c r="AI42" s="52" t="str">
        <f t="shared" si="5"/>
        <v/>
      </c>
      <c r="AJ42" s="61" t="str">
        <f t="shared" si="6"/>
        <v/>
      </c>
      <c r="AK42" s="95" t="str">
        <f t="shared" si="7"/>
        <v/>
      </c>
      <c r="AL42" s="61" t="str">
        <f t="shared" si="8"/>
        <v>if () {$("#adv_").html("Required");$("#").css({"background":"yellow"});} else {$("#adv_").html("");$("#").css({"background":"white"});}</v>
      </c>
      <c r="AM42" s="61" t="str">
        <f t="shared" si="9"/>
        <v>if (=="") {$("#adv_").html("Required");$("#adv_").css({"background":"yellow"});} else {$("#adv_").html("");}</v>
      </c>
      <c r="AN42" s="61" t="str">
        <f t="shared" si="83"/>
        <v>if (=="") {$("#adv_").html("Required");$("#").css({"background":"yellow"});} else {$("#adv_").html("");$("#").css({"background":"white"});}</v>
      </c>
      <c r="AO42" s="50" t="str">
        <f t="shared" si="11"/>
        <v/>
      </c>
      <c r="AP42" s="61" t="str">
        <f t="shared" si="12"/>
        <v>=$("#").val();</v>
      </c>
      <c r="AQ42" s="61" t="str">
        <f t="shared" si="13"/>
        <v/>
      </c>
      <c r="AR42" s="50" t="str">
        <f t="shared" si="14"/>
        <v>&lt;input type="checkbox" id="" name="" value="1" /&gt;</v>
      </c>
      <c r="AS42" s="61" t="str">
        <f t="shared" si="15"/>
        <v>=document.getElementById("").checked;</v>
      </c>
      <c r="AT42" s="102" t="str">
        <f t="shared" si="16"/>
        <v>if (isset($_GET[''])) {$=($_GET['']);}else $='';</v>
      </c>
      <c r="AU42" s="52" t="str">
        <f t="shared" si="17"/>
        <v/>
      </c>
      <c r="AV42" s="52" t="str">
        <f t="shared" si="89"/>
        <v>&lt;select size="1" name="" id=""&gt;&lt;option value=""&gt;&lt;/option&gt;</v>
      </c>
      <c r="AW42" s="52" t="str">
        <f t="shared" si="19"/>
        <v>&lt;option value=""&gt;&lt;/option&gt;</v>
      </c>
      <c r="AX42" s="145" t="str">
        <f t="shared" si="20"/>
        <v/>
      </c>
      <c r="AY42" s="102" t="str">
        <f>""</f>
        <v/>
      </c>
      <c r="AZ42" s="102"/>
      <c r="BA42" s="113">
        <f t="shared" si="23"/>
        <v>0</v>
      </c>
      <c r="BB42" s="103" t="str">
        <f t="shared" si="24"/>
        <v>0:</v>
      </c>
      <c r="BC42" s="50" t="str">
        <f t="shared" si="25"/>
        <v>0:&lt;span id="adv_0"&gt;&lt;/span&gt;&lt;br/&gt;&lt;input type="radio" name="0" id="" value="" /&gt;</v>
      </c>
      <c r="BD42" s="52" t="str">
        <f t="shared" si="26"/>
        <v>else if (document.getElementById("</v>
      </c>
      <c r="BE42" s="61" t="str">
        <f t="shared" si="27"/>
        <v>else if (document.getElementById("").checked==true) {0="";}</v>
      </c>
      <c r="BF42" s="61" t="str">
        <f t="shared" si="28"/>
        <v/>
      </c>
      <c r="BG42" s="61" t="str">
        <f t="shared" si="29"/>
        <v>0:0</v>
      </c>
      <c r="BH42" s="102" t="str">
        <f t="shared" si="30"/>
        <v>if (isset($_GET['0'])) {$0=($_GET['0']);}else $0='';</v>
      </c>
      <c r="BI42" s="105" t="str">
        <f t="shared" si="31"/>
        <v>&lt;br/&gt;&lt;textarea rows="2" cols="80" id=""&gt;&lt;/textarea&gt;&lt;br/&gt;</v>
      </c>
      <c r="BJ42" s="107" t="str">
        <f t="shared" si="32"/>
        <v>&lt;input type="text"  size="7"  id="" class="datepicker"/&gt;</v>
      </c>
      <c r="BK42" s="107" t="str">
        <f t="shared" si="33"/>
        <v>&lt;h2 id=""&gt;&lt;/h2&gt;</v>
      </c>
      <c r="BL42" s="109" t="str">
        <f t="shared" si="73"/>
        <v/>
      </c>
      <c r="BM42" s="61" t="str">
        <f t="shared" si="74"/>
        <v/>
      </c>
      <c r="BN42" s="52">
        <f t="shared" si="62"/>
        <v>0</v>
      </c>
      <c r="BO42" s="61" t="str">
        <f t="shared" si="75"/>
        <v/>
      </c>
      <c r="BP42" s="102" t="str">
        <f t="shared" si="76"/>
        <v/>
      </c>
      <c r="BQ42" s="105" t="str">
        <f t="shared" si="77"/>
        <v/>
      </c>
      <c r="BR42" s="52" t="str">
        <f t="shared" si="34"/>
        <v/>
      </c>
      <c r="BS42" s="52">
        <f t="shared" si="35"/>
        <v>0</v>
      </c>
      <c r="BT42" s="52">
        <f t="shared" si="63"/>
        <v>0</v>
      </c>
      <c r="BU42" s="52" t="str">
        <f t="shared" si="36"/>
        <v/>
      </c>
      <c r="BV42" s="52" t="str">
        <f t="shared" si="37"/>
        <v/>
      </c>
      <c r="BW42" s="52" t="str">
        <f t="shared" si="64"/>
        <v/>
      </c>
      <c r="BX42" s="113" t="str">
        <f t="shared" si="78"/>
        <v/>
      </c>
      <c r="BY42" s="52" t="str">
        <f t="shared" si="38"/>
        <v/>
      </c>
      <c r="BZ42" s="52" t="str">
        <f t="shared" si="39"/>
        <v/>
      </c>
      <c r="CA42" s="52" t="str">
        <f t="shared" si="79"/>
        <v/>
      </c>
      <c r="CB42" s="52" t="str">
        <f t="shared" si="80"/>
        <v/>
      </c>
      <c r="CC42" s="52" t="str">
        <f t="shared" si="40"/>
        <v/>
      </c>
      <c r="CD42" s="52" t="str">
        <f t="shared" si="41"/>
        <v/>
      </c>
      <c r="CE42" s="102" t="str">
        <f t="shared" si="81"/>
        <v/>
      </c>
      <c r="CF42" s="116" t="str">
        <f t="shared" si="42"/>
        <v/>
      </c>
      <c r="CG42" s="61" t="str">
        <f t="shared" si="82"/>
        <v/>
      </c>
      <c r="CH42" s="52" t="str">
        <f t="shared" si="84"/>
        <v/>
      </c>
      <c r="CI42" s="52" t="str">
        <f t="shared" si="85"/>
        <v/>
      </c>
      <c r="CJ42" s="52" t="str">
        <f t="shared" si="45"/>
        <v/>
      </c>
      <c r="CK42" s="52" t="str">
        <f t="shared" si="46"/>
        <v/>
      </c>
      <c r="CL42" s="52" t="str">
        <f t="shared" si="47"/>
        <v/>
      </c>
      <c r="CM42" s="102" t="str">
        <f t="shared" si="48"/>
        <v/>
      </c>
      <c r="CN42" s="116" t="str">
        <f t="shared" si="49"/>
        <v/>
      </c>
      <c r="CO42" s="61">
        <f t="shared" si="65"/>
        <v>0</v>
      </c>
      <c r="CP42" s="61" t="str">
        <f t="shared" si="90"/>
        <v/>
      </c>
      <c r="CQ42" s="61" t="str">
        <f t="shared" si="66"/>
        <v/>
      </c>
      <c r="CR42" s="61" t="str">
        <f t="shared" si="67"/>
        <v/>
      </c>
      <c r="CS42" s="105" t="str">
        <f t="shared" si="68"/>
        <v/>
      </c>
      <c r="CT42" s="105" t="str">
        <f t="shared" si="69"/>
        <v/>
      </c>
      <c r="CU42" s="61" t="str">
        <f t="shared" si="70"/>
        <v/>
      </c>
      <c r="CV42" s="61" t="str">
        <f t="shared" si="71"/>
        <v/>
      </c>
      <c r="CW42" s="61" t="str">
        <f t="shared" si="51"/>
        <v/>
      </c>
      <c r="CX42" s="61" t="str">
        <f t="shared" si="87"/>
        <v/>
      </c>
      <c r="CY42" s="61" t="str">
        <f t="shared" si="53"/>
        <v/>
      </c>
      <c r="CZ42" s="102" t="str">
        <f t="shared" si="54"/>
        <v/>
      </c>
      <c r="DA42" s="17">
        <f t="shared" si="55"/>
        <v>0</v>
      </c>
      <c r="DB42" s="17" t="str">
        <f t="shared" si="56"/>
        <v/>
      </c>
      <c r="DC42" s="17">
        <f t="shared" si="91"/>
        <v>0</v>
      </c>
      <c r="DD42" s="17">
        <f t="shared" si="58"/>
        <v>0</v>
      </c>
      <c r="DE42" s="17" t="str">
        <f t="shared" si="59"/>
        <v/>
      </c>
      <c r="DF42" s="17" t="str">
        <f t="shared" si="60"/>
        <v/>
      </c>
    </row>
    <row r="43" spans="2:110" s="17" customFormat="1">
      <c r="B43" s="35"/>
      <c r="C43" s="35"/>
      <c r="D43" s="36"/>
      <c r="E43" s="35"/>
      <c r="F43" s="35"/>
      <c r="G43" s="35"/>
      <c r="H43" s="35"/>
      <c r="I43" s="35"/>
      <c r="J43" s="59"/>
      <c r="Z43" s="172" t="str">
        <f t="shared" si="0"/>
        <v/>
      </c>
      <c r="AB43" s="47" t="s">
        <v>222</v>
      </c>
      <c r="AC43" s="52" t="str">
        <f t="shared" si="88"/>
        <v/>
      </c>
      <c r="AD43" s="52">
        <f t="shared" si="72"/>
        <v>0</v>
      </c>
      <c r="AE43" s="52">
        <f t="shared" si="61"/>
        <v>0</v>
      </c>
      <c r="AF43" s="61" t="str">
        <f t="shared" si="2"/>
        <v/>
      </c>
      <c r="AG43" s="52">
        <f t="shared" si="3"/>
        <v>0</v>
      </c>
      <c r="AH43" s="52">
        <f t="shared" si="4"/>
        <v>0</v>
      </c>
      <c r="AI43" s="52" t="str">
        <f t="shared" si="5"/>
        <v/>
      </c>
      <c r="AJ43" s="61" t="str">
        <f t="shared" si="6"/>
        <v/>
      </c>
      <c r="AK43" s="95" t="str">
        <f t="shared" si="7"/>
        <v/>
      </c>
      <c r="AL43" s="61" t="str">
        <f t="shared" si="8"/>
        <v>if () {$("#adv_").html("Required");$("#").css({"background":"yellow"});} else {$("#adv_").html("");$("#").css({"background":"white"});}</v>
      </c>
      <c r="AM43" s="61" t="str">
        <f t="shared" si="9"/>
        <v>if (=="") {$("#adv_").html("Required");$("#adv_").css({"background":"yellow"});} else {$("#adv_").html("");}</v>
      </c>
      <c r="AN43" s="61" t="str">
        <f t="shared" si="83"/>
        <v>if (=="") {$("#adv_").html("Required");$("#").css({"background":"yellow"});} else {$("#adv_").html("");$("#").css({"background":"white"});}</v>
      </c>
      <c r="AO43" s="50" t="str">
        <f t="shared" si="11"/>
        <v/>
      </c>
      <c r="AP43" s="61" t="str">
        <f t="shared" si="12"/>
        <v>=$("#").val();</v>
      </c>
      <c r="AQ43" s="61" t="str">
        <f t="shared" si="13"/>
        <v/>
      </c>
      <c r="AR43" s="50" t="str">
        <f t="shared" si="14"/>
        <v>&lt;input type="checkbox" id="" name="" value="1" /&gt;</v>
      </c>
      <c r="AS43" s="61" t="str">
        <f t="shared" si="15"/>
        <v>=document.getElementById("").checked;</v>
      </c>
      <c r="AT43" s="102" t="str">
        <f t="shared" si="16"/>
        <v>if (isset($_GET[''])) {$=($_GET['']);}else $='';</v>
      </c>
      <c r="AU43" s="52" t="str">
        <f t="shared" si="17"/>
        <v/>
      </c>
      <c r="AV43" s="52" t="str">
        <f t="shared" si="89"/>
        <v>&lt;select size="1" name="" id=""&gt;&lt;option value=""&gt;&lt;/option&gt;</v>
      </c>
      <c r="AW43" s="52" t="str">
        <f t="shared" si="19"/>
        <v>&lt;option value=""&gt;&lt;/option&gt;</v>
      </c>
      <c r="AX43" s="145" t="str">
        <f t="shared" si="20"/>
        <v/>
      </c>
      <c r="AY43" s="102" t="str">
        <f>""</f>
        <v/>
      </c>
      <c r="AZ43" s="102"/>
      <c r="BA43" s="113">
        <f t="shared" si="23"/>
        <v>0</v>
      </c>
      <c r="BB43" s="103" t="str">
        <f t="shared" si="24"/>
        <v>0:</v>
      </c>
      <c r="BC43" s="50" t="str">
        <f t="shared" si="25"/>
        <v>0:&lt;span id="adv_0"&gt;&lt;/span&gt;&lt;br/&gt;&lt;input type="radio" name="0" id="" value="" /&gt;</v>
      </c>
      <c r="BD43" s="52" t="str">
        <f t="shared" si="26"/>
        <v>else if (document.getElementById("</v>
      </c>
      <c r="BE43" s="61" t="str">
        <f t="shared" si="27"/>
        <v>else if (document.getElementById("").checked==true) {0="";}</v>
      </c>
      <c r="BF43" s="61" t="str">
        <f t="shared" si="28"/>
        <v/>
      </c>
      <c r="BG43" s="61" t="str">
        <f t="shared" si="29"/>
        <v>0:0</v>
      </c>
      <c r="BH43" s="102" t="str">
        <f t="shared" si="30"/>
        <v>if (isset($_GET['0'])) {$0=($_GET['0']);}else $0='';</v>
      </c>
      <c r="BI43" s="105" t="str">
        <f t="shared" si="31"/>
        <v>&lt;br/&gt;&lt;textarea rows="2" cols="80" id=""&gt;&lt;/textarea&gt;&lt;br/&gt;</v>
      </c>
      <c r="BJ43" s="107" t="str">
        <f t="shared" si="32"/>
        <v>&lt;input type="text"  size="7"  id="" class="datepicker"/&gt;</v>
      </c>
      <c r="BK43" s="107" t="str">
        <f t="shared" si="33"/>
        <v>&lt;h2 id=""&gt;&lt;/h2&gt;</v>
      </c>
      <c r="BL43" s="109" t="str">
        <f t="shared" si="73"/>
        <v/>
      </c>
      <c r="BM43" s="61" t="str">
        <f t="shared" si="74"/>
        <v/>
      </c>
      <c r="BN43" s="52">
        <f t="shared" si="62"/>
        <v>0</v>
      </c>
      <c r="BO43" s="61" t="str">
        <f t="shared" si="75"/>
        <v/>
      </c>
      <c r="BP43" s="102" t="str">
        <f t="shared" si="76"/>
        <v/>
      </c>
      <c r="BQ43" s="105" t="str">
        <f t="shared" si="77"/>
        <v/>
      </c>
      <c r="BR43" s="52" t="str">
        <f t="shared" si="34"/>
        <v/>
      </c>
      <c r="BS43" s="52">
        <f t="shared" si="35"/>
        <v>0</v>
      </c>
      <c r="BT43" s="52">
        <f t="shared" si="63"/>
        <v>0</v>
      </c>
      <c r="BU43" s="52" t="str">
        <f t="shared" si="36"/>
        <v/>
      </c>
      <c r="BV43" s="52" t="str">
        <f t="shared" si="37"/>
        <v/>
      </c>
      <c r="BW43" s="52" t="str">
        <f t="shared" si="64"/>
        <v/>
      </c>
      <c r="BX43" s="113" t="str">
        <f t="shared" si="78"/>
        <v/>
      </c>
      <c r="BY43" s="52" t="str">
        <f t="shared" si="38"/>
        <v/>
      </c>
      <c r="BZ43" s="52" t="str">
        <f t="shared" si="39"/>
        <v/>
      </c>
      <c r="CA43" s="52" t="str">
        <f t="shared" si="79"/>
        <v/>
      </c>
      <c r="CB43" s="52" t="str">
        <f t="shared" si="80"/>
        <v/>
      </c>
      <c r="CC43" s="52" t="str">
        <f t="shared" si="40"/>
        <v/>
      </c>
      <c r="CD43" s="52" t="str">
        <f t="shared" si="41"/>
        <v/>
      </c>
      <c r="CE43" s="102" t="str">
        <f t="shared" si="81"/>
        <v/>
      </c>
      <c r="CF43" s="116" t="str">
        <f t="shared" si="42"/>
        <v/>
      </c>
      <c r="CG43" s="61" t="str">
        <f t="shared" si="82"/>
        <v/>
      </c>
      <c r="CH43" s="52" t="str">
        <f t="shared" si="84"/>
        <v/>
      </c>
      <c r="CI43" s="52" t="str">
        <f t="shared" si="85"/>
        <v/>
      </c>
      <c r="CJ43" s="52" t="str">
        <f t="shared" si="45"/>
        <v/>
      </c>
      <c r="CK43" s="52" t="str">
        <f t="shared" si="46"/>
        <v/>
      </c>
      <c r="CL43" s="52" t="str">
        <f t="shared" si="47"/>
        <v/>
      </c>
      <c r="CM43" s="102" t="str">
        <f t="shared" si="48"/>
        <v/>
      </c>
      <c r="CN43" s="116" t="str">
        <f t="shared" si="49"/>
        <v/>
      </c>
      <c r="CO43" s="61">
        <f t="shared" si="65"/>
        <v>0</v>
      </c>
      <c r="CP43" s="61" t="str">
        <f t="shared" si="90"/>
        <v/>
      </c>
      <c r="CQ43" s="61" t="str">
        <f t="shared" si="66"/>
        <v/>
      </c>
      <c r="CR43" s="61" t="str">
        <f t="shared" si="67"/>
        <v/>
      </c>
      <c r="CS43" s="105" t="str">
        <f t="shared" si="68"/>
        <v/>
      </c>
      <c r="CT43" s="105" t="str">
        <f t="shared" si="69"/>
        <v/>
      </c>
      <c r="CU43" s="61" t="str">
        <f t="shared" si="70"/>
        <v/>
      </c>
      <c r="CV43" s="61" t="str">
        <f t="shared" si="71"/>
        <v/>
      </c>
      <c r="CW43" s="61" t="str">
        <f t="shared" si="51"/>
        <v/>
      </c>
      <c r="CX43" s="61" t="str">
        <f t="shared" si="87"/>
        <v/>
      </c>
      <c r="CY43" s="61" t="str">
        <f t="shared" si="53"/>
        <v/>
      </c>
      <c r="CZ43" s="102" t="str">
        <f t="shared" si="54"/>
        <v/>
      </c>
      <c r="DA43" s="17">
        <f t="shared" si="55"/>
        <v>0</v>
      </c>
      <c r="DB43" s="17" t="str">
        <f t="shared" si="56"/>
        <v/>
      </c>
      <c r="DC43" s="17">
        <f t="shared" si="91"/>
        <v>0</v>
      </c>
      <c r="DD43" s="17">
        <f t="shared" si="58"/>
        <v>0</v>
      </c>
      <c r="DE43" s="17" t="str">
        <f t="shared" si="59"/>
        <v/>
      </c>
      <c r="DF43" s="17" t="str">
        <f t="shared" si="60"/>
        <v/>
      </c>
    </row>
    <row r="44" spans="2:110" s="17" customFormat="1">
      <c r="B44" s="35"/>
      <c r="C44" s="35"/>
      <c r="D44" s="36"/>
      <c r="E44" s="35"/>
      <c r="F44" s="35"/>
      <c r="G44" s="35"/>
      <c r="H44" s="35"/>
      <c r="I44" s="35"/>
      <c r="J44" s="59"/>
      <c r="Z44" s="172" t="str">
        <f t="shared" si="0"/>
        <v/>
      </c>
      <c r="AB44" s="47" t="s">
        <v>223</v>
      </c>
      <c r="AC44" s="52" t="str">
        <f t="shared" si="88"/>
        <v/>
      </c>
      <c r="AD44" s="52">
        <f t="shared" si="72"/>
        <v>0</v>
      </c>
      <c r="AE44" s="52">
        <f t="shared" si="61"/>
        <v>0</v>
      </c>
      <c r="AF44" s="61" t="str">
        <f t="shared" si="2"/>
        <v/>
      </c>
      <c r="AG44" s="52">
        <f t="shared" si="3"/>
        <v>0</v>
      </c>
      <c r="AH44" s="52">
        <f t="shared" si="4"/>
        <v>0</v>
      </c>
      <c r="AI44" s="52" t="str">
        <f t="shared" si="5"/>
        <v/>
      </c>
      <c r="AJ44" s="61" t="str">
        <f t="shared" si="6"/>
        <v/>
      </c>
      <c r="AK44" s="95" t="str">
        <f t="shared" si="7"/>
        <v/>
      </c>
      <c r="AL44" s="61" t="str">
        <f t="shared" si="8"/>
        <v>if () {$("#adv_").html("Required");$("#").css({"background":"yellow"});} else {$("#adv_").html("");$("#").css({"background":"white"});}</v>
      </c>
      <c r="AM44" s="61" t="str">
        <f t="shared" si="9"/>
        <v>if (=="") {$("#adv_").html("Required");$("#adv_").css({"background":"yellow"});} else {$("#adv_").html("");}</v>
      </c>
      <c r="AN44" s="61" t="str">
        <f t="shared" si="83"/>
        <v>if (=="") {$("#adv_").html("Required");$("#").css({"background":"yellow"});} else {$("#adv_").html("");$("#").css({"background":"white"});}</v>
      </c>
      <c r="AO44" s="50" t="str">
        <f t="shared" si="11"/>
        <v/>
      </c>
      <c r="AP44" s="61" t="str">
        <f t="shared" si="12"/>
        <v>=$("#").val();</v>
      </c>
      <c r="AQ44" s="61" t="str">
        <f t="shared" si="13"/>
        <v/>
      </c>
      <c r="AR44" s="50" t="str">
        <f t="shared" si="14"/>
        <v>&lt;input type="checkbox" id="" name="" value="1" /&gt;</v>
      </c>
      <c r="AS44" s="61" t="str">
        <f t="shared" si="15"/>
        <v>=document.getElementById("").checked;</v>
      </c>
      <c r="AT44" s="102" t="str">
        <f t="shared" si="16"/>
        <v>if (isset($_GET[''])) {$=($_GET['']);}else $='';</v>
      </c>
      <c r="AU44" s="52" t="str">
        <f t="shared" si="17"/>
        <v/>
      </c>
      <c r="AV44" s="52" t="str">
        <f t="shared" si="89"/>
        <v>&lt;select size="1" name="" id=""&gt;&lt;option value=""&gt;&lt;/option&gt;</v>
      </c>
      <c r="AW44" s="52" t="str">
        <f t="shared" si="19"/>
        <v>&lt;option value=""&gt;&lt;/option&gt;</v>
      </c>
      <c r="AX44" s="145" t="str">
        <f t="shared" si="20"/>
        <v/>
      </c>
      <c r="AY44" s="102" t="str">
        <f>""</f>
        <v/>
      </c>
      <c r="AZ44" s="102"/>
      <c r="BA44" s="113">
        <f t="shared" si="23"/>
        <v>0</v>
      </c>
      <c r="BB44" s="103" t="str">
        <f t="shared" si="24"/>
        <v>0:</v>
      </c>
      <c r="BC44" s="50" t="str">
        <f t="shared" si="25"/>
        <v>0:&lt;span id="adv_0"&gt;&lt;/span&gt;&lt;br/&gt;&lt;input type="radio" name="0" id="" value="" /&gt;</v>
      </c>
      <c r="BD44" s="52" t="str">
        <f t="shared" si="26"/>
        <v>else if (document.getElementById("</v>
      </c>
      <c r="BE44" s="61" t="str">
        <f t="shared" si="27"/>
        <v>else if (document.getElementById("").checked==true) {0="";}</v>
      </c>
      <c r="BF44" s="61" t="str">
        <f t="shared" si="28"/>
        <v/>
      </c>
      <c r="BG44" s="61" t="str">
        <f t="shared" si="29"/>
        <v>0:0</v>
      </c>
      <c r="BH44" s="102" t="str">
        <f t="shared" si="30"/>
        <v>if (isset($_GET['0'])) {$0=($_GET['0']);}else $0='';</v>
      </c>
      <c r="BI44" s="105" t="str">
        <f t="shared" si="31"/>
        <v>&lt;br/&gt;&lt;textarea rows="2" cols="80" id=""&gt;&lt;/textarea&gt;&lt;br/&gt;</v>
      </c>
      <c r="BJ44" s="107" t="str">
        <f t="shared" si="32"/>
        <v>&lt;input type="text"  size="7"  id="" class="datepicker"/&gt;</v>
      </c>
      <c r="BK44" s="107" t="str">
        <f t="shared" si="33"/>
        <v>&lt;h2 id=""&gt;&lt;/h2&gt;</v>
      </c>
      <c r="BL44" s="109" t="str">
        <f t="shared" si="73"/>
        <v/>
      </c>
      <c r="BM44" s="61" t="str">
        <f t="shared" si="74"/>
        <v/>
      </c>
      <c r="BN44" s="52">
        <f t="shared" si="62"/>
        <v>0</v>
      </c>
      <c r="BO44" s="61" t="str">
        <f t="shared" si="75"/>
        <v/>
      </c>
      <c r="BP44" s="102" t="str">
        <f t="shared" si="76"/>
        <v/>
      </c>
      <c r="BQ44" s="105" t="str">
        <f t="shared" si="77"/>
        <v/>
      </c>
      <c r="BR44" s="52" t="str">
        <f t="shared" si="34"/>
        <v/>
      </c>
      <c r="BS44" s="52">
        <f t="shared" si="35"/>
        <v>0</v>
      </c>
      <c r="BT44" s="52">
        <f t="shared" si="63"/>
        <v>0</v>
      </c>
      <c r="BU44" s="52" t="str">
        <f t="shared" si="36"/>
        <v/>
      </c>
      <c r="BV44" s="52" t="str">
        <f t="shared" si="37"/>
        <v/>
      </c>
      <c r="BW44" s="52" t="str">
        <f t="shared" si="64"/>
        <v/>
      </c>
      <c r="BX44" s="113" t="str">
        <f t="shared" si="78"/>
        <v/>
      </c>
      <c r="BY44" s="52" t="str">
        <f t="shared" si="38"/>
        <v/>
      </c>
      <c r="BZ44" s="52" t="str">
        <f t="shared" si="39"/>
        <v/>
      </c>
      <c r="CA44" s="52" t="str">
        <f t="shared" si="79"/>
        <v/>
      </c>
      <c r="CB44" s="52" t="str">
        <f t="shared" si="80"/>
        <v/>
      </c>
      <c r="CC44" s="52" t="str">
        <f t="shared" si="40"/>
        <v/>
      </c>
      <c r="CD44" s="52" t="str">
        <f t="shared" si="41"/>
        <v/>
      </c>
      <c r="CE44" s="102" t="str">
        <f t="shared" si="81"/>
        <v/>
      </c>
      <c r="CF44" s="116" t="str">
        <f t="shared" si="42"/>
        <v/>
      </c>
      <c r="CG44" s="61" t="str">
        <f t="shared" si="82"/>
        <v/>
      </c>
      <c r="CH44" s="52" t="str">
        <f t="shared" si="84"/>
        <v/>
      </c>
      <c r="CI44" s="52" t="str">
        <f t="shared" si="85"/>
        <v/>
      </c>
      <c r="CJ44" s="52" t="str">
        <f t="shared" si="45"/>
        <v/>
      </c>
      <c r="CK44" s="52" t="str">
        <f t="shared" si="46"/>
        <v/>
      </c>
      <c r="CL44" s="52" t="str">
        <f t="shared" si="47"/>
        <v/>
      </c>
      <c r="CM44" s="102" t="str">
        <f t="shared" si="48"/>
        <v/>
      </c>
      <c r="CN44" s="116" t="str">
        <f t="shared" si="49"/>
        <v/>
      </c>
      <c r="CO44" s="61">
        <f t="shared" si="65"/>
        <v>0</v>
      </c>
      <c r="CP44" s="61" t="str">
        <f t="shared" ref="CP44:CP75" si="92">IF(I44="si",$G$7&amp;$D$6&amp;C43&amp;$P$10&amp;C44&amp;$P$11&amp;C44&amp;$P$9&amp;$P$12&amp;C44&amp;$P$9&amp;"=0;","")</f>
        <v/>
      </c>
      <c r="CQ44" s="61" t="str">
        <f t="shared" si="66"/>
        <v/>
      </c>
      <c r="CR44" s="61" t="str">
        <f t="shared" si="67"/>
        <v/>
      </c>
      <c r="CS44" s="105" t="str">
        <f t="shared" si="68"/>
        <v/>
      </c>
      <c r="CT44" s="105" t="str">
        <f t="shared" si="69"/>
        <v/>
      </c>
      <c r="CU44" s="61" t="str">
        <f t="shared" si="70"/>
        <v/>
      </c>
      <c r="CV44" s="61" t="str">
        <f t="shared" si="71"/>
        <v/>
      </c>
      <c r="CW44" s="61" t="str">
        <f t="shared" si="51"/>
        <v/>
      </c>
      <c r="CX44" s="61" t="str">
        <f t="shared" si="87"/>
        <v/>
      </c>
      <c r="CY44" s="61" t="str">
        <f t="shared" ref="CY44:CY75" si="93">+IF(CO44=2,$C$5&amp;C44&amp;$Q$4&amp;CW44&amp;$D$3&amp;$C$5&amp;CV44&amp;$P$9&amp;$Q$5&amp;CV44&amp;$P$9&amp;$H$4&amp;"}})","")</f>
        <v/>
      </c>
      <c r="CZ44" s="102" t="str">
        <f t="shared" si="54"/>
        <v/>
      </c>
      <c r="DA44" s="17">
        <f t="shared" si="55"/>
        <v>0</v>
      </c>
      <c r="DB44" s="17" t="str">
        <f t="shared" si="56"/>
        <v/>
      </c>
      <c r="DC44" s="17">
        <f t="shared" si="91"/>
        <v>0</v>
      </c>
      <c r="DD44" s="17">
        <f t="shared" si="58"/>
        <v>0</v>
      </c>
      <c r="DE44" s="17" t="str">
        <f t="shared" si="59"/>
        <v/>
      </c>
      <c r="DF44" s="17" t="str">
        <f t="shared" si="60"/>
        <v/>
      </c>
    </row>
    <row r="45" spans="2:110" s="17" customFormat="1">
      <c r="B45" s="35"/>
      <c r="C45" s="35"/>
      <c r="D45" s="36"/>
      <c r="E45" s="35"/>
      <c r="F45" s="35"/>
      <c r="G45" s="35"/>
      <c r="H45" s="35"/>
      <c r="I45" s="35"/>
      <c r="J45" s="59"/>
      <c r="Z45" s="172" t="str">
        <f t="shared" si="0"/>
        <v/>
      </c>
      <c r="AB45" s="47" t="s">
        <v>224</v>
      </c>
      <c r="AC45" s="52" t="str">
        <f t="shared" si="88"/>
        <v/>
      </c>
      <c r="AD45" s="52">
        <f t="shared" si="72"/>
        <v>0</v>
      </c>
      <c r="AE45" s="52">
        <f t="shared" si="61"/>
        <v>0</v>
      </c>
      <c r="AF45" s="61" t="str">
        <f t="shared" si="2"/>
        <v/>
      </c>
      <c r="AG45" s="52">
        <f t="shared" si="3"/>
        <v>0</v>
      </c>
      <c r="AH45" s="52">
        <f t="shared" si="4"/>
        <v>0</v>
      </c>
      <c r="AI45" s="52" t="str">
        <f t="shared" si="5"/>
        <v/>
      </c>
      <c r="AJ45" s="61" t="str">
        <f t="shared" si="6"/>
        <v/>
      </c>
      <c r="AK45" s="95" t="str">
        <f t="shared" si="7"/>
        <v/>
      </c>
      <c r="AL45" s="61" t="str">
        <f t="shared" si="8"/>
        <v>if () {$("#adv_").html("Required");$("#").css({"background":"yellow"});} else {$("#adv_").html("");$("#").css({"background":"white"});}</v>
      </c>
      <c r="AM45" s="61" t="str">
        <f t="shared" si="9"/>
        <v>if (=="") {$("#adv_").html("Required");$("#adv_").css({"background":"yellow"});} else {$("#adv_").html("");}</v>
      </c>
      <c r="AN45" s="61" t="str">
        <f t="shared" si="83"/>
        <v>if (=="") {$("#adv_").html("Required");$("#").css({"background":"yellow"});} else {$("#adv_").html("");$("#").css({"background":"white"});}</v>
      </c>
      <c r="AO45" s="50" t="str">
        <f t="shared" si="11"/>
        <v/>
      </c>
      <c r="AP45" s="61" t="str">
        <f t="shared" si="12"/>
        <v>=$("#").val();</v>
      </c>
      <c r="AQ45" s="61" t="str">
        <f t="shared" si="13"/>
        <v/>
      </c>
      <c r="AR45" s="50" t="str">
        <f t="shared" si="14"/>
        <v>&lt;input type="checkbox" id="" name="" value="1" /&gt;</v>
      </c>
      <c r="AS45" s="61" t="str">
        <f t="shared" si="15"/>
        <v>=document.getElementById("").checked;</v>
      </c>
      <c r="AT45" s="102" t="str">
        <f t="shared" si="16"/>
        <v>if (isset($_GET[''])) {$=($_GET['']);}else $='';</v>
      </c>
      <c r="AU45" s="52" t="str">
        <f t="shared" si="17"/>
        <v/>
      </c>
      <c r="AV45" s="52" t="str">
        <f t="shared" si="89"/>
        <v>&lt;select size="1" name="" id=""&gt;&lt;option value=""&gt;&lt;/option&gt;</v>
      </c>
      <c r="AW45" s="52" t="str">
        <f t="shared" si="19"/>
        <v>&lt;option value=""&gt;&lt;/option&gt;</v>
      </c>
      <c r="AX45" s="145" t="str">
        <f t="shared" si="20"/>
        <v/>
      </c>
      <c r="AY45" s="102" t="str">
        <f>""</f>
        <v/>
      </c>
      <c r="AZ45" s="102"/>
      <c r="BA45" s="113">
        <f t="shared" si="23"/>
        <v>0</v>
      </c>
      <c r="BB45" s="103" t="str">
        <f t="shared" si="24"/>
        <v>0:</v>
      </c>
      <c r="BC45" s="50" t="str">
        <f t="shared" si="25"/>
        <v>0:&lt;span id="adv_0"&gt;&lt;/span&gt;&lt;br/&gt;&lt;input type="radio" name="0" id="" value="" /&gt;</v>
      </c>
      <c r="BD45" s="52" t="str">
        <f t="shared" si="26"/>
        <v>else if (document.getElementById("</v>
      </c>
      <c r="BE45" s="61" t="str">
        <f t="shared" si="27"/>
        <v>else if (document.getElementById("").checked==true) {0="";}</v>
      </c>
      <c r="BF45" s="61" t="str">
        <f t="shared" si="28"/>
        <v/>
      </c>
      <c r="BG45" s="61" t="str">
        <f t="shared" si="29"/>
        <v>0:0</v>
      </c>
      <c r="BH45" s="102" t="str">
        <f t="shared" si="30"/>
        <v>if (isset($_GET['0'])) {$0=($_GET['0']);}else $0='';</v>
      </c>
      <c r="BI45" s="105" t="str">
        <f t="shared" si="31"/>
        <v>&lt;br/&gt;&lt;textarea rows="2" cols="80" id=""&gt;&lt;/textarea&gt;&lt;br/&gt;</v>
      </c>
      <c r="BJ45" s="107" t="str">
        <f t="shared" si="32"/>
        <v>&lt;input type="text"  size="7"  id="" class="datepicker"/&gt;</v>
      </c>
      <c r="BK45" s="107" t="str">
        <f t="shared" si="33"/>
        <v>&lt;h2 id=""&gt;&lt;/h2&gt;</v>
      </c>
      <c r="BL45" s="109" t="str">
        <f t="shared" si="73"/>
        <v/>
      </c>
      <c r="BM45" s="61" t="str">
        <f t="shared" si="74"/>
        <v/>
      </c>
      <c r="BN45" s="52">
        <f t="shared" si="62"/>
        <v>0</v>
      </c>
      <c r="BO45" s="61" t="str">
        <f t="shared" si="75"/>
        <v/>
      </c>
      <c r="BP45" s="102" t="str">
        <f t="shared" si="76"/>
        <v/>
      </c>
      <c r="BQ45" s="105" t="str">
        <f t="shared" si="77"/>
        <v/>
      </c>
      <c r="BR45" s="52" t="str">
        <f t="shared" si="34"/>
        <v/>
      </c>
      <c r="BS45" s="52">
        <f t="shared" si="35"/>
        <v>0</v>
      </c>
      <c r="BT45" s="52">
        <f t="shared" si="63"/>
        <v>0</v>
      </c>
      <c r="BU45" s="52" t="str">
        <f t="shared" si="36"/>
        <v/>
      </c>
      <c r="BV45" s="52" t="str">
        <f t="shared" si="37"/>
        <v/>
      </c>
      <c r="BW45" s="52" t="str">
        <f t="shared" si="64"/>
        <v/>
      </c>
      <c r="BX45" s="113" t="str">
        <f t="shared" si="78"/>
        <v/>
      </c>
      <c r="BY45" s="52" t="str">
        <f t="shared" si="38"/>
        <v/>
      </c>
      <c r="BZ45" s="52" t="str">
        <f t="shared" si="39"/>
        <v/>
      </c>
      <c r="CA45" s="52" t="str">
        <f t="shared" si="79"/>
        <v/>
      </c>
      <c r="CB45" s="52" t="str">
        <f t="shared" si="80"/>
        <v/>
      </c>
      <c r="CC45" s="52" t="str">
        <f t="shared" si="40"/>
        <v/>
      </c>
      <c r="CD45" s="52" t="str">
        <f t="shared" si="41"/>
        <v/>
      </c>
      <c r="CE45" s="102" t="str">
        <f t="shared" si="81"/>
        <v/>
      </c>
      <c r="CF45" s="116" t="str">
        <f t="shared" si="42"/>
        <v/>
      </c>
      <c r="CG45" s="61" t="str">
        <f t="shared" si="82"/>
        <v/>
      </c>
      <c r="CH45" s="52" t="str">
        <f t="shared" si="84"/>
        <v/>
      </c>
      <c r="CI45" s="52" t="str">
        <f t="shared" si="85"/>
        <v/>
      </c>
      <c r="CJ45" s="52" t="str">
        <f t="shared" si="45"/>
        <v/>
      </c>
      <c r="CK45" s="52" t="str">
        <f t="shared" si="46"/>
        <v/>
      </c>
      <c r="CL45" s="52" t="str">
        <f t="shared" si="47"/>
        <v/>
      </c>
      <c r="CM45" s="102" t="str">
        <f t="shared" si="48"/>
        <v/>
      </c>
      <c r="CN45" s="116" t="str">
        <f t="shared" si="49"/>
        <v/>
      </c>
      <c r="CO45" s="61">
        <f t="shared" si="65"/>
        <v>0</v>
      </c>
      <c r="CP45" s="61" t="str">
        <f t="shared" si="92"/>
        <v/>
      </c>
      <c r="CQ45" s="61" t="str">
        <f t="shared" si="66"/>
        <v/>
      </c>
      <c r="CR45" s="61" t="str">
        <f t="shared" si="67"/>
        <v/>
      </c>
      <c r="CS45" s="105" t="str">
        <f t="shared" si="68"/>
        <v/>
      </c>
      <c r="CT45" s="105" t="str">
        <f t="shared" si="69"/>
        <v/>
      </c>
      <c r="CU45" s="61" t="str">
        <f t="shared" si="70"/>
        <v/>
      </c>
      <c r="CV45" s="61" t="str">
        <f t="shared" si="71"/>
        <v/>
      </c>
      <c r="CW45" s="61" t="str">
        <f t="shared" si="51"/>
        <v/>
      </c>
      <c r="CX45" s="61" t="str">
        <f t="shared" si="87"/>
        <v/>
      </c>
      <c r="CY45" s="61" t="str">
        <f t="shared" si="93"/>
        <v/>
      </c>
      <c r="CZ45" s="102" t="str">
        <f t="shared" si="54"/>
        <v/>
      </c>
      <c r="DA45" s="17">
        <f t="shared" si="55"/>
        <v>0</v>
      </c>
      <c r="DB45" s="17" t="str">
        <f t="shared" si="56"/>
        <v/>
      </c>
      <c r="DC45" s="17">
        <f t="shared" si="91"/>
        <v>0</v>
      </c>
      <c r="DD45" s="17">
        <f t="shared" si="58"/>
        <v>0</v>
      </c>
      <c r="DE45" s="17" t="str">
        <f t="shared" si="59"/>
        <v/>
      </c>
      <c r="DF45" s="17" t="str">
        <f t="shared" si="60"/>
        <v/>
      </c>
    </row>
    <row r="46" spans="2:110" s="17" customFormat="1">
      <c r="B46" s="35"/>
      <c r="C46" s="35"/>
      <c r="D46" s="36"/>
      <c r="E46" s="35"/>
      <c r="F46" s="35"/>
      <c r="G46" s="35"/>
      <c r="H46" s="35"/>
      <c r="I46" s="35"/>
      <c r="J46" s="59"/>
      <c r="Z46" s="172" t="str">
        <f t="shared" si="0"/>
        <v/>
      </c>
      <c r="AB46" s="47" t="s">
        <v>225</v>
      </c>
      <c r="AC46" s="52" t="str">
        <f t="shared" si="88"/>
        <v/>
      </c>
      <c r="AD46" s="52">
        <f t="shared" si="72"/>
        <v>0</v>
      </c>
      <c r="AE46" s="52">
        <f t="shared" si="61"/>
        <v>0</v>
      </c>
      <c r="AF46" s="61" t="str">
        <f t="shared" si="2"/>
        <v/>
      </c>
      <c r="AG46" s="52">
        <f t="shared" si="3"/>
        <v>0</v>
      </c>
      <c r="AH46" s="52">
        <f t="shared" si="4"/>
        <v>0</v>
      </c>
      <c r="AI46" s="52" t="str">
        <f t="shared" si="5"/>
        <v/>
      </c>
      <c r="AJ46" s="61" t="str">
        <f t="shared" si="6"/>
        <v/>
      </c>
      <c r="AK46" s="95" t="str">
        <f t="shared" si="7"/>
        <v/>
      </c>
      <c r="AL46" s="61" t="str">
        <f t="shared" si="8"/>
        <v>if () {$("#adv_").html("Required");$("#").css({"background":"yellow"});} else {$("#adv_").html("");$("#").css({"background":"white"});}</v>
      </c>
      <c r="AM46" s="61" t="str">
        <f t="shared" si="9"/>
        <v>if (=="") {$("#adv_").html("Required");$("#adv_").css({"background":"yellow"});} else {$("#adv_").html("");}</v>
      </c>
      <c r="AN46" s="61" t="str">
        <f t="shared" si="83"/>
        <v>if (=="") {$("#adv_").html("Required");$("#").css({"background":"yellow"});} else {$("#adv_").html("");$("#").css({"background":"white"});}</v>
      </c>
      <c r="AO46" s="50" t="str">
        <f t="shared" si="11"/>
        <v/>
      </c>
      <c r="AP46" s="61" t="str">
        <f t="shared" si="12"/>
        <v>=$("#").val();</v>
      </c>
      <c r="AQ46" s="61" t="str">
        <f t="shared" si="13"/>
        <v/>
      </c>
      <c r="AR46" s="50" t="str">
        <f t="shared" si="14"/>
        <v>&lt;input type="checkbox" id="" name="" value="1" /&gt;</v>
      </c>
      <c r="AS46" s="61" t="str">
        <f t="shared" si="15"/>
        <v>=document.getElementById("").checked;</v>
      </c>
      <c r="AT46" s="102" t="str">
        <f t="shared" si="16"/>
        <v>if (isset($_GET[''])) {$=($_GET['']);}else $='';</v>
      </c>
      <c r="AU46" s="52" t="str">
        <f t="shared" si="17"/>
        <v/>
      </c>
      <c r="AV46" s="52" t="str">
        <f t="shared" si="89"/>
        <v>&lt;select size="1" name="" id=""&gt;&lt;option value=""&gt;&lt;/option&gt;</v>
      </c>
      <c r="AW46" s="52" t="str">
        <f t="shared" si="19"/>
        <v>&lt;option value=""&gt;&lt;/option&gt;</v>
      </c>
      <c r="AX46" s="145" t="str">
        <f t="shared" si="20"/>
        <v/>
      </c>
      <c r="AY46" s="102" t="str">
        <f>""</f>
        <v/>
      </c>
      <c r="AZ46" s="102"/>
      <c r="BA46" s="113">
        <f t="shared" si="23"/>
        <v>0</v>
      </c>
      <c r="BB46" s="103" t="str">
        <f t="shared" si="24"/>
        <v>0:</v>
      </c>
      <c r="BC46" s="50" t="str">
        <f t="shared" si="25"/>
        <v>0:&lt;span id="adv_0"&gt;&lt;/span&gt;&lt;br/&gt;&lt;input type="radio" name="0" id="" value="" /&gt;</v>
      </c>
      <c r="BD46" s="52" t="str">
        <f t="shared" si="26"/>
        <v>else if (document.getElementById("</v>
      </c>
      <c r="BE46" s="61" t="str">
        <f t="shared" si="27"/>
        <v>else if (document.getElementById("").checked==true) {0="";}</v>
      </c>
      <c r="BF46" s="61" t="str">
        <f t="shared" si="28"/>
        <v/>
      </c>
      <c r="BG46" s="61" t="str">
        <f t="shared" si="29"/>
        <v>0:0</v>
      </c>
      <c r="BH46" s="102" t="str">
        <f t="shared" si="30"/>
        <v>if (isset($_GET['0'])) {$0=($_GET['0']);}else $0='';</v>
      </c>
      <c r="BI46" s="105" t="str">
        <f t="shared" si="31"/>
        <v>&lt;br/&gt;&lt;textarea rows="2" cols="80" id=""&gt;&lt;/textarea&gt;&lt;br/&gt;</v>
      </c>
      <c r="BJ46" s="107" t="str">
        <f t="shared" si="32"/>
        <v>&lt;input type="text"  size="7"  id="" class="datepicker"/&gt;</v>
      </c>
      <c r="BK46" s="107" t="str">
        <f t="shared" si="33"/>
        <v>&lt;h2 id=""&gt;&lt;/h2&gt;</v>
      </c>
      <c r="BL46" s="109" t="str">
        <f t="shared" si="73"/>
        <v/>
      </c>
      <c r="BM46" s="61" t="str">
        <f t="shared" si="74"/>
        <v/>
      </c>
      <c r="BN46" s="52">
        <f t="shared" si="62"/>
        <v>0</v>
      </c>
      <c r="BO46" s="61" t="str">
        <f t="shared" si="75"/>
        <v/>
      </c>
      <c r="BP46" s="102" t="str">
        <f t="shared" si="76"/>
        <v/>
      </c>
      <c r="BQ46" s="105" t="str">
        <f t="shared" si="77"/>
        <v/>
      </c>
      <c r="BR46" s="52" t="str">
        <f t="shared" si="34"/>
        <v/>
      </c>
      <c r="BS46" s="52">
        <f t="shared" si="35"/>
        <v>0</v>
      </c>
      <c r="BT46" s="52">
        <f t="shared" si="63"/>
        <v>0</v>
      </c>
      <c r="BU46" s="52" t="str">
        <f t="shared" si="36"/>
        <v/>
      </c>
      <c r="BV46" s="52" t="str">
        <f t="shared" si="37"/>
        <v/>
      </c>
      <c r="BW46" s="52" t="str">
        <f t="shared" si="64"/>
        <v/>
      </c>
      <c r="BX46" s="113" t="str">
        <f t="shared" si="78"/>
        <v/>
      </c>
      <c r="BY46" s="52" t="str">
        <f t="shared" si="38"/>
        <v/>
      </c>
      <c r="BZ46" s="52" t="str">
        <f t="shared" si="39"/>
        <v/>
      </c>
      <c r="CA46" s="52" t="str">
        <f t="shared" si="79"/>
        <v/>
      </c>
      <c r="CB46" s="52" t="str">
        <f t="shared" si="80"/>
        <v/>
      </c>
      <c r="CC46" s="52" t="str">
        <f t="shared" si="40"/>
        <v/>
      </c>
      <c r="CD46" s="52" t="str">
        <f t="shared" si="41"/>
        <v/>
      </c>
      <c r="CE46" s="102" t="str">
        <f t="shared" si="81"/>
        <v/>
      </c>
      <c r="CF46" s="116" t="str">
        <f t="shared" si="42"/>
        <v/>
      </c>
      <c r="CG46" s="61" t="str">
        <f t="shared" si="82"/>
        <v/>
      </c>
      <c r="CH46" s="52" t="str">
        <f t="shared" si="84"/>
        <v/>
      </c>
      <c r="CI46" s="52" t="str">
        <f t="shared" si="85"/>
        <v/>
      </c>
      <c r="CJ46" s="52" t="str">
        <f t="shared" si="45"/>
        <v/>
      </c>
      <c r="CK46" s="52" t="str">
        <f t="shared" si="46"/>
        <v/>
      </c>
      <c r="CL46" s="52" t="str">
        <f t="shared" si="47"/>
        <v/>
      </c>
      <c r="CM46" s="102" t="str">
        <f t="shared" si="48"/>
        <v/>
      </c>
      <c r="CN46" s="116" t="str">
        <f t="shared" si="49"/>
        <v/>
      </c>
      <c r="CO46" s="61">
        <f t="shared" si="65"/>
        <v>0</v>
      </c>
      <c r="CP46" s="61" t="str">
        <f t="shared" si="92"/>
        <v/>
      </c>
      <c r="CQ46" s="61" t="str">
        <f t="shared" si="66"/>
        <v/>
      </c>
      <c r="CR46" s="61" t="str">
        <f t="shared" si="67"/>
        <v/>
      </c>
      <c r="CS46" s="105" t="str">
        <f t="shared" si="68"/>
        <v/>
      </c>
      <c r="CT46" s="105" t="str">
        <f t="shared" si="69"/>
        <v/>
      </c>
      <c r="CU46" s="61" t="str">
        <f t="shared" si="70"/>
        <v/>
      </c>
      <c r="CV46" s="61" t="str">
        <f t="shared" si="71"/>
        <v/>
      </c>
      <c r="CW46" s="61" t="str">
        <f t="shared" si="51"/>
        <v/>
      </c>
      <c r="CX46" s="61" t="str">
        <f t="shared" si="87"/>
        <v/>
      </c>
      <c r="CY46" s="61" t="str">
        <f t="shared" si="93"/>
        <v/>
      </c>
      <c r="CZ46" s="102" t="str">
        <f t="shared" si="54"/>
        <v/>
      </c>
      <c r="DA46" s="17">
        <f t="shared" si="55"/>
        <v>0</v>
      </c>
      <c r="DB46" s="17" t="str">
        <f t="shared" si="56"/>
        <v/>
      </c>
      <c r="DC46" s="17">
        <f t="shared" si="91"/>
        <v>0</v>
      </c>
      <c r="DD46" s="17">
        <f t="shared" si="58"/>
        <v>0</v>
      </c>
      <c r="DE46" s="17" t="str">
        <f t="shared" si="59"/>
        <v/>
      </c>
      <c r="DF46" s="17" t="str">
        <f t="shared" si="60"/>
        <v/>
      </c>
    </row>
    <row r="47" spans="2:110" s="17" customFormat="1">
      <c r="B47" s="35"/>
      <c r="C47" s="35"/>
      <c r="D47" s="36"/>
      <c r="E47" s="35"/>
      <c r="F47" s="35"/>
      <c r="G47" s="35"/>
      <c r="H47" s="35"/>
      <c r="I47" s="35"/>
      <c r="J47" s="59"/>
      <c r="Z47" s="172" t="str">
        <f t="shared" ref="Z47:Z78" si="94">+IF(OR(E47="radio",E47="texto",E47="check",E47="selectlist",E47="bigtext",E47="session"),"VARCHAR",IF(E47="date","DATE",""))</f>
        <v/>
      </c>
      <c r="AB47" s="47" t="s">
        <v>226</v>
      </c>
      <c r="AC47" s="52" t="str">
        <f t="shared" si="88"/>
        <v/>
      </c>
      <c r="AD47" s="52">
        <f t="shared" si="72"/>
        <v>0</v>
      </c>
      <c r="AE47" s="52">
        <f t="shared" si="61"/>
        <v>0</v>
      </c>
      <c r="AF47" s="61" t="str">
        <f t="shared" ref="AF47:AF78" si="95">+IF(AD47=0,"",IF(AE47=1,"if (","else if (")&amp;C47&amp;$I$5&amp;C47&amp;$I$6)</f>
        <v/>
      </c>
      <c r="AG47" s="52">
        <f t="shared" ref="AG47:AG78" si="96">+IF(G47="si",1,IF(AND(E47="radio",BB47&lt;&gt;""),1,0))</f>
        <v>0</v>
      </c>
      <c r="AH47" s="52">
        <f t="shared" ref="AH47:AH78" si="97">+AG47+AH46</f>
        <v>0</v>
      </c>
      <c r="AI47" s="52" t="str">
        <f t="shared" ref="AI47:AI78" si="98">IF(AH46=0,"",IF(AH47=AH46,"","||"))</f>
        <v/>
      </c>
      <c r="AJ47" s="61" t="str">
        <f t="shared" ref="AJ47:AJ78" si="99">IF(AND($B$3&lt;&gt;"",E47&lt;&gt;"title"),AI47&amp;AC47,"")</f>
        <v/>
      </c>
      <c r="AK47" s="95" t="str">
        <f t="shared" si="7"/>
        <v/>
      </c>
      <c r="AL47" s="61" t="str">
        <f t="shared" ref="AL47:AL78" si="100">+$G$7&amp;AC47&amp;$G$8&amp;C47&amp;$G$9&amp;$C$5&amp;C47&amp;$H$6&amp;$H$5&amp;C47&amp;$H$7&amp;C47&amp;$H$8</f>
        <v>if () {$("#adv_").html("Required");$("#").css({"background":"yellow"});} else {$("#adv_").html("");$("#").css({"background":"white"});}</v>
      </c>
      <c r="AM47" s="61" t="str">
        <f t="shared" ref="AM47:AM78" si="101">$G$7&amp;B47&amp;"=="&amp;$B$4&amp;$G$8&amp;B47&amp;$G$9&amp;$H$11&amp;B47&amp;$H$6&amp;$H$5&amp;B47&amp;$B$10&amp;$B$11&amp;$H$9</f>
        <v>if (=="") {$("#adv_").html("Required");$("#adv_").css({"background":"yellow"});} else {$("#adv_").html("");}</v>
      </c>
      <c r="AN47" s="61" t="str">
        <f t="shared" si="83"/>
        <v>if (=="") {$("#adv_").html("Required");$("#").css({"background":"yellow"});} else {$("#adv_").html("");$("#").css({"background":"white"});}</v>
      </c>
      <c r="AO47" s="50" t="str">
        <f t="shared" ref="AO47:AO78" si="102">IF(C47="","",B47&amp;$C$1&amp;C47&amp;$C$2&amp;C47&amp;$C$3)</f>
        <v/>
      </c>
      <c r="AP47" s="61" t="str">
        <f t="shared" ref="AP47:AP78" si="103">+C47&amp;$A$3&amp;C47&amp;$A$4</f>
        <v>=$("#").val();</v>
      </c>
      <c r="AQ47" s="61" t="str">
        <f t="shared" ref="AQ47:AQ78" si="104">IF(AND(E47="selectlist",B47&lt;&gt;""),B47&amp;$A$3&amp;B47&amp;$A$4,"")</f>
        <v/>
      </c>
      <c r="AR47" s="50" t="str">
        <f t="shared" ref="AR47:AR78" si="105">B47&amp;$C$4&amp;C47&amp;$C$2&amp;C47&amp;$C$10</f>
        <v>&lt;input type="checkbox" id="" name="" value="1" /&gt;</v>
      </c>
      <c r="AS47" s="61" t="str">
        <f t="shared" ref="AS47:AS78" si="106">+C47&amp;"="&amp;$D$6&amp;C47&amp;$D$7</f>
        <v>=document.getElementById("").checked;</v>
      </c>
      <c r="AT47" s="102" t="str">
        <f t="shared" ref="AT47:AT78" si="107">+$D$8&amp;C47&amp;$D$9&amp;C47&amp;$D$10&amp;C47&amp;$D$11&amp;C47&amp;$D$12</f>
        <v>if (isset($_GET[''])) {$=($_GET['']);}else $='';</v>
      </c>
      <c r="AU47" s="52" t="str">
        <f t="shared" ref="AU47:AU78" si="108">+IF(AND(B47&lt;&gt;"",E47=$M$5),B47,IF(AND(B47="",E47=$M$5),AU46,""))</f>
        <v/>
      </c>
      <c r="AV47" s="52" t="str">
        <f t="shared" si="89"/>
        <v>&lt;select size="1" name="" id=""&gt;&lt;option value=""&gt;&lt;/option&gt;</v>
      </c>
      <c r="AW47" s="52" t="str">
        <f t="shared" ref="AW47:AW78" si="109">$K$10&amp;C47&amp;$K$9&amp;C47&amp;$K$11</f>
        <v>&lt;option value=""&gt;&lt;/option&gt;</v>
      </c>
      <c r="AX47" s="145" t="str">
        <f t="shared" ref="AX47:AX78" si="110">IF(AU47="","",IF(AND(AU47&lt;&gt;AU46,AU47&lt;&gt;""),AV47,IF(AU47=AU48,AW47,AW47&amp;$K$12)))</f>
        <v/>
      </c>
      <c r="AY47" s="102" t="str">
        <f>""</f>
        <v/>
      </c>
      <c r="AZ47" s="102"/>
      <c r="BA47" s="113">
        <f t="shared" ref="BA47:BA78" si="111">+IF(AND(B47="",E47="radio"),BA46,B47)</f>
        <v>0</v>
      </c>
      <c r="BB47" s="103" t="str">
        <f t="shared" ref="BB47:BB78" si="112">+IF(OR(AND(BA47=BA46,E47="radio"),AND(AU47=AU46,E47="selectlist")),"",BA47&amp;":")</f>
        <v>0:</v>
      </c>
      <c r="BC47" s="50" t="str">
        <f t="shared" ref="BC47:BC78" si="113">BB47&amp;IF(BB47="","",$C$6&amp;BA47&amp;$C$7&amp;"&lt;br/&gt;")&amp;C47&amp;$C$9&amp;BA47&amp;$C$11&amp;C47&amp;$C$12&amp;C47&amp;$D$1</f>
        <v>0:&lt;span id="adv_0"&gt;&lt;/span&gt;&lt;br/&gt;&lt;input type="radio" name="0" id="" value="" /&gt;</v>
      </c>
      <c r="BD47" s="52" t="str">
        <f t="shared" ref="BD47:BD78" si="114">IF(BA47&lt;&gt;BA46,$D$2,"else "&amp;$D$2)</f>
        <v>else if (document.getElementById("</v>
      </c>
      <c r="BE47" s="61" t="str">
        <f t="shared" ref="BE47:BE78" si="115">BD47&amp;C47&amp;$D$3&amp;BA47&amp;"="&amp;$D$4&amp;C47&amp;$D$5&amp;IF(AND(BB47="",BB48&lt;&gt;""),"else "&amp;BA47&amp;"="&amp;$B$4&amp;";","")</f>
        <v>else if (document.getElementById("").checked==true) {0="";}</v>
      </c>
      <c r="BF47" s="61" t="str">
        <f t="shared" ref="BF47:BF78" si="116">+IF(BN47&lt;2,"",",")</f>
        <v/>
      </c>
      <c r="BG47" s="61" t="str">
        <f t="shared" ref="BG47:BG78" si="117">IF(BB47="","",BF47&amp;BB47&amp;LEFT(BB47,LEN(BB47)-1))</f>
        <v>0:0</v>
      </c>
      <c r="BH47" s="102" t="str">
        <f t="shared" ref="BH47:BH78" si="118">IF(BB47="","",$D$8&amp;BA47&amp;$D$9&amp;BA47&amp;$D$10&amp;BA47&amp;$D$11&amp;BA47&amp;$D$12)</f>
        <v>if (isset($_GET['0'])) {$0=($_GET['0']);}else $0='';</v>
      </c>
      <c r="BI47" s="105" t="str">
        <f t="shared" ref="BI47:BI78" si="119">+B47&amp;$G$5&amp;C47&amp;$G$6</f>
        <v>&lt;br/&gt;&lt;textarea rows="2" cols="80" id=""&gt;&lt;/textarea&gt;&lt;br/&gt;</v>
      </c>
      <c r="BJ47" s="107" t="str">
        <f t="shared" ref="BJ47:BJ78" si="120">+B47&amp;$G$3&amp;C47&amp;$G$4</f>
        <v>&lt;input type="text"  size="7"  id="" class="datepicker"/&gt;</v>
      </c>
      <c r="BK47" s="107" t="str">
        <f t="shared" ref="BK47:BK78" si="121">+$O$1&amp;C47&amp;$O$2&amp;B47&amp;$O$3</f>
        <v>&lt;h2 id=""&gt;&lt;/h2&gt;</v>
      </c>
      <c r="BL47" s="109" t="str">
        <f t="shared" si="73"/>
        <v/>
      </c>
      <c r="BM47" s="61" t="str">
        <f t="shared" si="74"/>
        <v/>
      </c>
      <c r="BN47" s="52">
        <f t="shared" si="62"/>
        <v>0</v>
      </c>
      <c r="BO47" s="61" t="str">
        <f t="shared" si="75"/>
        <v/>
      </c>
      <c r="BP47" s="102" t="str">
        <f t="shared" si="76"/>
        <v/>
      </c>
      <c r="BQ47" s="105" t="str">
        <f t="shared" si="77"/>
        <v/>
      </c>
      <c r="BR47" s="52" t="str">
        <f t="shared" ref="BR47:BR78" si="122">+IF(G47="si","required advise","")</f>
        <v/>
      </c>
      <c r="BS47" s="52">
        <f t="shared" ref="BS47:BS78" si="123">+IF(H47="si",1,0)</f>
        <v>0</v>
      </c>
      <c r="BT47" s="52">
        <f t="shared" si="63"/>
        <v>0</v>
      </c>
      <c r="BU47" s="52" t="str">
        <f t="shared" ref="BU47:BU78" si="124">IF(BT46=0,"",IF(BT47=BT46,""," AND "))</f>
        <v/>
      </c>
      <c r="BV47" s="52" t="str">
        <f t="shared" ref="BV47:BV78" si="125">+IF(BU47=" AND ",$E$10,"")</f>
        <v/>
      </c>
      <c r="BW47" s="52" t="str">
        <f t="shared" si="64"/>
        <v/>
      </c>
      <c r="BX47" s="113" t="str">
        <f t="shared" si="78"/>
        <v/>
      </c>
      <c r="BY47" s="52" t="str">
        <f t="shared" ref="BY47:BY78" si="126">IF(BS47=0,"",IF(BX47="","",BU47&amp;BX47&amp;"='$"&amp;BX47&amp;"'"))</f>
        <v/>
      </c>
      <c r="BZ47" s="52" t="str">
        <f t="shared" ref="BZ47:BZ78" si="127">+IF(BS47=0,"",BV47&amp;".$"&amp;BX47)</f>
        <v/>
      </c>
      <c r="CA47" s="52" t="str">
        <f t="shared" si="79"/>
        <v/>
      </c>
      <c r="CB47" s="52" t="str">
        <f t="shared" si="80"/>
        <v/>
      </c>
      <c r="CC47" s="52" t="str">
        <f t="shared" ref="CC47:CC78" si="128">IF(BX47="","","$"&amp;BX47)</f>
        <v/>
      </c>
      <c r="CD47" s="52" t="str">
        <f t="shared" ref="CD47:CD78" si="129">IF(C47="","",IF(OR(E47="texto",E47="bigtext"),CC47&amp;$S$12&amp;CC47&amp;");",""))</f>
        <v/>
      </c>
      <c r="CE47" s="102" t="str">
        <f t="shared" si="81"/>
        <v/>
      </c>
      <c r="CF47" s="116" t="str">
        <f t="shared" ref="CF47:CF78" si="130">IF(E47=$M$8,"$"&amp;C47&amp;"="&amp;J47&amp;";","")</f>
        <v/>
      </c>
      <c r="CG47" s="61" t="str">
        <f t="shared" si="82"/>
        <v/>
      </c>
      <c r="CH47" s="52" t="str">
        <f t="shared" si="84"/>
        <v/>
      </c>
      <c r="CI47" s="52" t="str">
        <f t="shared" si="85"/>
        <v/>
      </c>
      <c r="CJ47" s="52" t="str">
        <f t="shared" ref="CJ47:CJ78" si="131">+CH47&amp;CI47</f>
        <v/>
      </c>
      <c r="CK47" s="52" t="str">
        <f t="shared" ref="CK47:CK78" si="132">IF(E47="radio",$D$6&amp;C47&amp;$I$3&amp;IF(B47="","",$H$11&amp;B47&amp;$H$12),"")</f>
        <v/>
      </c>
      <c r="CL47" s="52" t="str">
        <f t="shared" ref="CL47:CL78" si="133">IF(E47="check",$D$6&amp;C47&amp;$I$3,"")</f>
        <v/>
      </c>
      <c r="CM47" s="102" t="str">
        <f t="shared" ref="CM47:CM78" si="134">IF(OR(C47="",B47=""),"",$J$8&amp;BX47&amp;$J$9&amp;BX47&amp;$J$10)</f>
        <v/>
      </c>
      <c r="CN47" s="116" t="str">
        <f t="shared" ref="CN47:CN78" si="135">IF(B47="","",IF(E47="check",$K$1&amp;BX47&amp;$K$2&amp;$K$3&amp;" "&amp;$D$4&amp;B47&amp;$D$4&amp;$H$9,$K$4&amp;$D$4&amp;B47&amp;":"&amp;$D$4&amp;"."&amp;$K$5&amp;BX47&amp;$K$2&amp;"];"))</f>
        <v/>
      </c>
      <c r="CO47" s="61">
        <f t="shared" si="65"/>
        <v>0</v>
      </c>
      <c r="CP47" s="61" t="str">
        <f t="shared" si="92"/>
        <v/>
      </c>
      <c r="CQ47" s="61" t="str">
        <f t="shared" si="66"/>
        <v/>
      </c>
      <c r="CR47" s="61" t="str">
        <f t="shared" si="67"/>
        <v/>
      </c>
      <c r="CS47" s="105" t="str">
        <f t="shared" si="68"/>
        <v/>
      </c>
      <c r="CT47" s="105" t="str">
        <f t="shared" si="69"/>
        <v/>
      </c>
      <c r="CU47" s="61" t="str">
        <f t="shared" si="70"/>
        <v/>
      </c>
      <c r="CV47" s="61" t="str">
        <f t="shared" si="71"/>
        <v/>
      </c>
      <c r="CW47" s="61" t="str">
        <f t="shared" ref="CW47:CW78" si="136">+IF(CO47=2,IF(CO48=0,C47,CW48),"")</f>
        <v/>
      </c>
      <c r="CX47" s="61" t="str">
        <f t="shared" si="87"/>
        <v/>
      </c>
      <c r="CY47" s="61" t="str">
        <f t="shared" si="93"/>
        <v/>
      </c>
      <c r="CZ47" s="102" t="str">
        <f t="shared" ref="CZ47:CZ78" si="137">IF(OR(BX47="",E47="session",E47="title"),"",$G$1&amp;BX47&amp;$Q$12&amp;BX47&amp;$J$10)</f>
        <v/>
      </c>
      <c r="DA47" s="17">
        <f t="shared" ref="DA47:DA78" si="138">+LEN(C47)</f>
        <v>0</v>
      </c>
      <c r="DB47" s="17" t="str">
        <f t="shared" si="56"/>
        <v/>
      </c>
      <c r="DC47" s="17">
        <f t="shared" si="91"/>
        <v>0</v>
      </c>
      <c r="DD47" s="17">
        <f t="shared" ref="DD47:DD78" si="139">IF(OR(E47="radio",E47="selectlist"),LEN(C47),0)</f>
        <v>0</v>
      </c>
      <c r="DE47" s="17" t="str">
        <f t="shared" ref="DE47:DE78" si="140">+IF(AND(E47="radio",F47&lt;&gt;"",C47&lt;&gt;""),$G$7&amp;"$"&amp;BA47&amp;"=="&amp;$D$4&amp;C47&amp;$D$4&amp;") "&amp; "$"&amp;BA47&amp;"="&amp;$D$4&amp;F47&amp;$D$4&amp;";","")</f>
        <v/>
      </c>
      <c r="DF47" s="17" t="str">
        <f t="shared" ref="DF47:DF78" si="141">+IF(AND(E47="radio",F47&lt;&gt;"",C47&lt;&gt;""),$G$7&amp;"$row['"&amp;BA47&amp;"']=="&amp;$D$4&amp;C47&amp;$D$4&amp;") "&amp; "$row['"&amp;BA47&amp;"']="&amp;$D$4&amp;F47&amp;$D$4&amp;";","")</f>
        <v/>
      </c>
    </row>
    <row r="48" spans="2:110" s="17" customFormat="1">
      <c r="B48" s="35"/>
      <c r="C48" s="35"/>
      <c r="D48" s="36"/>
      <c r="E48" s="35"/>
      <c r="F48" s="35"/>
      <c r="G48" s="35"/>
      <c r="H48" s="35"/>
      <c r="I48" s="35"/>
      <c r="J48" s="59"/>
      <c r="Z48" s="172" t="str">
        <f t="shared" si="94"/>
        <v/>
      </c>
      <c r="AB48" s="47" t="s">
        <v>227</v>
      </c>
      <c r="AC48" s="52" t="str">
        <f t="shared" si="88"/>
        <v/>
      </c>
      <c r="AD48" s="52">
        <f t="shared" si="72"/>
        <v>0</v>
      </c>
      <c r="AE48" s="52">
        <f t="shared" ref="AE48:AE79" si="142">+AE47+AD48</f>
        <v>0</v>
      </c>
      <c r="AF48" s="61" t="str">
        <f t="shared" si="95"/>
        <v/>
      </c>
      <c r="AG48" s="52">
        <f t="shared" si="96"/>
        <v>0</v>
      </c>
      <c r="AH48" s="52">
        <f t="shared" si="97"/>
        <v>0</v>
      </c>
      <c r="AI48" s="52" t="str">
        <f t="shared" si="98"/>
        <v/>
      </c>
      <c r="AJ48" s="61" t="str">
        <f t="shared" si="99"/>
        <v/>
      </c>
      <c r="AK48" s="95" t="str">
        <f t="shared" si="7"/>
        <v/>
      </c>
      <c r="AL48" s="61" t="str">
        <f t="shared" si="100"/>
        <v>if () {$("#adv_").html("Required");$("#").css({"background":"yellow"});} else {$("#adv_").html("");$("#").css({"background":"white"});}</v>
      </c>
      <c r="AM48" s="61" t="str">
        <f t="shared" si="101"/>
        <v>if (=="") {$("#adv_").html("Required");$("#adv_").css({"background":"yellow"});} else {$("#adv_").html("");}</v>
      </c>
      <c r="AN48" s="61" t="str">
        <f t="shared" si="83"/>
        <v>if (=="") {$("#adv_").html("Required");$("#").css({"background":"yellow"});} else {$("#adv_").html("");$("#").css({"background":"white"});}</v>
      </c>
      <c r="AO48" s="50" t="str">
        <f t="shared" si="102"/>
        <v/>
      </c>
      <c r="AP48" s="61" t="str">
        <f t="shared" si="103"/>
        <v>=$("#").val();</v>
      </c>
      <c r="AQ48" s="61" t="str">
        <f t="shared" si="104"/>
        <v/>
      </c>
      <c r="AR48" s="50" t="str">
        <f t="shared" si="105"/>
        <v>&lt;input type="checkbox" id="" name="" value="1" /&gt;</v>
      </c>
      <c r="AS48" s="61" t="str">
        <f t="shared" si="106"/>
        <v>=document.getElementById("").checked;</v>
      </c>
      <c r="AT48" s="102" t="str">
        <f t="shared" si="107"/>
        <v>if (isset($_GET[''])) {$=($_GET['']);}else $='';</v>
      </c>
      <c r="AU48" s="52" t="str">
        <f t="shared" si="108"/>
        <v/>
      </c>
      <c r="AV48" s="52" t="str">
        <f t="shared" si="89"/>
        <v>&lt;select size="1" name="" id=""&gt;&lt;option value=""&gt;&lt;/option&gt;</v>
      </c>
      <c r="AW48" s="52" t="str">
        <f t="shared" si="109"/>
        <v>&lt;option value=""&gt;&lt;/option&gt;</v>
      </c>
      <c r="AX48" s="145" t="str">
        <f t="shared" si="110"/>
        <v/>
      </c>
      <c r="AY48" s="102" t="str">
        <f>""</f>
        <v/>
      </c>
      <c r="AZ48" s="102"/>
      <c r="BA48" s="113">
        <f t="shared" si="111"/>
        <v>0</v>
      </c>
      <c r="BB48" s="103" t="str">
        <f t="shared" si="112"/>
        <v>0:</v>
      </c>
      <c r="BC48" s="50" t="str">
        <f t="shared" si="113"/>
        <v>0:&lt;span id="adv_0"&gt;&lt;/span&gt;&lt;br/&gt;&lt;input type="radio" name="0" id="" value="" /&gt;</v>
      </c>
      <c r="BD48" s="52" t="str">
        <f t="shared" si="114"/>
        <v>else if (document.getElementById("</v>
      </c>
      <c r="BE48" s="61" t="str">
        <f t="shared" si="115"/>
        <v>else if (document.getElementById("").checked==true) {0="";}</v>
      </c>
      <c r="BF48" s="61" t="str">
        <f t="shared" si="116"/>
        <v/>
      </c>
      <c r="BG48" s="61" t="str">
        <f t="shared" si="117"/>
        <v>0:0</v>
      </c>
      <c r="BH48" s="102" t="str">
        <f t="shared" si="118"/>
        <v>if (isset($_GET['0'])) {$0=($_GET['0']);}else $0='';</v>
      </c>
      <c r="BI48" s="105" t="str">
        <f t="shared" si="119"/>
        <v>&lt;br/&gt;&lt;textarea rows="2" cols="80" id=""&gt;&lt;/textarea&gt;&lt;br/&gt;</v>
      </c>
      <c r="BJ48" s="107" t="str">
        <f t="shared" si="120"/>
        <v>&lt;input type="text"  size="7"  id="" class="datepicker"/&gt;</v>
      </c>
      <c r="BK48" s="107" t="str">
        <f t="shared" si="121"/>
        <v>&lt;h2 id=""&gt;&lt;/h2&gt;</v>
      </c>
      <c r="BL48" s="109" t="str">
        <f t="shared" si="73"/>
        <v/>
      </c>
      <c r="BM48" s="61" t="str">
        <f t="shared" si="74"/>
        <v/>
      </c>
      <c r="BN48" s="52">
        <f t="shared" ref="BN48:BN79" si="143">+IF(BM48="",0,1)+BN47</f>
        <v>0</v>
      </c>
      <c r="BO48" s="61" t="str">
        <f t="shared" si="75"/>
        <v/>
      </c>
      <c r="BP48" s="102" t="str">
        <f t="shared" si="76"/>
        <v/>
      </c>
      <c r="BQ48" s="105" t="str">
        <f t="shared" si="77"/>
        <v/>
      </c>
      <c r="BR48" s="52" t="str">
        <f t="shared" si="122"/>
        <v/>
      </c>
      <c r="BS48" s="52">
        <f t="shared" si="123"/>
        <v>0</v>
      </c>
      <c r="BT48" s="52">
        <f t="shared" ref="BT48:BT79" si="144">+BS48+BT47</f>
        <v>0</v>
      </c>
      <c r="BU48" s="52" t="str">
        <f t="shared" si="124"/>
        <v/>
      </c>
      <c r="BV48" s="52" t="str">
        <f t="shared" si="125"/>
        <v/>
      </c>
      <c r="BW48" s="52" t="str">
        <f t="shared" ref="BW48:BW79" si="145">+IF(BX48="","",",")</f>
        <v/>
      </c>
      <c r="BX48" s="113" t="str">
        <f t="shared" si="78"/>
        <v/>
      </c>
      <c r="BY48" s="52" t="str">
        <f t="shared" si="126"/>
        <v/>
      </c>
      <c r="BZ48" s="52" t="str">
        <f t="shared" si="127"/>
        <v/>
      </c>
      <c r="CA48" s="52" t="str">
        <f t="shared" si="79"/>
        <v/>
      </c>
      <c r="CB48" s="52" t="str">
        <f t="shared" si="80"/>
        <v/>
      </c>
      <c r="CC48" s="52" t="str">
        <f t="shared" si="128"/>
        <v/>
      </c>
      <c r="CD48" s="52" t="str">
        <f t="shared" si="129"/>
        <v/>
      </c>
      <c r="CE48" s="102" t="str">
        <f t="shared" si="81"/>
        <v/>
      </c>
      <c r="CF48" s="116" t="str">
        <f t="shared" si="130"/>
        <v/>
      </c>
      <c r="CG48" s="61" t="str">
        <f t="shared" si="82"/>
        <v/>
      </c>
      <c r="CH48" s="52" t="str">
        <f t="shared" si="84"/>
        <v/>
      </c>
      <c r="CI48" s="52" t="str">
        <f t="shared" si="85"/>
        <v/>
      </c>
      <c r="CJ48" s="52" t="str">
        <f t="shared" si="131"/>
        <v/>
      </c>
      <c r="CK48" s="52" t="str">
        <f t="shared" si="132"/>
        <v/>
      </c>
      <c r="CL48" s="52" t="str">
        <f t="shared" si="133"/>
        <v/>
      </c>
      <c r="CM48" s="102" t="str">
        <f t="shared" si="134"/>
        <v/>
      </c>
      <c r="CN48" s="116" t="str">
        <f t="shared" si="135"/>
        <v/>
      </c>
      <c r="CO48" s="61">
        <f t="shared" si="65"/>
        <v>0</v>
      </c>
      <c r="CP48" s="61" t="str">
        <f t="shared" si="92"/>
        <v/>
      </c>
      <c r="CQ48" s="61" t="str">
        <f t="shared" si="66"/>
        <v/>
      </c>
      <c r="CR48" s="61" t="str">
        <f t="shared" si="67"/>
        <v/>
      </c>
      <c r="CS48" s="105" t="str">
        <f t="shared" si="68"/>
        <v/>
      </c>
      <c r="CT48" s="105" t="str">
        <f t="shared" si="69"/>
        <v/>
      </c>
      <c r="CU48" s="61" t="str">
        <f t="shared" si="70"/>
        <v/>
      </c>
      <c r="CV48" s="61" t="str">
        <f t="shared" si="71"/>
        <v/>
      </c>
      <c r="CW48" s="61" t="str">
        <f t="shared" si="136"/>
        <v/>
      </c>
      <c r="CX48" s="61" t="str">
        <f t="shared" si="87"/>
        <v/>
      </c>
      <c r="CY48" s="61" t="str">
        <f t="shared" si="93"/>
        <v/>
      </c>
      <c r="CZ48" s="102" t="str">
        <f t="shared" si="137"/>
        <v/>
      </c>
      <c r="DA48" s="17">
        <f t="shared" si="138"/>
        <v>0</v>
      </c>
      <c r="DB48" s="17" t="str">
        <f t="shared" si="56"/>
        <v/>
      </c>
      <c r="DC48" s="17">
        <f t="shared" si="91"/>
        <v>0</v>
      </c>
      <c r="DD48" s="17">
        <f t="shared" si="139"/>
        <v>0</v>
      </c>
      <c r="DE48" s="17" t="str">
        <f t="shared" si="140"/>
        <v/>
      </c>
      <c r="DF48" s="17" t="str">
        <f t="shared" si="141"/>
        <v/>
      </c>
    </row>
    <row r="49" spans="2:110" s="17" customFormat="1">
      <c r="B49" s="35"/>
      <c r="C49" s="35"/>
      <c r="D49" s="36"/>
      <c r="E49" s="35"/>
      <c r="F49" s="35"/>
      <c r="G49" s="35"/>
      <c r="H49" s="35"/>
      <c r="I49" s="35"/>
      <c r="J49" s="59"/>
      <c r="Z49" s="172" t="str">
        <f t="shared" si="94"/>
        <v/>
      </c>
      <c r="AB49" s="47" t="s">
        <v>228</v>
      </c>
      <c r="AC49" s="52" t="str">
        <f t="shared" si="88"/>
        <v/>
      </c>
      <c r="AD49" s="52">
        <f t="shared" si="72"/>
        <v>0</v>
      </c>
      <c r="AE49" s="52">
        <f t="shared" si="142"/>
        <v>0</v>
      </c>
      <c r="AF49" s="61" t="str">
        <f t="shared" si="95"/>
        <v/>
      </c>
      <c r="AG49" s="52">
        <f t="shared" si="96"/>
        <v>0</v>
      </c>
      <c r="AH49" s="52">
        <f t="shared" si="97"/>
        <v>0</v>
      </c>
      <c r="AI49" s="52" t="str">
        <f t="shared" si="98"/>
        <v/>
      </c>
      <c r="AJ49" s="61" t="str">
        <f t="shared" si="99"/>
        <v/>
      </c>
      <c r="AK49" s="95" t="str">
        <f t="shared" si="7"/>
        <v/>
      </c>
      <c r="AL49" s="61" t="str">
        <f t="shared" si="100"/>
        <v>if () {$("#adv_").html("Required");$("#").css({"background":"yellow"});} else {$("#adv_").html("");$("#").css({"background":"white"});}</v>
      </c>
      <c r="AM49" s="61" t="str">
        <f t="shared" si="101"/>
        <v>if (=="") {$("#adv_").html("Required");$("#adv_").css({"background":"yellow"});} else {$("#adv_").html("");}</v>
      </c>
      <c r="AN49" s="61" t="str">
        <f t="shared" si="83"/>
        <v>if (=="") {$("#adv_").html("Required");$("#").css({"background":"yellow"});} else {$("#adv_").html("");$("#").css({"background":"white"});}</v>
      </c>
      <c r="AO49" s="50" t="str">
        <f t="shared" si="102"/>
        <v/>
      </c>
      <c r="AP49" s="61" t="str">
        <f t="shared" si="103"/>
        <v>=$("#").val();</v>
      </c>
      <c r="AQ49" s="61" t="str">
        <f t="shared" si="104"/>
        <v/>
      </c>
      <c r="AR49" s="50" t="str">
        <f t="shared" si="105"/>
        <v>&lt;input type="checkbox" id="" name="" value="1" /&gt;</v>
      </c>
      <c r="AS49" s="61" t="str">
        <f t="shared" si="106"/>
        <v>=document.getElementById("").checked;</v>
      </c>
      <c r="AT49" s="102" t="str">
        <f t="shared" si="107"/>
        <v>if (isset($_GET[''])) {$=($_GET['']);}else $='';</v>
      </c>
      <c r="AU49" s="52" t="str">
        <f t="shared" si="108"/>
        <v/>
      </c>
      <c r="AV49" s="52" t="str">
        <f t="shared" si="89"/>
        <v>&lt;select size="1" name="" id=""&gt;&lt;option value=""&gt;&lt;/option&gt;</v>
      </c>
      <c r="AW49" s="52" t="str">
        <f t="shared" si="109"/>
        <v>&lt;option value=""&gt;&lt;/option&gt;</v>
      </c>
      <c r="AX49" s="145" t="str">
        <f t="shared" si="110"/>
        <v/>
      </c>
      <c r="AY49" s="102" t="str">
        <f>""</f>
        <v/>
      </c>
      <c r="AZ49" s="102"/>
      <c r="BA49" s="113">
        <f t="shared" si="111"/>
        <v>0</v>
      </c>
      <c r="BB49" s="103" t="str">
        <f t="shared" si="112"/>
        <v>0:</v>
      </c>
      <c r="BC49" s="50" t="str">
        <f t="shared" si="113"/>
        <v>0:&lt;span id="adv_0"&gt;&lt;/span&gt;&lt;br/&gt;&lt;input type="radio" name="0" id="" value="" /&gt;</v>
      </c>
      <c r="BD49" s="52" t="str">
        <f t="shared" si="114"/>
        <v>else if (document.getElementById("</v>
      </c>
      <c r="BE49" s="61" t="str">
        <f t="shared" si="115"/>
        <v>else if (document.getElementById("").checked==true) {0="";}</v>
      </c>
      <c r="BF49" s="61" t="str">
        <f t="shared" si="116"/>
        <v/>
      </c>
      <c r="BG49" s="61" t="str">
        <f t="shared" si="117"/>
        <v>0:0</v>
      </c>
      <c r="BH49" s="102" t="str">
        <f t="shared" si="118"/>
        <v>if (isset($_GET['0'])) {$0=($_GET['0']);}else $0='';</v>
      </c>
      <c r="BI49" s="105" t="str">
        <f t="shared" si="119"/>
        <v>&lt;br/&gt;&lt;textarea rows="2" cols="80" id=""&gt;&lt;/textarea&gt;&lt;br/&gt;</v>
      </c>
      <c r="BJ49" s="107" t="str">
        <f t="shared" si="120"/>
        <v>&lt;input type="text"  size="7"  id="" class="datepicker"/&gt;</v>
      </c>
      <c r="BK49" s="107" t="str">
        <f t="shared" si="121"/>
        <v>&lt;h2 id=""&gt;&lt;/h2&gt;</v>
      </c>
      <c r="BL49" s="109" t="str">
        <f t="shared" si="73"/>
        <v/>
      </c>
      <c r="BM49" s="61" t="str">
        <f t="shared" si="74"/>
        <v/>
      </c>
      <c r="BN49" s="52">
        <f t="shared" si="143"/>
        <v>0</v>
      </c>
      <c r="BO49" s="61" t="str">
        <f t="shared" si="75"/>
        <v/>
      </c>
      <c r="BP49" s="102" t="str">
        <f t="shared" si="76"/>
        <v/>
      </c>
      <c r="BQ49" s="105" t="str">
        <f t="shared" si="77"/>
        <v/>
      </c>
      <c r="BR49" s="52" t="str">
        <f t="shared" si="122"/>
        <v/>
      </c>
      <c r="BS49" s="52">
        <f t="shared" si="123"/>
        <v>0</v>
      </c>
      <c r="BT49" s="52">
        <f t="shared" si="144"/>
        <v>0</v>
      </c>
      <c r="BU49" s="52" t="str">
        <f t="shared" si="124"/>
        <v/>
      </c>
      <c r="BV49" s="52" t="str">
        <f t="shared" si="125"/>
        <v/>
      </c>
      <c r="BW49" s="52" t="str">
        <f t="shared" si="145"/>
        <v/>
      </c>
      <c r="BX49" s="113" t="str">
        <f t="shared" si="78"/>
        <v/>
      </c>
      <c r="BY49" s="52" t="str">
        <f t="shared" si="126"/>
        <v/>
      </c>
      <c r="BZ49" s="52" t="str">
        <f t="shared" si="127"/>
        <v/>
      </c>
      <c r="CA49" s="52" t="str">
        <f t="shared" si="79"/>
        <v/>
      </c>
      <c r="CB49" s="52" t="str">
        <f t="shared" si="80"/>
        <v/>
      </c>
      <c r="CC49" s="52" t="str">
        <f t="shared" si="128"/>
        <v/>
      </c>
      <c r="CD49" s="52" t="str">
        <f t="shared" si="129"/>
        <v/>
      </c>
      <c r="CE49" s="102" t="str">
        <f t="shared" si="81"/>
        <v/>
      </c>
      <c r="CF49" s="116" t="str">
        <f t="shared" si="130"/>
        <v/>
      </c>
      <c r="CG49" s="61" t="str">
        <f t="shared" si="82"/>
        <v/>
      </c>
      <c r="CH49" s="52" t="str">
        <f t="shared" si="84"/>
        <v/>
      </c>
      <c r="CI49" s="52" t="str">
        <f t="shared" si="85"/>
        <v/>
      </c>
      <c r="CJ49" s="52" t="str">
        <f t="shared" si="131"/>
        <v/>
      </c>
      <c r="CK49" s="52" t="str">
        <f t="shared" si="132"/>
        <v/>
      </c>
      <c r="CL49" s="52" t="str">
        <f t="shared" si="133"/>
        <v/>
      </c>
      <c r="CM49" s="102" t="str">
        <f t="shared" si="134"/>
        <v/>
      </c>
      <c r="CN49" s="116" t="str">
        <f t="shared" si="135"/>
        <v/>
      </c>
      <c r="CO49" s="61">
        <f t="shared" ref="CO49:CO80" si="146">IF(AND(CO50=2,BA49=BA50),2,IF(IF(I50="si",1,0)=1,2,0))</f>
        <v>0</v>
      </c>
      <c r="CP49" s="61" t="str">
        <f t="shared" si="92"/>
        <v/>
      </c>
      <c r="CQ49" s="61" t="str">
        <f t="shared" si="66"/>
        <v/>
      </c>
      <c r="CR49" s="61" t="str">
        <f t="shared" si="67"/>
        <v/>
      </c>
      <c r="CS49" s="105" t="str">
        <f t="shared" si="68"/>
        <v/>
      </c>
      <c r="CT49" s="105" t="str">
        <f t="shared" si="69"/>
        <v/>
      </c>
      <c r="CU49" s="61" t="str">
        <f t="shared" si="70"/>
        <v/>
      </c>
      <c r="CV49" s="61" t="str">
        <f t="shared" si="71"/>
        <v/>
      </c>
      <c r="CW49" s="61" t="str">
        <f t="shared" si="136"/>
        <v/>
      </c>
      <c r="CX49" s="61" t="str">
        <f t="shared" si="87"/>
        <v/>
      </c>
      <c r="CY49" s="61" t="str">
        <f t="shared" si="93"/>
        <v/>
      </c>
      <c r="CZ49" s="102" t="str">
        <f t="shared" si="137"/>
        <v/>
      </c>
      <c r="DA49" s="17">
        <f t="shared" si="138"/>
        <v>0</v>
      </c>
      <c r="DC49" s="17">
        <f t="shared" si="91"/>
        <v>0</v>
      </c>
      <c r="DD49" s="17">
        <f t="shared" si="139"/>
        <v>0</v>
      </c>
      <c r="DE49" s="17" t="str">
        <f t="shared" si="140"/>
        <v/>
      </c>
      <c r="DF49" s="17" t="str">
        <f t="shared" si="141"/>
        <v/>
      </c>
    </row>
    <row r="50" spans="2:110" s="17" customFormat="1">
      <c r="B50" s="35"/>
      <c r="C50" s="35"/>
      <c r="D50" s="36"/>
      <c r="E50" s="35"/>
      <c r="F50" s="35"/>
      <c r="G50" s="35"/>
      <c r="H50" s="35"/>
      <c r="I50" s="35"/>
      <c r="J50" s="59"/>
      <c r="Z50" s="172" t="str">
        <f t="shared" si="94"/>
        <v/>
      </c>
      <c r="AB50" s="47" t="s">
        <v>229</v>
      </c>
      <c r="AC50" s="52" t="str">
        <f t="shared" si="88"/>
        <v/>
      </c>
      <c r="AD50" s="52">
        <f t="shared" si="72"/>
        <v>0</v>
      </c>
      <c r="AE50" s="52">
        <f t="shared" si="142"/>
        <v>0</v>
      </c>
      <c r="AF50" s="61" t="str">
        <f t="shared" si="95"/>
        <v/>
      </c>
      <c r="AG50" s="52">
        <f t="shared" si="96"/>
        <v>0</v>
      </c>
      <c r="AH50" s="52">
        <f t="shared" si="97"/>
        <v>0</v>
      </c>
      <c r="AI50" s="52" t="str">
        <f t="shared" si="98"/>
        <v/>
      </c>
      <c r="AJ50" s="61" t="str">
        <f t="shared" si="99"/>
        <v/>
      </c>
      <c r="AK50" s="95" t="str">
        <f t="shared" si="7"/>
        <v/>
      </c>
      <c r="AL50" s="61" t="str">
        <f t="shared" si="100"/>
        <v>if () {$("#adv_").html("Required");$("#").css({"background":"yellow"});} else {$("#adv_").html("");$("#").css({"background":"white"});}</v>
      </c>
      <c r="AM50" s="61" t="str">
        <f t="shared" si="101"/>
        <v>if (=="") {$("#adv_").html("Required");$("#adv_").css({"background":"yellow"});} else {$("#adv_").html("");}</v>
      </c>
      <c r="AN50" s="61" t="str">
        <f t="shared" si="83"/>
        <v>if (=="") {$("#adv_").html("Required");$("#").css({"background":"yellow"});} else {$("#adv_").html("");$("#").css({"background":"white"});}</v>
      </c>
      <c r="AO50" s="50" t="str">
        <f t="shared" si="102"/>
        <v/>
      </c>
      <c r="AP50" s="61" t="str">
        <f t="shared" si="103"/>
        <v>=$("#").val();</v>
      </c>
      <c r="AQ50" s="61" t="str">
        <f t="shared" si="104"/>
        <v/>
      </c>
      <c r="AR50" s="50" t="str">
        <f t="shared" si="105"/>
        <v>&lt;input type="checkbox" id="" name="" value="1" /&gt;</v>
      </c>
      <c r="AS50" s="61" t="str">
        <f t="shared" si="106"/>
        <v>=document.getElementById("").checked;</v>
      </c>
      <c r="AT50" s="102" t="str">
        <f t="shared" si="107"/>
        <v>if (isset($_GET[''])) {$=($_GET['']);}else $='';</v>
      </c>
      <c r="AU50" s="52" t="str">
        <f t="shared" si="108"/>
        <v/>
      </c>
      <c r="AV50" s="52" t="str">
        <f t="shared" ref="AV50:AV81" si="147">AU50&amp;$K$8&amp;AU50&amp;$C$11&amp;AU50&amp;$K$9&amp;$K$10&amp;C50&amp;$K$9&amp;C50&amp;I46</f>
        <v>&lt;select size="1" name="" id=""&gt;&lt;option value=""&gt;</v>
      </c>
      <c r="AW50" s="52" t="str">
        <f t="shared" si="109"/>
        <v>&lt;option value=""&gt;&lt;/option&gt;</v>
      </c>
      <c r="AX50" s="145" t="str">
        <f t="shared" si="110"/>
        <v/>
      </c>
      <c r="AY50" s="102" t="str">
        <f>""</f>
        <v/>
      </c>
      <c r="AZ50" s="102"/>
      <c r="BA50" s="113">
        <f t="shared" si="111"/>
        <v>0</v>
      </c>
      <c r="BB50" s="103" t="str">
        <f t="shared" si="112"/>
        <v>0:</v>
      </c>
      <c r="BC50" s="50" t="str">
        <f t="shared" si="113"/>
        <v>0:&lt;span id="adv_0"&gt;&lt;/span&gt;&lt;br/&gt;&lt;input type="radio" name="0" id="" value="" /&gt;</v>
      </c>
      <c r="BD50" s="52" t="str">
        <f t="shared" si="114"/>
        <v>else if (document.getElementById("</v>
      </c>
      <c r="BE50" s="61" t="str">
        <f t="shared" si="115"/>
        <v>else if (document.getElementById("").checked==true) {0="";}</v>
      </c>
      <c r="BF50" s="61" t="str">
        <f t="shared" si="116"/>
        <v/>
      </c>
      <c r="BG50" s="61" t="str">
        <f t="shared" si="117"/>
        <v>0:0</v>
      </c>
      <c r="BH50" s="102" t="str">
        <f t="shared" si="118"/>
        <v>if (isset($_GET['0'])) {$0=($_GET['0']);}else $0='';</v>
      </c>
      <c r="BI50" s="105" t="str">
        <f t="shared" si="119"/>
        <v>&lt;br/&gt;&lt;textarea rows="2" cols="80" id=""&gt;&lt;/textarea&gt;&lt;br/&gt;</v>
      </c>
      <c r="BJ50" s="107" t="str">
        <f t="shared" si="120"/>
        <v>&lt;input type="text"  size="7"  id="" class="datepicker"/&gt;</v>
      </c>
      <c r="BK50" s="107" t="str">
        <f t="shared" si="121"/>
        <v>&lt;h2 id=""&gt;&lt;/h2&gt;</v>
      </c>
      <c r="BL50" s="109" t="str">
        <f t="shared" si="73"/>
        <v/>
      </c>
      <c r="BM50" s="61" t="str">
        <f t="shared" si="74"/>
        <v/>
      </c>
      <c r="BN50" s="52">
        <f t="shared" si="143"/>
        <v>0</v>
      </c>
      <c r="BO50" s="61" t="str">
        <f t="shared" si="75"/>
        <v/>
      </c>
      <c r="BP50" s="102" t="str">
        <f t="shared" si="76"/>
        <v/>
      </c>
      <c r="BQ50" s="105" t="str">
        <f t="shared" si="77"/>
        <v/>
      </c>
      <c r="BR50" s="52" t="str">
        <f t="shared" si="122"/>
        <v/>
      </c>
      <c r="BS50" s="52">
        <f t="shared" si="123"/>
        <v>0</v>
      </c>
      <c r="BT50" s="52">
        <f t="shared" si="144"/>
        <v>0</v>
      </c>
      <c r="BU50" s="52" t="str">
        <f t="shared" si="124"/>
        <v/>
      </c>
      <c r="BV50" s="52" t="str">
        <f t="shared" si="125"/>
        <v/>
      </c>
      <c r="BW50" s="52" t="str">
        <f t="shared" si="145"/>
        <v/>
      </c>
      <c r="BX50" s="113" t="str">
        <f t="shared" si="78"/>
        <v/>
      </c>
      <c r="BY50" s="52" t="str">
        <f t="shared" si="126"/>
        <v/>
      </c>
      <c r="BZ50" s="52" t="str">
        <f t="shared" si="127"/>
        <v/>
      </c>
      <c r="CA50" s="52" t="str">
        <f t="shared" si="79"/>
        <v/>
      </c>
      <c r="CB50" s="52" t="str">
        <f t="shared" si="80"/>
        <v/>
      </c>
      <c r="CC50" s="52" t="str">
        <f t="shared" si="128"/>
        <v/>
      </c>
      <c r="CD50" s="52" t="str">
        <f t="shared" si="129"/>
        <v/>
      </c>
      <c r="CE50" s="102" t="str">
        <f t="shared" si="81"/>
        <v/>
      </c>
      <c r="CF50" s="116" t="str">
        <f t="shared" si="130"/>
        <v/>
      </c>
      <c r="CG50" s="61" t="str">
        <f t="shared" si="82"/>
        <v/>
      </c>
      <c r="CH50" s="52" t="str">
        <f t="shared" si="84"/>
        <v/>
      </c>
      <c r="CI50" s="52" t="str">
        <f t="shared" si="85"/>
        <v/>
      </c>
      <c r="CJ50" s="52" t="str">
        <f t="shared" si="131"/>
        <v/>
      </c>
      <c r="CK50" s="52" t="str">
        <f t="shared" si="132"/>
        <v/>
      </c>
      <c r="CL50" s="52" t="str">
        <f t="shared" si="133"/>
        <v/>
      </c>
      <c r="CM50" s="102" t="str">
        <f t="shared" si="134"/>
        <v/>
      </c>
      <c r="CN50" s="116" t="str">
        <f t="shared" si="135"/>
        <v/>
      </c>
      <c r="CO50" s="61">
        <f t="shared" si="146"/>
        <v>0</v>
      </c>
      <c r="CP50" s="61" t="str">
        <f t="shared" si="92"/>
        <v/>
      </c>
      <c r="CQ50" s="61" t="str">
        <f t="shared" ref="CQ50:CQ81" si="148">+IF(I50="si","||"&amp;C50&amp;$P$9&amp;$Q$1,"")</f>
        <v/>
      </c>
      <c r="CR50" s="61" t="str">
        <f t="shared" ref="CR50:CR81" si="149">+IF(I50="si",$G$7&amp;C50&amp;$P$11&amp;$C$5&amp;C50&amp;$C$8&amp;$Q$2&amp;C50&amp;$H$8,"")</f>
        <v/>
      </c>
      <c r="CS50" s="105" t="str">
        <f t="shared" ref="CS50:CS81" si="150">+IF(I50="si",$A$9&amp;C50&amp;$P$9&amp;$J$12,"")</f>
        <v/>
      </c>
      <c r="CT50" s="105" t="str">
        <f t="shared" ref="CT50:CT81" si="151">+IF(I50="si","&lt;/div&gt;","")</f>
        <v/>
      </c>
      <c r="CU50" s="61" t="str">
        <f t="shared" ref="CU50:CU81" si="152">IF(I50="si",$C$5&amp;C50&amp;$P$9&amp;$H$4&amp;$C$5&amp;C50&amp;$Q$3,"")</f>
        <v/>
      </c>
      <c r="CV50" s="61" t="str">
        <f t="shared" ref="CV50:CV81" si="153">+IF(CO50=2,CV51,IF(I50="si",C50,""))</f>
        <v/>
      </c>
      <c r="CW50" s="61" t="str">
        <f t="shared" si="136"/>
        <v/>
      </c>
      <c r="CX50" s="61" t="str">
        <f t="shared" si="87"/>
        <v/>
      </c>
      <c r="CY50" s="61" t="str">
        <f t="shared" si="93"/>
        <v/>
      </c>
      <c r="CZ50" s="102" t="str">
        <f t="shared" si="137"/>
        <v/>
      </c>
      <c r="DA50" s="17">
        <f t="shared" si="138"/>
        <v>0</v>
      </c>
      <c r="DC50" s="17">
        <f t="shared" si="91"/>
        <v>0</v>
      </c>
      <c r="DD50" s="17">
        <f t="shared" si="139"/>
        <v>0</v>
      </c>
      <c r="DE50" s="17" t="str">
        <f t="shared" si="140"/>
        <v/>
      </c>
      <c r="DF50" s="17" t="str">
        <f t="shared" si="141"/>
        <v/>
      </c>
    </row>
    <row r="51" spans="2:110" s="17" customFormat="1">
      <c r="B51" s="35"/>
      <c r="C51" s="35"/>
      <c r="D51" s="36"/>
      <c r="E51" s="35"/>
      <c r="F51" s="35"/>
      <c r="G51" s="35"/>
      <c r="H51" s="35"/>
      <c r="I51" s="35"/>
      <c r="J51" s="59"/>
      <c r="Z51" s="172" t="str">
        <f t="shared" si="94"/>
        <v/>
      </c>
      <c r="AB51" s="47" t="s">
        <v>230</v>
      </c>
      <c r="AC51" s="52" t="str">
        <f t="shared" si="88"/>
        <v/>
      </c>
      <c r="AD51" s="52">
        <f t="shared" ref="AD51:AD82" si="154">+IF(OR(E51=$M$2,E51=$M$6,E51=$M$7),1,0)</f>
        <v>0</v>
      </c>
      <c r="AE51" s="52">
        <f t="shared" si="142"/>
        <v>0</v>
      </c>
      <c r="AF51" s="61" t="str">
        <f t="shared" si="95"/>
        <v/>
      </c>
      <c r="AG51" s="52">
        <f t="shared" si="96"/>
        <v>0</v>
      </c>
      <c r="AH51" s="52">
        <f t="shared" si="97"/>
        <v>0</v>
      </c>
      <c r="AI51" s="52" t="str">
        <f t="shared" si="98"/>
        <v/>
      </c>
      <c r="AJ51" s="61" t="str">
        <f t="shared" si="99"/>
        <v/>
      </c>
      <c r="AK51" s="95" t="str">
        <f t="shared" si="7"/>
        <v/>
      </c>
      <c r="AL51" s="61" t="str">
        <f t="shared" si="100"/>
        <v>if () {$("#adv_").html("Required");$("#").css({"background":"yellow"});} else {$("#adv_").html("");$("#").css({"background":"white"});}</v>
      </c>
      <c r="AM51" s="61" t="str">
        <f t="shared" si="101"/>
        <v>if (=="") {$("#adv_").html("Required");$("#adv_").css({"background":"yellow"});} else {$("#adv_").html("");}</v>
      </c>
      <c r="AN51" s="61" t="str">
        <f t="shared" si="83"/>
        <v>if (=="") {$("#adv_").html("Required");$("#").css({"background":"yellow"});} else {$("#adv_").html("");$("#").css({"background":"white"});}</v>
      </c>
      <c r="AO51" s="50" t="str">
        <f t="shared" si="102"/>
        <v/>
      </c>
      <c r="AP51" s="61" t="str">
        <f t="shared" si="103"/>
        <v>=$("#").val();</v>
      </c>
      <c r="AQ51" s="61" t="str">
        <f t="shared" si="104"/>
        <v/>
      </c>
      <c r="AR51" s="50" t="str">
        <f t="shared" si="105"/>
        <v>&lt;input type="checkbox" id="" name="" value="1" /&gt;</v>
      </c>
      <c r="AS51" s="61" t="str">
        <f t="shared" si="106"/>
        <v>=document.getElementById("").checked;</v>
      </c>
      <c r="AT51" s="102" t="str">
        <f t="shared" si="107"/>
        <v>if (isset($_GET[''])) {$=($_GET['']);}else $='';</v>
      </c>
      <c r="AU51" s="52" t="str">
        <f t="shared" si="108"/>
        <v/>
      </c>
      <c r="AV51" s="52" t="str">
        <f t="shared" si="147"/>
        <v>&lt;select size="1" name="" id=""&gt;&lt;option value=""&gt;</v>
      </c>
      <c r="AW51" s="52" t="str">
        <f t="shared" si="109"/>
        <v>&lt;option value=""&gt;&lt;/option&gt;</v>
      </c>
      <c r="AX51" s="145" t="str">
        <f t="shared" si="110"/>
        <v/>
      </c>
      <c r="AY51" s="102" t="str">
        <f>""</f>
        <v/>
      </c>
      <c r="AZ51" s="102"/>
      <c r="BA51" s="113">
        <f t="shared" si="111"/>
        <v>0</v>
      </c>
      <c r="BB51" s="103" t="str">
        <f t="shared" si="112"/>
        <v>0:</v>
      </c>
      <c r="BC51" s="50" t="str">
        <f t="shared" si="113"/>
        <v>0:&lt;span id="adv_0"&gt;&lt;/span&gt;&lt;br/&gt;&lt;input type="radio" name="0" id="" value="" /&gt;</v>
      </c>
      <c r="BD51" s="52" t="str">
        <f t="shared" si="114"/>
        <v>else if (document.getElementById("</v>
      </c>
      <c r="BE51" s="61" t="str">
        <f t="shared" si="115"/>
        <v>else if (document.getElementById("").checked==true) {0="";}</v>
      </c>
      <c r="BF51" s="61" t="str">
        <f t="shared" si="116"/>
        <v/>
      </c>
      <c r="BG51" s="61" t="str">
        <f t="shared" si="117"/>
        <v>0:0</v>
      </c>
      <c r="BH51" s="102" t="str">
        <f t="shared" si="118"/>
        <v>if (isset($_GET['0'])) {$0=($_GET['0']);}else $0='';</v>
      </c>
      <c r="BI51" s="105" t="str">
        <f t="shared" si="119"/>
        <v>&lt;br/&gt;&lt;textarea rows="2" cols="80" id=""&gt;&lt;/textarea&gt;&lt;br/&gt;</v>
      </c>
      <c r="BJ51" s="107" t="str">
        <f t="shared" si="120"/>
        <v>&lt;input type="text"  size="7"  id="" class="datepicker"/&gt;</v>
      </c>
      <c r="BK51" s="107" t="str">
        <f t="shared" si="121"/>
        <v>&lt;h2 id=""&gt;&lt;/h2&gt;</v>
      </c>
      <c r="BL51" s="109" t="str">
        <f t="shared" ref="BL51:BL82" si="155">IF(AND(E51="title",B51&lt;&gt;"",C51&lt;&gt;""),BK51,CS51&amp;IF(C51="","",IF(E51="check",AR51,IF(E51="texto",AO51,IF(E51="radio",BC51,IF(E51="date",BJ51,IF(E51="bigtext",BI51,IF(E51=$M$8,"",AX51)))))))&amp;CT51)</f>
        <v/>
      </c>
      <c r="BM51" s="61" t="str">
        <f t="shared" ref="BM51:BM82" si="156">IF(C51="","",IF(E51="texto",AP51,IF(E51="check",AS51,IF(E51="radio",BE51,IF(E51="date",AP51,IF(E51="bigtext",AP51,IF(E51=$M$8,"",AQ51)))))))</f>
        <v/>
      </c>
      <c r="BN51" s="52">
        <f t="shared" si="143"/>
        <v>0</v>
      </c>
      <c r="BO51" s="61" t="str">
        <f t="shared" ref="BO51:BO82" si="157">IF(E51="title","",IF(E51=$M$8,"",IF(C51="","",IF(OR(E51="radio",E51="selectlist"),BG51,IF(BN51=1,"",",")&amp;C51&amp;":"&amp;C51))))</f>
        <v/>
      </c>
      <c r="BP51" s="102" t="str">
        <f t="shared" ref="BP51:BP82" si="158">IF(AND(E51="title",C51&lt;&gt;"",B51&lt;&gt;""),"",IF(E51=$M$8,"",IF(C51="","",IF(OR(E51="radio",E51="selectlist"),BH51,AT51))))</f>
        <v/>
      </c>
      <c r="BQ51" s="105" t="str">
        <f t="shared" ref="BQ51:BQ82" si="159">IF(AND(E51="title",C51&lt;&gt;"",B51&lt;&gt;""),"",IF(BL51="","",IF(AZ51=1,IF(AU51&lt;&gt;AU52,$C$6&amp;AU51&amp;$C$7,""),IF(G51="si",$C$6&amp;C51&amp;$C$7,""))&amp;"&lt;br/&gt;"))</f>
        <v/>
      </c>
      <c r="BR51" s="52" t="str">
        <f t="shared" si="122"/>
        <v/>
      </c>
      <c r="BS51" s="52">
        <f t="shared" si="123"/>
        <v>0</v>
      </c>
      <c r="BT51" s="52">
        <f t="shared" si="144"/>
        <v>0</v>
      </c>
      <c r="BU51" s="52" t="str">
        <f t="shared" si="124"/>
        <v/>
      </c>
      <c r="BV51" s="52" t="str">
        <f t="shared" si="125"/>
        <v/>
      </c>
      <c r="BW51" s="52" t="str">
        <f t="shared" si="145"/>
        <v/>
      </c>
      <c r="BX51" s="113" t="str">
        <f t="shared" ref="BX51:BX82" si="160">IF(E51="session",C51,IF(B51="","",IF(OR(E51="radio",E51="selectlist"),B51,C51)))</f>
        <v/>
      </c>
      <c r="BY51" s="52" t="str">
        <f t="shared" si="126"/>
        <v/>
      </c>
      <c r="BZ51" s="52" t="str">
        <f t="shared" si="127"/>
        <v/>
      </c>
      <c r="CA51" s="52" t="str">
        <f t="shared" ref="CA51:CA82" si="161">IF(AND(E51="title",C51&lt;&gt;"",B51&lt;&gt;""),"",BW51&amp;BX51)</f>
        <v/>
      </c>
      <c r="CB51" s="52" t="str">
        <f t="shared" ref="CB51:CB82" si="162">IF(AND(E51="title",C51&lt;&gt;"",B51&lt;&gt;""),"",IF(BX51="","",BW51&amp;"'$"&amp;BX51&amp;"'"))</f>
        <v/>
      </c>
      <c r="CC51" s="52" t="str">
        <f t="shared" si="128"/>
        <v/>
      </c>
      <c r="CD51" s="52" t="str">
        <f t="shared" si="129"/>
        <v/>
      </c>
      <c r="CE51" s="102" t="str">
        <f t="shared" ref="CE51:CE82" si="163">IF(AND(E51="title",C51&lt;&gt;"",B51&lt;&gt;""),"",IF(BX51="","",IF(E51="check",$G$7&amp;"$"&amp;C51&amp;$K$6&amp;B51&amp;$K$7,$G$1&amp;B51&amp;$G$2&amp;CC51&amp;";")))</f>
        <v/>
      </c>
      <c r="CF51" s="116" t="str">
        <f t="shared" si="130"/>
        <v/>
      </c>
      <c r="CG51" s="61" t="str">
        <f t="shared" ref="CG51:CG82" si="164">+IF(OR(E51="texto",E51="bigtext",E51="selectlist",E51="date"),CJ51,IF(E51="check",CL51,CK51))</f>
        <v/>
      </c>
      <c r="CH51" s="52" t="str">
        <f t="shared" si="84"/>
        <v/>
      </c>
      <c r="CI51" s="52" t="str">
        <f t="shared" si="85"/>
        <v/>
      </c>
      <c r="CJ51" s="52" t="str">
        <f t="shared" si="131"/>
        <v/>
      </c>
      <c r="CK51" s="52" t="str">
        <f t="shared" si="132"/>
        <v/>
      </c>
      <c r="CL51" s="52" t="str">
        <f t="shared" si="133"/>
        <v/>
      </c>
      <c r="CM51" s="102" t="str">
        <f t="shared" si="134"/>
        <v/>
      </c>
      <c r="CN51" s="116" t="str">
        <f t="shared" si="135"/>
        <v/>
      </c>
      <c r="CO51" s="61">
        <f t="shared" si="146"/>
        <v>0</v>
      </c>
      <c r="CP51" s="61" t="str">
        <f t="shared" si="92"/>
        <v/>
      </c>
      <c r="CQ51" s="61" t="str">
        <f t="shared" si="148"/>
        <v/>
      </c>
      <c r="CR51" s="61" t="str">
        <f t="shared" si="149"/>
        <v/>
      </c>
      <c r="CS51" s="105" t="str">
        <f t="shared" si="150"/>
        <v/>
      </c>
      <c r="CT51" s="105" t="str">
        <f t="shared" si="151"/>
        <v/>
      </c>
      <c r="CU51" s="61" t="str">
        <f t="shared" si="152"/>
        <v/>
      </c>
      <c r="CV51" s="61" t="str">
        <f t="shared" si="153"/>
        <v/>
      </c>
      <c r="CW51" s="61" t="str">
        <f t="shared" si="136"/>
        <v/>
      </c>
      <c r="CX51" s="61" t="str">
        <f t="shared" si="87"/>
        <v/>
      </c>
      <c r="CY51" s="61" t="str">
        <f t="shared" si="93"/>
        <v/>
      </c>
      <c r="CZ51" s="102" t="str">
        <f t="shared" si="137"/>
        <v/>
      </c>
      <c r="DA51" s="17">
        <f t="shared" si="138"/>
        <v>0</v>
      </c>
      <c r="DC51" s="17">
        <f t="shared" si="91"/>
        <v>0</v>
      </c>
      <c r="DD51" s="17">
        <f t="shared" si="139"/>
        <v>0</v>
      </c>
      <c r="DE51" s="17" t="str">
        <f t="shared" si="140"/>
        <v/>
      </c>
      <c r="DF51" s="17" t="str">
        <f t="shared" si="141"/>
        <v/>
      </c>
    </row>
    <row r="52" spans="2:110" s="17" customFormat="1">
      <c r="B52" s="35"/>
      <c r="C52" s="35"/>
      <c r="D52" s="36"/>
      <c r="E52" s="35"/>
      <c r="F52" s="35"/>
      <c r="G52" s="35"/>
      <c r="H52" s="35"/>
      <c r="I52" s="35"/>
      <c r="J52" s="59"/>
      <c r="Z52" s="172" t="str">
        <f t="shared" si="94"/>
        <v/>
      </c>
      <c r="AB52" s="47" t="s">
        <v>231</v>
      </c>
      <c r="AC52" s="52" t="str">
        <f t="shared" si="88"/>
        <v/>
      </c>
      <c r="AD52" s="52">
        <f t="shared" si="154"/>
        <v>0</v>
      </c>
      <c r="AE52" s="52">
        <f t="shared" si="142"/>
        <v>0</v>
      </c>
      <c r="AF52" s="61" t="str">
        <f t="shared" si="95"/>
        <v/>
      </c>
      <c r="AG52" s="52">
        <f t="shared" si="96"/>
        <v>0</v>
      </c>
      <c r="AH52" s="52">
        <f t="shared" si="97"/>
        <v>0</v>
      </c>
      <c r="AI52" s="52" t="str">
        <f t="shared" si="98"/>
        <v/>
      </c>
      <c r="AJ52" s="61" t="str">
        <f t="shared" si="99"/>
        <v/>
      </c>
      <c r="AK52" s="95" t="str">
        <f t="shared" si="7"/>
        <v/>
      </c>
      <c r="AL52" s="61" t="str">
        <f t="shared" si="100"/>
        <v>if () {$("#adv_").html("Required");$("#").css({"background":"yellow"});} else {$("#adv_").html("");$("#").css({"background":"white"});}</v>
      </c>
      <c r="AM52" s="61" t="str">
        <f t="shared" si="101"/>
        <v>if (=="") {$("#adv_").html("Required");$("#adv_").css({"background":"yellow"});} else {$("#adv_").html("");}</v>
      </c>
      <c r="AN52" s="61" t="str">
        <f t="shared" si="83"/>
        <v>if (=="") {$("#adv_").html("Required");$("#").css({"background":"yellow"});} else {$("#adv_").html("");$("#").css({"background":"white"});}</v>
      </c>
      <c r="AO52" s="50" t="str">
        <f t="shared" si="102"/>
        <v/>
      </c>
      <c r="AP52" s="61" t="str">
        <f t="shared" si="103"/>
        <v>=$("#").val();</v>
      </c>
      <c r="AQ52" s="61" t="str">
        <f t="shared" si="104"/>
        <v/>
      </c>
      <c r="AR52" s="50" t="str">
        <f t="shared" si="105"/>
        <v>&lt;input type="checkbox" id="" name="" value="1" /&gt;</v>
      </c>
      <c r="AS52" s="61" t="str">
        <f t="shared" si="106"/>
        <v>=document.getElementById("").checked;</v>
      </c>
      <c r="AT52" s="102" t="str">
        <f t="shared" si="107"/>
        <v>if (isset($_GET[''])) {$=($_GET['']);}else $='';</v>
      </c>
      <c r="AU52" s="52" t="str">
        <f t="shared" si="108"/>
        <v/>
      </c>
      <c r="AV52" s="52" t="str">
        <f t="shared" si="147"/>
        <v>&lt;select size="1" name="" id=""&gt;&lt;option value=""&gt;</v>
      </c>
      <c r="AW52" s="52" t="str">
        <f t="shared" si="109"/>
        <v>&lt;option value=""&gt;&lt;/option&gt;</v>
      </c>
      <c r="AX52" s="145" t="str">
        <f t="shared" si="110"/>
        <v/>
      </c>
      <c r="AY52" s="102" t="str">
        <f>""</f>
        <v/>
      </c>
      <c r="AZ52" s="102"/>
      <c r="BA52" s="113">
        <f t="shared" si="111"/>
        <v>0</v>
      </c>
      <c r="BB52" s="103" t="str">
        <f t="shared" si="112"/>
        <v>0:</v>
      </c>
      <c r="BC52" s="50" t="str">
        <f t="shared" si="113"/>
        <v>0:&lt;span id="adv_0"&gt;&lt;/span&gt;&lt;br/&gt;&lt;input type="radio" name="0" id="" value="" /&gt;</v>
      </c>
      <c r="BD52" s="52" t="str">
        <f t="shared" si="114"/>
        <v>else if (document.getElementById("</v>
      </c>
      <c r="BE52" s="61" t="str">
        <f t="shared" si="115"/>
        <v>else if (document.getElementById("").checked==true) {0="";}</v>
      </c>
      <c r="BF52" s="61" t="str">
        <f t="shared" si="116"/>
        <v/>
      </c>
      <c r="BG52" s="61" t="str">
        <f t="shared" si="117"/>
        <v>0:0</v>
      </c>
      <c r="BH52" s="102" t="str">
        <f t="shared" si="118"/>
        <v>if (isset($_GET['0'])) {$0=($_GET['0']);}else $0='';</v>
      </c>
      <c r="BI52" s="105" t="str">
        <f t="shared" si="119"/>
        <v>&lt;br/&gt;&lt;textarea rows="2" cols="80" id=""&gt;&lt;/textarea&gt;&lt;br/&gt;</v>
      </c>
      <c r="BJ52" s="107" t="str">
        <f t="shared" si="120"/>
        <v>&lt;input type="text"  size="7"  id="" class="datepicker"/&gt;</v>
      </c>
      <c r="BK52" s="107" t="str">
        <f t="shared" si="121"/>
        <v>&lt;h2 id=""&gt;&lt;/h2&gt;</v>
      </c>
      <c r="BL52" s="109" t="str">
        <f t="shared" si="155"/>
        <v/>
      </c>
      <c r="BM52" s="61" t="str">
        <f t="shared" si="156"/>
        <v/>
      </c>
      <c r="BN52" s="52">
        <f t="shared" si="143"/>
        <v>0</v>
      </c>
      <c r="BO52" s="61" t="str">
        <f t="shared" si="157"/>
        <v/>
      </c>
      <c r="BP52" s="102" t="str">
        <f t="shared" si="158"/>
        <v/>
      </c>
      <c r="BQ52" s="105" t="str">
        <f t="shared" si="159"/>
        <v/>
      </c>
      <c r="BR52" s="52" t="str">
        <f t="shared" si="122"/>
        <v/>
      </c>
      <c r="BS52" s="52">
        <f t="shared" si="123"/>
        <v>0</v>
      </c>
      <c r="BT52" s="52">
        <f t="shared" si="144"/>
        <v>0</v>
      </c>
      <c r="BU52" s="52" t="str">
        <f t="shared" si="124"/>
        <v/>
      </c>
      <c r="BV52" s="52" t="str">
        <f t="shared" si="125"/>
        <v/>
      </c>
      <c r="BW52" s="52" t="str">
        <f t="shared" si="145"/>
        <v/>
      </c>
      <c r="BX52" s="113" t="str">
        <f t="shared" si="160"/>
        <v/>
      </c>
      <c r="BY52" s="52" t="str">
        <f t="shared" si="126"/>
        <v/>
      </c>
      <c r="BZ52" s="52" t="str">
        <f t="shared" si="127"/>
        <v/>
      </c>
      <c r="CA52" s="52" t="str">
        <f t="shared" si="161"/>
        <v/>
      </c>
      <c r="CB52" s="52" t="str">
        <f t="shared" si="162"/>
        <v/>
      </c>
      <c r="CC52" s="52" t="str">
        <f t="shared" si="128"/>
        <v/>
      </c>
      <c r="CD52" s="52" t="str">
        <f t="shared" si="129"/>
        <v/>
      </c>
      <c r="CE52" s="102" t="str">
        <f t="shared" si="163"/>
        <v/>
      </c>
      <c r="CF52" s="116" t="str">
        <f t="shared" si="130"/>
        <v/>
      </c>
      <c r="CG52" s="61" t="str">
        <f t="shared" si="164"/>
        <v/>
      </c>
      <c r="CH52" s="52" t="str">
        <f t="shared" si="84"/>
        <v/>
      </c>
      <c r="CI52" s="52" t="str">
        <f t="shared" si="85"/>
        <v/>
      </c>
      <c r="CJ52" s="52" t="str">
        <f t="shared" si="131"/>
        <v/>
      </c>
      <c r="CK52" s="52" t="str">
        <f t="shared" si="132"/>
        <v/>
      </c>
      <c r="CL52" s="52" t="str">
        <f t="shared" si="133"/>
        <v/>
      </c>
      <c r="CM52" s="102" t="str">
        <f t="shared" si="134"/>
        <v/>
      </c>
      <c r="CN52" s="116" t="str">
        <f t="shared" si="135"/>
        <v/>
      </c>
      <c r="CO52" s="61">
        <f t="shared" si="146"/>
        <v>0</v>
      </c>
      <c r="CP52" s="61" t="str">
        <f t="shared" si="92"/>
        <v/>
      </c>
      <c r="CQ52" s="61" t="str">
        <f t="shared" si="148"/>
        <v/>
      </c>
      <c r="CR52" s="61" t="str">
        <f t="shared" si="149"/>
        <v/>
      </c>
      <c r="CS52" s="105" t="str">
        <f t="shared" si="150"/>
        <v/>
      </c>
      <c r="CT52" s="105" t="str">
        <f t="shared" si="151"/>
        <v/>
      </c>
      <c r="CU52" s="61" t="str">
        <f t="shared" si="152"/>
        <v/>
      </c>
      <c r="CV52" s="61" t="str">
        <f t="shared" si="153"/>
        <v/>
      </c>
      <c r="CW52" s="61" t="str">
        <f t="shared" si="136"/>
        <v/>
      </c>
      <c r="CX52" s="61" t="str">
        <f t="shared" si="87"/>
        <v/>
      </c>
      <c r="CY52" s="61" t="str">
        <f t="shared" si="93"/>
        <v/>
      </c>
      <c r="CZ52" s="102" t="str">
        <f t="shared" si="137"/>
        <v/>
      </c>
      <c r="DA52" s="17">
        <f t="shared" si="138"/>
        <v>0</v>
      </c>
      <c r="DC52" s="17">
        <f t="shared" si="91"/>
        <v>0</v>
      </c>
      <c r="DD52" s="17">
        <f t="shared" si="139"/>
        <v>0</v>
      </c>
      <c r="DE52" s="17" t="str">
        <f t="shared" si="140"/>
        <v/>
      </c>
      <c r="DF52" s="17" t="str">
        <f t="shared" si="141"/>
        <v/>
      </c>
    </row>
    <row r="53" spans="2:110" s="17" customFormat="1">
      <c r="B53" s="35"/>
      <c r="C53" s="35"/>
      <c r="D53" s="36"/>
      <c r="E53" s="35"/>
      <c r="F53" s="35"/>
      <c r="G53" s="35"/>
      <c r="H53" s="35"/>
      <c r="I53" s="35"/>
      <c r="J53" s="59"/>
      <c r="Z53" s="172" t="str">
        <f t="shared" si="94"/>
        <v/>
      </c>
      <c r="AB53" s="47" t="s">
        <v>232</v>
      </c>
      <c r="AC53" s="52" t="str">
        <f t="shared" si="88"/>
        <v/>
      </c>
      <c r="AD53" s="52">
        <f t="shared" si="154"/>
        <v>0</v>
      </c>
      <c r="AE53" s="52">
        <f t="shared" si="142"/>
        <v>0</v>
      </c>
      <c r="AF53" s="61" t="str">
        <f t="shared" si="95"/>
        <v/>
      </c>
      <c r="AG53" s="52">
        <f t="shared" si="96"/>
        <v>0</v>
      </c>
      <c r="AH53" s="52">
        <f t="shared" si="97"/>
        <v>0</v>
      </c>
      <c r="AI53" s="52" t="str">
        <f t="shared" si="98"/>
        <v/>
      </c>
      <c r="AJ53" s="61" t="str">
        <f t="shared" si="99"/>
        <v/>
      </c>
      <c r="AK53" s="95" t="str">
        <f t="shared" si="7"/>
        <v/>
      </c>
      <c r="AL53" s="61" t="str">
        <f t="shared" si="100"/>
        <v>if () {$("#adv_").html("Required");$("#").css({"background":"yellow"});} else {$("#adv_").html("");$("#").css({"background":"white"});}</v>
      </c>
      <c r="AM53" s="61" t="str">
        <f t="shared" si="101"/>
        <v>if (=="") {$("#adv_").html("Required");$("#adv_").css({"background":"yellow"});} else {$("#adv_").html("");}</v>
      </c>
      <c r="AN53" s="61" t="str">
        <f t="shared" si="83"/>
        <v>if (=="") {$("#adv_").html("Required");$("#").css({"background":"yellow"});} else {$("#adv_").html("");$("#").css({"background":"white"});}</v>
      </c>
      <c r="AO53" s="50" t="str">
        <f t="shared" si="102"/>
        <v/>
      </c>
      <c r="AP53" s="61" t="str">
        <f t="shared" si="103"/>
        <v>=$("#").val();</v>
      </c>
      <c r="AQ53" s="61" t="str">
        <f t="shared" si="104"/>
        <v/>
      </c>
      <c r="AR53" s="50" t="str">
        <f t="shared" si="105"/>
        <v>&lt;input type="checkbox" id="" name="" value="1" /&gt;</v>
      </c>
      <c r="AS53" s="61" t="str">
        <f t="shared" si="106"/>
        <v>=document.getElementById("").checked;</v>
      </c>
      <c r="AT53" s="102" t="str">
        <f t="shared" si="107"/>
        <v>if (isset($_GET[''])) {$=($_GET['']);}else $='';</v>
      </c>
      <c r="AU53" s="52" t="str">
        <f t="shared" si="108"/>
        <v/>
      </c>
      <c r="AV53" s="52" t="str">
        <f t="shared" si="147"/>
        <v>&lt;select size="1" name="" id=""&gt;&lt;option value=""&gt;</v>
      </c>
      <c r="AW53" s="52" t="str">
        <f t="shared" si="109"/>
        <v>&lt;option value=""&gt;&lt;/option&gt;</v>
      </c>
      <c r="AX53" s="145" t="str">
        <f t="shared" si="110"/>
        <v/>
      </c>
      <c r="AY53" s="102" t="str">
        <f>""</f>
        <v/>
      </c>
      <c r="AZ53" s="102"/>
      <c r="BA53" s="113">
        <f t="shared" si="111"/>
        <v>0</v>
      </c>
      <c r="BB53" s="103" t="str">
        <f t="shared" si="112"/>
        <v>0:</v>
      </c>
      <c r="BC53" s="50" t="str">
        <f t="shared" si="113"/>
        <v>0:&lt;span id="adv_0"&gt;&lt;/span&gt;&lt;br/&gt;&lt;input type="radio" name="0" id="" value="" /&gt;</v>
      </c>
      <c r="BD53" s="52" t="str">
        <f t="shared" si="114"/>
        <v>else if (document.getElementById("</v>
      </c>
      <c r="BE53" s="61" t="str">
        <f t="shared" si="115"/>
        <v>else if (document.getElementById("").checked==true) {0="";}</v>
      </c>
      <c r="BF53" s="61" t="str">
        <f t="shared" si="116"/>
        <v/>
      </c>
      <c r="BG53" s="61" t="str">
        <f t="shared" si="117"/>
        <v>0:0</v>
      </c>
      <c r="BH53" s="102" t="str">
        <f t="shared" si="118"/>
        <v>if (isset($_GET['0'])) {$0=($_GET['0']);}else $0='';</v>
      </c>
      <c r="BI53" s="105" t="str">
        <f t="shared" si="119"/>
        <v>&lt;br/&gt;&lt;textarea rows="2" cols="80" id=""&gt;&lt;/textarea&gt;&lt;br/&gt;</v>
      </c>
      <c r="BJ53" s="107" t="str">
        <f t="shared" si="120"/>
        <v>&lt;input type="text"  size="7"  id="" class="datepicker"/&gt;</v>
      </c>
      <c r="BK53" s="107" t="str">
        <f t="shared" si="121"/>
        <v>&lt;h2 id=""&gt;&lt;/h2&gt;</v>
      </c>
      <c r="BL53" s="109" t="str">
        <f t="shared" si="155"/>
        <v/>
      </c>
      <c r="BM53" s="61" t="str">
        <f t="shared" si="156"/>
        <v/>
      </c>
      <c r="BN53" s="52">
        <f t="shared" si="143"/>
        <v>0</v>
      </c>
      <c r="BO53" s="61" t="str">
        <f t="shared" si="157"/>
        <v/>
      </c>
      <c r="BP53" s="102" t="str">
        <f t="shared" si="158"/>
        <v/>
      </c>
      <c r="BQ53" s="105" t="str">
        <f t="shared" si="159"/>
        <v/>
      </c>
      <c r="BR53" s="52" t="str">
        <f t="shared" si="122"/>
        <v/>
      </c>
      <c r="BS53" s="52">
        <f t="shared" si="123"/>
        <v>0</v>
      </c>
      <c r="BT53" s="52">
        <f t="shared" si="144"/>
        <v>0</v>
      </c>
      <c r="BU53" s="52" t="str">
        <f t="shared" si="124"/>
        <v/>
      </c>
      <c r="BV53" s="52" t="str">
        <f t="shared" si="125"/>
        <v/>
      </c>
      <c r="BW53" s="52" t="str">
        <f t="shared" si="145"/>
        <v/>
      </c>
      <c r="BX53" s="113" t="str">
        <f t="shared" si="160"/>
        <v/>
      </c>
      <c r="BY53" s="52" t="str">
        <f t="shared" si="126"/>
        <v/>
      </c>
      <c r="BZ53" s="52" t="str">
        <f t="shared" si="127"/>
        <v/>
      </c>
      <c r="CA53" s="52" t="str">
        <f t="shared" si="161"/>
        <v/>
      </c>
      <c r="CB53" s="52" t="str">
        <f t="shared" si="162"/>
        <v/>
      </c>
      <c r="CC53" s="52" t="str">
        <f t="shared" si="128"/>
        <v/>
      </c>
      <c r="CD53" s="52" t="str">
        <f t="shared" si="129"/>
        <v/>
      </c>
      <c r="CE53" s="102" t="str">
        <f t="shared" si="163"/>
        <v/>
      </c>
      <c r="CF53" s="116" t="str">
        <f t="shared" si="130"/>
        <v/>
      </c>
      <c r="CG53" s="61" t="str">
        <f t="shared" si="164"/>
        <v/>
      </c>
      <c r="CH53" s="52" t="str">
        <f t="shared" si="84"/>
        <v/>
      </c>
      <c r="CI53" s="52" t="str">
        <f t="shared" si="85"/>
        <v/>
      </c>
      <c r="CJ53" s="52" t="str">
        <f t="shared" si="131"/>
        <v/>
      </c>
      <c r="CK53" s="52" t="str">
        <f t="shared" si="132"/>
        <v/>
      </c>
      <c r="CL53" s="52" t="str">
        <f t="shared" si="133"/>
        <v/>
      </c>
      <c r="CM53" s="102" t="str">
        <f t="shared" si="134"/>
        <v/>
      </c>
      <c r="CN53" s="116" t="str">
        <f t="shared" si="135"/>
        <v/>
      </c>
      <c r="CO53" s="61">
        <f t="shared" si="146"/>
        <v>0</v>
      </c>
      <c r="CP53" s="61" t="str">
        <f t="shared" si="92"/>
        <v/>
      </c>
      <c r="CQ53" s="61" t="str">
        <f t="shared" si="148"/>
        <v/>
      </c>
      <c r="CR53" s="61" t="str">
        <f t="shared" si="149"/>
        <v/>
      </c>
      <c r="CS53" s="105" t="str">
        <f t="shared" si="150"/>
        <v/>
      </c>
      <c r="CT53" s="105" t="str">
        <f t="shared" si="151"/>
        <v/>
      </c>
      <c r="CU53" s="61" t="str">
        <f t="shared" si="152"/>
        <v/>
      </c>
      <c r="CV53" s="61" t="str">
        <f t="shared" si="153"/>
        <v/>
      </c>
      <c r="CW53" s="61" t="str">
        <f t="shared" si="136"/>
        <v/>
      </c>
      <c r="CX53" s="61" t="str">
        <f t="shared" si="87"/>
        <v/>
      </c>
      <c r="CY53" s="61" t="str">
        <f t="shared" si="93"/>
        <v/>
      </c>
      <c r="CZ53" s="102" t="str">
        <f t="shared" si="137"/>
        <v/>
      </c>
      <c r="DA53" s="17">
        <f t="shared" si="138"/>
        <v>0</v>
      </c>
      <c r="DC53" s="17">
        <f t="shared" si="91"/>
        <v>0</v>
      </c>
      <c r="DD53" s="17">
        <f t="shared" si="139"/>
        <v>0</v>
      </c>
      <c r="DE53" s="17" t="str">
        <f t="shared" si="140"/>
        <v/>
      </c>
      <c r="DF53" s="17" t="str">
        <f t="shared" si="141"/>
        <v/>
      </c>
    </row>
    <row r="54" spans="2:110" s="17" customFormat="1">
      <c r="B54" s="35"/>
      <c r="C54" s="35"/>
      <c r="D54" s="36"/>
      <c r="E54" s="35"/>
      <c r="F54" s="35"/>
      <c r="G54" s="35"/>
      <c r="H54" s="35"/>
      <c r="I54" s="35"/>
      <c r="J54" s="59"/>
      <c r="Z54" s="172" t="str">
        <f t="shared" si="94"/>
        <v/>
      </c>
      <c r="AB54" s="47" t="s">
        <v>233</v>
      </c>
      <c r="AC54" s="52" t="str">
        <f t="shared" si="88"/>
        <v/>
      </c>
      <c r="AD54" s="52">
        <f t="shared" si="154"/>
        <v>0</v>
      </c>
      <c r="AE54" s="52">
        <f t="shared" si="142"/>
        <v>0</v>
      </c>
      <c r="AF54" s="61" t="str">
        <f t="shared" si="95"/>
        <v/>
      </c>
      <c r="AG54" s="52">
        <f t="shared" si="96"/>
        <v>0</v>
      </c>
      <c r="AH54" s="52">
        <f t="shared" si="97"/>
        <v>0</v>
      </c>
      <c r="AI54" s="52" t="str">
        <f t="shared" si="98"/>
        <v/>
      </c>
      <c r="AJ54" s="61" t="str">
        <f t="shared" si="99"/>
        <v/>
      </c>
      <c r="AK54" s="95" t="str">
        <f t="shared" si="7"/>
        <v/>
      </c>
      <c r="AL54" s="61" t="str">
        <f t="shared" si="100"/>
        <v>if () {$("#adv_").html("Required");$("#").css({"background":"yellow"});} else {$("#adv_").html("");$("#").css({"background":"white"});}</v>
      </c>
      <c r="AM54" s="61" t="str">
        <f t="shared" si="101"/>
        <v>if (=="") {$("#adv_").html("Required");$("#adv_").css({"background":"yellow"});} else {$("#adv_").html("");}</v>
      </c>
      <c r="AN54" s="61" t="str">
        <f t="shared" si="83"/>
        <v>if (=="") {$("#adv_").html("Required");$("#").css({"background":"yellow"});} else {$("#adv_").html("");$("#").css({"background":"white"});}</v>
      </c>
      <c r="AO54" s="50" t="str">
        <f t="shared" si="102"/>
        <v/>
      </c>
      <c r="AP54" s="61" t="str">
        <f t="shared" si="103"/>
        <v>=$("#").val();</v>
      </c>
      <c r="AQ54" s="61" t="str">
        <f t="shared" si="104"/>
        <v/>
      </c>
      <c r="AR54" s="50" t="str">
        <f t="shared" si="105"/>
        <v>&lt;input type="checkbox" id="" name="" value="1" /&gt;</v>
      </c>
      <c r="AS54" s="61" t="str">
        <f t="shared" si="106"/>
        <v>=document.getElementById("").checked;</v>
      </c>
      <c r="AT54" s="102" t="str">
        <f t="shared" si="107"/>
        <v>if (isset($_GET[''])) {$=($_GET['']);}else $='';</v>
      </c>
      <c r="AU54" s="52" t="str">
        <f t="shared" si="108"/>
        <v/>
      </c>
      <c r="AV54" s="52" t="str">
        <f t="shared" si="147"/>
        <v>&lt;select size="1" name="" id=""&gt;&lt;option value=""&gt;</v>
      </c>
      <c r="AW54" s="52" t="str">
        <f t="shared" si="109"/>
        <v>&lt;option value=""&gt;&lt;/option&gt;</v>
      </c>
      <c r="AX54" s="145" t="str">
        <f t="shared" si="110"/>
        <v/>
      </c>
      <c r="AY54" s="102" t="str">
        <f>""</f>
        <v/>
      </c>
      <c r="AZ54" s="102"/>
      <c r="BA54" s="113">
        <f t="shared" si="111"/>
        <v>0</v>
      </c>
      <c r="BB54" s="103" t="str">
        <f t="shared" si="112"/>
        <v>0:</v>
      </c>
      <c r="BC54" s="50" t="str">
        <f t="shared" si="113"/>
        <v>0:&lt;span id="adv_0"&gt;&lt;/span&gt;&lt;br/&gt;&lt;input type="radio" name="0" id="" value="" /&gt;</v>
      </c>
      <c r="BD54" s="52" t="str">
        <f t="shared" si="114"/>
        <v>else if (document.getElementById("</v>
      </c>
      <c r="BE54" s="61" t="str">
        <f t="shared" si="115"/>
        <v>else if (document.getElementById("").checked==true) {0="";}</v>
      </c>
      <c r="BF54" s="61" t="str">
        <f t="shared" si="116"/>
        <v/>
      </c>
      <c r="BG54" s="61" t="str">
        <f t="shared" si="117"/>
        <v>0:0</v>
      </c>
      <c r="BH54" s="102" t="str">
        <f t="shared" si="118"/>
        <v>if (isset($_GET['0'])) {$0=($_GET['0']);}else $0='';</v>
      </c>
      <c r="BI54" s="105" t="str">
        <f t="shared" si="119"/>
        <v>&lt;br/&gt;&lt;textarea rows="2" cols="80" id=""&gt;&lt;/textarea&gt;&lt;br/&gt;</v>
      </c>
      <c r="BJ54" s="107" t="str">
        <f t="shared" si="120"/>
        <v>&lt;input type="text"  size="7"  id="" class="datepicker"/&gt;</v>
      </c>
      <c r="BK54" s="107" t="str">
        <f t="shared" si="121"/>
        <v>&lt;h2 id=""&gt;&lt;/h2&gt;</v>
      </c>
      <c r="BL54" s="109" t="str">
        <f t="shared" si="155"/>
        <v/>
      </c>
      <c r="BM54" s="61" t="str">
        <f t="shared" si="156"/>
        <v/>
      </c>
      <c r="BN54" s="52">
        <f t="shared" si="143"/>
        <v>0</v>
      </c>
      <c r="BO54" s="61" t="str">
        <f t="shared" si="157"/>
        <v/>
      </c>
      <c r="BP54" s="102" t="str">
        <f t="shared" si="158"/>
        <v/>
      </c>
      <c r="BQ54" s="105" t="str">
        <f t="shared" si="159"/>
        <v/>
      </c>
      <c r="BR54" s="52" t="str">
        <f t="shared" si="122"/>
        <v/>
      </c>
      <c r="BS54" s="52">
        <f t="shared" si="123"/>
        <v>0</v>
      </c>
      <c r="BT54" s="52">
        <f t="shared" si="144"/>
        <v>0</v>
      </c>
      <c r="BU54" s="52" t="str">
        <f t="shared" si="124"/>
        <v/>
      </c>
      <c r="BV54" s="52" t="str">
        <f t="shared" si="125"/>
        <v/>
      </c>
      <c r="BW54" s="52" t="str">
        <f t="shared" si="145"/>
        <v/>
      </c>
      <c r="BX54" s="113" t="str">
        <f t="shared" si="160"/>
        <v/>
      </c>
      <c r="BY54" s="52" t="str">
        <f t="shared" si="126"/>
        <v/>
      </c>
      <c r="BZ54" s="52" t="str">
        <f t="shared" si="127"/>
        <v/>
      </c>
      <c r="CA54" s="52" t="str">
        <f t="shared" si="161"/>
        <v/>
      </c>
      <c r="CB54" s="52" t="str">
        <f t="shared" si="162"/>
        <v/>
      </c>
      <c r="CC54" s="52" t="str">
        <f t="shared" si="128"/>
        <v/>
      </c>
      <c r="CD54" s="52" t="str">
        <f t="shared" si="129"/>
        <v/>
      </c>
      <c r="CE54" s="102" t="str">
        <f t="shared" si="163"/>
        <v/>
      </c>
      <c r="CF54" s="116" t="str">
        <f t="shared" si="130"/>
        <v/>
      </c>
      <c r="CG54" s="61" t="str">
        <f t="shared" si="164"/>
        <v/>
      </c>
      <c r="CH54" s="52" t="str">
        <f t="shared" si="84"/>
        <v/>
      </c>
      <c r="CI54" s="52" t="str">
        <f t="shared" si="85"/>
        <v/>
      </c>
      <c r="CJ54" s="52" t="str">
        <f t="shared" si="131"/>
        <v/>
      </c>
      <c r="CK54" s="52" t="str">
        <f t="shared" si="132"/>
        <v/>
      </c>
      <c r="CL54" s="52" t="str">
        <f t="shared" si="133"/>
        <v/>
      </c>
      <c r="CM54" s="102" t="str">
        <f t="shared" si="134"/>
        <v/>
      </c>
      <c r="CN54" s="116" t="str">
        <f t="shared" si="135"/>
        <v/>
      </c>
      <c r="CO54" s="61">
        <f t="shared" si="146"/>
        <v>0</v>
      </c>
      <c r="CP54" s="61" t="str">
        <f t="shared" si="92"/>
        <v/>
      </c>
      <c r="CQ54" s="61" t="str">
        <f t="shared" si="148"/>
        <v/>
      </c>
      <c r="CR54" s="61" t="str">
        <f t="shared" si="149"/>
        <v/>
      </c>
      <c r="CS54" s="105" t="str">
        <f t="shared" si="150"/>
        <v/>
      </c>
      <c r="CT54" s="105" t="str">
        <f t="shared" si="151"/>
        <v/>
      </c>
      <c r="CU54" s="61" t="str">
        <f t="shared" si="152"/>
        <v/>
      </c>
      <c r="CV54" s="61" t="str">
        <f t="shared" si="153"/>
        <v/>
      </c>
      <c r="CW54" s="61" t="str">
        <f t="shared" si="136"/>
        <v/>
      </c>
      <c r="CX54" s="61" t="str">
        <f t="shared" si="87"/>
        <v/>
      </c>
      <c r="CY54" s="61" t="str">
        <f t="shared" si="93"/>
        <v/>
      </c>
      <c r="CZ54" s="102" t="str">
        <f t="shared" si="137"/>
        <v/>
      </c>
      <c r="DA54" s="17">
        <f t="shared" si="138"/>
        <v>0</v>
      </c>
      <c r="DC54" s="17">
        <f t="shared" si="91"/>
        <v>0</v>
      </c>
      <c r="DD54" s="17">
        <f t="shared" si="139"/>
        <v>0</v>
      </c>
      <c r="DE54" s="17" t="str">
        <f t="shared" si="140"/>
        <v/>
      </c>
      <c r="DF54" s="17" t="str">
        <f t="shared" si="141"/>
        <v/>
      </c>
    </row>
    <row r="55" spans="2:110" s="17" customFormat="1">
      <c r="B55" s="35"/>
      <c r="C55" s="35"/>
      <c r="D55" s="36"/>
      <c r="E55" s="35"/>
      <c r="F55" s="35"/>
      <c r="G55" s="35"/>
      <c r="H55" s="35"/>
      <c r="I55" s="35"/>
      <c r="J55" s="59"/>
      <c r="Z55" s="172" t="str">
        <f t="shared" si="94"/>
        <v/>
      </c>
      <c r="AB55" s="47" t="s">
        <v>234</v>
      </c>
      <c r="AC55" s="52" t="str">
        <f t="shared" si="88"/>
        <v/>
      </c>
      <c r="AD55" s="52">
        <f t="shared" si="154"/>
        <v>0</v>
      </c>
      <c r="AE55" s="52">
        <f t="shared" si="142"/>
        <v>0</v>
      </c>
      <c r="AF55" s="61" t="str">
        <f t="shared" si="95"/>
        <v/>
      </c>
      <c r="AG55" s="52">
        <f t="shared" si="96"/>
        <v>0</v>
      </c>
      <c r="AH55" s="52">
        <f t="shared" si="97"/>
        <v>0</v>
      </c>
      <c r="AI55" s="52" t="str">
        <f t="shared" si="98"/>
        <v/>
      </c>
      <c r="AJ55" s="61" t="str">
        <f t="shared" si="99"/>
        <v/>
      </c>
      <c r="AK55" s="95" t="str">
        <f t="shared" si="7"/>
        <v/>
      </c>
      <c r="AL55" s="61" t="str">
        <f t="shared" si="100"/>
        <v>if () {$("#adv_").html("Required");$("#").css({"background":"yellow"});} else {$("#adv_").html("");$("#").css({"background":"white"});}</v>
      </c>
      <c r="AM55" s="61" t="str">
        <f t="shared" si="101"/>
        <v>if (=="") {$("#adv_").html("Required");$("#adv_").css({"background":"yellow"});} else {$("#adv_").html("");}</v>
      </c>
      <c r="AN55" s="61" t="str">
        <f t="shared" si="83"/>
        <v>if (=="") {$("#adv_").html("Required");$("#").css({"background":"yellow"});} else {$("#adv_").html("");$("#").css({"background":"white"});}</v>
      </c>
      <c r="AO55" s="50" t="str">
        <f t="shared" si="102"/>
        <v/>
      </c>
      <c r="AP55" s="61" t="str">
        <f t="shared" si="103"/>
        <v>=$("#").val();</v>
      </c>
      <c r="AQ55" s="61" t="str">
        <f t="shared" si="104"/>
        <v/>
      </c>
      <c r="AR55" s="50" t="str">
        <f t="shared" si="105"/>
        <v>&lt;input type="checkbox" id="" name="" value="1" /&gt;</v>
      </c>
      <c r="AS55" s="61" t="str">
        <f t="shared" si="106"/>
        <v>=document.getElementById("").checked;</v>
      </c>
      <c r="AT55" s="102" t="str">
        <f t="shared" si="107"/>
        <v>if (isset($_GET[''])) {$=($_GET['']);}else $='';</v>
      </c>
      <c r="AU55" s="52" t="str">
        <f t="shared" si="108"/>
        <v/>
      </c>
      <c r="AV55" s="52" t="str">
        <f t="shared" si="147"/>
        <v>&lt;select size="1" name="" id=""&gt;&lt;option value=""&gt;</v>
      </c>
      <c r="AW55" s="52" t="str">
        <f t="shared" si="109"/>
        <v>&lt;option value=""&gt;&lt;/option&gt;</v>
      </c>
      <c r="AX55" s="145" t="str">
        <f t="shared" si="110"/>
        <v/>
      </c>
      <c r="AY55" s="102" t="str">
        <f>""</f>
        <v/>
      </c>
      <c r="AZ55" s="102"/>
      <c r="BA55" s="113">
        <f t="shared" si="111"/>
        <v>0</v>
      </c>
      <c r="BB55" s="103" t="str">
        <f t="shared" si="112"/>
        <v>0:</v>
      </c>
      <c r="BC55" s="50" t="str">
        <f t="shared" si="113"/>
        <v>0:&lt;span id="adv_0"&gt;&lt;/span&gt;&lt;br/&gt;&lt;input type="radio" name="0" id="" value="" /&gt;</v>
      </c>
      <c r="BD55" s="52" t="str">
        <f t="shared" si="114"/>
        <v>else if (document.getElementById("</v>
      </c>
      <c r="BE55" s="61" t="str">
        <f t="shared" si="115"/>
        <v>else if (document.getElementById("").checked==true) {0="";}</v>
      </c>
      <c r="BF55" s="61" t="str">
        <f t="shared" si="116"/>
        <v/>
      </c>
      <c r="BG55" s="61" t="str">
        <f t="shared" si="117"/>
        <v>0:0</v>
      </c>
      <c r="BH55" s="102" t="str">
        <f t="shared" si="118"/>
        <v>if (isset($_GET['0'])) {$0=($_GET['0']);}else $0='';</v>
      </c>
      <c r="BI55" s="105" t="str">
        <f t="shared" si="119"/>
        <v>&lt;br/&gt;&lt;textarea rows="2" cols="80" id=""&gt;&lt;/textarea&gt;&lt;br/&gt;</v>
      </c>
      <c r="BJ55" s="107" t="str">
        <f t="shared" si="120"/>
        <v>&lt;input type="text"  size="7"  id="" class="datepicker"/&gt;</v>
      </c>
      <c r="BK55" s="107" t="str">
        <f t="shared" si="121"/>
        <v>&lt;h2 id=""&gt;&lt;/h2&gt;</v>
      </c>
      <c r="BL55" s="109" t="str">
        <f t="shared" si="155"/>
        <v/>
      </c>
      <c r="BM55" s="61" t="str">
        <f t="shared" si="156"/>
        <v/>
      </c>
      <c r="BN55" s="52">
        <f t="shared" si="143"/>
        <v>0</v>
      </c>
      <c r="BO55" s="61" t="str">
        <f t="shared" si="157"/>
        <v/>
      </c>
      <c r="BP55" s="102" t="str">
        <f t="shared" si="158"/>
        <v/>
      </c>
      <c r="BQ55" s="105" t="str">
        <f t="shared" si="159"/>
        <v/>
      </c>
      <c r="BR55" s="52" t="str">
        <f t="shared" si="122"/>
        <v/>
      </c>
      <c r="BS55" s="52">
        <f t="shared" si="123"/>
        <v>0</v>
      </c>
      <c r="BT55" s="52">
        <f t="shared" si="144"/>
        <v>0</v>
      </c>
      <c r="BU55" s="52" t="str">
        <f t="shared" si="124"/>
        <v/>
      </c>
      <c r="BV55" s="52" t="str">
        <f t="shared" si="125"/>
        <v/>
      </c>
      <c r="BW55" s="52" t="str">
        <f t="shared" si="145"/>
        <v/>
      </c>
      <c r="BX55" s="113" t="str">
        <f t="shared" si="160"/>
        <v/>
      </c>
      <c r="BY55" s="52" t="str">
        <f t="shared" si="126"/>
        <v/>
      </c>
      <c r="BZ55" s="52" t="str">
        <f t="shared" si="127"/>
        <v/>
      </c>
      <c r="CA55" s="52" t="str">
        <f t="shared" si="161"/>
        <v/>
      </c>
      <c r="CB55" s="52" t="str">
        <f t="shared" si="162"/>
        <v/>
      </c>
      <c r="CC55" s="52" t="str">
        <f t="shared" si="128"/>
        <v/>
      </c>
      <c r="CD55" s="52" t="str">
        <f t="shared" si="129"/>
        <v/>
      </c>
      <c r="CE55" s="102" t="str">
        <f t="shared" si="163"/>
        <v/>
      </c>
      <c r="CF55" s="116" t="str">
        <f t="shared" si="130"/>
        <v/>
      </c>
      <c r="CG55" s="61" t="str">
        <f t="shared" si="164"/>
        <v/>
      </c>
      <c r="CH55" s="52" t="str">
        <f t="shared" si="84"/>
        <v/>
      </c>
      <c r="CI55" s="52" t="str">
        <f t="shared" si="85"/>
        <v/>
      </c>
      <c r="CJ55" s="52" t="str">
        <f t="shared" si="131"/>
        <v/>
      </c>
      <c r="CK55" s="52" t="str">
        <f t="shared" si="132"/>
        <v/>
      </c>
      <c r="CL55" s="52" t="str">
        <f t="shared" si="133"/>
        <v/>
      </c>
      <c r="CM55" s="102" t="str">
        <f t="shared" si="134"/>
        <v/>
      </c>
      <c r="CN55" s="116" t="str">
        <f t="shared" si="135"/>
        <v/>
      </c>
      <c r="CO55" s="61">
        <f t="shared" si="146"/>
        <v>0</v>
      </c>
      <c r="CP55" s="61" t="str">
        <f t="shared" si="92"/>
        <v/>
      </c>
      <c r="CQ55" s="61" t="str">
        <f t="shared" si="148"/>
        <v/>
      </c>
      <c r="CR55" s="61" t="str">
        <f t="shared" si="149"/>
        <v/>
      </c>
      <c r="CS55" s="105" t="str">
        <f t="shared" si="150"/>
        <v/>
      </c>
      <c r="CT55" s="105" t="str">
        <f t="shared" si="151"/>
        <v/>
      </c>
      <c r="CU55" s="61" t="str">
        <f t="shared" si="152"/>
        <v/>
      </c>
      <c r="CV55" s="61" t="str">
        <f t="shared" si="153"/>
        <v/>
      </c>
      <c r="CW55" s="61" t="str">
        <f t="shared" si="136"/>
        <v/>
      </c>
      <c r="CX55" s="61" t="str">
        <f t="shared" si="87"/>
        <v/>
      </c>
      <c r="CY55" s="61" t="str">
        <f t="shared" si="93"/>
        <v/>
      </c>
      <c r="CZ55" s="102" t="str">
        <f t="shared" si="137"/>
        <v/>
      </c>
      <c r="DA55" s="17">
        <f t="shared" si="138"/>
        <v>0</v>
      </c>
      <c r="DC55" s="17">
        <f t="shared" si="91"/>
        <v>0</v>
      </c>
      <c r="DD55" s="17">
        <f t="shared" si="139"/>
        <v>0</v>
      </c>
      <c r="DE55" s="17" t="str">
        <f t="shared" si="140"/>
        <v/>
      </c>
      <c r="DF55" s="17" t="str">
        <f t="shared" si="141"/>
        <v/>
      </c>
    </row>
    <row r="56" spans="2:110" s="17" customFormat="1">
      <c r="B56" s="35"/>
      <c r="C56" s="35"/>
      <c r="D56" s="36"/>
      <c r="E56" s="35"/>
      <c r="F56" s="35"/>
      <c r="G56" s="35"/>
      <c r="H56" s="35"/>
      <c r="I56" s="35"/>
      <c r="J56" s="59"/>
      <c r="Z56" s="172" t="str">
        <f t="shared" si="94"/>
        <v/>
      </c>
      <c r="AB56" s="47" t="s">
        <v>235</v>
      </c>
      <c r="AC56" s="52" t="str">
        <f t="shared" si="88"/>
        <v/>
      </c>
      <c r="AD56" s="52">
        <f t="shared" si="154"/>
        <v>0</v>
      </c>
      <c r="AE56" s="52">
        <f t="shared" si="142"/>
        <v>0</v>
      </c>
      <c r="AF56" s="61" t="str">
        <f t="shared" si="95"/>
        <v/>
      </c>
      <c r="AG56" s="52">
        <f t="shared" si="96"/>
        <v>0</v>
      </c>
      <c r="AH56" s="52">
        <f t="shared" si="97"/>
        <v>0</v>
      </c>
      <c r="AI56" s="52" t="str">
        <f t="shared" si="98"/>
        <v/>
      </c>
      <c r="AJ56" s="61" t="str">
        <f t="shared" si="99"/>
        <v/>
      </c>
      <c r="AK56" s="95" t="str">
        <f t="shared" si="7"/>
        <v/>
      </c>
      <c r="AL56" s="61" t="str">
        <f t="shared" si="100"/>
        <v>if () {$("#adv_").html("Required");$("#").css({"background":"yellow"});} else {$("#adv_").html("");$("#").css({"background":"white"});}</v>
      </c>
      <c r="AM56" s="61" t="str">
        <f t="shared" si="101"/>
        <v>if (=="") {$("#adv_").html("Required");$("#adv_").css({"background":"yellow"});} else {$("#adv_").html("");}</v>
      </c>
      <c r="AN56" s="61" t="str">
        <f t="shared" si="83"/>
        <v>if (=="") {$("#adv_").html("Required");$("#").css({"background":"yellow"});} else {$("#adv_").html("");$("#").css({"background":"white"});}</v>
      </c>
      <c r="AO56" s="50" t="str">
        <f t="shared" si="102"/>
        <v/>
      </c>
      <c r="AP56" s="61" t="str">
        <f t="shared" si="103"/>
        <v>=$("#").val();</v>
      </c>
      <c r="AQ56" s="61" t="str">
        <f t="shared" si="104"/>
        <v/>
      </c>
      <c r="AR56" s="50" t="str">
        <f t="shared" si="105"/>
        <v>&lt;input type="checkbox" id="" name="" value="1" /&gt;</v>
      </c>
      <c r="AS56" s="61" t="str">
        <f t="shared" si="106"/>
        <v>=document.getElementById("").checked;</v>
      </c>
      <c r="AT56" s="102" t="str">
        <f t="shared" si="107"/>
        <v>if (isset($_GET[''])) {$=($_GET['']);}else $='';</v>
      </c>
      <c r="AU56" s="52" t="str">
        <f t="shared" si="108"/>
        <v/>
      </c>
      <c r="AV56" s="52" t="str">
        <f t="shared" si="147"/>
        <v>&lt;select size="1" name="" id=""&gt;&lt;option value=""&gt;</v>
      </c>
      <c r="AW56" s="52" t="str">
        <f t="shared" si="109"/>
        <v>&lt;option value=""&gt;&lt;/option&gt;</v>
      </c>
      <c r="AX56" s="145" t="str">
        <f t="shared" si="110"/>
        <v/>
      </c>
      <c r="AY56" s="102" t="str">
        <f>""</f>
        <v/>
      </c>
      <c r="AZ56" s="102"/>
      <c r="BA56" s="113">
        <f t="shared" si="111"/>
        <v>0</v>
      </c>
      <c r="BB56" s="103" t="str">
        <f t="shared" si="112"/>
        <v>0:</v>
      </c>
      <c r="BC56" s="50" t="str">
        <f t="shared" si="113"/>
        <v>0:&lt;span id="adv_0"&gt;&lt;/span&gt;&lt;br/&gt;&lt;input type="radio" name="0" id="" value="" /&gt;</v>
      </c>
      <c r="BD56" s="52" t="str">
        <f t="shared" si="114"/>
        <v>else if (document.getElementById("</v>
      </c>
      <c r="BE56" s="61" t="str">
        <f t="shared" si="115"/>
        <v>else if (document.getElementById("").checked==true) {0="";}</v>
      </c>
      <c r="BF56" s="61" t="str">
        <f t="shared" si="116"/>
        <v/>
      </c>
      <c r="BG56" s="61" t="str">
        <f t="shared" si="117"/>
        <v>0:0</v>
      </c>
      <c r="BH56" s="102" t="str">
        <f t="shared" si="118"/>
        <v>if (isset($_GET['0'])) {$0=($_GET['0']);}else $0='';</v>
      </c>
      <c r="BI56" s="105" t="str">
        <f t="shared" si="119"/>
        <v>&lt;br/&gt;&lt;textarea rows="2" cols="80" id=""&gt;&lt;/textarea&gt;&lt;br/&gt;</v>
      </c>
      <c r="BJ56" s="107" t="str">
        <f t="shared" si="120"/>
        <v>&lt;input type="text"  size="7"  id="" class="datepicker"/&gt;</v>
      </c>
      <c r="BK56" s="107" t="str">
        <f t="shared" si="121"/>
        <v>&lt;h2 id=""&gt;&lt;/h2&gt;</v>
      </c>
      <c r="BL56" s="109" t="str">
        <f t="shared" si="155"/>
        <v/>
      </c>
      <c r="BM56" s="61" t="str">
        <f t="shared" si="156"/>
        <v/>
      </c>
      <c r="BN56" s="52">
        <f t="shared" si="143"/>
        <v>0</v>
      </c>
      <c r="BO56" s="61" t="str">
        <f t="shared" si="157"/>
        <v/>
      </c>
      <c r="BP56" s="102" t="str">
        <f t="shared" si="158"/>
        <v/>
      </c>
      <c r="BQ56" s="105" t="str">
        <f t="shared" si="159"/>
        <v/>
      </c>
      <c r="BR56" s="52" t="str">
        <f t="shared" si="122"/>
        <v/>
      </c>
      <c r="BS56" s="52">
        <f t="shared" si="123"/>
        <v>0</v>
      </c>
      <c r="BT56" s="52">
        <f t="shared" si="144"/>
        <v>0</v>
      </c>
      <c r="BU56" s="52" t="str">
        <f t="shared" si="124"/>
        <v/>
      </c>
      <c r="BV56" s="52" t="str">
        <f t="shared" si="125"/>
        <v/>
      </c>
      <c r="BW56" s="52" t="str">
        <f t="shared" si="145"/>
        <v/>
      </c>
      <c r="BX56" s="113" t="str">
        <f t="shared" si="160"/>
        <v/>
      </c>
      <c r="BY56" s="52" t="str">
        <f t="shared" si="126"/>
        <v/>
      </c>
      <c r="BZ56" s="52" t="str">
        <f t="shared" si="127"/>
        <v/>
      </c>
      <c r="CA56" s="52" t="str">
        <f t="shared" si="161"/>
        <v/>
      </c>
      <c r="CB56" s="52" t="str">
        <f t="shared" si="162"/>
        <v/>
      </c>
      <c r="CC56" s="52" t="str">
        <f t="shared" si="128"/>
        <v/>
      </c>
      <c r="CD56" s="52" t="str">
        <f t="shared" si="129"/>
        <v/>
      </c>
      <c r="CE56" s="102" t="str">
        <f t="shared" si="163"/>
        <v/>
      </c>
      <c r="CF56" s="116" t="str">
        <f t="shared" si="130"/>
        <v/>
      </c>
      <c r="CG56" s="61" t="str">
        <f t="shared" si="164"/>
        <v/>
      </c>
      <c r="CH56" s="52" t="str">
        <f t="shared" si="84"/>
        <v/>
      </c>
      <c r="CI56" s="52" t="str">
        <f t="shared" si="85"/>
        <v/>
      </c>
      <c r="CJ56" s="52" t="str">
        <f t="shared" si="131"/>
        <v/>
      </c>
      <c r="CK56" s="52" t="str">
        <f t="shared" si="132"/>
        <v/>
      </c>
      <c r="CL56" s="52" t="str">
        <f t="shared" si="133"/>
        <v/>
      </c>
      <c r="CM56" s="102" t="str">
        <f t="shared" si="134"/>
        <v/>
      </c>
      <c r="CN56" s="116" t="str">
        <f t="shared" si="135"/>
        <v/>
      </c>
      <c r="CO56" s="61">
        <f t="shared" si="146"/>
        <v>0</v>
      </c>
      <c r="CP56" s="61" t="str">
        <f t="shared" si="92"/>
        <v/>
      </c>
      <c r="CQ56" s="61" t="str">
        <f t="shared" si="148"/>
        <v/>
      </c>
      <c r="CR56" s="61" t="str">
        <f t="shared" si="149"/>
        <v/>
      </c>
      <c r="CS56" s="105" t="str">
        <f t="shared" si="150"/>
        <v/>
      </c>
      <c r="CT56" s="105" t="str">
        <f t="shared" si="151"/>
        <v/>
      </c>
      <c r="CU56" s="61" t="str">
        <f t="shared" si="152"/>
        <v/>
      </c>
      <c r="CV56" s="61" t="str">
        <f t="shared" si="153"/>
        <v/>
      </c>
      <c r="CW56" s="61" t="str">
        <f t="shared" si="136"/>
        <v/>
      </c>
      <c r="CX56" s="61" t="str">
        <f t="shared" si="87"/>
        <v/>
      </c>
      <c r="CY56" s="61" t="str">
        <f t="shared" si="93"/>
        <v/>
      </c>
      <c r="CZ56" s="102" t="str">
        <f t="shared" si="137"/>
        <v/>
      </c>
      <c r="DA56" s="17">
        <f t="shared" si="138"/>
        <v>0</v>
      </c>
      <c r="DC56" s="17">
        <f t="shared" si="91"/>
        <v>0</v>
      </c>
      <c r="DD56" s="17">
        <f t="shared" si="139"/>
        <v>0</v>
      </c>
      <c r="DE56" s="17" t="str">
        <f t="shared" si="140"/>
        <v/>
      </c>
      <c r="DF56" s="17" t="str">
        <f t="shared" si="141"/>
        <v/>
      </c>
    </row>
    <row r="57" spans="2:110" s="17" customFormat="1">
      <c r="B57" s="35"/>
      <c r="C57" s="35"/>
      <c r="D57" s="36"/>
      <c r="E57" s="35"/>
      <c r="F57" s="35"/>
      <c r="G57" s="35"/>
      <c r="H57" s="35"/>
      <c r="I57" s="35"/>
      <c r="J57" s="59"/>
      <c r="Z57" s="172" t="str">
        <f t="shared" si="94"/>
        <v/>
      </c>
      <c r="AB57" s="47" t="s">
        <v>236</v>
      </c>
      <c r="AC57" s="52" t="str">
        <f t="shared" si="88"/>
        <v/>
      </c>
      <c r="AD57" s="52">
        <f t="shared" si="154"/>
        <v>0</v>
      </c>
      <c r="AE57" s="52">
        <f t="shared" si="142"/>
        <v>0</v>
      </c>
      <c r="AF57" s="61" t="str">
        <f t="shared" si="95"/>
        <v/>
      </c>
      <c r="AG57" s="52">
        <f t="shared" si="96"/>
        <v>0</v>
      </c>
      <c r="AH57" s="52">
        <f t="shared" si="97"/>
        <v>0</v>
      </c>
      <c r="AI57" s="52" t="str">
        <f t="shared" si="98"/>
        <v/>
      </c>
      <c r="AJ57" s="61" t="str">
        <f t="shared" si="99"/>
        <v/>
      </c>
      <c r="AK57" s="95" t="str">
        <f t="shared" si="7"/>
        <v/>
      </c>
      <c r="AL57" s="61" t="str">
        <f t="shared" si="100"/>
        <v>if () {$("#adv_").html("Required");$("#").css({"background":"yellow"});} else {$("#adv_").html("");$("#").css({"background":"white"});}</v>
      </c>
      <c r="AM57" s="61" t="str">
        <f t="shared" si="101"/>
        <v>if (=="") {$("#adv_").html("Required");$("#adv_").css({"background":"yellow"});} else {$("#adv_").html("");}</v>
      </c>
      <c r="AN57" s="61" t="str">
        <f t="shared" si="83"/>
        <v>if (=="") {$("#adv_").html("Required");$("#").css({"background":"yellow"});} else {$("#adv_").html("");$("#").css({"background":"white"});}</v>
      </c>
      <c r="AO57" s="50" t="str">
        <f t="shared" si="102"/>
        <v/>
      </c>
      <c r="AP57" s="61" t="str">
        <f t="shared" si="103"/>
        <v>=$("#").val();</v>
      </c>
      <c r="AQ57" s="61" t="str">
        <f t="shared" si="104"/>
        <v/>
      </c>
      <c r="AR57" s="50" t="str">
        <f t="shared" si="105"/>
        <v>&lt;input type="checkbox" id="" name="" value="1" /&gt;</v>
      </c>
      <c r="AS57" s="61" t="str">
        <f t="shared" si="106"/>
        <v>=document.getElementById("").checked;</v>
      </c>
      <c r="AT57" s="102" t="str">
        <f t="shared" si="107"/>
        <v>if (isset($_GET[''])) {$=($_GET['']);}else $='';</v>
      </c>
      <c r="AU57" s="52" t="str">
        <f t="shared" si="108"/>
        <v/>
      </c>
      <c r="AV57" s="52" t="str">
        <f t="shared" si="147"/>
        <v>&lt;select size="1" name="" id=""&gt;&lt;option value=""&gt;</v>
      </c>
      <c r="AW57" s="52" t="str">
        <f t="shared" si="109"/>
        <v>&lt;option value=""&gt;&lt;/option&gt;</v>
      </c>
      <c r="AX57" s="145" t="str">
        <f t="shared" si="110"/>
        <v/>
      </c>
      <c r="AY57" s="102" t="str">
        <f>""</f>
        <v/>
      </c>
      <c r="AZ57" s="102"/>
      <c r="BA57" s="113">
        <f t="shared" si="111"/>
        <v>0</v>
      </c>
      <c r="BB57" s="103" t="str">
        <f t="shared" si="112"/>
        <v>0:</v>
      </c>
      <c r="BC57" s="50" t="str">
        <f t="shared" si="113"/>
        <v>0:&lt;span id="adv_0"&gt;&lt;/span&gt;&lt;br/&gt;&lt;input type="radio" name="0" id="" value="" /&gt;</v>
      </c>
      <c r="BD57" s="52" t="str">
        <f t="shared" si="114"/>
        <v>else if (document.getElementById("</v>
      </c>
      <c r="BE57" s="61" t="str">
        <f t="shared" si="115"/>
        <v>else if (document.getElementById("").checked==true) {0="";}</v>
      </c>
      <c r="BF57" s="61" t="str">
        <f t="shared" si="116"/>
        <v/>
      </c>
      <c r="BG57" s="61" t="str">
        <f t="shared" si="117"/>
        <v>0:0</v>
      </c>
      <c r="BH57" s="102" t="str">
        <f t="shared" si="118"/>
        <v>if (isset($_GET['0'])) {$0=($_GET['0']);}else $0='';</v>
      </c>
      <c r="BI57" s="105" t="str">
        <f t="shared" si="119"/>
        <v>&lt;br/&gt;&lt;textarea rows="2" cols="80" id=""&gt;&lt;/textarea&gt;&lt;br/&gt;</v>
      </c>
      <c r="BJ57" s="107" t="str">
        <f t="shared" si="120"/>
        <v>&lt;input type="text"  size="7"  id="" class="datepicker"/&gt;</v>
      </c>
      <c r="BK57" s="107" t="str">
        <f t="shared" si="121"/>
        <v>&lt;h2 id=""&gt;&lt;/h2&gt;</v>
      </c>
      <c r="BL57" s="109" t="str">
        <f t="shared" si="155"/>
        <v/>
      </c>
      <c r="BM57" s="61" t="str">
        <f t="shared" si="156"/>
        <v/>
      </c>
      <c r="BN57" s="52">
        <f t="shared" si="143"/>
        <v>0</v>
      </c>
      <c r="BO57" s="61" t="str">
        <f t="shared" si="157"/>
        <v/>
      </c>
      <c r="BP57" s="102" t="str">
        <f t="shared" si="158"/>
        <v/>
      </c>
      <c r="BQ57" s="105" t="str">
        <f t="shared" si="159"/>
        <v/>
      </c>
      <c r="BR57" s="52" t="str">
        <f t="shared" si="122"/>
        <v/>
      </c>
      <c r="BS57" s="52">
        <f t="shared" si="123"/>
        <v>0</v>
      </c>
      <c r="BT57" s="52">
        <f t="shared" si="144"/>
        <v>0</v>
      </c>
      <c r="BU57" s="52" t="str">
        <f t="shared" si="124"/>
        <v/>
      </c>
      <c r="BV57" s="52" t="str">
        <f t="shared" si="125"/>
        <v/>
      </c>
      <c r="BW57" s="52" t="str">
        <f t="shared" si="145"/>
        <v/>
      </c>
      <c r="BX57" s="113" t="str">
        <f t="shared" si="160"/>
        <v/>
      </c>
      <c r="BY57" s="52" t="str">
        <f t="shared" si="126"/>
        <v/>
      </c>
      <c r="BZ57" s="52" t="str">
        <f t="shared" si="127"/>
        <v/>
      </c>
      <c r="CA57" s="52" t="str">
        <f t="shared" si="161"/>
        <v/>
      </c>
      <c r="CB57" s="52" t="str">
        <f t="shared" si="162"/>
        <v/>
      </c>
      <c r="CC57" s="52" t="str">
        <f t="shared" si="128"/>
        <v/>
      </c>
      <c r="CD57" s="52" t="str">
        <f t="shared" si="129"/>
        <v/>
      </c>
      <c r="CE57" s="102" t="str">
        <f t="shared" si="163"/>
        <v/>
      </c>
      <c r="CF57" s="116" t="str">
        <f t="shared" si="130"/>
        <v/>
      </c>
      <c r="CG57" s="61" t="str">
        <f t="shared" si="164"/>
        <v/>
      </c>
      <c r="CH57" s="52" t="str">
        <f t="shared" si="84"/>
        <v/>
      </c>
      <c r="CI57" s="52" t="str">
        <f t="shared" si="85"/>
        <v/>
      </c>
      <c r="CJ57" s="52" t="str">
        <f t="shared" si="131"/>
        <v/>
      </c>
      <c r="CK57" s="52" t="str">
        <f t="shared" si="132"/>
        <v/>
      </c>
      <c r="CL57" s="52" t="str">
        <f t="shared" si="133"/>
        <v/>
      </c>
      <c r="CM57" s="102" t="str">
        <f t="shared" si="134"/>
        <v/>
      </c>
      <c r="CN57" s="116" t="str">
        <f t="shared" si="135"/>
        <v/>
      </c>
      <c r="CO57" s="61">
        <f t="shared" si="146"/>
        <v>0</v>
      </c>
      <c r="CP57" s="61" t="str">
        <f t="shared" si="92"/>
        <v/>
      </c>
      <c r="CQ57" s="61" t="str">
        <f t="shared" si="148"/>
        <v/>
      </c>
      <c r="CR57" s="61" t="str">
        <f t="shared" si="149"/>
        <v/>
      </c>
      <c r="CS57" s="105" t="str">
        <f t="shared" si="150"/>
        <v/>
      </c>
      <c r="CT57" s="105" t="str">
        <f t="shared" si="151"/>
        <v/>
      </c>
      <c r="CU57" s="61" t="str">
        <f t="shared" si="152"/>
        <v/>
      </c>
      <c r="CV57" s="61" t="str">
        <f t="shared" si="153"/>
        <v/>
      </c>
      <c r="CW57" s="61" t="str">
        <f t="shared" si="136"/>
        <v/>
      </c>
      <c r="CX57" s="61" t="str">
        <f t="shared" si="87"/>
        <v/>
      </c>
      <c r="CY57" s="61" t="str">
        <f t="shared" si="93"/>
        <v/>
      </c>
      <c r="CZ57" s="102" t="str">
        <f t="shared" si="137"/>
        <v/>
      </c>
      <c r="DA57" s="17">
        <f t="shared" si="138"/>
        <v>0</v>
      </c>
      <c r="DC57" s="17">
        <f t="shared" si="91"/>
        <v>0</v>
      </c>
      <c r="DD57" s="17">
        <f t="shared" si="139"/>
        <v>0</v>
      </c>
      <c r="DE57" s="17" t="str">
        <f t="shared" si="140"/>
        <v/>
      </c>
      <c r="DF57" s="17" t="str">
        <f t="shared" si="141"/>
        <v/>
      </c>
    </row>
    <row r="58" spans="2:110" s="17" customFormat="1">
      <c r="B58" s="35"/>
      <c r="C58" s="35"/>
      <c r="D58" s="36"/>
      <c r="E58" s="35"/>
      <c r="F58" s="35"/>
      <c r="G58" s="35"/>
      <c r="H58" s="35"/>
      <c r="I58" s="35"/>
      <c r="J58" s="59"/>
      <c r="Z58" s="172" t="str">
        <f t="shared" si="94"/>
        <v/>
      </c>
      <c r="AB58" s="47" t="s">
        <v>237</v>
      </c>
      <c r="AC58" s="52" t="str">
        <f t="shared" si="88"/>
        <v/>
      </c>
      <c r="AD58" s="52">
        <f t="shared" si="154"/>
        <v>0</v>
      </c>
      <c r="AE58" s="52">
        <f t="shared" si="142"/>
        <v>0</v>
      </c>
      <c r="AF58" s="61" t="str">
        <f t="shared" si="95"/>
        <v/>
      </c>
      <c r="AG58" s="52">
        <f t="shared" si="96"/>
        <v>0</v>
      </c>
      <c r="AH58" s="52">
        <f t="shared" si="97"/>
        <v>0</v>
      </c>
      <c r="AI58" s="52" t="str">
        <f t="shared" si="98"/>
        <v/>
      </c>
      <c r="AJ58" s="61" t="str">
        <f t="shared" si="99"/>
        <v/>
      </c>
      <c r="AK58" s="95" t="str">
        <f t="shared" si="7"/>
        <v/>
      </c>
      <c r="AL58" s="61" t="str">
        <f t="shared" si="100"/>
        <v>if () {$("#adv_").html("Required");$("#").css({"background":"yellow"});} else {$("#adv_").html("");$("#").css({"background":"white"});}</v>
      </c>
      <c r="AM58" s="61" t="str">
        <f t="shared" si="101"/>
        <v>if (=="") {$("#adv_").html("Required");$("#adv_").css({"background":"yellow"});} else {$("#adv_").html("");}</v>
      </c>
      <c r="AN58" s="61" t="str">
        <f t="shared" si="83"/>
        <v>if (=="") {$("#adv_").html("Required");$("#").css({"background":"yellow"});} else {$("#adv_").html("");$("#").css({"background":"white"});}</v>
      </c>
      <c r="AO58" s="50" t="str">
        <f t="shared" si="102"/>
        <v/>
      </c>
      <c r="AP58" s="61" t="str">
        <f t="shared" si="103"/>
        <v>=$("#").val();</v>
      </c>
      <c r="AQ58" s="61" t="str">
        <f t="shared" si="104"/>
        <v/>
      </c>
      <c r="AR58" s="50" t="str">
        <f t="shared" si="105"/>
        <v>&lt;input type="checkbox" id="" name="" value="1" /&gt;</v>
      </c>
      <c r="AS58" s="61" t="str">
        <f t="shared" si="106"/>
        <v>=document.getElementById("").checked;</v>
      </c>
      <c r="AT58" s="102" t="str">
        <f t="shared" si="107"/>
        <v>if (isset($_GET[''])) {$=($_GET['']);}else $='';</v>
      </c>
      <c r="AU58" s="52" t="str">
        <f t="shared" si="108"/>
        <v/>
      </c>
      <c r="AV58" s="52" t="str">
        <f t="shared" si="147"/>
        <v>&lt;select size="1" name="" id=""&gt;&lt;option value=""&gt;</v>
      </c>
      <c r="AW58" s="52" t="str">
        <f t="shared" si="109"/>
        <v>&lt;option value=""&gt;&lt;/option&gt;</v>
      </c>
      <c r="AX58" s="145" t="str">
        <f t="shared" si="110"/>
        <v/>
      </c>
      <c r="AY58" s="102" t="str">
        <f>""</f>
        <v/>
      </c>
      <c r="AZ58" s="102"/>
      <c r="BA58" s="113">
        <f t="shared" si="111"/>
        <v>0</v>
      </c>
      <c r="BB58" s="103" t="str">
        <f t="shared" si="112"/>
        <v>0:</v>
      </c>
      <c r="BC58" s="50" t="str">
        <f t="shared" si="113"/>
        <v>0:&lt;span id="adv_0"&gt;&lt;/span&gt;&lt;br/&gt;&lt;input type="radio" name="0" id="" value="" /&gt;</v>
      </c>
      <c r="BD58" s="52" t="str">
        <f t="shared" si="114"/>
        <v>else if (document.getElementById("</v>
      </c>
      <c r="BE58" s="61" t="str">
        <f t="shared" si="115"/>
        <v>else if (document.getElementById("").checked==true) {0="";}</v>
      </c>
      <c r="BF58" s="61" t="str">
        <f t="shared" si="116"/>
        <v/>
      </c>
      <c r="BG58" s="61" t="str">
        <f t="shared" si="117"/>
        <v>0:0</v>
      </c>
      <c r="BH58" s="102" t="str">
        <f t="shared" si="118"/>
        <v>if (isset($_GET['0'])) {$0=($_GET['0']);}else $0='';</v>
      </c>
      <c r="BI58" s="105" t="str">
        <f t="shared" si="119"/>
        <v>&lt;br/&gt;&lt;textarea rows="2" cols="80" id=""&gt;&lt;/textarea&gt;&lt;br/&gt;</v>
      </c>
      <c r="BJ58" s="107" t="str">
        <f t="shared" si="120"/>
        <v>&lt;input type="text"  size="7"  id="" class="datepicker"/&gt;</v>
      </c>
      <c r="BK58" s="107" t="str">
        <f t="shared" si="121"/>
        <v>&lt;h2 id=""&gt;&lt;/h2&gt;</v>
      </c>
      <c r="BL58" s="109" t="str">
        <f t="shared" si="155"/>
        <v/>
      </c>
      <c r="BM58" s="61" t="str">
        <f t="shared" si="156"/>
        <v/>
      </c>
      <c r="BN58" s="52">
        <f t="shared" si="143"/>
        <v>0</v>
      </c>
      <c r="BO58" s="61" t="str">
        <f t="shared" si="157"/>
        <v/>
      </c>
      <c r="BP58" s="102" t="str">
        <f t="shared" si="158"/>
        <v/>
      </c>
      <c r="BQ58" s="105" t="str">
        <f t="shared" si="159"/>
        <v/>
      </c>
      <c r="BR58" s="52" t="str">
        <f t="shared" si="122"/>
        <v/>
      </c>
      <c r="BS58" s="52">
        <f t="shared" si="123"/>
        <v>0</v>
      </c>
      <c r="BT58" s="52">
        <f t="shared" si="144"/>
        <v>0</v>
      </c>
      <c r="BU58" s="52" t="str">
        <f t="shared" si="124"/>
        <v/>
      </c>
      <c r="BV58" s="52" t="str">
        <f t="shared" si="125"/>
        <v/>
      </c>
      <c r="BW58" s="52" t="str">
        <f t="shared" si="145"/>
        <v/>
      </c>
      <c r="BX58" s="113" t="str">
        <f t="shared" si="160"/>
        <v/>
      </c>
      <c r="BY58" s="52" t="str">
        <f t="shared" si="126"/>
        <v/>
      </c>
      <c r="BZ58" s="52" t="str">
        <f t="shared" si="127"/>
        <v/>
      </c>
      <c r="CA58" s="52" t="str">
        <f t="shared" si="161"/>
        <v/>
      </c>
      <c r="CB58" s="52" t="str">
        <f t="shared" si="162"/>
        <v/>
      </c>
      <c r="CC58" s="52" t="str">
        <f t="shared" si="128"/>
        <v/>
      </c>
      <c r="CD58" s="52" t="str">
        <f t="shared" si="129"/>
        <v/>
      </c>
      <c r="CE58" s="102" t="str">
        <f t="shared" si="163"/>
        <v/>
      </c>
      <c r="CF58" s="116" t="str">
        <f t="shared" si="130"/>
        <v/>
      </c>
      <c r="CG58" s="61" t="str">
        <f t="shared" si="164"/>
        <v/>
      </c>
      <c r="CH58" s="52" t="str">
        <f t="shared" si="84"/>
        <v/>
      </c>
      <c r="CI58" s="52" t="str">
        <f t="shared" si="85"/>
        <v/>
      </c>
      <c r="CJ58" s="52" t="str">
        <f t="shared" si="131"/>
        <v/>
      </c>
      <c r="CK58" s="52" t="str">
        <f t="shared" si="132"/>
        <v/>
      </c>
      <c r="CL58" s="52" t="str">
        <f t="shared" si="133"/>
        <v/>
      </c>
      <c r="CM58" s="102" t="str">
        <f t="shared" si="134"/>
        <v/>
      </c>
      <c r="CN58" s="116" t="str">
        <f t="shared" si="135"/>
        <v/>
      </c>
      <c r="CO58" s="61">
        <f t="shared" si="146"/>
        <v>0</v>
      </c>
      <c r="CP58" s="61" t="str">
        <f t="shared" si="92"/>
        <v/>
      </c>
      <c r="CQ58" s="61" t="str">
        <f t="shared" si="148"/>
        <v/>
      </c>
      <c r="CR58" s="61" t="str">
        <f t="shared" si="149"/>
        <v/>
      </c>
      <c r="CS58" s="105" t="str">
        <f t="shared" si="150"/>
        <v/>
      </c>
      <c r="CT58" s="105" t="str">
        <f t="shared" si="151"/>
        <v/>
      </c>
      <c r="CU58" s="61" t="str">
        <f t="shared" si="152"/>
        <v/>
      </c>
      <c r="CV58" s="61" t="str">
        <f t="shared" si="153"/>
        <v/>
      </c>
      <c r="CW58" s="61" t="str">
        <f t="shared" si="136"/>
        <v/>
      </c>
      <c r="CX58" s="61" t="str">
        <f t="shared" si="87"/>
        <v/>
      </c>
      <c r="CY58" s="61" t="str">
        <f t="shared" si="93"/>
        <v/>
      </c>
      <c r="CZ58" s="102" t="str">
        <f t="shared" si="137"/>
        <v/>
      </c>
      <c r="DA58" s="17">
        <f t="shared" si="138"/>
        <v>0</v>
      </c>
      <c r="DC58" s="17">
        <f t="shared" si="91"/>
        <v>0</v>
      </c>
      <c r="DD58" s="17">
        <f t="shared" si="139"/>
        <v>0</v>
      </c>
      <c r="DE58" s="17" t="str">
        <f t="shared" si="140"/>
        <v/>
      </c>
      <c r="DF58" s="17" t="str">
        <f t="shared" si="141"/>
        <v/>
      </c>
    </row>
    <row r="59" spans="2:110" s="17" customFormat="1">
      <c r="B59" s="35"/>
      <c r="C59" s="35"/>
      <c r="D59" s="36"/>
      <c r="E59" s="35"/>
      <c r="F59" s="35"/>
      <c r="G59" s="35"/>
      <c r="H59" s="35"/>
      <c r="I59" s="35"/>
      <c r="J59" s="59"/>
      <c r="Z59" s="172" t="str">
        <f t="shared" si="94"/>
        <v/>
      </c>
      <c r="AB59" s="47" t="s">
        <v>238</v>
      </c>
      <c r="AC59" s="52" t="str">
        <f t="shared" si="88"/>
        <v/>
      </c>
      <c r="AD59" s="52">
        <f t="shared" si="154"/>
        <v>0</v>
      </c>
      <c r="AE59" s="52">
        <f t="shared" si="142"/>
        <v>0</v>
      </c>
      <c r="AF59" s="61" t="str">
        <f t="shared" si="95"/>
        <v/>
      </c>
      <c r="AG59" s="52">
        <f t="shared" si="96"/>
        <v>0</v>
      </c>
      <c r="AH59" s="52">
        <f t="shared" si="97"/>
        <v>0</v>
      </c>
      <c r="AI59" s="52" t="str">
        <f t="shared" si="98"/>
        <v/>
      </c>
      <c r="AJ59" s="61" t="str">
        <f t="shared" si="99"/>
        <v/>
      </c>
      <c r="AK59" s="95" t="str">
        <f t="shared" si="7"/>
        <v/>
      </c>
      <c r="AL59" s="61" t="str">
        <f t="shared" si="100"/>
        <v>if () {$("#adv_").html("Required");$("#").css({"background":"yellow"});} else {$("#adv_").html("");$("#").css({"background":"white"});}</v>
      </c>
      <c r="AM59" s="61" t="str">
        <f t="shared" si="101"/>
        <v>if (=="") {$("#adv_").html("Required");$("#adv_").css({"background":"yellow"});} else {$("#adv_").html("");}</v>
      </c>
      <c r="AN59" s="61" t="str">
        <f t="shared" si="83"/>
        <v>if (=="") {$("#adv_").html("Required");$("#").css({"background":"yellow"});} else {$("#adv_").html("");$("#").css({"background":"white"});}</v>
      </c>
      <c r="AO59" s="50" t="str">
        <f t="shared" si="102"/>
        <v/>
      </c>
      <c r="AP59" s="61" t="str">
        <f t="shared" si="103"/>
        <v>=$("#").val();</v>
      </c>
      <c r="AQ59" s="61" t="str">
        <f t="shared" si="104"/>
        <v/>
      </c>
      <c r="AR59" s="50" t="str">
        <f t="shared" si="105"/>
        <v>&lt;input type="checkbox" id="" name="" value="1" /&gt;</v>
      </c>
      <c r="AS59" s="61" t="str">
        <f t="shared" si="106"/>
        <v>=document.getElementById("").checked;</v>
      </c>
      <c r="AT59" s="102" t="str">
        <f t="shared" si="107"/>
        <v>if (isset($_GET[''])) {$=($_GET['']);}else $='';</v>
      </c>
      <c r="AU59" s="52" t="str">
        <f t="shared" si="108"/>
        <v/>
      </c>
      <c r="AV59" s="52" t="str">
        <f t="shared" si="147"/>
        <v>&lt;select size="1" name="" id=""&gt;&lt;option value=""&gt;</v>
      </c>
      <c r="AW59" s="52" t="str">
        <f t="shared" si="109"/>
        <v>&lt;option value=""&gt;&lt;/option&gt;</v>
      </c>
      <c r="AX59" s="145" t="str">
        <f t="shared" si="110"/>
        <v/>
      </c>
      <c r="AY59" s="102" t="str">
        <f>""</f>
        <v/>
      </c>
      <c r="AZ59" s="102"/>
      <c r="BA59" s="113">
        <f t="shared" si="111"/>
        <v>0</v>
      </c>
      <c r="BB59" s="103" t="str">
        <f t="shared" si="112"/>
        <v>0:</v>
      </c>
      <c r="BC59" s="50" t="str">
        <f t="shared" si="113"/>
        <v>0:&lt;span id="adv_0"&gt;&lt;/span&gt;&lt;br/&gt;&lt;input type="radio" name="0" id="" value="" /&gt;</v>
      </c>
      <c r="BD59" s="52" t="str">
        <f t="shared" si="114"/>
        <v>else if (document.getElementById("</v>
      </c>
      <c r="BE59" s="61" t="str">
        <f t="shared" si="115"/>
        <v>else if (document.getElementById("").checked==true) {0="";}</v>
      </c>
      <c r="BF59" s="61" t="str">
        <f t="shared" si="116"/>
        <v/>
      </c>
      <c r="BG59" s="61" t="str">
        <f t="shared" si="117"/>
        <v>0:0</v>
      </c>
      <c r="BH59" s="102" t="str">
        <f t="shared" si="118"/>
        <v>if (isset($_GET['0'])) {$0=($_GET['0']);}else $0='';</v>
      </c>
      <c r="BI59" s="105" t="str">
        <f t="shared" si="119"/>
        <v>&lt;br/&gt;&lt;textarea rows="2" cols="80" id=""&gt;&lt;/textarea&gt;&lt;br/&gt;</v>
      </c>
      <c r="BJ59" s="107" t="str">
        <f t="shared" si="120"/>
        <v>&lt;input type="text"  size="7"  id="" class="datepicker"/&gt;</v>
      </c>
      <c r="BK59" s="107" t="str">
        <f t="shared" si="121"/>
        <v>&lt;h2 id=""&gt;&lt;/h2&gt;</v>
      </c>
      <c r="BL59" s="109" t="str">
        <f t="shared" si="155"/>
        <v/>
      </c>
      <c r="BM59" s="61" t="str">
        <f t="shared" si="156"/>
        <v/>
      </c>
      <c r="BN59" s="52">
        <f t="shared" si="143"/>
        <v>0</v>
      </c>
      <c r="BO59" s="61" t="str">
        <f t="shared" si="157"/>
        <v/>
      </c>
      <c r="BP59" s="102" t="str">
        <f t="shared" si="158"/>
        <v/>
      </c>
      <c r="BQ59" s="105" t="str">
        <f t="shared" si="159"/>
        <v/>
      </c>
      <c r="BR59" s="52" t="str">
        <f t="shared" si="122"/>
        <v/>
      </c>
      <c r="BS59" s="52">
        <f t="shared" si="123"/>
        <v>0</v>
      </c>
      <c r="BT59" s="52">
        <f t="shared" si="144"/>
        <v>0</v>
      </c>
      <c r="BU59" s="52" t="str">
        <f t="shared" si="124"/>
        <v/>
      </c>
      <c r="BV59" s="52" t="str">
        <f t="shared" si="125"/>
        <v/>
      </c>
      <c r="BW59" s="52" t="str">
        <f t="shared" si="145"/>
        <v/>
      </c>
      <c r="BX59" s="113" t="str">
        <f t="shared" si="160"/>
        <v/>
      </c>
      <c r="BY59" s="52" t="str">
        <f t="shared" si="126"/>
        <v/>
      </c>
      <c r="BZ59" s="52" t="str">
        <f t="shared" si="127"/>
        <v/>
      </c>
      <c r="CA59" s="52" t="str">
        <f t="shared" si="161"/>
        <v/>
      </c>
      <c r="CB59" s="52" t="str">
        <f t="shared" si="162"/>
        <v/>
      </c>
      <c r="CC59" s="52" t="str">
        <f t="shared" si="128"/>
        <v/>
      </c>
      <c r="CD59" s="52" t="str">
        <f t="shared" si="129"/>
        <v/>
      </c>
      <c r="CE59" s="102" t="str">
        <f t="shared" si="163"/>
        <v/>
      </c>
      <c r="CF59" s="116" t="str">
        <f t="shared" si="130"/>
        <v/>
      </c>
      <c r="CG59" s="61" t="str">
        <f t="shared" si="164"/>
        <v/>
      </c>
      <c r="CH59" s="52" t="str">
        <f t="shared" si="84"/>
        <v/>
      </c>
      <c r="CI59" s="52" t="str">
        <f t="shared" si="85"/>
        <v/>
      </c>
      <c r="CJ59" s="52" t="str">
        <f t="shared" si="131"/>
        <v/>
      </c>
      <c r="CK59" s="52" t="str">
        <f t="shared" si="132"/>
        <v/>
      </c>
      <c r="CL59" s="52" t="str">
        <f t="shared" si="133"/>
        <v/>
      </c>
      <c r="CM59" s="102" t="str">
        <f t="shared" si="134"/>
        <v/>
      </c>
      <c r="CN59" s="116" t="str">
        <f t="shared" si="135"/>
        <v/>
      </c>
      <c r="CO59" s="61">
        <f t="shared" si="146"/>
        <v>0</v>
      </c>
      <c r="CP59" s="61" t="str">
        <f t="shared" si="92"/>
        <v/>
      </c>
      <c r="CQ59" s="61" t="str">
        <f t="shared" si="148"/>
        <v/>
      </c>
      <c r="CR59" s="61" t="str">
        <f t="shared" si="149"/>
        <v/>
      </c>
      <c r="CS59" s="105" t="str">
        <f t="shared" si="150"/>
        <v/>
      </c>
      <c r="CT59" s="105" t="str">
        <f t="shared" si="151"/>
        <v/>
      </c>
      <c r="CU59" s="61" t="str">
        <f t="shared" si="152"/>
        <v/>
      </c>
      <c r="CV59" s="61" t="str">
        <f t="shared" si="153"/>
        <v/>
      </c>
      <c r="CW59" s="61" t="str">
        <f t="shared" si="136"/>
        <v/>
      </c>
      <c r="CX59" s="61" t="str">
        <f t="shared" si="87"/>
        <v/>
      </c>
      <c r="CY59" s="61" t="str">
        <f t="shared" si="93"/>
        <v/>
      </c>
      <c r="CZ59" s="102" t="str">
        <f t="shared" si="137"/>
        <v/>
      </c>
      <c r="DA59" s="17">
        <f t="shared" si="138"/>
        <v>0</v>
      </c>
      <c r="DC59" s="17">
        <f t="shared" si="91"/>
        <v>0</v>
      </c>
      <c r="DD59" s="17">
        <f t="shared" si="139"/>
        <v>0</v>
      </c>
      <c r="DE59" s="17" t="str">
        <f t="shared" si="140"/>
        <v/>
      </c>
      <c r="DF59" s="17" t="str">
        <f t="shared" si="141"/>
        <v/>
      </c>
    </row>
    <row r="60" spans="2:110" s="17" customFormat="1">
      <c r="B60" s="35"/>
      <c r="C60" s="35"/>
      <c r="D60" s="36"/>
      <c r="E60" s="35"/>
      <c r="F60" s="35"/>
      <c r="G60" s="35"/>
      <c r="H60" s="35"/>
      <c r="I60" s="35"/>
      <c r="J60" s="59"/>
      <c r="Z60" s="172" t="str">
        <f t="shared" si="94"/>
        <v/>
      </c>
      <c r="AB60" s="47" t="s">
        <v>239</v>
      </c>
      <c r="AC60" s="52" t="str">
        <f t="shared" si="88"/>
        <v/>
      </c>
      <c r="AD60" s="52">
        <f t="shared" si="154"/>
        <v>0</v>
      </c>
      <c r="AE60" s="52">
        <f t="shared" si="142"/>
        <v>0</v>
      </c>
      <c r="AF60" s="61" t="str">
        <f t="shared" si="95"/>
        <v/>
      </c>
      <c r="AG60" s="52">
        <f t="shared" si="96"/>
        <v>0</v>
      </c>
      <c r="AH60" s="52">
        <f t="shared" si="97"/>
        <v>0</v>
      </c>
      <c r="AI60" s="52" t="str">
        <f t="shared" si="98"/>
        <v/>
      </c>
      <c r="AJ60" s="61" t="str">
        <f t="shared" si="99"/>
        <v/>
      </c>
      <c r="AK60" s="95" t="str">
        <f t="shared" si="7"/>
        <v/>
      </c>
      <c r="AL60" s="61" t="str">
        <f t="shared" si="100"/>
        <v>if () {$("#adv_").html("Required");$("#").css({"background":"yellow"});} else {$("#adv_").html("");$("#").css({"background":"white"});}</v>
      </c>
      <c r="AM60" s="61" t="str">
        <f t="shared" si="101"/>
        <v>if (=="") {$("#adv_").html("Required");$("#adv_").css({"background":"yellow"});} else {$("#adv_").html("");}</v>
      </c>
      <c r="AN60" s="61" t="str">
        <f t="shared" si="83"/>
        <v>if (=="") {$("#adv_").html("Required");$("#").css({"background":"yellow"});} else {$("#adv_").html("");$("#").css({"background":"white"});}</v>
      </c>
      <c r="AO60" s="50" t="str">
        <f t="shared" si="102"/>
        <v/>
      </c>
      <c r="AP60" s="61" t="str">
        <f t="shared" si="103"/>
        <v>=$("#").val();</v>
      </c>
      <c r="AQ60" s="61" t="str">
        <f t="shared" si="104"/>
        <v/>
      </c>
      <c r="AR60" s="50" t="str">
        <f t="shared" si="105"/>
        <v>&lt;input type="checkbox" id="" name="" value="1" /&gt;</v>
      </c>
      <c r="AS60" s="61" t="str">
        <f t="shared" si="106"/>
        <v>=document.getElementById("").checked;</v>
      </c>
      <c r="AT60" s="102" t="str">
        <f t="shared" si="107"/>
        <v>if (isset($_GET[''])) {$=($_GET['']);}else $='';</v>
      </c>
      <c r="AU60" s="52" t="str">
        <f t="shared" si="108"/>
        <v/>
      </c>
      <c r="AV60" s="52" t="str">
        <f t="shared" si="147"/>
        <v>&lt;select size="1" name="" id=""&gt;&lt;option value=""&gt;</v>
      </c>
      <c r="AW60" s="52" t="str">
        <f t="shared" si="109"/>
        <v>&lt;option value=""&gt;&lt;/option&gt;</v>
      </c>
      <c r="AX60" s="145" t="str">
        <f t="shared" si="110"/>
        <v/>
      </c>
      <c r="AY60" s="102" t="str">
        <f>""</f>
        <v/>
      </c>
      <c r="AZ60" s="102"/>
      <c r="BA60" s="113">
        <f t="shared" si="111"/>
        <v>0</v>
      </c>
      <c r="BB60" s="103" t="str">
        <f t="shared" si="112"/>
        <v>0:</v>
      </c>
      <c r="BC60" s="50" t="str">
        <f t="shared" si="113"/>
        <v>0:&lt;span id="adv_0"&gt;&lt;/span&gt;&lt;br/&gt;&lt;input type="radio" name="0" id="" value="" /&gt;</v>
      </c>
      <c r="BD60" s="52" t="str">
        <f t="shared" si="114"/>
        <v>else if (document.getElementById("</v>
      </c>
      <c r="BE60" s="61" t="str">
        <f t="shared" si="115"/>
        <v>else if (document.getElementById("").checked==true) {0="";}</v>
      </c>
      <c r="BF60" s="61" t="str">
        <f t="shared" si="116"/>
        <v/>
      </c>
      <c r="BG60" s="61" t="str">
        <f t="shared" si="117"/>
        <v>0:0</v>
      </c>
      <c r="BH60" s="102" t="str">
        <f t="shared" si="118"/>
        <v>if (isset($_GET['0'])) {$0=($_GET['0']);}else $0='';</v>
      </c>
      <c r="BI60" s="105" t="str">
        <f t="shared" si="119"/>
        <v>&lt;br/&gt;&lt;textarea rows="2" cols="80" id=""&gt;&lt;/textarea&gt;&lt;br/&gt;</v>
      </c>
      <c r="BJ60" s="107" t="str">
        <f t="shared" si="120"/>
        <v>&lt;input type="text"  size="7"  id="" class="datepicker"/&gt;</v>
      </c>
      <c r="BK60" s="107" t="str">
        <f t="shared" si="121"/>
        <v>&lt;h2 id=""&gt;&lt;/h2&gt;</v>
      </c>
      <c r="BL60" s="109" t="str">
        <f t="shared" si="155"/>
        <v/>
      </c>
      <c r="BM60" s="61" t="str">
        <f t="shared" si="156"/>
        <v/>
      </c>
      <c r="BN60" s="52">
        <f t="shared" si="143"/>
        <v>0</v>
      </c>
      <c r="BO60" s="61" t="str">
        <f t="shared" si="157"/>
        <v/>
      </c>
      <c r="BP60" s="102" t="str">
        <f t="shared" si="158"/>
        <v/>
      </c>
      <c r="BQ60" s="105" t="str">
        <f t="shared" si="159"/>
        <v/>
      </c>
      <c r="BR60" s="52" t="str">
        <f t="shared" si="122"/>
        <v/>
      </c>
      <c r="BS60" s="52">
        <f t="shared" si="123"/>
        <v>0</v>
      </c>
      <c r="BT60" s="52">
        <f t="shared" si="144"/>
        <v>0</v>
      </c>
      <c r="BU60" s="52" t="str">
        <f t="shared" si="124"/>
        <v/>
      </c>
      <c r="BV60" s="52" t="str">
        <f t="shared" si="125"/>
        <v/>
      </c>
      <c r="BW60" s="52" t="str">
        <f t="shared" si="145"/>
        <v/>
      </c>
      <c r="BX60" s="113" t="str">
        <f t="shared" si="160"/>
        <v/>
      </c>
      <c r="BY60" s="52" t="str">
        <f t="shared" si="126"/>
        <v/>
      </c>
      <c r="BZ60" s="52" t="str">
        <f t="shared" si="127"/>
        <v/>
      </c>
      <c r="CA60" s="52" t="str">
        <f t="shared" si="161"/>
        <v/>
      </c>
      <c r="CB60" s="52" t="str">
        <f t="shared" si="162"/>
        <v/>
      </c>
      <c r="CC60" s="52" t="str">
        <f t="shared" si="128"/>
        <v/>
      </c>
      <c r="CD60" s="52" t="str">
        <f t="shared" si="129"/>
        <v/>
      </c>
      <c r="CE60" s="102" t="str">
        <f t="shared" si="163"/>
        <v/>
      </c>
      <c r="CF60" s="116" t="str">
        <f t="shared" si="130"/>
        <v/>
      </c>
      <c r="CG60" s="61" t="str">
        <f t="shared" si="164"/>
        <v/>
      </c>
      <c r="CH60" s="52" t="str">
        <f t="shared" si="84"/>
        <v/>
      </c>
      <c r="CI60" s="52" t="str">
        <f t="shared" si="85"/>
        <v/>
      </c>
      <c r="CJ60" s="52" t="str">
        <f t="shared" si="131"/>
        <v/>
      </c>
      <c r="CK60" s="52" t="str">
        <f t="shared" si="132"/>
        <v/>
      </c>
      <c r="CL60" s="52" t="str">
        <f t="shared" si="133"/>
        <v/>
      </c>
      <c r="CM60" s="102" t="str">
        <f t="shared" si="134"/>
        <v/>
      </c>
      <c r="CN60" s="116" t="str">
        <f t="shared" si="135"/>
        <v/>
      </c>
      <c r="CO60" s="61">
        <f t="shared" si="146"/>
        <v>0</v>
      </c>
      <c r="CP60" s="61" t="str">
        <f t="shared" si="92"/>
        <v/>
      </c>
      <c r="CQ60" s="61" t="str">
        <f t="shared" si="148"/>
        <v/>
      </c>
      <c r="CR60" s="61" t="str">
        <f t="shared" si="149"/>
        <v/>
      </c>
      <c r="CS60" s="105" t="str">
        <f t="shared" si="150"/>
        <v/>
      </c>
      <c r="CT60" s="105" t="str">
        <f t="shared" si="151"/>
        <v/>
      </c>
      <c r="CU60" s="61" t="str">
        <f t="shared" si="152"/>
        <v/>
      </c>
      <c r="CV60" s="61" t="str">
        <f t="shared" si="153"/>
        <v/>
      </c>
      <c r="CW60" s="61" t="str">
        <f t="shared" si="136"/>
        <v/>
      </c>
      <c r="CX60" s="61" t="str">
        <f t="shared" si="87"/>
        <v/>
      </c>
      <c r="CY60" s="61" t="str">
        <f t="shared" si="93"/>
        <v/>
      </c>
      <c r="CZ60" s="102" t="str">
        <f t="shared" si="137"/>
        <v/>
      </c>
      <c r="DA60" s="17">
        <f t="shared" si="138"/>
        <v>0</v>
      </c>
      <c r="DC60" s="17">
        <f t="shared" si="91"/>
        <v>0</v>
      </c>
      <c r="DD60" s="17">
        <f t="shared" si="139"/>
        <v>0</v>
      </c>
      <c r="DE60" s="17" t="str">
        <f t="shared" si="140"/>
        <v/>
      </c>
      <c r="DF60" s="17" t="str">
        <f t="shared" si="141"/>
        <v/>
      </c>
    </row>
    <row r="61" spans="2:110" s="17" customFormat="1">
      <c r="B61" s="35"/>
      <c r="C61" s="35"/>
      <c r="D61" s="36"/>
      <c r="E61" s="35"/>
      <c r="F61" s="35"/>
      <c r="G61" s="35"/>
      <c r="H61" s="35"/>
      <c r="I61" s="35"/>
      <c r="J61" s="59"/>
      <c r="Z61" s="172" t="str">
        <f t="shared" si="94"/>
        <v/>
      </c>
      <c r="AB61" s="47" t="s">
        <v>240</v>
      </c>
      <c r="AC61" s="52" t="str">
        <f t="shared" si="88"/>
        <v/>
      </c>
      <c r="AD61" s="52">
        <f t="shared" si="154"/>
        <v>0</v>
      </c>
      <c r="AE61" s="52">
        <f t="shared" si="142"/>
        <v>0</v>
      </c>
      <c r="AF61" s="61" t="str">
        <f t="shared" si="95"/>
        <v/>
      </c>
      <c r="AG61" s="52">
        <f t="shared" si="96"/>
        <v>0</v>
      </c>
      <c r="AH61" s="52">
        <f t="shared" si="97"/>
        <v>0</v>
      </c>
      <c r="AI61" s="52" t="str">
        <f t="shared" si="98"/>
        <v/>
      </c>
      <c r="AJ61" s="61" t="str">
        <f t="shared" si="99"/>
        <v/>
      </c>
      <c r="AK61" s="95" t="str">
        <f t="shared" si="7"/>
        <v/>
      </c>
      <c r="AL61" s="61" t="str">
        <f t="shared" si="100"/>
        <v>if () {$("#adv_").html("Required");$("#").css({"background":"yellow"});} else {$("#adv_").html("");$("#").css({"background":"white"});}</v>
      </c>
      <c r="AM61" s="61" t="str">
        <f t="shared" si="101"/>
        <v>if (=="") {$("#adv_").html("Required");$("#adv_").css({"background":"yellow"});} else {$("#adv_").html("");}</v>
      </c>
      <c r="AN61" s="61" t="str">
        <f t="shared" si="83"/>
        <v>if (=="") {$("#adv_").html("Required");$("#").css({"background":"yellow"});} else {$("#adv_").html("");$("#").css({"background":"white"});}</v>
      </c>
      <c r="AO61" s="50" t="str">
        <f t="shared" si="102"/>
        <v/>
      </c>
      <c r="AP61" s="61" t="str">
        <f t="shared" si="103"/>
        <v>=$("#").val();</v>
      </c>
      <c r="AQ61" s="61" t="str">
        <f t="shared" si="104"/>
        <v/>
      </c>
      <c r="AR61" s="50" t="str">
        <f t="shared" si="105"/>
        <v>&lt;input type="checkbox" id="" name="" value="1" /&gt;</v>
      </c>
      <c r="AS61" s="61" t="str">
        <f t="shared" si="106"/>
        <v>=document.getElementById("").checked;</v>
      </c>
      <c r="AT61" s="102" t="str">
        <f t="shared" si="107"/>
        <v>if (isset($_GET[''])) {$=($_GET['']);}else $='';</v>
      </c>
      <c r="AU61" s="52" t="str">
        <f t="shared" si="108"/>
        <v/>
      </c>
      <c r="AV61" s="52" t="str">
        <f t="shared" si="147"/>
        <v>&lt;select size="1" name="" id=""&gt;&lt;option value=""&gt;</v>
      </c>
      <c r="AW61" s="52" t="str">
        <f t="shared" si="109"/>
        <v>&lt;option value=""&gt;&lt;/option&gt;</v>
      </c>
      <c r="AX61" s="145" t="str">
        <f t="shared" si="110"/>
        <v/>
      </c>
      <c r="AY61" s="102" t="str">
        <f>""</f>
        <v/>
      </c>
      <c r="AZ61" s="102"/>
      <c r="BA61" s="113">
        <f t="shared" si="111"/>
        <v>0</v>
      </c>
      <c r="BB61" s="103" t="str">
        <f t="shared" si="112"/>
        <v>0:</v>
      </c>
      <c r="BC61" s="50" t="str">
        <f t="shared" si="113"/>
        <v>0:&lt;span id="adv_0"&gt;&lt;/span&gt;&lt;br/&gt;&lt;input type="radio" name="0" id="" value="" /&gt;</v>
      </c>
      <c r="BD61" s="52" t="str">
        <f t="shared" si="114"/>
        <v>else if (document.getElementById("</v>
      </c>
      <c r="BE61" s="61" t="str">
        <f t="shared" si="115"/>
        <v>else if (document.getElementById("").checked==true) {0="";}</v>
      </c>
      <c r="BF61" s="61" t="str">
        <f t="shared" si="116"/>
        <v/>
      </c>
      <c r="BG61" s="61" t="str">
        <f t="shared" si="117"/>
        <v>0:0</v>
      </c>
      <c r="BH61" s="102" t="str">
        <f t="shared" si="118"/>
        <v>if (isset($_GET['0'])) {$0=($_GET['0']);}else $0='';</v>
      </c>
      <c r="BI61" s="105" t="str">
        <f t="shared" si="119"/>
        <v>&lt;br/&gt;&lt;textarea rows="2" cols="80" id=""&gt;&lt;/textarea&gt;&lt;br/&gt;</v>
      </c>
      <c r="BJ61" s="107" t="str">
        <f t="shared" si="120"/>
        <v>&lt;input type="text"  size="7"  id="" class="datepicker"/&gt;</v>
      </c>
      <c r="BK61" s="107" t="str">
        <f t="shared" si="121"/>
        <v>&lt;h2 id=""&gt;&lt;/h2&gt;</v>
      </c>
      <c r="BL61" s="109" t="str">
        <f t="shared" si="155"/>
        <v/>
      </c>
      <c r="BM61" s="61" t="str">
        <f t="shared" si="156"/>
        <v/>
      </c>
      <c r="BN61" s="52">
        <f t="shared" si="143"/>
        <v>0</v>
      </c>
      <c r="BO61" s="61" t="str">
        <f t="shared" si="157"/>
        <v/>
      </c>
      <c r="BP61" s="102" t="str">
        <f t="shared" si="158"/>
        <v/>
      </c>
      <c r="BQ61" s="105" t="str">
        <f t="shared" si="159"/>
        <v/>
      </c>
      <c r="BR61" s="52" t="str">
        <f t="shared" si="122"/>
        <v/>
      </c>
      <c r="BS61" s="52">
        <f t="shared" si="123"/>
        <v>0</v>
      </c>
      <c r="BT61" s="52">
        <f t="shared" si="144"/>
        <v>0</v>
      </c>
      <c r="BU61" s="52" t="str">
        <f t="shared" si="124"/>
        <v/>
      </c>
      <c r="BV61" s="52" t="str">
        <f t="shared" si="125"/>
        <v/>
      </c>
      <c r="BW61" s="52" t="str">
        <f t="shared" si="145"/>
        <v/>
      </c>
      <c r="BX61" s="113" t="str">
        <f t="shared" si="160"/>
        <v/>
      </c>
      <c r="BY61" s="52" t="str">
        <f t="shared" si="126"/>
        <v/>
      </c>
      <c r="BZ61" s="52" t="str">
        <f t="shared" si="127"/>
        <v/>
      </c>
      <c r="CA61" s="52" t="str">
        <f t="shared" si="161"/>
        <v/>
      </c>
      <c r="CB61" s="52" t="str">
        <f t="shared" si="162"/>
        <v/>
      </c>
      <c r="CC61" s="52" t="str">
        <f t="shared" si="128"/>
        <v/>
      </c>
      <c r="CD61" s="52" t="str">
        <f t="shared" si="129"/>
        <v/>
      </c>
      <c r="CE61" s="102" t="str">
        <f t="shared" si="163"/>
        <v/>
      </c>
      <c r="CF61" s="116" t="str">
        <f t="shared" si="130"/>
        <v/>
      </c>
      <c r="CG61" s="61" t="str">
        <f t="shared" si="164"/>
        <v/>
      </c>
      <c r="CH61" s="52" t="str">
        <f t="shared" si="84"/>
        <v/>
      </c>
      <c r="CI61" s="52" t="str">
        <f t="shared" si="85"/>
        <v/>
      </c>
      <c r="CJ61" s="52" t="str">
        <f t="shared" si="131"/>
        <v/>
      </c>
      <c r="CK61" s="52" t="str">
        <f t="shared" si="132"/>
        <v/>
      </c>
      <c r="CL61" s="52" t="str">
        <f t="shared" si="133"/>
        <v/>
      </c>
      <c r="CM61" s="102" t="str">
        <f t="shared" si="134"/>
        <v/>
      </c>
      <c r="CN61" s="116" t="str">
        <f t="shared" si="135"/>
        <v/>
      </c>
      <c r="CO61" s="61">
        <f t="shared" si="146"/>
        <v>0</v>
      </c>
      <c r="CP61" s="61" t="str">
        <f t="shared" si="92"/>
        <v/>
      </c>
      <c r="CQ61" s="61" t="str">
        <f t="shared" si="148"/>
        <v/>
      </c>
      <c r="CR61" s="61" t="str">
        <f t="shared" si="149"/>
        <v/>
      </c>
      <c r="CS61" s="105" t="str">
        <f t="shared" si="150"/>
        <v/>
      </c>
      <c r="CT61" s="105" t="str">
        <f t="shared" si="151"/>
        <v/>
      </c>
      <c r="CU61" s="61" t="str">
        <f t="shared" si="152"/>
        <v/>
      </c>
      <c r="CV61" s="61" t="str">
        <f t="shared" si="153"/>
        <v/>
      </c>
      <c r="CW61" s="61" t="str">
        <f t="shared" si="136"/>
        <v/>
      </c>
      <c r="CX61" s="61" t="str">
        <f t="shared" si="87"/>
        <v/>
      </c>
      <c r="CY61" s="61" t="str">
        <f t="shared" si="93"/>
        <v/>
      </c>
      <c r="CZ61" s="102" t="str">
        <f t="shared" si="137"/>
        <v/>
      </c>
      <c r="DA61" s="17">
        <f t="shared" si="138"/>
        <v>0</v>
      </c>
      <c r="DC61" s="17">
        <f t="shared" si="91"/>
        <v>0</v>
      </c>
      <c r="DD61" s="17">
        <f t="shared" si="139"/>
        <v>0</v>
      </c>
      <c r="DE61" s="17" t="str">
        <f t="shared" si="140"/>
        <v/>
      </c>
      <c r="DF61" s="17" t="str">
        <f t="shared" si="141"/>
        <v/>
      </c>
    </row>
    <row r="62" spans="2:110" s="17" customFormat="1">
      <c r="B62" s="35"/>
      <c r="C62" s="35"/>
      <c r="D62" s="36"/>
      <c r="E62" s="35"/>
      <c r="F62" s="35"/>
      <c r="G62" s="35"/>
      <c r="H62" s="35"/>
      <c r="I62" s="35"/>
      <c r="J62" s="59"/>
      <c r="Z62" s="172" t="str">
        <f t="shared" si="94"/>
        <v/>
      </c>
      <c r="AB62" s="47" t="s">
        <v>241</v>
      </c>
      <c r="AC62" s="52" t="str">
        <f t="shared" si="88"/>
        <v/>
      </c>
      <c r="AD62" s="52">
        <f t="shared" si="154"/>
        <v>0</v>
      </c>
      <c r="AE62" s="52">
        <f t="shared" si="142"/>
        <v>0</v>
      </c>
      <c r="AF62" s="61" t="str">
        <f t="shared" si="95"/>
        <v/>
      </c>
      <c r="AG62" s="52">
        <f t="shared" si="96"/>
        <v>0</v>
      </c>
      <c r="AH62" s="52">
        <f t="shared" si="97"/>
        <v>0</v>
      </c>
      <c r="AI62" s="52" t="str">
        <f t="shared" si="98"/>
        <v/>
      </c>
      <c r="AJ62" s="61" t="str">
        <f t="shared" si="99"/>
        <v/>
      </c>
      <c r="AK62" s="95" t="str">
        <f t="shared" si="7"/>
        <v/>
      </c>
      <c r="AL62" s="61" t="str">
        <f t="shared" si="100"/>
        <v>if () {$("#adv_").html("Required");$("#").css({"background":"yellow"});} else {$("#adv_").html("");$("#").css({"background":"white"});}</v>
      </c>
      <c r="AM62" s="61" t="str">
        <f t="shared" si="101"/>
        <v>if (=="") {$("#adv_").html("Required");$("#adv_").css({"background":"yellow"});} else {$("#adv_").html("");}</v>
      </c>
      <c r="AN62" s="61" t="str">
        <f t="shared" si="83"/>
        <v>if (=="") {$("#adv_").html("Required");$("#").css({"background":"yellow"});} else {$("#adv_").html("");$("#").css({"background":"white"});}</v>
      </c>
      <c r="AO62" s="50" t="str">
        <f t="shared" si="102"/>
        <v/>
      </c>
      <c r="AP62" s="61" t="str">
        <f t="shared" si="103"/>
        <v>=$("#").val();</v>
      </c>
      <c r="AQ62" s="61" t="str">
        <f t="shared" si="104"/>
        <v/>
      </c>
      <c r="AR62" s="50" t="str">
        <f t="shared" si="105"/>
        <v>&lt;input type="checkbox" id="" name="" value="1" /&gt;</v>
      </c>
      <c r="AS62" s="61" t="str">
        <f t="shared" si="106"/>
        <v>=document.getElementById("").checked;</v>
      </c>
      <c r="AT62" s="102" t="str">
        <f t="shared" si="107"/>
        <v>if (isset($_GET[''])) {$=($_GET['']);}else $='';</v>
      </c>
      <c r="AU62" s="52" t="str">
        <f t="shared" si="108"/>
        <v/>
      </c>
      <c r="AV62" s="52" t="str">
        <f t="shared" si="147"/>
        <v>&lt;select size="1" name="" id=""&gt;&lt;option value=""&gt;</v>
      </c>
      <c r="AW62" s="52" t="str">
        <f t="shared" si="109"/>
        <v>&lt;option value=""&gt;&lt;/option&gt;</v>
      </c>
      <c r="AX62" s="145" t="str">
        <f t="shared" si="110"/>
        <v/>
      </c>
      <c r="AY62" s="102" t="str">
        <f>""</f>
        <v/>
      </c>
      <c r="AZ62" s="102"/>
      <c r="BA62" s="113">
        <f t="shared" si="111"/>
        <v>0</v>
      </c>
      <c r="BB62" s="103" t="str">
        <f t="shared" si="112"/>
        <v>0:</v>
      </c>
      <c r="BC62" s="50" t="str">
        <f t="shared" si="113"/>
        <v>0:&lt;span id="adv_0"&gt;&lt;/span&gt;&lt;br/&gt;&lt;input type="radio" name="0" id="" value="" /&gt;</v>
      </c>
      <c r="BD62" s="52" t="str">
        <f t="shared" si="114"/>
        <v>else if (document.getElementById("</v>
      </c>
      <c r="BE62" s="61" t="str">
        <f t="shared" si="115"/>
        <v>else if (document.getElementById("").checked==true) {0="";}</v>
      </c>
      <c r="BF62" s="61" t="str">
        <f t="shared" si="116"/>
        <v/>
      </c>
      <c r="BG62" s="61" t="str">
        <f t="shared" si="117"/>
        <v>0:0</v>
      </c>
      <c r="BH62" s="102" t="str">
        <f t="shared" si="118"/>
        <v>if (isset($_GET['0'])) {$0=($_GET['0']);}else $0='';</v>
      </c>
      <c r="BI62" s="105" t="str">
        <f t="shared" si="119"/>
        <v>&lt;br/&gt;&lt;textarea rows="2" cols="80" id=""&gt;&lt;/textarea&gt;&lt;br/&gt;</v>
      </c>
      <c r="BJ62" s="107" t="str">
        <f t="shared" si="120"/>
        <v>&lt;input type="text"  size="7"  id="" class="datepicker"/&gt;</v>
      </c>
      <c r="BK62" s="107" t="str">
        <f t="shared" si="121"/>
        <v>&lt;h2 id=""&gt;&lt;/h2&gt;</v>
      </c>
      <c r="BL62" s="109" t="str">
        <f t="shared" si="155"/>
        <v/>
      </c>
      <c r="BM62" s="61" t="str">
        <f t="shared" si="156"/>
        <v/>
      </c>
      <c r="BN62" s="52">
        <f t="shared" si="143"/>
        <v>0</v>
      </c>
      <c r="BO62" s="61" t="str">
        <f t="shared" si="157"/>
        <v/>
      </c>
      <c r="BP62" s="102" t="str">
        <f t="shared" si="158"/>
        <v/>
      </c>
      <c r="BQ62" s="105" t="str">
        <f t="shared" si="159"/>
        <v/>
      </c>
      <c r="BR62" s="52" t="str">
        <f t="shared" si="122"/>
        <v/>
      </c>
      <c r="BS62" s="52">
        <f t="shared" si="123"/>
        <v>0</v>
      </c>
      <c r="BT62" s="52">
        <f t="shared" si="144"/>
        <v>0</v>
      </c>
      <c r="BU62" s="52" t="str">
        <f t="shared" si="124"/>
        <v/>
      </c>
      <c r="BV62" s="52" t="str">
        <f t="shared" si="125"/>
        <v/>
      </c>
      <c r="BW62" s="52" t="str">
        <f t="shared" si="145"/>
        <v/>
      </c>
      <c r="BX62" s="113" t="str">
        <f t="shared" si="160"/>
        <v/>
      </c>
      <c r="BY62" s="52" t="str">
        <f t="shared" si="126"/>
        <v/>
      </c>
      <c r="BZ62" s="52" t="str">
        <f t="shared" si="127"/>
        <v/>
      </c>
      <c r="CA62" s="52" t="str">
        <f t="shared" si="161"/>
        <v/>
      </c>
      <c r="CB62" s="52" t="str">
        <f t="shared" si="162"/>
        <v/>
      </c>
      <c r="CC62" s="52" t="str">
        <f t="shared" si="128"/>
        <v/>
      </c>
      <c r="CD62" s="52" t="str">
        <f t="shared" si="129"/>
        <v/>
      </c>
      <c r="CE62" s="102" t="str">
        <f t="shared" si="163"/>
        <v/>
      </c>
      <c r="CF62" s="116" t="str">
        <f t="shared" si="130"/>
        <v/>
      </c>
      <c r="CG62" s="61" t="str">
        <f t="shared" si="164"/>
        <v/>
      </c>
      <c r="CH62" s="52" t="str">
        <f t="shared" si="84"/>
        <v/>
      </c>
      <c r="CI62" s="52" t="str">
        <f t="shared" si="85"/>
        <v/>
      </c>
      <c r="CJ62" s="52" t="str">
        <f t="shared" si="131"/>
        <v/>
      </c>
      <c r="CK62" s="52" t="str">
        <f t="shared" si="132"/>
        <v/>
      </c>
      <c r="CL62" s="52" t="str">
        <f t="shared" si="133"/>
        <v/>
      </c>
      <c r="CM62" s="102" t="str">
        <f t="shared" si="134"/>
        <v/>
      </c>
      <c r="CN62" s="116" t="str">
        <f t="shared" si="135"/>
        <v/>
      </c>
      <c r="CO62" s="61">
        <f t="shared" si="146"/>
        <v>0</v>
      </c>
      <c r="CP62" s="61" t="str">
        <f t="shared" si="92"/>
        <v/>
      </c>
      <c r="CQ62" s="61" t="str">
        <f t="shared" si="148"/>
        <v/>
      </c>
      <c r="CR62" s="61" t="str">
        <f t="shared" si="149"/>
        <v/>
      </c>
      <c r="CS62" s="105" t="str">
        <f t="shared" si="150"/>
        <v/>
      </c>
      <c r="CT62" s="105" t="str">
        <f t="shared" si="151"/>
        <v/>
      </c>
      <c r="CU62" s="61" t="str">
        <f t="shared" si="152"/>
        <v/>
      </c>
      <c r="CV62" s="61" t="str">
        <f t="shared" si="153"/>
        <v/>
      </c>
      <c r="CW62" s="61" t="str">
        <f t="shared" si="136"/>
        <v/>
      </c>
      <c r="CX62" s="61" t="str">
        <f t="shared" si="87"/>
        <v/>
      </c>
      <c r="CY62" s="61" t="str">
        <f t="shared" si="93"/>
        <v/>
      </c>
      <c r="CZ62" s="102" t="str">
        <f t="shared" si="137"/>
        <v/>
      </c>
      <c r="DA62" s="17">
        <f t="shared" si="138"/>
        <v>0</v>
      </c>
      <c r="DC62" s="17">
        <f t="shared" si="91"/>
        <v>0</v>
      </c>
      <c r="DD62" s="17">
        <f t="shared" si="139"/>
        <v>0</v>
      </c>
      <c r="DE62" s="17" t="str">
        <f t="shared" si="140"/>
        <v/>
      </c>
      <c r="DF62" s="17" t="str">
        <f t="shared" si="141"/>
        <v/>
      </c>
    </row>
    <row r="63" spans="2:110" s="17" customFormat="1">
      <c r="B63" s="35"/>
      <c r="C63" s="35"/>
      <c r="D63" s="36"/>
      <c r="E63" s="35"/>
      <c r="F63" s="35"/>
      <c r="G63" s="35"/>
      <c r="H63" s="35"/>
      <c r="I63" s="35"/>
      <c r="J63" s="59"/>
      <c r="Z63" s="172" t="str">
        <f t="shared" si="94"/>
        <v/>
      </c>
      <c r="AB63" s="47" t="s">
        <v>242</v>
      </c>
      <c r="AC63" s="52" t="str">
        <f t="shared" si="88"/>
        <v/>
      </c>
      <c r="AD63" s="52">
        <f t="shared" si="154"/>
        <v>0</v>
      </c>
      <c r="AE63" s="52">
        <f t="shared" si="142"/>
        <v>0</v>
      </c>
      <c r="AF63" s="61" t="str">
        <f t="shared" si="95"/>
        <v/>
      </c>
      <c r="AG63" s="52">
        <f t="shared" si="96"/>
        <v>0</v>
      </c>
      <c r="AH63" s="52">
        <f t="shared" si="97"/>
        <v>0</v>
      </c>
      <c r="AI63" s="52" t="str">
        <f t="shared" si="98"/>
        <v/>
      </c>
      <c r="AJ63" s="61" t="str">
        <f t="shared" si="99"/>
        <v/>
      </c>
      <c r="AK63" s="95" t="str">
        <f t="shared" si="7"/>
        <v/>
      </c>
      <c r="AL63" s="61" t="str">
        <f t="shared" si="100"/>
        <v>if () {$("#adv_").html("Required");$("#").css({"background":"yellow"});} else {$("#adv_").html("");$("#").css({"background":"white"});}</v>
      </c>
      <c r="AM63" s="61" t="str">
        <f t="shared" si="101"/>
        <v>if (=="") {$("#adv_").html("Required");$("#adv_").css({"background":"yellow"});} else {$("#adv_").html("");}</v>
      </c>
      <c r="AN63" s="61" t="str">
        <f t="shared" si="83"/>
        <v>if (=="") {$("#adv_").html("Required");$("#").css({"background":"yellow"});} else {$("#adv_").html("");$("#").css({"background":"white"});}</v>
      </c>
      <c r="AO63" s="50" t="str">
        <f t="shared" si="102"/>
        <v/>
      </c>
      <c r="AP63" s="61" t="str">
        <f t="shared" si="103"/>
        <v>=$("#").val();</v>
      </c>
      <c r="AQ63" s="61" t="str">
        <f t="shared" si="104"/>
        <v/>
      </c>
      <c r="AR63" s="50" t="str">
        <f t="shared" si="105"/>
        <v>&lt;input type="checkbox" id="" name="" value="1" /&gt;</v>
      </c>
      <c r="AS63" s="61" t="str">
        <f t="shared" si="106"/>
        <v>=document.getElementById("").checked;</v>
      </c>
      <c r="AT63" s="102" t="str">
        <f t="shared" si="107"/>
        <v>if (isset($_GET[''])) {$=($_GET['']);}else $='';</v>
      </c>
      <c r="AU63" s="52" t="str">
        <f t="shared" si="108"/>
        <v/>
      </c>
      <c r="AV63" s="52" t="str">
        <f t="shared" si="147"/>
        <v>&lt;select size="1" name="" id=""&gt;&lt;option value=""&gt;</v>
      </c>
      <c r="AW63" s="52" t="str">
        <f t="shared" si="109"/>
        <v>&lt;option value=""&gt;&lt;/option&gt;</v>
      </c>
      <c r="AX63" s="145" t="str">
        <f t="shared" si="110"/>
        <v/>
      </c>
      <c r="AY63" s="102" t="str">
        <f>""</f>
        <v/>
      </c>
      <c r="AZ63" s="102"/>
      <c r="BA63" s="113">
        <f t="shared" si="111"/>
        <v>0</v>
      </c>
      <c r="BB63" s="103" t="str">
        <f t="shared" si="112"/>
        <v>0:</v>
      </c>
      <c r="BC63" s="50" t="str">
        <f t="shared" si="113"/>
        <v>0:&lt;span id="adv_0"&gt;&lt;/span&gt;&lt;br/&gt;&lt;input type="radio" name="0" id="" value="" /&gt;</v>
      </c>
      <c r="BD63" s="52" t="str">
        <f t="shared" si="114"/>
        <v>else if (document.getElementById("</v>
      </c>
      <c r="BE63" s="61" t="str">
        <f t="shared" si="115"/>
        <v>else if (document.getElementById("").checked==true) {0="";}</v>
      </c>
      <c r="BF63" s="61" t="str">
        <f t="shared" si="116"/>
        <v/>
      </c>
      <c r="BG63" s="61" t="str">
        <f t="shared" si="117"/>
        <v>0:0</v>
      </c>
      <c r="BH63" s="102" t="str">
        <f t="shared" si="118"/>
        <v>if (isset($_GET['0'])) {$0=($_GET['0']);}else $0='';</v>
      </c>
      <c r="BI63" s="105" t="str">
        <f t="shared" si="119"/>
        <v>&lt;br/&gt;&lt;textarea rows="2" cols="80" id=""&gt;&lt;/textarea&gt;&lt;br/&gt;</v>
      </c>
      <c r="BJ63" s="107" t="str">
        <f t="shared" si="120"/>
        <v>&lt;input type="text"  size="7"  id="" class="datepicker"/&gt;</v>
      </c>
      <c r="BK63" s="107" t="str">
        <f t="shared" si="121"/>
        <v>&lt;h2 id=""&gt;&lt;/h2&gt;</v>
      </c>
      <c r="BL63" s="109" t="str">
        <f t="shared" si="155"/>
        <v/>
      </c>
      <c r="BM63" s="61" t="str">
        <f t="shared" si="156"/>
        <v/>
      </c>
      <c r="BN63" s="52">
        <f t="shared" si="143"/>
        <v>0</v>
      </c>
      <c r="BO63" s="61" t="str">
        <f t="shared" si="157"/>
        <v/>
      </c>
      <c r="BP63" s="102" t="str">
        <f t="shared" si="158"/>
        <v/>
      </c>
      <c r="BQ63" s="105" t="str">
        <f t="shared" si="159"/>
        <v/>
      </c>
      <c r="BR63" s="52" t="str">
        <f t="shared" si="122"/>
        <v/>
      </c>
      <c r="BS63" s="52">
        <f t="shared" si="123"/>
        <v>0</v>
      </c>
      <c r="BT63" s="52">
        <f t="shared" si="144"/>
        <v>0</v>
      </c>
      <c r="BU63" s="52" t="str">
        <f t="shared" si="124"/>
        <v/>
      </c>
      <c r="BV63" s="52" t="str">
        <f t="shared" si="125"/>
        <v/>
      </c>
      <c r="BW63" s="52" t="str">
        <f t="shared" si="145"/>
        <v/>
      </c>
      <c r="BX63" s="113" t="str">
        <f t="shared" si="160"/>
        <v/>
      </c>
      <c r="BY63" s="52" t="str">
        <f t="shared" si="126"/>
        <v/>
      </c>
      <c r="BZ63" s="52" t="str">
        <f t="shared" si="127"/>
        <v/>
      </c>
      <c r="CA63" s="52" t="str">
        <f t="shared" si="161"/>
        <v/>
      </c>
      <c r="CB63" s="52" t="str">
        <f t="shared" si="162"/>
        <v/>
      </c>
      <c r="CC63" s="52" t="str">
        <f t="shared" si="128"/>
        <v/>
      </c>
      <c r="CD63" s="52" t="str">
        <f t="shared" si="129"/>
        <v/>
      </c>
      <c r="CE63" s="102" t="str">
        <f t="shared" si="163"/>
        <v/>
      </c>
      <c r="CF63" s="116" t="str">
        <f t="shared" si="130"/>
        <v/>
      </c>
      <c r="CG63" s="61" t="str">
        <f t="shared" si="164"/>
        <v/>
      </c>
      <c r="CH63" s="52" t="str">
        <f t="shared" si="84"/>
        <v/>
      </c>
      <c r="CI63" s="52" t="str">
        <f t="shared" si="85"/>
        <v/>
      </c>
      <c r="CJ63" s="52" t="str">
        <f t="shared" si="131"/>
        <v/>
      </c>
      <c r="CK63" s="52" t="str">
        <f t="shared" si="132"/>
        <v/>
      </c>
      <c r="CL63" s="52" t="str">
        <f t="shared" si="133"/>
        <v/>
      </c>
      <c r="CM63" s="102" t="str">
        <f t="shared" si="134"/>
        <v/>
      </c>
      <c r="CN63" s="116" t="str">
        <f t="shared" si="135"/>
        <v/>
      </c>
      <c r="CO63" s="61">
        <f t="shared" si="146"/>
        <v>0</v>
      </c>
      <c r="CP63" s="61" t="str">
        <f t="shared" si="92"/>
        <v/>
      </c>
      <c r="CQ63" s="61" t="str">
        <f t="shared" si="148"/>
        <v/>
      </c>
      <c r="CR63" s="61" t="str">
        <f t="shared" si="149"/>
        <v/>
      </c>
      <c r="CS63" s="105" t="str">
        <f t="shared" si="150"/>
        <v/>
      </c>
      <c r="CT63" s="105" t="str">
        <f t="shared" si="151"/>
        <v/>
      </c>
      <c r="CU63" s="61" t="str">
        <f t="shared" si="152"/>
        <v/>
      </c>
      <c r="CV63" s="61" t="str">
        <f t="shared" si="153"/>
        <v/>
      </c>
      <c r="CW63" s="61" t="str">
        <f t="shared" si="136"/>
        <v/>
      </c>
      <c r="CX63" s="61" t="str">
        <f t="shared" si="87"/>
        <v/>
      </c>
      <c r="CY63" s="61" t="str">
        <f t="shared" si="93"/>
        <v/>
      </c>
      <c r="CZ63" s="102" t="str">
        <f t="shared" si="137"/>
        <v/>
      </c>
      <c r="DA63" s="17">
        <f t="shared" si="138"/>
        <v>0</v>
      </c>
      <c r="DC63" s="17">
        <f t="shared" si="91"/>
        <v>0</v>
      </c>
      <c r="DD63" s="17">
        <f t="shared" si="139"/>
        <v>0</v>
      </c>
      <c r="DE63" s="17" t="str">
        <f t="shared" si="140"/>
        <v/>
      </c>
      <c r="DF63" s="17" t="str">
        <f t="shared" si="141"/>
        <v/>
      </c>
    </row>
    <row r="64" spans="2:110" s="17" customFormat="1">
      <c r="B64" s="35"/>
      <c r="C64" s="35"/>
      <c r="D64" s="36"/>
      <c r="E64" s="35"/>
      <c r="F64" s="35"/>
      <c r="G64" s="35"/>
      <c r="H64" s="35"/>
      <c r="I64" s="35"/>
      <c r="J64" s="59"/>
      <c r="Z64" s="172" t="str">
        <f t="shared" si="94"/>
        <v/>
      </c>
      <c r="AB64" s="47" t="s">
        <v>243</v>
      </c>
      <c r="AC64" s="52" t="str">
        <f t="shared" si="88"/>
        <v/>
      </c>
      <c r="AD64" s="52">
        <f t="shared" si="154"/>
        <v>0</v>
      </c>
      <c r="AE64" s="52">
        <f t="shared" si="142"/>
        <v>0</v>
      </c>
      <c r="AF64" s="61" t="str">
        <f t="shared" si="95"/>
        <v/>
      </c>
      <c r="AG64" s="52">
        <f t="shared" si="96"/>
        <v>0</v>
      </c>
      <c r="AH64" s="52">
        <f t="shared" si="97"/>
        <v>0</v>
      </c>
      <c r="AI64" s="52" t="str">
        <f t="shared" si="98"/>
        <v/>
      </c>
      <c r="AJ64" s="61" t="str">
        <f t="shared" si="99"/>
        <v/>
      </c>
      <c r="AK64" s="95" t="str">
        <f t="shared" si="7"/>
        <v/>
      </c>
      <c r="AL64" s="61" t="str">
        <f t="shared" si="100"/>
        <v>if () {$("#adv_").html("Required");$("#").css({"background":"yellow"});} else {$("#adv_").html("");$("#").css({"background":"white"});}</v>
      </c>
      <c r="AM64" s="61" t="str">
        <f t="shared" si="101"/>
        <v>if (=="") {$("#adv_").html("Required");$("#adv_").css({"background":"yellow"});} else {$("#adv_").html("");}</v>
      </c>
      <c r="AN64" s="61" t="str">
        <f t="shared" si="83"/>
        <v>if (=="") {$("#adv_").html("Required");$("#").css({"background":"yellow"});} else {$("#adv_").html("");$("#").css({"background":"white"});}</v>
      </c>
      <c r="AO64" s="50" t="str">
        <f t="shared" si="102"/>
        <v/>
      </c>
      <c r="AP64" s="61" t="str">
        <f t="shared" si="103"/>
        <v>=$("#").val();</v>
      </c>
      <c r="AQ64" s="61" t="str">
        <f t="shared" si="104"/>
        <v/>
      </c>
      <c r="AR64" s="50" t="str">
        <f t="shared" si="105"/>
        <v>&lt;input type="checkbox" id="" name="" value="1" /&gt;</v>
      </c>
      <c r="AS64" s="61" t="str">
        <f t="shared" si="106"/>
        <v>=document.getElementById("").checked;</v>
      </c>
      <c r="AT64" s="102" t="str">
        <f t="shared" si="107"/>
        <v>if (isset($_GET[''])) {$=($_GET['']);}else $='';</v>
      </c>
      <c r="AU64" s="52" t="str">
        <f t="shared" si="108"/>
        <v/>
      </c>
      <c r="AV64" s="52" t="str">
        <f t="shared" si="147"/>
        <v>&lt;select size="1" name="" id=""&gt;&lt;option value=""&gt;</v>
      </c>
      <c r="AW64" s="52" t="str">
        <f t="shared" si="109"/>
        <v>&lt;option value=""&gt;&lt;/option&gt;</v>
      </c>
      <c r="AX64" s="145" t="str">
        <f t="shared" si="110"/>
        <v/>
      </c>
      <c r="AY64" s="102" t="str">
        <f>""</f>
        <v/>
      </c>
      <c r="AZ64" s="102"/>
      <c r="BA64" s="113">
        <f t="shared" si="111"/>
        <v>0</v>
      </c>
      <c r="BB64" s="103" t="str">
        <f t="shared" si="112"/>
        <v>0:</v>
      </c>
      <c r="BC64" s="50" t="str">
        <f t="shared" si="113"/>
        <v>0:&lt;span id="adv_0"&gt;&lt;/span&gt;&lt;br/&gt;&lt;input type="radio" name="0" id="" value="" /&gt;</v>
      </c>
      <c r="BD64" s="52" t="str">
        <f t="shared" si="114"/>
        <v>else if (document.getElementById("</v>
      </c>
      <c r="BE64" s="61" t="str">
        <f t="shared" si="115"/>
        <v>else if (document.getElementById("").checked==true) {0="";}</v>
      </c>
      <c r="BF64" s="61" t="str">
        <f t="shared" si="116"/>
        <v/>
      </c>
      <c r="BG64" s="61" t="str">
        <f t="shared" si="117"/>
        <v>0:0</v>
      </c>
      <c r="BH64" s="102" t="str">
        <f t="shared" si="118"/>
        <v>if (isset($_GET['0'])) {$0=($_GET['0']);}else $0='';</v>
      </c>
      <c r="BI64" s="105" t="str">
        <f t="shared" si="119"/>
        <v>&lt;br/&gt;&lt;textarea rows="2" cols="80" id=""&gt;&lt;/textarea&gt;&lt;br/&gt;</v>
      </c>
      <c r="BJ64" s="107" t="str">
        <f t="shared" si="120"/>
        <v>&lt;input type="text"  size="7"  id="" class="datepicker"/&gt;</v>
      </c>
      <c r="BK64" s="107" t="str">
        <f t="shared" si="121"/>
        <v>&lt;h2 id=""&gt;&lt;/h2&gt;</v>
      </c>
      <c r="BL64" s="109" t="str">
        <f t="shared" si="155"/>
        <v/>
      </c>
      <c r="BM64" s="61" t="str">
        <f t="shared" si="156"/>
        <v/>
      </c>
      <c r="BN64" s="52">
        <f t="shared" si="143"/>
        <v>0</v>
      </c>
      <c r="BO64" s="61" t="str">
        <f t="shared" si="157"/>
        <v/>
      </c>
      <c r="BP64" s="102" t="str">
        <f t="shared" si="158"/>
        <v/>
      </c>
      <c r="BQ64" s="105" t="str">
        <f t="shared" si="159"/>
        <v/>
      </c>
      <c r="BR64" s="52" t="str">
        <f t="shared" si="122"/>
        <v/>
      </c>
      <c r="BS64" s="52">
        <f t="shared" si="123"/>
        <v>0</v>
      </c>
      <c r="BT64" s="52">
        <f t="shared" si="144"/>
        <v>0</v>
      </c>
      <c r="BU64" s="52" t="str">
        <f t="shared" si="124"/>
        <v/>
      </c>
      <c r="BV64" s="52" t="str">
        <f t="shared" si="125"/>
        <v/>
      </c>
      <c r="BW64" s="52" t="str">
        <f t="shared" si="145"/>
        <v/>
      </c>
      <c r="BX64" s="113" t="str">
        <f t="shared" si="160"/>
        <v/>
      </c>
      <c r="BY64" s="52" t="str">
        <f t="shared" si="126"/>
        <v/>
      </c>
      <c r="BZ64" s="52" t="str">
        <f t="shared" si="127"/>
        <v/>
      </c>
      <c r="CA64" s="52" t="str">
        <f t="shared" si="161"/>
        <v/>
      </c>
      <c r="CB64" s="52" t="str">
        <f t="shared" si="162"/>
        <v/>
      </c>
      <c r="CC64" s="52" t="str">
        <f t="shared" si="128"/>
        <v/>
      </c>
      <c r="CD64" s="52" t="str">
        <f t="shared" si="129"/>
        <v/>
      </c>
      <c r="CE64" s="102" t="str">
        <f t="shared" si="163"/>
        <v/>
      </c>
      <c r="CF64" s="116" t="str">
        <f t="shared" si="130"/>
        <v/>
      </c>
      <c r="CG64" s="61" t="str">
        <f t="shared" si="164"/>
        <v/>
      </c>
      <c r="CH64" s="52" t="str">
        <f t="shared" si="84"/>
        <v/>
      </c>
      <c r="CI64" s="52" t="str">
        <f t="shared" si="85"/>
        <v/>
      </c>
      <c r="CJ64" s="52" t="str">
        <f t="shared" si="131"/>
        <v/>
      </c>
      <c r="CK64" s="52" t="str">
        <f t="shared" si="132"/>
        <v/>
      </c>
      <c r="CL64" s="52" t="str">
        <f t="shared" si="133"/>
        <v/>
      </c>
      <c r="CM64" s="102" t="str">
        <f t="shared" si="134"/>
        <v/>
      </c>
      <c r="CN64" s="116" t="str">
        <f t="shared" si="135"/>
        <v/>
      </c>
      <c r="CO64" s="61">
        <f t="shared" si="146"/>
        <v>0</v>
      </c>
      <c r="CP64" s="61" t="str">
        <f t="shared" si="92"/>
        <v/>
      </c>
      <c r="CQ64" s="61" t="str">
        <f t="shared" si="148"/>
        <v/>
      </c>
      <c r="CR64" s="61" t="str">
        <f t="shared" si="149"/>
        <v/>
      </c>
      <c r="CS64" s="105" t="str">
        <f t="shared" si="150"/>
        <v/>
      </c>
      <c r="CT64" s="105" t="str">
        <f t="shared" si="151"/>
        <v/>
      </c>
      <c r="CU64" s="61" t="str">
        <f t="shared" si="152"/>
        <v/>
      </c>
      <c r="CV64" s="61" t="str">
        <f t="shared" si="153"/>
        <v/>
      </c>
      <c r="CW64" s="61" t="str">
        <f t="shared" si="136"/>
        <v/>
      </c>
      <c r="CX64" s="61" t="str">
        <f t="shared" ref="CX64:CX95" si="165">+IF(AND(OR(E64="texto",E64="bigtext"),I64="si",E63="selectlist"),$C$5&amp;AU63&amp;$Q$4&amp;AU63&amp;$R$12&amp;C63&amp;$S$1&amp;C64&amp;$P$9&amp;$Q$5&amp;C64&amp;$P$9&amp;$H$4&amp;"}})","")</f>
        <v/>
      </c>
      <c r="CY64" s="61" t="str">
        <f t="shared" si="93"/>
        <v/>
      </c>
      <c r="CZ64" s="102" t="str">
        <f t="shared" si="137"/>
        <v/>
      </c>
      <c r="DA64" s="17">
        <f t="shared" si="138"/>
        <v>0</v>
      </c>
      <c r="DC64" s="17">
        <f t="shared" si="91"/>
        <v>0</v>
      </c>
      <c r="DD64" s="17">
        <f t="shared" si="139"/>
        <v>0</v>
      </c>
      <c r="DE64" s="17" t="str">
        <f t="shared" si="140"/>
        <v/>
      </c>
      <c r="DF64" s="17" t="str">
        <f t="shared" si="141"/>
        <v/>
      </c>
    </row>
    <row r="65" spans="2:110" s="17" customFormat="1">
      <c r="B65" s="35"/>
      <c r="C65" s="35"/>
      <c r="D65" s="36"/>
      <c r="E65" s="35"/>
      <c r="F65" s="35"/>
      <c r="G65" s="35"/>
      <c r="H65" s="35"/>
      <c r="I65" s="35"/>
      <c r="J65" s="59"/>
      <c r="Z65" s="172" t="str">
        <f t="shared" si="94"/>
        <v/>
      </c>
      <c r="AB65" s="47" t="s">
        <v>244</v>
      </c>
      <c r="AC65" s="52" t="str">
        <f t="shared" si="88"/>
        <v/>
      </c>
      <c r="AD65" s="52">
        <f t="shared" si="154"/>
        <v>0</v>
      </c>
      <c r="AE65" s="52">
        <f t="shared" si="142"/>
        <v>0</v>
      </c>
      <c r="AF65" s="61" t="str">
        <f t="shared" si="95"/>
        <v/>
      </c>
      <c r="AG65" s="52">
        <f t="shared" si="96"/>
        <v>0</v>
      </c>
      <c r="AH65" s="52">
        <f t="shared" si="97"/>
        <v>0</v>
      </c>
      <c r="AI65" s="52" t="str">
        <f t="shared" si="98"/>
        <v/>
      </c>
      <c r="AJ65" s="61" t="str">
        <f t="shared" si="99"/>
        <v/>
      </c>
      <c r="AK65" s="95" t="str">
        <f t="shared" si="7"/>
        <v/>
      </c>
      <c r="AL65" s="61" t="str">
        <f t="shared" si="100"/>
        <v>if () {$("#adv_").html("Required");$("#").css({"background":"yellow"});} else {$("#adv_").html("");$("#").css({"background":"white"});}</v>
      </c>
      <c r="AM65" s="61" t="str">
        <f t="shared" si="101"/>
        <v>if (=="") {$("#adv_").html("Required");$("#adv_").css({"background":"yellow"});} else {$("#adv_").html("");}</v>
      </c>
      <c r="AN65" s="61" t="str">
        <f t="shared" si="83"/>
        <v>if (=="") {$("#adv_").html("Required");$("#").css({"background":"yellow"});} else {$("#adv_").html("");$("#").css({"background":"white"});}</v>
      </c>
      <c r="AO65" s="50" t="str">
        <f t="shared" si="102"/>
        <v/>
      </c>
      <c r="AP65" s="61" t="str">
        <f t="shared" si="103"/>
        <v>=$("#").val();</v>
      </c>
      <c r="AQ65" s="61" t="str">
        <f t="shared" si="104"/>
        <v/>
      </c>
      <c r="AR65" s="50" t="str">
        <f t="shared" si="105"/>
        <v>&lt;input type="checkbox" id="" name="" value="1" /&gt;</v>
      </c>
      <c r="AS65" s="61" t="str">
        <f t="shared" si="106"/>
        <v>=document.getElementById("").checked;</v>
      </c>
      <c r="AT65" s="102" t="str">
        <f t="shared" si="107"/>
        <v>if (isset($_GET[''])) {$=($_GET['']);}else $='';</v>
      </c>
      <c r="AU65" s="52" t="str">
        <f t="shared" si="108"/>
        <v/>
      </c>
      <c r="AV65" s="52" t="str">
        <f t="shared" si="147"/>
        <v>&lt;select size="1" name="" id=""&gt;&lt;option value=""&gt;</v>
      </c>
      <c r="AW65" s="52" t="str">
        <f t="shared" si="109"/>
        <v>&lt;option value=""&gt;&lt;/option&gt;</v>
      </c>
      <c r="AX65" s="145" t="str">
        <f t="shared" si="110"/>
        <v/>
      </c>
      <c r="AY65" s="102" t="str">
        <f>""</f>
        <v/>
      </c>
      <c r="AZ65" s="102"/>
      <c r="BA65" s="113">
        <f t="shared" si="111"/>
        <v>0</v>
      </c>
      <c r="BB65" s="103" t="str">
        <f t="shared" si="112"/>
        <v>0:</v>
      </c>
      <c r="BC65" s="50" t="str">
        <f t="shared" si="113"/>
        <v>0:&lt;span id="adv_0"&gt;&lt;/span&gt;&lt;br/&gt;&lt;input type="radio" name="0" id="" value="" /&gt;</v>
      </c>
      <c r="BD65" s="52" t="str">
        <f t="shared" si="114"/>
        <v>else if (document.getElementById("</v>
      </c>
      <c r="BE65" s="61" t="str">
        <f t="shared" si="115"/>
        <v>else if (document.getElementById("").checked==true) {0="";}</v>
      </c>
      <c r="BF65" s="61" t="str">
        <f t="shared" si="116"/>
        <v/>
      </c>
      <c r="BG65" s="61" t="str">
        <f t="shared" si="117"/>
        <v>0:0</v>
      </c>
      <c r="BH65" s="102" t="str">
        <f t="shared" si="118"/>
        <v>if (isset($_GET['0'])) {$0=($_GET['0']);}else $0='';</v>
      </c>
      <c r="BI65" s="105" t="str">
        <f t="shared" si="119"/>
        <v>&lt;br/&gt;&lt;textarea rows="2" cols="80" id=""&gt;&lt;/textarea&gt;&lt;br/&gt;</v>
      </c>
      <c r="BJ65" s="107" t="str">
        <f t="shared" si="120"/>
        <v>&lt;input type="text"  size="7"  id="" class="datepicker"/&gt;</v>
      </c>
      <c r="BK65" s="107" t="str">
        <f t="shared" si="121"/>
        <v>&lt;h2 id=""&gt;&lt;/h2&gt;</v>
      </c>
      <c r="BL65" s="109" t="str">
        <f t="shared" si="155"/>
        <v/>
      </c>
      <c r="BM65" s="61" t="str">
        <f t="shared" si="156"/>
        <v/>
      </c>
      <c r="BN65" s="52">
        <f t="shared" si="143"/>
        <v>0</v>
      </c>
      <c r="BO65" s="61" t="str">
        <f t="shared" si="157"/>
        <v/>
      </c>
      <c r="BP65" s="102" t="str">
        <f t="shared" si="158"/>
        <v/>
      </c>
      <c r="BQ65" s="105" t="str">
        <f t="shared" si="159"/>
        <v/>
      </c>
      <c r="BR65" s="52" t="str">
        <f t="shared" si="122"/>
        <v/>
      </c>
      <c r="BS65" s="52">
        <f t="shared" si="123"/>
        <v>0</v>
      </c>
      <c r="BT65" s="52">
        <f t="shared" si="144"/>
        <v>0</v>
      </c>
      <c r="BU65" s="52" t="str">
        <f t="shared" si="124"/>
        <v/>
      </c>
      <c r="BV65" s="52" t="str">
        <f t="shared" si="125"/>
        <v/>
      </c>
      <c r="BW65" s="52" t="str">
        <f t="shared" si="145"/>
        <v/>
      </c>
      <c r="BX65" s="113" t="str">
        <f t="shared" si="160"/>
        <v/>
      </c>
      <c r="BY65" s="52" t="str">
        <f t="shared" si="126"/>
        <v/>
      </c>
      <c r="BZ65" s="52" t="str">
        <f t="shared" si="127"/>
        <v/>
      </c>
      <c r="CA65" s="52" t="str">
        <f t="shared" si="161"/>
        <v/>
      </c>
      <c r="CB65" s="52" t="str">
        <f t="shared" si="162"/>
        <v/>
      </c>
      <c r="CC65" s="52" t="str">
        <f t="shared" si="128"/>
        <v/>
      </c>
      <c r="CD65" s="52" t="str">
        <f t="shared" si="129"/>
        <v/>
      </c>
      <c r="CE65" s="102" t="str">
        <f t="shared" si="163"/>
        <v/>
      </c>
      <c r="CF65" s="116" t="str">
        <f t="shared" si="130"/>
        <v/>
      </c>
      <c r="CG65" s="61" t="str">
        <f t="shared" si="164"/>
        <v/>
      </c>
      <c r="CH65" s="52" t="str">
        <f t="shared" si="84"/>
        <v/>
      </c>
      <c r="CI65" s="52" t="str">
        <f t="shared" si="85"/>
        <v/>
      </c>
      <c r="CJ65" s="52" t="str">
        <f t="shared" si="131"/>
        <v/>
      </c>
      <c r="CK65" s="52" t="str">
        <f t="shared" si="132"/>
        <v/>
      </c>
      <c r="CL65" s="52" t="str">
        <f t="shared" si="133"/>
        <v/>
      </c>
      <c r="CM65" s="102" t="str">
        <f t="shared" si="134"/>
        <v/>
      </c>
      <c r="CN65" s="116" t="str">
        <f t="shared" si="135"/>
        <v/>
      </c>
      <c r="CO65" s="61">
        <f t="shared" si="146"/>
        <v>0</v>
      </c>
      <c r="CP65" s="61" t="str">
        <f t="shared" si="92"/>
        <v/>
      </c>
      <c r="CQ65" s="61" t="str">
        <f t="shared" si="148"/>
        <v/>
      </c>
      <c r="CR65" s="61" t="str">
        <f t="shared" si="149"/>
        <v/>
      </c>
      <c r="CS65" s="105" t="str">
        <f t="shared" si="150"/>
        <v/>
      </c>
      <c r="CT65" s="105" t="str">
        <f t="shared" si="151"/>
        <v/>
      </c>
      <c r="CU65" s="61" t="str">
        <f t="shared" si="152"/>
        <v/>
      </c>
      <c r="CV65" s="61" t="str">
        <f t="shared" si="153"/>
        <v/>
      </c>
      <c r="CW65" s="61" t="str">
        <f t="shared" si="136"/>
        <v/>
      </c>
      <c r="CX65" s="61" t="str">
        <f t="shared" si="165"/>
        <v/>
      </c>
      <c r="CY65" s="61" t="str">
        <f t="shared" si="93"/>
        <v/>
      </c>
      <c r="CZ65" s="102" t="str">
        <f t="shared" si="137"/>
        <v/>
      </c>
      <c r="DA65" s="17">
        <f t="shared" si="138"/>
        <v>0</v>
      </c>
      <c r="DC65" s="17">
        <f t="shared" si="91"/>
        <v>0</v>
      </c>
      <c r="DD65" s="17">
        <f t="shared" si="139"/>
        <v>0</v>
      </c>
      <c r="DE65" s="17" t="str">
        <f t="shared" si="140"/>
        <v/>
      </c>
      <c r="DF65" s="17" t="str">
        <f t="shared" si="141"/>
        <v/>
      </c>
    </row>
    <row r="66" spans="2:110" s="17" customFormat="1">
      <c r="B66" s="35"/>
      <c r="C66" s="35"/>
      <c r="D66" s="36"/>
      <c r="E66" s="35"/>
      <c r="F66" s="35"/>
      <c r="G66" s="35"/>
      <c r="H66" s="35"/>
      <c r="I66" s="35"/>
      <c r="J66" s="59"/>
      <c r="Z66" s="172" t="str">
        <f t="shared" si="94"/>
        <v/>
      </c>
      <c r="AB66" s="47" t="s">
        <v>245</v>
      </c>
      <c r="AC66" s="52" t="str">
        <f t="shared" si="88"/>
        <v/>
      </c>
      <c r="AD66" s="52">
        <f t="shared" si="154"/>
        <v>0</v>
      </c>
      <c r="AE66" s="52">
        <f t="shared" si="142"/>
        <v>0</v>
      </c>
      <c r="AF66" s="61" t="str">
        <f t="shared" si="95"/>
        <v/>
      </c>
      <c r="AG66" s="52">
        <f t="shared" si="96"/>
        <v>0</v>
      </c>
      <c r="AH66" s="52">
        <f t="shared" si="97"/>
        <v>0</v>
      </c>
      <c r="AI66" s="52" t="str">
        <f t="shared" si="98"/>
        <v/>
      </c>
      <c r="AJ66" s="61" t="str">
        <f t="shared" si="99"/>
        <v/>
      </c>
      <c r="AK66" s="95" t="str">
        <f t="shared" si="7"/>
        <v/>
      </c>
      <c r="AL66" s="61" t="str">
        <f t="shared" si="100"/>
        <v>if () {$("#adv_").html("Required");$("#").css({"background":"yellow"});} else {$("#adv_").html("");$("#").css({"background":"white"});}</v>
      </c>
      <c r="AM66" s="61" t="str">
        <f t="shared" si="101"/>
        <v>if (=="") {$("#adv_").html("Required");$("#adv_").css({"background":"yellow"});} else {$("#adv_").html("");}</v>
      </c>
      <c r="AN66" s="61" t="str">
        <f t="shared" si="83"/>
        <v>if (=="") {$("#adv_").html("Required");$("#").css({"background":"yellow"});} else {$("#adv_").html("");$("#").css({"background":"white"});}</v>
      </c>
      <c r="AO66" s="50" t="str">
        <f t="shared" si="102"/>
        <v/>
      </c>
      <c r="AP66" s="61" t="str">
        <f t="shared" si="103"/>
        <v>=$("#").val();</v>
      </c>
      <c r="AQ66" s="61" t="str">
        <f t="shared" si="104"/>
        <v/>
      </c>
      <c r="AR66" s="50" t="str">
        <f t="shared" si="105"/>
        <v>&lt;input type="checkbox" id="" name="" value="1" /&gt;</v>
      </c>
      <c r="AS66" s="61" t="str">
        <f t="shared" si="106"/>
        <v>=document.getElementById("").checked;</v>
      </c>
      <c r="AT66" s="102" t="str">
        <f t="shared" si="107"/>
        <v>if (isset($_GET[''])) {$=($_GET['']);}else $='';</v>
      </c>
      <c r="AU66" s="52" t="str">
        <f t="shared" si="108"/>
        <v/>
      </c>
      <c r="AV66" s="52" t="str">
        <f t="shared" si="147"/>
        <v>&lt;select size="1" name="" id=""&gt;&lt;option value=""&gt;</v>
      </c>
      <c r="AW66" s="52" t="str">
        <f t="shared" si="109"/>
        <v>&lt;option value=""&gt;&lt;/option&gt;</v>
      </c>
      <c r="AX66" s="145" t="str">
        <f t="shared" si="110"/>
        <v/>
      </c>
      <c r="AY66" s="102" t="str">
        <f>""</f>
        <v/>
      </c>
      <c r="AZ66" s="102"/>
      <c r="BA66" s="113">
        <f t="shared" si="111"/>
        <v>0</v>
      </c>
      <c r="BB66" s="103" t="str">
        <f t="shared" si="112"/>
        <v>0:</v>
      </c>
      <c r="BC66" s="50" t="str">
        <f t="shared" si="113"/>
        <v>0:&lt;span id="adv_0"&gt;&lt;/span&gt;&lt;br/&gt;&lt;input type="radio" name="0" id="" value="" /&gt;</v>
      </c>
      <c r="BD66" s="52" t="str">
        <f t="shared" si="114"/>
        <v>else if (document.getElementById("</v>
      </c>
      <c r="BE66" s="61" t="str">
        <f t="shared" si="115"/>
        <v>else if (document.getElementById("").checked==true) {0="";}</v>
      </c>
      <c r="BF66" s="61" t="str">
        <f t="shared" si="116"/>
        <v/>
      </c>
      <c r="BG66" s="61" t="str">
        <f t="shared" si="117"/>
        <v>0:0</v>
      </c>
      <c r="BH66" s="102" t="str">
        <f t="shared" si="118"/>
        <v>if (isset($_GET['0'])) {$0=($_GET['0']);}else $0='';</v>
      </c>
      <c r="BI66" s="105" t="str">
        <f t="shared" si="119"/>
        <v>&lt;br/&gt;&lt;textarea rows="2" cols="80" id=""&gt;&lt;/textarea&gt;&lt;br/&gt;</v>
      </c>
      <c r="BJ66" s="107" t="str">
        <f t="shared" si="120"/>
        <v>&lt;input type="text"  size="7"  id="" class="datepicker"/&gt;</v>
      </c>
      <c r="BK66" s="107" t="str">
        <f t="shared" si="121"/>
        <v>&lt;h2 id=""&gt;&lt;/h2&gt;</v>
      </c>
      <c r="BL66" s="109" t="str">
        <f t="shared" si="155"/>
        <v/>
      </c>
      <c r="BM66" s="61" t="str">
        <f t="shared" si="156"/>
        <v/>
      </c>
      <c r="BN66" s="52">
        <f t="shared" si="143"/>
        <v>0</v>
      </c>
      <c r="BO66" s="61" t="str">
        <f t="shared" si="157"/>
        <v/>
      </c>
      <c r="BP66" s="102" t="str">
        <f t="shared" si="158"/>
        <v/>
      </c>
      <c r="BQ66" s="105" t="str">
        <f t="shared" si="159"/>
        <v/>
      </c>
      <c r="BR66" s="52" t="str">
        <f t="shared" si="122"/>
        <v/>
      </c>
      <c r="BS66" s="52">
        <f t="shared" si="123"/>
        <v>0</v>
      </c>
      <c r="BT66" s="52">
        <f t="shared" si="144"/>
        <v>0</v>
      </c>
      <c r="BU66" s="52" t="str">
        <f t="shared" si="124"/>
        <v/>
      </c>
      <c r="BV66" s="52" t="str">
        <f t="shared" si="125"/>
        <v/>
      </c>
      <c r="BW66" s="52" t="str">
        <f t="shared" si="145"/>
        <v/>
      </c>
      <c r="BX66" s="113" t="str">
        <f t="shared" si="160"/>
        <v/>
      </c>
      <c r="BY66" s="52" t="str">
        <f t="shared" si="126"/>
        <v/>
      </c>
      <c r="BZ66" s="52" t="str">
        <f t="shared" si="127"/>
        <v/>
      </c>
      <c r="CA66" s="52" t="str">
        <f t="shared" si="161"/>
        <v/>
      </c>
      <c r="CB66" s="52" t="str">
        <f t="shared" si="162"/>
        <v/>
      </c>
      <c r="CC66" s="52" t="str">
        <f t="shared" si="128"/>
        <v/>
      </c>
      <c r="CD66" s="52" t="str">
        <f t="shared" si="129"/>
        <v/>
      </c>
      <c r="CE66" s="102" t="str">
        <f t="shared" si="163"/>
        <v/>
      </c>
      <c r="CF66" s="116" t="str">
        <f t="shared" si="130"/>
        <v/>
      </c>
      <c r="CG66" s="61" t="str">
        <f t="shared" si="164"/>
        <v/>
      </c>
      <c r="CH66" s="52" t="str">
        <f t="shared" si="84"/>
        <v/>
      </c>
      <c r="CI66" s="52" t="str">
        <f t="shared" si="85"/>
        <v/>
      </c>
      <c r="CJ66" s="52" t="str">
        <f t="shared" si="131"/>
        <v/>
      </c>
      <c r="CK66" s="52" t="str">
        <f t="shared" si="132"/>
        <v/>
      </c>
      <c r="CL66" s="52" t="str">
        <f t="shared" si="133"/>
        <v/>
      </c>
      <c r="CM66" s="102" t="str">
        <f t="shared" si="134"/>
        <v/>
      </c>
      <c r="CN66" s="116" t="str">
        <f t="shared" si="135"/>
        <v/>
      </c>
      <c r="CO66" s="61">
        <f t="shared" si="146"/>
        <v>0</v>
      </c>
      <c r="CP66" s="61" t="str">
        <f t="shared" si="92"/>
        <v/>
      </c>
      <c r="CQ66" s="61" t="str">
        <f t="shared" si="148"/>
        <v/>
      </c>
      <c r="CR66" s="61" t="str">
        <f t="shared" si="149"/>
        <v/>
      </c>
      <c r="CS66" s="105" t="str">
        <f t="shared" si="150"/>
        <v/>
      </c>
      <c r="CT66" s="105" t="str">
        <f t="shared" si="151"/>
        <v/>
      </c>
      <c r="CU66" s="61" t="str">
        <f t="shared" si="152"/>
        <v/>
      </c>
      <c r="CV66" s="61" t="str">
        <f t="shared" si="153"/>
        <v/>
      </c>
      <c r="CW66" s="61" t="str">
        <f t="shared" si="136"/>
        <v/>
      </c>
      <c r="CX66" s="61" t="str">
        <f t="shared" si="165"/>
        <v/>
      </c>
      <c r="CY66" s="61" t="str">
        <f t="shared" si="93"/>
        <v/>
      </c>
      <c r="CZ66" s="102" t="str">
        <f t="shared" si="137"/>
        <v/>
      </c>
      <c r="DA66" s="17">
        <f t="shared" si="138"/>
        <v>0</v>
      </c>
      <c r="DC66" s="17">
        <f t="shared" si="91"/>
        <v>0</v>
      </c>
      <c r="DD66" s="17">
        <f t="shared" si="139"/>
        <v>0</v>
      </c>
      <c r="DE66" s="17" t="str">
        <f t="shared" si="140"/>
        <v/>
      </c>
      <c r="DF66" s="17" t="str">
        <f t="shared" si="141"/>
        <v/>
      </c>
    </row>
    <row r="67" spans="2:110" s="17" customFormat="1">
      <c r="B67" s="35"/>
      <c r="C67" s="35"/>
      <c r="D67" s="36"/>
      <c r="E67" s="35"/>
      <c r="F67" s="35"/>
      <c r="G67" s="35"/>
      <c r="H67" s="35"/>
      <c r="I67" s="35"/>
      <c r="J67" s="59"/>
      <c r="Z67" s="172" t="str">
        <f t="shared" si="94"/>
        <v/>
      </c>
      <c r="AB67" s="47" t="s">
        <v>246</v>
      </c>
      <c r="AC67" s="52" t="str">
        <f t="shared" si="88"/>
        <v/>
      </c>
      <c r="AD67" s="52">
        <f t="shared" si="154"/>
        <v>0</v>
      </c>
      <c r="AE67" s="52">
        <f t="shared" si="142"/>
        <v>0</v>
      </c>
      <c r="AF67" s="61" t="str">
        <f t="shared" si="95"/>
        <v/>
      </c>
      <c r="AG67" s="52">
        <f t="shared" si="96"/>
        <v>0</v>
      </c>
      <c r="AH67" s="52">
        <f t="shared" si="97"/>
        <v>0</v>
      </c>
      <c r="AI67" s="52" t="str">
        <f t="shared" si="98"/>
        <v/>
      </c>
      <c r="AJ67" s="61" t="str">
        <f t="shared" si="99"/>
        <v/>
      </c>
      <c r="AK67" s="95" t="str">
        <f t="shared" si="7"/>
        <v/>
      </c>
      <c r="AL67" s="61" t="str">
        <f t="shared" si="100"/>
        <v>if () {$("#adv_").html("Required");$("#").css({"background":"yellow"});} else {$("#adv_").html("");$("#").css({"background":"white"});}</v>
      </c>
      <c r="AM67" s="61" t="str">
        <f t="shared" si="101"/>
        <v>if (=="") {$("#adv_").html("Required");$("#adv_").css({"background":"yellow"});} else {$("#adv_").html("");}</v>
      </c>
      <c r="AN67" s="61" t="str">
        <f t="shared" si="83"/>
        <v>if (=="") {$("#adv_").html("Required");$("#").css({"background":"yellow"});} else {$("#adv_").html("");$("#").css({"background":"white"});}</v>
      </c>
      <c r="AO67" s="50" t="str">
        <f t="shared" si="102"/>
        <v/>
      </c>
      <c r="AP67" s="61" t="str">
        <f t="shared" si="103"/>
        <v>=$("#").val();</v>
      </c>
      <c r="AQ67" s="61" t="str">
        <f t="shared" si="104"/>
        <v/>
      </c>
      <c r="AR67" s="50" t="str">
        <f t="shared" si="105"/>
        <v>&lt;input type="checkbox" id="" name="" value="1" /&gt;</v>
      </c>
      <c r="AS67" s="61" t="str">
        <f t="shared" si="106"/>
        <v>=document.getElementById("").checked;</v>
      </c>
      <c r="AT67" s="102" t="str">
        <f t="shared" si="107"/>
        <v>if (isset($_GET[''])) {$=($_GET['']);}else $='';</v>
      </c>
      <c r="AU67" s="52" t="str">
        <f t="shared" si="108"/>
        <v/>
      </c>
      <c r="AV67" s="52" t="str">
        <f t="shared" si="147"/>
        <v>&lt;select size="1" name="" id=""&gt;&lt;option value=""&gt;</v>
      </c>
      <c r="AW67" s="52" t="str">
        <f t="shared" si="109"/>
        <v>&lt;option value=""&gt;&lt;/option&gt;</v>
      </c>
      <c r="AX67" s="145" t="str">
        <f t="shared" si="110"/>
        <v/>
      </c>
      <c r="AY67" s="102" t="str">
        <f>""</f>
        <v/>
      </c>
      <c r="AZ67" s="102"/>
      <c r="BA67" s="113">
        <f t="shared" si="111"/>
        <v>0</v>
      </c>
      <c r="BB67" s="103" t="str">
        <f t="shared" si="112"/>
        <v>0:</v>
      </c>
      <c r="BC67" s="50" t="str">
        <f t="shared" si="113"/>
        <v>0:&lt;span id="adv_0"&gt;&lt;/span&gt;&lt;br/&gt;&lt;input type="radio" name="0" id="" value="" /&gt;</v>
      </c>
      <c r="BD67" s="52" t="str">
        <f t="shared" si="114"/>
        <v>else if (document.getElementById("</v>
      </c>
      <c r="BE67" s="61" t="str">
        <f t="shared" si="115"/>
        <v>else if (document.getElementById("").checked==true) {0="";}</v>
      </c>
      <c r="BF67" s="61" t="str">
        <f t="shared" si="116"/>
        <v/>
      </c>
      <c r="BG67" s="61" t="str">
        <f t="shared" si="117"/>
        <v>0:0</v>
      </c>
      <c r="BH67" s="102" t="str">
        <f t="shared" si="118"/>
        <v>if (isset($_GET['0'])) {$0=($_GET['0']);}else $0='';</v>
      </c>
      <c r="BI67" s="105" t="str">
        <f t="shared" si="119"/>
        <v>&lt;br/&gt;&lt;textarea rows="2" cols="80" id=""&gt;&lt;/textarea&gt;&lt;br/&gt;</v>
      </c>
      <c r="BJ67" s="107" t="str">
        <f t="shared" si="120"/>
        <v>&lt;input type="text"  size="7"  id="" class="datepicker"/&gt;</v>
      </c>
      <c r="BK67" s="107" t="str">
        <f t="shared" si="121"/>
        <v>&lt;h2 id=""&gt;&lt;/h2&gt;</v>
      </c>
      <c r="BL67" s="109" t="str">
        <f t="shared" si="155"/>
        <v/>
      </c>
      <c r="BM67" s="61" t="str">
        <f t="shared" si="156"/>
        <v/>
      </c>
      <c r="BN67" s="52">
        <f t="shared" si="143"/>
        <v>0</v>
      </c>
      <c r="BO67" s="61" t="str">
        <f t="shared" si="157"/>
        <v/>
      </c>
      <c r="BP67" s="102" t="str">
        <f t="shared" si="158"/>
        <v/>
      </c>
      <c r="BQ67" s="105" t="str">
        <f t="shared" si="159"/>
        <v/>
      </c>
      <c r="BR67" s="52" t="str">
        <f t="shared" si="122"/>
        <v/>
      </c>
      <c r="BS67" s="52">
        <f t="shared" si="123"/>
        <v>0</v>
      </c>
      <c r="BT67" s="52">
        <f t="shared" si="144"/>
        <v>0</v>
      </c>
      <c r="BU67" s="52" t="str">
        <f t="shared" si="124"/>
        <v/>
      </c>
      <c r="BV67" s="52" t="str">
        <f t="shared" si="125"/>
        <v/>
      </c>
      <c r="BW67" s="52" t="str">
        <f t="shared" si="145"/>
        <v/>
      </c>
      <c r="BX67" s="113" t="str">
        <f t="shared" si="160"/>
        <v/>
      </c>
      <c r="BY67" s="52" t="str">
        <f t="shared" si="126"/>
        <v/>
      </c>
      <c r="BZ67" s="52" t="str">
        <f t="shared" si="127"/>
        <v/>
      </c>
      <c r="CA67" s="52" t="str">
        <f t="shared" si="161"/>
        <v/>
      </c>
      <c r="CB67" s="52" t="str">
        <f t="shared" si="162"/>
        <v/>
      </c>
      <c r="CC67" s="52" t="str">
        <f t="shared" si="128"/>
        <v/>
      </c>
      <c r="CD67" s="52" t="str">
        <f t="shared" si="129"/>
        <v/>
      </c>
      <c r="CE67" s="102" t="str">
        <f t="shared" si="163"/>
        <v/>
      </c>
      <c r="CF67" s="116" t="str">
        <f t="shared" si="130"/>
        <v/>
      </c>
      <c r="CG67" s="61" t="str">
        <f t="shared" si="164"/>
        <v/>
      </c>
      <c r="CH67" s="52" t="str">
        <f t="shared" si="84"/>
        <v/>
      </c>
      <c r="CI67" s="52" t="str">
        <f t="shared" si="85"/>
        <v/>
      </c>
      <c r="CJ67" s="52" t="str">
        <f t="shared" si="131"/>
        <v/>
      </c>
      <c r="CK67" s="52" t="str">
        <f t="shared" si="132"/>
        <v/>
      </c>
      <c r="CL67" s="52" t="str">
        <f t="shared" si="133"/>
        <v/>
      </c>
      <c r="CM67" s="102" t="str">
        <f t="shared" si="134"/>
        <v/>
      </c>
      <c r="CN67" s="116" t="str">
        <f t="shared" si="135"/>
        <v/>
      </c>
      <c r="CO67" s="61">
        <f t="shared" si="146"/>
        <v>0</v>
      </c>
      <c r="CP67" s="61" t="str">
        <f t="shared" si="92"/>
        <v/>
      </c>
      <c r="CQ67" s="61" t="str">
        <f t="shared" si="148"/>
        <v/>
      </c>
      <c r="CR67" s="61" t="str">
        <f t="shared" si="149"/>
        <v/>
      </c>
      <c r="CS67" s="105" t="str">
        <f t="shared" si="150"/>
        <v/>
      </c>
      <c r="CT67" s="105" t="str">
        <f t="shared" si="151"/>
        <v/>
      </c>
      <c r="CU67" s="61" t="str">
        <f t="shared" si="152"/>
        <v/>
      </c>
      <c r="CV67" s="61" t="str">
        <f t="shared" si="153"/>
        <v/>
      </c>
      <c r="CW67" s="61" t="str">
        <f t="shared" si="136"/>
        <v/>
      </c>
      <c r="CX67" s="61" t="str">
        <f t="shared" si="165"/>
        <v/>
      </c>
      <c r="CY67" s="61" t="str">
        <f t="shared" si="93"/>
        <v/>
      </c>
      <c r="CZ67" s="102" t="str">
        <f t="shared" si="137"/>
        <v/>
      </c>
      <c r="DA67" s="17">
        <f t="shared" si="138"/>
        <v>0</v>
      </c>
      <c r="DC67" s="17">
        <f t="shared" si="91"/>
        <v>0</v>
      </c>
      <c r="DD67" s="17">
        <f t="shared" si="139"/>
        <v>0</v>
      </c>
      <c r="DE67" s="17" t="str">
        <f t="shared" si="140"/>
        <v/>
      </c>
      <c r="DF67" s="17" t="str">
        <f t="shared" si="141"/>
        <v/>
      </c>
    </row>
    <row r="68" spans="2:110" s="17" customFormat="1">
      <c r="B68" s="35"/>
      <c r="C68" s="35"/>
      <c r="D68" s="36"/>
      <c r="E68" s="35"/>
      <c r="F68" s="35"/>
      <c r="G68" s="35"/>
      <c r="H68" s="35"/>
      <c r="I68" s="35"/>
      <c r="J68" s="59"/>
      <c r="Z68" s="172" t="str">
        <f t="shared" si="94"/>
        <v/>
      </c>
      <c r="AB68" s="47" t="s">
        <v>247</v>
      </c>
      <c r="AC68" s="52" t="str">
        <f t="shared" ref="AC68:AC99" si="166">+IF(G68="si",C68&amp;"=="&amp;$B$4,IF(AND(E68="radio",BB68&lt;&gt;""),B68&amp;"=="&amp;$B$4,""))</f>
        <v/>
      </c>
      <c r="AD68" s="52">
        <f t="shared" si="154"/>
        <v>0</v>
      </c>
      <c r="AE68" s="52">
        <f t="shared" si="142"/>
        <v>0</v>
      </c>
      <c r="AF68" s="61" t="str">
        <f t="shared" si="95"/>
        <v/>
      </c>
      <c r="AG68" s="52">
        <f t="shared" si="96"/>
        <v>0</v>
      </c>
      <c r="AH68" s="52">
        <f t="shared" si="97"/>
        <v>0</v>
      </c>
      <c r="AI68" s="52" t="str">
        <f t="shared" si="98"/>
        <v/>
      </c>
      <c r="AJ68" s="61" t="str">
        <f t="shared" si="99"/>
        <v/>
      </c>
      <c r="AK68" s="95" t="str">
        <f t="shared" si="7"/>
        <v/>
      </c>
      <c r="AL68" s="61" t="str">
        <f t="shared" si="100"/>
        <v>if () {$("#adv_").html("Required");$("#").css({"background":"yellow"});} else {$("#adv_").html("");$("#").css({"background":"white"});}</v>
      </c>
      <c r="AM68" s="61" t="str">
        <f t="shared" si="101"/>
        <v>if (=="") {$("#adv_").html("Required");$("#adv_").css({"background":"yellow"});} else {$("#adv_").html("");}</v>
      </c>
      <c r="AN68" s="61" t="str">
        <f t="shared" si="83"/>
        <v>if (=="") {$("#adv_").html("Required");$("#").css({"background":"yellow"});} else {$("#adv_").html("");$("#").css({"background":"white"});}</v>
      </c>
      <c r="AO68" s="50" t="str">
        <f t="shared" si="102"/>
        <v/>
      </c>
      <c r="AP68" s="61" t="str">
        <f t="shared" si="103"/>
        <v>=$("#").val();</v>
      </c>
      <c r="AQ68" s="61" t="str">
        <f t="shared" si="104"/>
        <v/>
      </c>
      <c r="AR68" s="50" t="str">
        <f t="shared" si="105"/>
        <v>&lt;input type="checkbox" id="" name="" value="1" /&gt;</v>
      </c>
      <c r="AS68" s="61" t="str">
        <f t="shared" si="106"/>
        <v>=document.getElementById("").checked;</v>
      </c>
      <c r="AT68" s="102" t="str">
        <f t="shared" si="107"/>
        <v>if (isset($_GET[''])) {$=($_GET['']);}else $='';</v>
      </c>
      <c r="AU68" s="52" t="str">
        <f t="shared" si="108"/>
        <v/>
      </c>
      <c r="AV68" s="52" t="str">
        <f t="shared" si="147"/>
        <v>&lt;select size="1" name="" id=""&gt;&lt;option value=""&gt;</v>
      </c>
      <c r="AW68" s="52" t="str">
        <f t="shared" si="109"/>
        <v>&lt;option value=""&gt;&lt;/option&gt;</v>
      </c>
      <c r="AX68" s="145" t="str">
        <f t="shared" si="110"/>
        <v/>
      </c>
      <c r="AY68" s="102" t="str">
        <f>""</f>
        <v/>
      </c>
      <c r="AZ68" s="102"/>
      <c r="BA68" s="113">
        <f t="shared" si="111"/>
        <v>0</v>
      </c>
      <c r="BB68" s="103" t="str">
        <f t="shared" si="112"/>
        <v>0:</v>
      </c>
      <c r="BC68" s="50" t="str">
        <f t="shared" si="113"/>
        <v>0:&lt;span id="adv_0"&gt;&lt;/span&gt;&lt;br/&gt;&lt;input type="radio" name="0" id="" value="" /&gt;</v>
      </c>
      <c r="BD68" s="52" t="str">
        <f t="shared" si="114"/>
        <v>else if (document.getElementById("</v>
      </c>
      <c r="BE68" s="61" t="str">
        <f t="shared" si="115"/>
        <v>else if (document.getElementById("").checked==true) {0="";}</v>
      </c>
      <c r="BF68" s="61" t="str">
        <f t="shared" si="116"/>
        <v/>
      </c>
      <c r="BG68" s="61" t="str">
        <f t="shared" si="117"/>
        <v>0:0</v>
      </c>
      <c r="BH68" s="102" t="str">
        <f t="shared" si="118"/>
        <v>if (isset($_GET['0'])) {$0=($_GET['0']);}else $0='';</v>
      </c>
      <c r="BI68" s="105" t="str">
        <f t="shared" si="119"/>
        <v>&lt;br/&gt;&lt;textarea rows="2" cols="80" id=""&gt;&lt;/textarea&gt;&lt;br/&gt;</v>
      </c>
      <c r="BJ68" s="107" t="str">
        <f t="shared" si="120"/>
        <v>&lt;input type="text"  size="7"  id="" class="datepicker"/&gt;</v>
      </c>
      <c r="BK68" s="107" t="str">
        <f t="shared" si="121"/>
        <v>&lt;h2 id=""&gt;&lt;/h2&gt;</v>
      </c>
      <c r="BL68" s="109" t="str">
        <f t="shared" si="155"/>
        <v/>
      </c>
      <c r="BM68" s="61" t="str">
        <f t="shared" si="156"/>
        <v/>
      </c>
      <c r="BN68" s="52">
        <f t="shared" si="143"/>
        <v>0</v>
      </c>
      <c r="BO68" s="61" t="str">
        <f t="shared" si="157"/>
        <v/>
      </c>
      <c r="BP68" s="102" t="str">
        <f t="shared" si="158"/>
        <v/>
      </c>
      <c r="BQ68" s="105" t="str">
        <f t="shared" si="159"/>
        <v/>
      </c>
      <c r="BR68" s="52" t="str">
        <f t="shared" si="122"/>
        <v/>
      </c>
      <c r="BS68" s="52">
        <f t="shared" si="123"/>
        <v>0</v>
      </c>
      <c r="BT68" s="52">
        <f t="shared" si="144"/>
        <v>0</v>
      </c>
      <c r="BU68" s="52" t="str">
        <f t="shared" si="124"/>
        <v/>
      </c>
      <c r="BV68" s="52" t="str">
        <f t="shared" si="125"/>
        <v/>
      </c>
      <c r="BW68" s="52" t="str">
        <f t="shared" si="145"/>
        <v/>
      </c>
      <c r="BX68" s="113" t="str">
        <f t="shared" si="160"/>
        <v/>
      </c>
      <c r="BY68" s="52" t="str">
        <f t="shared" si="126"/>
        <v/>
      </c>
      <c r="BZ68" s="52" t="str">
        <f t="shared" si="127"/>
        <v/>
      </c>
      <c r="CA68" s="52" t="str">
        <f t="shared" si="161"/>
        <v/>
      </c>
      <c r="CB68" s="52" t="str">
        <f t="shared" si="162"/>
        <v/>
      </c>
      <c r="CC68" s="52" t="str">
        <f t="shared" si="128"/>
        <v/>
      </c>
      <c r="CD68" s="52" t="str">
        <f t="shared" si="129"/>
        <v/>
      </c>
      <c r="CE68" s="102" t="str">
        <f t="shared" si="163"/>
        <v/>
      </c>
      <c r="CF68" s="116" t="str">
        <f t="shared" si="130"/>
        <v/>
      </c>
      <c r="CG68" s="61" t="str">
        <f t="shared" si="164"/>
        <v/>
      </c>
      <c r="CH68" s="52" t="str">
        <f t="shared" si="84"/>
        <v/>
      </c>
      <c r="CI68" s="52" t="str">
        <f t="shared" si="85"/>
        <v/>
      </c>
      <c r="CJ68" s="52" t="str">
        <f t="shared" si="131"/>
        <v/>
      </c>
      <c r="CK68" s="52" t="str">
        <f t="shared" si="132"/>
        <v/>
      </c>
      <c r="CL68" s="52" t="str">
        <f t="shared" si="133"/>
        <v/>
      </c>
      <c r="CM68" s="102" t="str">
        <f t="shared" si="134"/>
        <v/>
      </c>
      <c r="CN68" s="116" t="str">
        <f t="shared" si="135"/>
        <v/>
      </c>
      <c r="CO68" s="61">
        <f t="shared" si="146"/>
        <v>0</v>
      </c>
      <c r="CP68" s="61" t="str">
        <f t="shared" si="92"/>
        <v/>
      </c>
      <c r="CQ68" s="61" t="str">
        <f t="shared" si="148"/>
        <v/>
      </c>
      <c r="CR68" s="61" t="str">
        <f t="shared" si="149"/>
        <v/>
      </c>
      <c r="CS68" s="105" t="str">
        <f t="shared" si="150"/>
        <v/>
      </c>
      <c r="CT68" s="105" t="str">
        <f t="shared" si="151"/>
        <v/>
      </c>
      <c r="CU68" s="61" t="str">
        <f t="shared" si="152"/>
        <v/>
      </c>
      <c r="CV68" s="61" t="str">
        <f t="shared" si="153"/>
        <v/>
      </c>
      <c r="CW68" s="61" t="str">
        <f t="shared" si="136"/>
        <v/>
      </c>
      <c r="CX68" s="61" t="str">
        <f t="shared" si="165"/>
        <v/>
      </c>
      <c r="CY68" s="61" t="str">
        <f t="shared" si="93"/>
        <v/>
      </c>
      <c r="CZ68" s="102" t="str">
        <f t="shared" si="137"/>
        <v/>
      </c>
      <c r="DA68" s="17">
        <f t="shared" si="138"/>
        <v>0</v>
      </c>
      <c r="DC68" s="17">
        <f t="shared" si="91"/>
        <v>0</v>
      </c>
      <c r="DD68" s="17">
        <f t="shared" si="139"/>
        <v>0</v>
      </c>
      <c r="DE68" s="17" t="str">
        <f t="shared" si="140"/>
        <v/>
      </c>
      <c r="DF68" s="17" t="str">
        <f t="shared" si="141"/>
        <v/>
      </c>
    </row>
    <row r="69" spans="2:110" s="17" customFormat="1">
      <c r="B69" s="35"/>
      <c r="C69" s="35"/>
      <c r="D69" s="36"/>
      <c r="E69" s="35"/>
      <c r="F69" s="35"/>
      <c r="G69" s="35"/>
      <c r="H69" s="35"/>
      <c r="I69" s="35"/>
      <c r="J69" s="59"/>
      <c r="Z69" s="172" t="str">
        <f t="shared" si="94"/>
        <v/>
      </c>
      <c r="AB69" s="47" t="s">
        <v>248</v>
      </c>
      <c r="AC69" s="52" t="str">
        <f t="shared" si="166"/>
        <v/>
      </c>
      <c r="AD69" s="52">
        <f t="shared" si="154"/>
        <v>0</v>
      </c>
      <c r="AE69" s="52">
        <f t="shared" si="142"/>
        <v>0</v>
      </c>
      <c r="AF69" s="61" t="str">
        <f t="shared" si="95"/>
        <v/>
      </c>
      <c r="AG69" s="52">
        <f t="shared" si="96"/>
        <v>0</v>
      </c>
      <c r="AH69" s="52">
        <f t="shared" si="97"/>
        <v>0</v>
      </c>
      <c r="AI69" s="52" t="str">
        <f t="shared" si="98"/>
        <v/>
      </c>
      <c r="AJ69" s="61" t="str">
        <f t="shared" si="99"/>
        <v/>
      </c>
      <c r="AK69" s="95" t="str">
        <f t="shared" si="7"/>
        <v/>
      </c>
      <c r="AL69" s="61" t="str">
        <f t="shared" si="100"/>
        <v>if () {$("#adv_").html("Required");$("#").css({"background":"yellow"});} else {$("#adv_").html("");$("#").css({"background":"white"});}</v>
      </c>
      <c r="AM69" s="61" t="str">
        <f t="shared" si="101"/>
        <v>if (=="") {$("#adv_").html("Required");$("#adv_").css({"background":"yellow"});} else {$("#adv_").html("");}</v>
      </c>
      <c r="AN69" s="61" t="str">
        <f t="shared" si="83"/>
        <v>if (=="") {$("#adv_").html("Required");$("#").css({"background":"yellow"});} else {$("#adv_").html("");$("#").css({"background":"white"});}</v>
      </c>
      <c r="AO69" s="50" t="str">
        <f t="shared" si="102"/>
        <v/>
      </c>
      <c r="AP69" s="61" t="str">
        <f t="shared" si="103"/>
        <v>=$("#").val();</v>
      </c>
      <c r="AQ69" s="61" t="str">
        <f t="shared" si="104"/>
        <v/>
      </c>
      <c r="AR69" s="50" t="str">
        <f t="shared" si="105"/>
        <v>&lt;input type="checkbox" id="" name="" value="1" /&gt;</v>
      </c>
      <c r="AS69" s="61" t="str">
        <f t="shared" si="106"/>
        <v>=document.getElementById("").checked;</v>
      </c>
      <c r="AT69" s="102" t="str">
        <f t="shared" si="107"/>
        <v>if (isset($_GET[''])) {$=($_GET['']);}else $='';</v>
      </c>
      <c r="AU69" s="52" t="str">
        <f t="shared" si="108"/>
        <v/>
      </c>
      <c r="AV69" s="52" t="str">
        <f t="shared" si="147"/>
        <v>&lt;select size="1" name="" id=""&gt;&lt;option value=""&gt;</v>
      </c>
      <c r="AW69" s="52" t="str">
        <f t="shared" si="109"/>
        <v>&lt;option value=""&gt;&lt;/option&gt;</v>
      </c>
      <c r="AX69" s="145" t="str">
        <f t="shared" si="110"/>
        <v/>
      </c>
      <c r="AY69" s="102" t="str">
        <f>""</f>
        <v/>
      </c>
      <c r="AZ69" s="102"/>
      <c r="BA69" s="113">
        <f t="shared" si="111"/>
        <v>0</v>
      </c>
      <c r="BB69" s="103" t="str">
        <f t="shared" si="112"/>
        <v>0:</v>
      </c>
      <c r="BC69" s="50" t="str">
        <f t="shared" si="113"/>
        <v>0:&lt;span id="adv_0"&gt;&lt;/span&gt;&lt;br/&gt;&lt;input type="radio" name="0" id="" value="" /&gt;</v>
      </c>
      <c r="BD69" s="52" t="str">
        <f t="shared" si="114"/>
        <v>else if (document.getElementById("</v>
      </c>
      <c r="BE69" s="61" t="str">
        <f t="shared" si="115"/>
        <v>else if (document.getElementById("").checked==true) {0="";}</v>
      </c>
      <c r="BF69" s="61" t="str">
        <f t="shared" si="116"/>
        <v/>
      </c>
      <c r="BG69" s="61" t="str">
        <f t="shared" si="117"/>
        <v>0:0</v>
      </c>
      <c r="BH69" s="102" t="str">
        <f t="shared" si="118"/>
        <v>if (isset($_GET['0'])) {$0=($_GET['0']);}else $0='';</v>
      </c>
      <c r="BI69" s="105" t="str">
        <f t="shared" si="119"/>
        <v>&lt;br/&gt;&lt;textarea rows="2" cols="80" id=""&gt;&lt;/textarea&gt;&lt;br/&gt;</v>
      </c>
      <c r="BJ69" s="107" t="str">
        <f t="shared" si="120"/>
        <v>&lt;input type="text"  size="7"  id="" class="datepicker"/&gt;</v>
      </c>
      <c r="BK69" s="107" t="str">
        <f t="shared" si="121"/>
        <v>&lt;h2 id=""&gt;&lt;/h2&gt;</v>
      </c>
      <c r="BL69" s="109" t="str">
        <f t="shared" si="155"/>
        <v/>
      </c>
      <c r="BM69" s="61" t="str">
        <f t="shared" si="156"/>
        <v/>
      </c>
      <c r="BN69" s="52">
        <f t="shared" si="143"/>
        <v>0</v>
      </c>
      <c r="BO69" s="61" t="str">
        <f t="shared" si="157"/>
        <v/>
      </c>
      <c r="BP69" s="102" t="str">
        <f t="shared" si="158"/>
        <v/>
      </c>
      <c r="BQ69" s="105" t="str">
        <f t="shared" si="159"/>
        <v/>
      </c>
      <c r="BR69" s="52" t="str">
        <f t="shared" si="122"/>
        <v/>
      </c>
      <c r="BS69" s="52">
        <f t="shared" si="123"/>
        <v>0</v>
      </c>
      <c r="BT69" s="52">
        <f t="shared" si="144"/>
        <v>0</v>
      </c>
      <c r="BU69" s="52" t="str">
        <f t="shared" si="124"/>
        <v/>
      </c>
      <c r="BV69" s="52" t="str">
        <f t="shared" si="125"/>
        <v/>
      </c>
      <c r="BW69" s="52" t="str">
        <f t="shared" si="145"/>
        <v/>
      </c>
      <c r="BX69" s="113" t="str">
        <f t="shared" si="160"/>
        <v/>
      </c>
      <c r="BY69" s="52" t="str">
        <f t="shared" si="126"/>
        <v/>
      </c>
      <c r="BZ69" s="52" t="str">
        <f t="shared" si="127"/>
        <v/>
      </c>
      <c r="CA69" s="52" t="str">
        <f t="shared" si="161"/>
        <v/>
      </c>
      <c r="CB69" s="52" t="str">
        <f t="shared" si="162"/>
        <v/>
      </c>
      <c r="CC69" s="52" t="str">
        <f t="shared" si="128"/>
        <v/>
      </c>
      <c r="CD69" s="52" t="str">
        <f t="shared" si="129"/>
        <v/>
      </c>
      <c r="CE69" s="102" t="str">
        <f t="shared" si="163"/>
        <v/>
      </c>
      <c r="CF69" s="116" t="str">
        <f t="shared" si="130"/>
        <v/>
      </c>
      <c r="CG69" s="61" t="str">
        <f t="shared" si="164"/>
        <v/>
      </c>
      <c r="CH69" s="52" t="str">
        <f t="shared" si="84"/>
        <v/>
      </c>
      <c r="CI69" s="52" t="str">
        <f t="shared" si="85"/>
        <v/>
      </c>
      <c r="CJ69" s="52" t="str">
        <f t="shared" si="131"/>
        <v/>
      </c>
      <c r="CK69" s="52" t="str">
        <f t="shared" si="132"/>
        <v/>
      </c>
      <c r="CL69" s="52" t="str">
        <f t="shared" si="133"/>
        <v/>
      </c>
      <c r="CM69" s="102" t="str">
        <f t="shared" si="134"/>
        <v/>
      </c>
      <c r="CN69" s="116" t="str">
        <f t="shared" si="135"/>
        <v/>
      </c>
      <c r="CO69" s="61">
        <f t="shared" si="146"/>
        <v>0</v>
      </c>
      <c r="CP69" s="61" t="str">
        <f t="shared" si="92"/>
        <v/>
      </c>
      <c r="CQ69" s="61" t="str">
        <f t="shared" si="148"/>
        <v/>
      </c>
      <c r="CR69" s="61" t="str">
        <f t="shared" si="149"/>
        <v/>
      </c>
      <c r="CS69" s="105" t="str">
        <f t="shared" si="150"/>
        <v/>
      </c>
      <c r="CT69" s="105" t="str">
        <f t="shared" si="151"/>
        <v/>
      </c>
      <c r="CU69" s="61" t="str">
        <f t="shared" si="152"/>
        <v/>
      </c>
      <c r="CV69" s="61" t="str">
        <f t="shared" si="153"/>
        <v/>
      </c>
      <c r="CW69" s="61" t="str">
        <f t="shared" si="136"/>
        <v/>
      </c>
      <c r="CX69" s="61" t="str">
        <f t="shared" si="165"/>
        <v/>
      </c>
      <c r="CY69" s="61" t="str">
        <f t="shared" si="93"/>
        <v/>
      </c>
      <c r="CZ69" s="102" t="str">
        <f t="shared" si="137"/>
        <v/>
      </c>
      <c r="DA69" s="17">
        <f t="shared" si="138"/>
        <v>0</v>
      </c>
      <c r="DC69" s="17">
        <f t="shared" si="91"/>
        <v>0</v>
      </c>
      <c r="DD69" s="17">
        <f t="shared" si="139"/>
        <v>0</v>
      </c>
      <c r="DE69" s="17" t="str">
        <f t="shared" si="140"/>
        <v/>
      </c>
      <c r="DF69" s="17" t="str">
        <f t="shared" si="141"/>
        <v/>
      </c>
    </row>
    <row r="70" spans="2:110" s="17" customFormat="1">
      <c r="B70" s="35"/>
      <c r="C70" s="35"/>
      <c r="D70" s="36"/>
      <c r="E70" s="35"/>
      <c r="F70" s="35"/>
      <c r="G70" s="35"/>
      <c r="H70" s="35"/>
      <c r="I70" s="35"/>
      <c r="J70" s="59"/>
      <c r="Z70" s="172" t="str">
        <f t="shared" si="94"/>
        <v/>
      </c>
      <c r="AB70" s="47" t="s">
        <v>249</v>
      </c>
      <c r="AC70" s="52" t="str">
        <f t="shared" si="166"/>
        <v/>
      </c>
      <c r="AD70" s="52">
        <f t="shared" si="154"/>
        <v>0</v>
      </c>
      <c r="AE70" s="52">
        <f t="shared" si="142"/>
        <v>0</v>
      </c>
      <c r="AF70" s="61" t="str">
        <f t="shared" si="95"/>
        <v/>
      </c>
      <c r="AG70" s="52">
        <f t="shared" si="96"/>
        <v>0</v>
      </c>
      <c r="AH70" s="52">
        <f t="shared" si="97"/>
        <v>0</v>
      </c>
      <c r="AI70" s="52" t="str">
        <f t="shared" si="98"/>
        <v/>
      </c>
      <c r="AJ70" s="61" t="str">
        <f t="shared" si="99"/>
        <v/>
      </c>
      <c r="AK70" s="95" t="str">
        <f t="shared" si="7"/>
        <v/>
      </c>
      <c r="AL70" s="61" t="str">
        <f t="shared" si="100"/>
        <v>if () {$("#adv_").html("Required");$("#").css({"background":"yellow"});} else {$("#adv_").html("");$("#").css({"background":"white"});}</v>
      </c>
      <c r="AM70" s="61" t="str">
        <f t="shared" si="101"/>
        <v>if (=="") {$("#adv_").html("Required");$("#adv_").css({"background":"yellow"});} else {$("#adv_").html("");}</v>
      </c>
      <c r="AN70" s="61" t="str">
        <f t="shared" si="83"/>
        <v>if (=="") {$("#adv_").html("Required");$("#").css({"background":"yellow"});} else {$("#adv_").html("");$("#").css({"background":"white"});}</v>
      </c>
      <c r="AO70" s="50" t="str">
        <f t="shared" si="102"/>
        <v/>
      </c>
      <c r="AP70" s="61" t="str">
        <f t="shared" si="103"/>
        <v>=$("#").val();</v>
      </c>
      <c r="AQ70" s="61" t="str">
        <f t="shared" si="104"/>
        <v/>
      </c>
      <c r="AR70" s="50" t="str">
        <f t="shared" si="105"/>
        <v>&lt;input type="checkbox" id="" name="" value="1" /&gt;</v>
      </c>
      <c r="AS70" s="61" t="str">
        <f t="shared" si="106"/>
        <v>=document.getElementById("").checked;</v>
      </c>
      <c r="AT70" s="102" t="str">
        <f t="shared" si="107"/>
        <v>if (isset($_GET[''])) {$=($_GET['']);}else $='';</v>
      </c>
      <c r="AU70" s="52" t="str">
        <f t="shared" si="108"/>
        <v/>
      </c>
      <c r="AV70" s="52" t="str">
        <f t="shared" si="147"/>
        <v>&lt;select size="1" name="" id=""&gt;&lt;option value=""&gt;</v>
      </c>
      <c r="AW70" s="52" t="str">
        <f t="shared" si="109"/>
        <v>&lt;option value=""&gt;&lt;/option&gt;</v>
      </c>
      <c r="AX70" s="145" t="str">
        <f t="shared" si="110"/>
        <v/>
      </c>
      <c r="AY70" s="102" t="str">
        <f>""</f>
        <v/>
      </c>
      <c r="AZ70" s="102"/>
      <c r="BA70" s="113">
        <f t="shared" si="111"/>
        <v>0</v>
      </c>
      <c r="BB70" s="103" t="str">
        <f t="shared" si="112"/>
        <v>0:</v>
      </c>
      <c r="BC70" s="50" t="str">
        <f t="shared" si="113"/>
        <v>0:&lt;span id="adv_0"&gt;&lt;/span&gt;&lt;br/&gt;&lt;input type="radio" name="0" id="" value="" /&gt;</v>
      </c>
      <c r="BD70" s="52" t="str">
        <f t="shared" si="114"/>
        <v>else if (document.getElementById("</v>
      </c>
      <c r="BE70" s="61" t="str">
        <f t="shared" si="115"/>
        <v>else if (document.getElementById("").checked==true) {0="";}</v>
      </c>
      <c r="BF70" s="61" t="str">
        <f t="shared" si="116"/>
        <v/>
      </c>
      <c r="BG70" s="61" t="str">
        <f t="shared" si="117"/>
        <v>0:0</v>
      </c>
      <c r="BH70" s="102" t="str">
        <f t="shared" si="118"/>
        <v>if (isset($_GET['0'])) {$0=($_GET['0']);}else $0='';</v>
      </c>
      <c r="BI70" s="105" t="str">
        <f t="shared" si="119"/>
        <v>&lt;br/&gt;&lt;textarea rows="2" cols="80" id=""&gt;&lt;/textarea&gt;&lt;br/&gt;</v>
      </c>
      <c r="BJ70" s="107" t="str">
        <f t="shared" si="120"/>
        <v>&lt;input type="text"  size="7"  id="" class="datepicker"/&gt;</v>
      </c>
      <c r="BK70" s="107" t="str">
        <f t="shared" si="121"/>
        <v>&lt;h2 id=""&gt;&lt;/h2&gt;</v>
      </c>
      <c r="BL70" s="109" t="str">
        <f t="shared" si="155"/>
        <v/>
      </c>
      <c r="BM70" s="61" t="str">
        <f t="shared" si="156"/>
        <v/>
      </c>
      <c r="BN70" s="52">
        <f t="shared" si="143"/>
        <v>0</v>
      </c>
      <c r="BO70" s="61" t="str">
        <f t="shared" si="157"/>
        <v/>
      </c>
      <c r="BP70" s="102" t="str">
        <f t="shared" si="158"/>
        <v/>
      </c>
      <c r="BQ70" s="105" t="str">
        <f t="shared" si="159"/>
        <v/>
      </c>
      <c r="BR70" s="52" t="str">
        <f t="shared" si="122"/>
        <v/>
      </c>
      <c r="BS70" s="52">
        <f t="shared" si="123"/>
        <v>0</v>
      </c>
      <c r="BT70" s="52">
        <f t="shared" si="144"/>
        <v>0</v>
      </c>
      <c r="BU70" s="52" t="str">
        <f t="shared" si="124"/>
        <v/>
      </c>
      <c r="BV70" s="52" t="str">
        <f t="shared" si="125"/>
        <v/>
      </c>
      <c r="BW70" s="52" t="str">
        <f t="shared" si="145"/>
        <v/>
      </c>
      <c r="BX70" s="113" t="str">
        <f t="shared" si="160"/>
        <v/>
      </c>
      <c r="BY70" s="52" t="str">
        <f t="shared" si="126"/>
        <v/>
      </c>
      <c r="BZ70" s="52" t="str">
        <f t="shared" si="127"/>
        <v/>
      </c>
      <c r="CA70" s="52" t="str">
        <f t="shared" si="161"/>
        <v/>
      </c>
      <c r="CB70" s="52" t="str">
        <f t="shared" si="162"/>
        <v/>
      </c>
      <c r="CC70" s="52" t="str">
        <f t="shared" si="128"/>
        <v/>
      </c>
      <c r="CD70" s="52" t="str">
        <f t="shared" si="129"/>
        <v/>
      </c>
      <c r="CE70" s="102" t="str">
        <f t="shared" si="163"/>
        <v/>
      </c>
      <c r="CF70" s="116" t="str">
        <f t="shared" si="130"/>
        <v/>
      </c>
      <c r="CG70" s="61" t="str">
        <f t="shared" si="164"/>
        <v/>
      </c>
      <c r="CH70" s="52" t="str">
        <f t="shared" si="84"/>
        <v/>
      </c>
      <c r="CI70" s="52" t="str">
        <f t="shared" si="85"/>
        <v/>
      </c>
      <c r="CJ70" s="52" t="str">
        <f t="shared" si="131"/>
        <v/>
      </c>
      <c r="CK70" s="52" t="str">
        <f t="shared" si="132"/>
        <v/>
      </c>
      <c r="CL70" s="52" t="str">
        <f t="shared" si="133"/>
        <v/>
      </c>
      <c r="CM70" s="102" t="str">
        <f t="shared" si="134"/>
        <v/>
      </c>
      <c r="CN70" s="116" t="str">
        <f t="shared" si="135"/>
        <v/>
      </c>
      <c r="CO70" s="61">
        <f t="shared" si="146"/>
        <v>0</v>
      </c>
      <c r="CP70" s="61" t="str">
        <f t="shared" si="92"/>
        <v/>
      </c>
      <c r="CQ70" s="61" t="str">
        <f t="shared" si="148"/>
        <v/>
      </c>
      <c r="CR70" s="61" t="str">
        <f t="shared" si="149"/>
        <v/>
      </c>
      <c r="CS70" s="105" t="str">
        <f t="shared" si="150"/>
        <v/>
      </c>
      <c r="CT70" s="105" t="str">
        <f t="shared" si="151"/>
        <v/>
      </c>
      <c r="CU70" s="61" t="str">
        <f t="shared" si="152"/>
        <v/>
      </c>
      <c r="CV70" s="61" t="str">
        <f t="shared" si="153"/>
        <v/>
      </c>
      <c r="CW70" s="61" t="str">
        <f t="shared" si="136"/>
        <v/>
      </c>
      <c r="CX70" s="61" t="str">
        <f t="shared" si="165"/>
        <v/>
      </c>
      <c r="CY70" s="61" t="str">
        <f t="shared" si="93"/>
        <v/>
      </c>
      <c r="CZ70" s="102" t="str">
        <f t="shared" si="137"/>
        <v/>
      </c>
      <c r="DA70" s="17">
        <f t="shared" si="138"/>
        <v>0</v>
      </c>
      <c r="DC70" s="17">
        <f t="shared" si="91"/>
        <v>0</v>
      </c>
      <c r="DD70" s="17">
        <f t="shared" si="139"/>
        <v>0</v>
      </c>
      <c r="DE70" s="17" t="str">
        <f t="shared" si="140"/>
        <v/>
      </c>
      <c r="DF70" s="17" t="str">
        <f t="shared" si="141"/>
        <v/>
      </c>
    </row>
    <row r="71" spans="2:110" s="17" customFormat="1">
      <c r="B71" s="35"/>
      <c r="C71" s="35"/>
      <c r="D71" s="36"/>
      <c r="E71" s="35"/>
      <c r="F71" s="35"/>
      <c r="G71" s="35"/>
      <c r="H71" s="35"/>
      <c r="I71" s="35"/>
      <c r="J71" s="59"/>
      <c r="Z71" s="172" t="str">
        <f t="shared" si="94"/>
        <v/>
      </c>
      <c r="AB71" s="47" t="s">
        <v>250</v>
      </c>
      <c r="AC71" s="52" t="str">
        <f t="shared" si="166"/>
        <v/>
      </c>
      <c r="AD71" s="52">
        <f t="shared" si="154"/>
        <v>0</v>
      </c>
      <c r="AE71" s="52">
        <f t="shared" si="142"/>
        <v>0</v>
      </c>
      <c r="AF71" s="61" t="str">
        <f t="shared" si="95"/>
        <v/>
      </c>
      <c r="AG71" s="52">
        <f t="shared" si="96"/>
        <v>0</v>
      </c>
      <c r="AH71" s="52">
        <f t="shared" si="97"/>
        <v>0</v>
      </c>
      <c r="AI71" s="52" t="str">
        <f t="shared" si="98"/>
        <v/>
      </c>
      <c r="AJ71" s="61" t="str">
        <f t="shared" si="99"/>
        <v/>
      </c>
      <c r="AK71" s="95" t="str">
        <f t="shared" si="7"/>
        <v/>
      </c>
      <c r="AL71" s="61" t="str">
        <f t="shared" si="100"/>
        <v>if () {$("#adv_").html("Required");$("#").css({"background":"yellow"});} else {$("#adv_").html("");$("#").css({"background":"white"});}</v>
      </c>
      <c r="AM71" s="61" t="str">
        <f t="shared" si="101"/>
        <v>if (=="") {$("#adv_").html("Required");$("#adv_").css({"background":"yellow"});} else {$("#adv_").html("");}</v>
      </c>
      <c r="AN71" s="61" t="str">
        <f t="shared" si="83"/>
        <v>if (=="") {$("#adv_").html("Required");$("#").css({"background":"yellow"});} else {$("#adv_").html("");$("#").css({"background":"white"});}</v>
      </c>
      <c r="AO71" s="50" t="str">
        <f t="shared" si="102"/>
        <v/>
      </c>
      <c r="AP71" s="61" t="str">
        <f t="shared" si="103"/>
        <v>=$("#").val();</v>
      </c>
      <c r="AQ71" s="61" t="str">
        <f t="shared" si="104"/>
        <v/>
      </c>
      <c r="AR71" s="50" t="str">
        <f t="shared" si="105"/>
        <v>&lt;input type="checkbox" id="" name="" value="1" /&gt;</v>
      </c>
      <c r="AS71" s="61" t="str">
        <f t="shared" si="106"/>
        <v>=document.getElementById("").checked;</v>
      </c>
      <c r="AT71" s="102" t="str">
        <f t="shared" si="107"/>
        <v>if (isset($_GET[''])) {$=($_GET['']);}else $='';</v>
      </c>
      <c r="AU71" s="52" t="str">
        <f t="shared" si="108"/>
        <v/>
      </c>
      <c r="AV71" s="52" t="str">
        <f t="shared" si="147"/>
        <v>&lt;select size="1" name="" id=""&gt;&lt;option value=""&gt;</v>
      </c>
      <c r="AW71" s="52" t="str">
        <f t="shared" si="109"/>
        <v>&lt;option value=""&gt;&lt;/option&gt;</v>
      </c>
      <c r="AX71" s="145" t="str">
        <f t="shared" si="110"/>
        <v/>
      </c>
      <c r="AY71" s="102" t="str">
        <f>""</f>
        <v/>
      </c>
      <c r="AZ71" s="102"/>
      <c r="BA71" s="113">
        <f t="shared" si="111"/>
        <v>0</v>
      </c>
      <c r="BB71" s="103" t="str">
        <f t="shared" si="112"/>
        <v>0:</v>
      </c>
      <c r="BC71" s="50" t="str">
        <f t="shared" si="113"/>
        <v>0:&lt;span id="adv_0"&gt;&lt;/span&gt;&lt;br/&gt;&lt;input type="radio" name="0" id="" value="" /&gt;</v>
      </c>
      <c r="BD71" s="52" t="str">
        <f t="shared" si="114"/>
        <v>else if (document.getElementById("</v>
      </c>
      <c r="BE71" s="61" t="str">
        <f t="shared" si="115"/>
        <v>else if (document.getElementById("").checked==true) {0="";}</v>
      </c>
      <c r="BF71" s="61" t="str">
        <f t="shared" si="116"/>
        <v/>
      </c>
      <c r="BG71" s="61" t="str">
        <f t="shared" si="117"/>
        <v>0:0</v>
      </c>
      <c r="BH71" s="102" t="str">
        <f t="shared" si="118"/>
        <v>if (isset($_GET['0'])) {$0=($_GET['0']);}else $0='';</v>
      </c>
      <c r="BI71" s="105" t="str">
        <f t="shared" si="119"/>
        <v>&lt;br/&gt;&lt;textarea rows="2" cols="80" id=""&gt;&lt;/textarea&gt;&lt;br/&gt;</v>
      </c>
      <c r="BJ71" s="107" t="str">
        <f t="shared" si="120"/>
        <v>&lt;input type="text"  size="7"  id="" class="datepicker"/&gt;</v>
      </c>
      <c r="BK71" s="107" t="str">
        <f t="shared" si="121"/>
        <v>&lt;h2 id=""&gt;&lt;/h2&gt;</v>
      </c>
      <c r="BL71" s="109" t="str">
        <f t="shared" si="155"/>
        <v/>
      </c>
      <c r="BM71" s="61" t="str">
        <f t="shared" si="156"/>
        <v/>
      </c>
      <c r="BN71" s="52">
        <f t="shared" si="143"/>
        <v>0</v>
      </c>
      <c r="BO71" s="61" t="str">
        <f t="shared" si="157"/>
        <v/>
      </c>
      <c r="BP71" s="102" t="str">
        <f t="shared" si="158"/>
        <v/>
      </c>
      <c r="BQ71" s="105" t="str">
        <f t="shared" si="159"/>
        <v/>
      </c>
      <c r="BR71" s="52" t="str">
        <f t="shared" si="122"/>
        <v/>
      </c>
      <c r="BS71" s="52">
        <f t="shared" si="123"/>
        <v>0</v>
      </c>
      <c r="BT71" s="52">
        <f t="shared" si="144"/>
        <v>0</v>
      </c>
      <c r="BU71" s="52" t="str">
        <f t="shared" si="124"/>
        <v/>
      </c>
      <c r="BV71" s="52" t="str">
        <f t="shared" si="125"/>
        <v/>
      </c>
      <c r="BW71" s="52" t="str">
        <f t="shared" si="145"/>
        <v/>
      </c>
      <c r="BX71" s="113" t="str">
        <f t="shared" si="160"/>
        <v/>
      </c>
      <c r="BY71" s="52" t="str">
        <f t="shared" si="126"/>
        <v/>
      </c>
      <c r="BZ71" s="52" t="str">
        <f t="shared" si="127"/>
        <v/>
      </c>
      <c r="CA71" s="52" t="str">
        <f t="shared" si="161"/>
        <v/>
      </c>
      <c r="CB71" s="52" t="str">
        <f t="shared" si="162"/>
        <v/>
      </c>
      <c r="CC71" s="52" t="str">
        <f t="shared" si="128"/>
        <v/>
      </c>
      <c r="CD71" s="52" t="str">
        <f t="shared" si="129"/>
        <v/>
      </c>
      <c r="CE71" s="102" t="str">
        <f t="shared" si="163"/>
        <v/>
      </c>
      <c r="CF71" s="116" t="str">
        <f t="shared" si="130"/>
        <v/>
      </c>
      <c r="CG71" s="61" t="str">
        <f t="shared" si="164"/>
        <v/>
      </c>
      <c r="CH71" s="52" t="str">
        <f t="shared" si="84"/>
        <v/>
      </c>
      <c r="CI71" s="52" t="str">
        <f t="shared" si="85"/>
        <v/>
      </c>
      <c r="CJ71" s="52" t="str">
        <f t="shared" si="131"/>
        <v/>
      </c>
      <c r="CK71" s="52" t="str">
        <f t="shared" si="132"/>
        <v/>
      </c>
      <c r="CL71" s="52" t="str">
        <f t="shared" si="133"/>
        <v/>
      </c>
      <c r="CM71" s="102" t="str">
        <f t="shared" si="134"/>
        <v/>
      </c>
      <c r="CN71" s="116" t="str">
        <f t="shared" si="135"/>
        <v/>
      </c>
      <c r="CO71" s="61">
        <f t="shared" si="146"/>
        <v>0</v>
      </c>
      <c r="CP71" s="61" t="str">
        <f t="shared" si="92"/>
        <v/>
      </c>
      <c r="CQ71" s="61" t="str">
        <f t="shared" si="148"/>
        <v/>
      </c>
      <c r="CR71" s="61" t="str">
        <f t="shared" si="149"/>
        <v/>
      </c>
      <c r="CS71" s="105" t="str">
        <f t="shared" si="150"/>
        <v/>
      </c>
      <c r="CT71" s="105" t="str">
        <f t="shared" si="151"/>
        <v/>
      </c>
      <c r="CU71" s="61" t="str">
        <f t="shared" si="152"/>
        <v/>
      </c>
      <c r="CV71" s="61" t="str">
        <f t="shared" si="153"/>
        <v/>
      </c>
      <c r="CW71" s="61" t="str">
        <f t="shared" si="136"/>
        <v/>
      </c>
      <c r="CX71" s="61" t="str">
        <f t="shared" si="165"/>
        <v/>
      </c>
      <c r="CY71" s="61" t="str">
        <f t="shared" si="93"/>
        <v/>
      </c>
      <c r="CZ71" s="102" t="str">
        <f t="shared" si="137"/>
        <v/>
      </c>
      <c r="DA71" s="17">
        <f t="shared" si="138"/>
        <v>0</v>
      </c>
      <c r="DC71" s="17">
        <f t="shared" ref="DC71:DC102" si="167">IF(C71&lt;&gt;"",COUNTIF($C$15:$C$114,C71),0)</f>
        <v>0</v>
      </c>
      <c r="DD71" s="17">
        <f t="shared" si="139"/>
        <v>0</v>
      </c>
      <c r="DE71" s="17" t="str">
        <f t="shared" si="140"/>
        <v/>
      </c>
      <c r="DF71" s="17" t="str">
        <f t="shared" si="141"/>
        <v/>
      </c>
    </row>
    <row r="72" spans="2:110" s="17" customFormat="1">
      <c r="B72" s="35"/>
      <c r="C72" s="35"/>
      <c r="D72" s="36"/>
      <c r="E72" s="35"/>
      <c r="F72" s="35"/>
      <c r="G72" s="35"/>
      <c r="H72" s="35"/>
      <c r="I72" s="35"/>
      <c r="J72" s="59"/>
      <c r="Z72" s="172" t="str">
        <f t="shared" si="94"/>
        <v/>
      </c>
      <c r="AB72" s="47" t="s">
        <v>251</v>
      </c>
      <c r="AC72" s="52" t="str">
        <f t="shared" si="166"/>
        <v/>
      </c>
      <c r="AD72" s="52">
        <f t="shared" si="154"/>
        <v>0</v>
      </c>
      <c r="AE72" s="52">
        <f t="shared" si="142"/>
        <v>0</v>
      </c>
      <c r="AF72" s="61" t="str">
        <f t="shared" si="95"/>
        <v/>
      </c>
      <c r="AG72" s="52">
        <f t="shared" si="96"/>
        <v>0</v>
      </c>
      <c r="AH72" s="52">
        <f t="shared" si="97"/>
        <v>0</v>
      </c>
      <c r="AI72" s="52" t="str">
        <f t="shared" si="98"/>
        <v/>
      </c>
      <c r="AJ72" s="61" t="str">
        <f t="shared" si="99"/>
        <v/>
      </c>
      <c r="AK72" s="95" t="str">
        <f t="shared" si="7"/>
        <v/>
      </c>
      <c r="AL72" s="61" t="str">
        <f t="shared" si="100"/>
        <v>if () {$("#adv_").html("Required");$("#").css({"background":"yellow"});} else {$("#adv_").html("");$("#").css({"background":"white"});}</v>
      </c>
      <c r="AM72" s="61" t="str">
        <f t="shared" si="101"/>
        <v>if (=="") {$("#adv_").html("Required");$("#adv_").css({"background":"yellow"});} else {$("#adv_").html("");}</v>
      </c>
      <c r="AN72" s="61" t="str">
        <f t="shared" si="83"/>
        <v>if (=="") {$("#adv_").html("Required");$("#").css({"background":"yellow"});} else {$("#adv_").html("");$("#").css({"background":"white"});}</v>
      </c>
      <c r="AO72" s="50" t="str">
        <f t="shared" si="102"/>
        <v/>
      </c>
      <c r="AP72" s="61" t="str">
        <f t="shared" si="103"/>
        <v>=$("#").val();</v>
      </c>
      <c r="AQ72" s="61" t="str">
        <f t="shared" si="104"/>
        <v/>
      </c>
      <c r="AR72" s="50" t="str">
        <f t="shared" si="105"/>
        <v>&lt;input type="checkbox" id="" name="" value="1" /&gt;</v>
      </c>
      <c r="AS72" s="61" t="str">
        <f t="shared" si="106"/>
        <v>=document.getElementById("").checked;</v>
      </c>
      <c r="AT72" s="102" t="str">
        <f t="shared" si="107"/>
        <v>if (isset($_GET[''])) {$=($_GET['']);}else $='';</v>
      </c>
      <c r="AU72" s="52" t="str">
        <f t="shared" si="108"/>
        <v/>
      </c>
      <c r="AV72" s="52" t="str">
        <f t="shared" si="147"/>
        <v>&lt;select size="1" name="" id=""&gt;&lt;option value=""&gt;</v>
      </c>
      <c r="AW72" s="52" t="str">
        <f t="shared" si="109"/>
        <v>&lt;option value=""&gt;&lt;/option&gt;</v>
      </c>
      <c r="AX72" s="145" t="str">
        <f t="shared" si="110"/>
        <v/>
      </c>
      <c r="AY72" s="102" t="str">
        <f>""</f>
        <v/>
      </c>
      <c r="AZ72" s="102"/>
      <c r="BA72" s="113">
        <f t="shared" si="111"/>
        <v>0</v>
      </c>
      <c r="BB72" s="103" t="str">
        <f t="shared" si="112"/>
        <v>0:</v>
      </c>
      <c r="BC72" s="50" t="str">
        <f t="shared" si="113"/>
        <v>0:&lt;span id="adv_0"&gt;&lt;/span&gt;&lt;br/&gt;&lt;input type="radio" name="0" id="" value="" /&gt;</v>
      </c>
      <c r="BD72" s="52" t="str">
        <f t="shared" si="114"/>
        <v>else if (document.getElementById("</v>
      </c>
      <c r="BE72" s="61" t="str">
        <f t="shared" si="115"/>
        <v>else if (document.getElementById("").checked==true) {0="";}</v>
      </c>
      <c r="BF72" s="61" t="str">
        <f t="shared" si="116"/>
        <v/>
      </c>
      <c r="BG72" s="61" t="str">
        <f t="shared" si="117"/>
        <v>0:0</v>
      </c>
      <c r="BH72" s="102" t="str">
        <f t="shared" si="118"/>
        <v>if (isset($_GET['0'])) {$0=($_GET['0']);}else $0='';</v>
      </c>
      <c r="BI72" s="105" t="str">
        <f t="shared" si="119"/>
        <v>&lt;br/&gt;&lt;textarea rows="2" cols="80" id=""&gt;&lt;/textarea&gt;&lt;br/&gt;</v>
      </c>
      <c r="BJ72" s="107" t="str">
        <f t="shared" si="120"/>
        <v>&lt;input type="text"  size="7"  id="" class="datepicker"/&gt;</v>
      </c>
      <c r="BK72" s="107" t="str">
        <f t="shared" si="121"/>
        <v>&lt;h2 id=""&gt;&lt;/h2&gt;</v>
      </c>
      <c r="BL72" s="109" t="str">
        <f t="shared" si="155"/>
        <v/>
      </c>
      <c r="BM72" s="61" t="str">
        <f t="shared" si="156"/>
        <v/>
      </c>
      <c r="BN72" s="52">
        <f t="shared" si="143"/>
        <v>0</v>
      </c>
      <c r="BO72" s="61" t="str">
        <f t="shared" si="157"/>
        <v/>
      </c>
      <c r="BP72" s="102" t="str">
        <f t="shared" si="158"/>
        <v/>
      </c>
      <c r="BQ72" s="105" t="str">
        <f t="shared" si="159"/>
        <v/>
      </c>
      <c r="BR72" s="52" t="str">
        <f t="shared" si="122"/>
        <v/>
      </c>
      <c r="BS72" s="52">
        <f t="shared" si="123"/>
        <v>0</v>
      </c>
      <c r="BT72" s="52">
        <f t="shared" si="144"/>
        <v>0</v>
      </c>
      <c r="BU72" s="52" t="str">
        <f t="shared" si="124"/>
        <v/>
      </c>
      <c r="BV72" s="52" t="str">
        <f t="shared" si="125"/>
        <v/>
      </c>
      <c r="BW72" s="52" t="str">
        <f t="shared" si="145"/>
        <v/>
      </c>
      <c r="BX72" s="113" t="str">
        <f t="shared" si="160"/>
        <v/>
      </c>
      <c r="BY72" s="52" t="str">
        <f t="shared" si="126"/>
        <v/>
      </c>
      <c r="BZ72" s="52" t="str">
        <f t="shared" si="127"/>
        <v/>
      </c>
      <c r="CA72" s="52" t="str">
        <f t="shared" si="161"/>
        <v/>
      </c>
      <c r="CB72" s="52" t="str">
        <f t="shared" si="162"/>
        <v/>
      </c>
      <c r="CC72" s="52" t="str">
        <f t="shared" si="128"/>
        <v/>
      </c>
      <c r="CD72" s="52" t="str">
        <f t="shared" si="129"/>
        <v/>
      </c>
      <c r="CE72" s="102" t="str">
        <f t="shared" si="163"/>
        <v/>
      </c>
      <c r="CF72" s="116" t="str">
        <f t="shared" si="130"/>
        <v/>
      </c>
      <c r="CG72" s="61" t="str">
        <f t="shared" si="164"/>
        <v/>
      </c>
      <c r="CH72" s="52" t="str">
        <f t="shared" si="84"/>
        <v/>
      </c>
      <c r="CI72" s="52" t="str">
        <f t="shared" si="85"/>
        <v/>
      </c>
      <c r="CJ72" s="52" t="str">
        <f t="shared" si="131"/>
        <v/>
      </c>
      <c r="CK72" s="52" t="str">
        <f t="shared" si="132"/>
        <v/>
      </c>
      <c r="CL72" s="52" t="str">
        <f t="shared" si="133"/>
        <v/>
      </c>
      <c r="CM72" s="102" t="str">
        <f t="shared" si="134"/>
        <v/>
      </c>
      <c r="CN72" s="116" t="str">
        <f t="shared" si="135"/>
        <v/>
      </c>
      <c r="CO72" s="61">
        <f t="shared" si="146"/>
        <v>0</v>
      </c>
      <c r="CP72" s="61" t="str">
        <f t="shared" si="92"/>
        <v/>
      </c>
      <c r="CQ72" s="61" t="str">
        <f t="shared" si="148"/>
        <v/>
      </c>
      <c r="CR72" s="61" t="str">
        <f t="shared" si="149"/>
        <v/>
      </c>
      <c r="CS72" s="105" t="str">
        <f t="shared" si="150"/>
        <v/>
      </c>
      <c r="CT72" s="105" t="str">
        <f t="shared" si="151"/>
        <v/>
      </c>
      <c r="CU72" s="61" t="str">
        <f t="shared" si="152"/>
        <v/>
      </c>
      <c r="CV72" s="61" t="str">
        <f t="shared" si="153"/>
        <v/>
      </c>
      <c r="CW72" s="61" t="str">
        <f t="shared" si="136"/>
        <v/>
      </c>
      <c r="CX72" s="61" t="str">
        <f t="shared" si="165"/>
        <v/>
      </c>
      <c r="CY72" s="61" t="str">
        <f t="shared" si="93"/>
        <v/>
      </c>
      <c r="CZ72" s="102" t="str">
        <f t="shared" si="137"/>
        <v/>
      </c>
      <c r="DA72" s="17">
        <f t="shared" si="138"/>
        <v>0</v>
      </c>
      <c r="DC72" s="17">
        <f t="shared" si="167"/>
        <v>0</v>
      </c>
      <c r="DD72" s="17">
        <f t="shared" si="139"/>
        <v>0</v>
      </c>
      <c r="DE72" s="17" t="str">
        <f t="shared" si="140"/>
        <v/>
      </c>
      <c r="DF72" s="17" t="str">
        <f t="shared" si="141"/>
        <v/>
      </c>
    </row>
    <row r="73" spans="2:110" s="17" customFormat="1">
      <c r="B73" s="35"/>
      <c r="C73" s="35"/>
      <c r="D73" s="36"/>
      <c r="E73" s="35"/>
      <c r="F73" s="35"/>
      <c r="G73" s="35"/>
      <c r="H73" s="35"/>
      <c r="I73" s="35"/>
      <c r="J73" s="59"/>
      <c r="Z73" s="172" t="str">
        <f t="shared" si="94"/>
        <v/>
      </c>
      <c r="AB73" s="47" t="s">
        <v>252</v>
      </c>
      <c r="AC73" s="52" t="str">
        <f t="shared" si="166"/>
        <v/>
      </c>
      <c r="AD73" s="52">
        <f t="shared" si="154"/>
        <v>0</v>
      </c>
      <c r="AE73" s="52">
        <f t="shared" si="142"/>
        <v>0</v>
      </c>
      <c r="AF73" s="61" t="str">
        <f t="shared" si="95"/>
        <v/>
      </c>
      <c r="AG73" s="52">
        <f t="shared" si="96"/>
        <v>0</v>
      </c>
      <c r="AH73" s="52">
        <f t="shared" si="97"/>
        <v>0</v>
      </c>
      <c r="AI73" s="52" t="str">
        <f t="shared" si="98"/>
        <v/>
      </c>
      <c r="AJ73" s="61" t="str">
        <f t="shared" si="99"/>
        <v/>
      </c>
      <c r="AK73" s="95" t="str">
        <f t="shared" si="7"/>
        <v/>
      </c>
      <c r="AL73" s="61" t="str">
        <f t="shared" si="100"/>
        <v>if () {$("#adv_").html("Required");$("#").css({"background":"yellow"});} else {$("#adv_").html("");$("#").css({"background":"white"});}</v>
      </c>
      <c r="AM73" s="61" t="str">
        <f t="shared" si="101"/>
        <v>if (=="") {$("#adv_").html("Required");$("#adv_").css({"background":"yellow"});} else {$("#adv_").html("");}</v>
      </c>
      <c r="AN73" s="61" t="str">
        <f t="shared" si="83"/>
        <v>if (=="") {$("#adv_").html("Required");$("#").css({"background":"yellow"});} else {$("#adv_").html("");$("#").css({"background":"white"});}</v>
      </c>
      <c r="AO73" s="50" t="str">
        <f t="shared" si="102"/>
        <v/>
      </c>
      <c r="AP73" s="61" t="str">
        <f t="shared" si="103"/>
        <v>=$("#").val();</v>
      </c>
      <c r="AQ73" s="61" t="str">
        <f t="shared" si="104"/>
        <v/>
      </c>
      <c r="AR73" s="50" t="str">
        <f t="shared" si="105"/>
        <v>&lt;input type="checkbox" id="" name="" value="1" /&gt;</v>
      </c>
      <c r="AS73" s="61" t="str">
        <f t="shared" si="106"/>
        <v>=document.getElementById("").checked;</v>
      </c>
      <c r="AT73" s="102" t="str">
        <f t="shared" si="107"/>
        <v>if (isset($_GET[''])) {$=($_GET['']);}else $='';</v>
      </c>
      <c r="AU73" s="52" t="str">
        <f t="shared" si="108"/>
        <v/>
      </c>
      <c r="AV73" s="52" t="str">
        <f t="shared" si="147"/>
        <v>&lt;select size="1" name="" id=""&gt;&lt;option value=""&gt;</v>
      </c>
      <c r="AW73" s="52" t="str">
        <f t="shared" si="109"/>
        <v>&lt;option value=""&gt;&lt;/option&gt;</v>
      </c>
      <c r="AX73" s="145" t="str">
        <f t="shared" si="110"/>
        <v/>
      </c>
      <c r="AY73" s="102" t="str">
        <f>""</f>
        <v/>
      </c>
      <c r="AZ73" s="102"/>
      <c r="BA73" s="113">
        <f t="shared" si="111"/>
        <v>0</v>
      </c>
      <c r="BB73" s="103" t="str">
        <f t="shared" si="112"/>
        <v>0:</v>
      </c>
      <c r="BC73" s="50" t="str">
        <f t="shared" si="113"/>
        <v>0:&lt;span id="adv_0"&gt;&lt;/span&gt;&lt;br/&gt;&lt;input type="radio" name="0" id="" value="" /&gt;</v>
      </c>
      <c r="BD73" s="52" t="str">
        <f t="shared" si="114"/>
        <v>else if (document.getElementById("</v>
      </c>
      <c r="BE73" s="61" t="str">
        <f t="shared" si="115"/>
        <v>else if (document.getElementById("").checked==true) {0="";}</v>
      </c>
      <c r="BF73" s="61" t="str">
        <f t="shared" si="116"/>
        <v/>
      </c>
      <c r="BG73" s="61" t="str">
        <f t="shared" si="117"/>
        <v>0:0</v>
      </c>
      <c r="BH73" s="102" t="str">
        <f t="shared" si="118"/>
        <v>if (isset($_GET['0'])) {$0=($_GET['0']);}else $0='';</v>
      </c>
      <c r="BI73" s="105" t="str">
        <f t="shared" si="119"/>
        <v>&lt;br/&gt;&lt;textarea rows="2" cols="80" id=""&gt;&lt;/textarea&gt;&lt;br/&gt;</v>
      </c>
      <c r="BJ73" s="107" t="str">
        <f t="shared" si="120"/>
        <v>&lt;input type="text"  size="7"  id="" class="datepicker"/&gt;</v>
      </c>
      <c r="BK73" s="107" t="str">
        <f t="shared" si="121"/>
        <v>&lt;h2 id=""&gt;&lt;/h2&gt;</v>
      </c>
      <c r="BL73" s="109" t="str">
        <f t="shared" si="155"/>
        <v/>
      </c>
      <c r="BM73" s="61" t="str">
        <f t="shared" si="156"/>
        <v/>
      </c>
      <c r="BN73" s="52">
        <f t="shared" si="143"/>
        <v>0</v>
      </c>
      <c r="BO73" s="61" t="str">
        <f t="shared" si="157"/>
        <v/>
      </c>
      <c r="BP73" s="102" t="str">
        <f t="shared" si="158"/>
        <v/>
      </c>
      <c r="BQ73" s="105" t="str">
        <f t="shared" si="159"/>
        <v/>
      </c>
      <c r="BR73" s="52" t="str">
        <f t="shared" si="122"/>
        <v/>
      </c>
      <c r="BS73" s="52">
        <f t="shared" si="123"/>
        <v>0</v>
      </c>
      <c r="BT73" s="52">
        <f t="shared" si="144"/>
        <v>0</v>
      </c>
      <c r="BU73" s="52" t="str">
        <f t="shared" si="124"/>
        <v/>
      </c>
      <c r="BV73" s="52" t="str">
        <f t="shared" si="125"/>
        <v/>
      </c>
      <c r="BW73" s="52" t="str">
        <f t="shared" si="145"/>
        <v/>
      </c>
      <c r="BX73" s="113" t="str">
        <f t="shared" si="160"/>
        <v/>
      </c>
      <c r="BY73" s="52" t="str">
        <f t="shared" si="126"/>
        <v/>
      </c>
      <c r="BZ73" s="52" t="str">
        <f t="shared" si="127"/>
        <v/>
      </c>
      <c r="CA73" s="52" t="str">
        <f t="shared" si="161"/>
        <v/>
      </c>
      <c r="CB73" s="52" t="str">
        <f t="shared" si="162"/>
        <v/>
      </c>
      <c r="CC73" s="52" t="str">
        <f t="shared" si="128"/>
        <v/>
      </c>
      <c r="CD73" s="52" t="str">
        <f t="shared" si="129"/>
        <v/>
      </c>
      <c r="CE73" s="102" t="str">
        <f t="shared" si="163"/>
        <v/>
      </c>
      <c r="CF73" s="116" t="str">
        <f t="shared" si="130"/>
        <v/>
      </c>
      <c r="CG73" s="61" t="str">
        <f t="shared" si="164"/>
        <v/>
      </c>
      <c r="CH73" s="52" t="str">
        <f t="shared" si="84"/>
        <v/>
      </c>
      <c r="CI73" s="52" t="str">
        <f t="shared" si="85"/>
        <v/>
      </c>
      <c r="CJ73" s="52" t="str">
        <f t="shared" si="131"/>
        <v/>
      </c>
      <c r="CK73" s="52" t="str">
        <f t="shared" si="132"/>
        <v/>
      </c>
      <c r="CL73" s="52" t="str">
        <f t="shared" si="133"/>
        <v/>
      </c>
      <c r="CM73" s="102" t="str">
        <f t="shared" si="134"/>
        <v/>
      </c>
      <c r="CN73" s="116" t="str">
        <f t="shared" si="135"/>
        <v/>
      </c>
      <c r="CO73" s="61">
        <f t="shared" si="146"/>
        <v>0</v>
      </c>
      <c r="CP73" s="61" t="str">
        <f t="shared" si="92"/>
        <v/>
      </c>
      <c r="CQ73" s="61" t="str">
        <f t="shared" si="148"/>
        <v/>
      </c>
      <c r="CR73" s="61" t="str">
        <f t="shared" si="149"/>
        <v/>
      </c>
      <c r="CS73" s="105" t="str">
        <f t="shared" si="150"/>
        <v/>
      </c>
      <c r="CT73" s="105" t="str">
        <f t="shared" si="151"/>
        <v/>
      </c>
      <c r="CU73" s="61" t="str">
        <f t="shared" si="152"/>
        <v/>
      </c>
      <c r="CV73" s="61" t="str">
        <f t="shared" si="153"/>
        <v/>
      </c>
      <c r="CW73" s="61" t="str">
        <f t="shared" si="136"/>
        <v/>
      </c>
      <c r="CX73" s="61" t="str">
        <f t="shared" si="165"/>
        <v/>
      </c>
      <c r="CY73" s="61" t="str">
        <f t="shared" si="93"/>
        <v/>
      </c>
      <c r="CZ73" s="102" t="str">
        <f t="shared" si="137"/>
        <v/>
      </c>
      <c r="DA73" s="17">
        <f t="shared" si="138"/>
        <v>0</v>
      </c>
      <c r="DC73" s="17">
        <f t="shared" si="167"/>
        <v>0</v>
      </c>
      <c r="DD73" s="17">
        <f t="shared" si="139"/>
        <v>0</v>
      </c>
      <c r="DE73" s="17" t="str">
        <f t="shared" si="140"/>
        <v/>
      </c>
      <c r="DF73" s="17" t="str">
        <f t="shared" si="141"/>
        <v/>
      </c>
    </row>
    <row r="74" spans="2:110" s="17" customFormat="1">
      <c r="B74" s="35"/>
      <c r="C74" s="35"/>
      <c r="D74" s="36"/>
      <c r="E74" s="35"/>
      <c r="F74" s="35"/>
      <c r="G74" s="35"/>
      <c r="H74" s="35"/>
      <c r="I74" s="35"/>
      <c r="J74" s="59"/>
      <c r="Z74" s="172" t="str">
        <f t="shared" si="94"/>
        <v/>
      </c>
      <c r="AB74" s="47" t="s">
        <v>253</v>
      </c>
      <c r="AC74" s="52" t="str">
        <f t="shared" si="166"/>
        <v/>
      </c>
      <c r="AD74" s="52">
        <f t="shared" si="154"/>
        <v>0</v>
      </c>
      <c r="AE74" s="52">
        <f t="shared" si="142"/>
        <v>0</v>
      </c>
      <c r="AF74" s="61" t="str">
        <f t="shared" si="95"/>
        <v/>
      </c>
      <c r="AG74" s="52">
        <f t="shared" si="96"/>
        <v>0</v>
      </c>
      <c r="AH74" s="52">
        <f t="shared" si="97"/>
        <v>0</v>
      </c>
      <c r="AI74" s="52" t="str">
        <f t="shared" si="98"/>
        <v/>
      </c>
      <c r="AJ74" s="61" t="str">
        <f t="shared" si="99"/>
        <v/>
      </c>
      <c r="AK74" s="95" t="str">
        <f t="shared" si="7"/>
        <v/>
      </c>
      <c r="AL74" s="61" t="str">
        <f t="shared" si="100"/>
        <v>if () {$("#adv_").html("Required");$("#").css({"background":"yellow"});} else {$("#adv_").html("");$("#").css({"background":"white"});}</v>
      </c>
      <c r="AM74" s="61" t="str">
        <f t="shared" si="101"/>
        <v>if (=="") {$("#adv_").html("Required");$("#adv_").css({"background":"yellow"});} else {$("#adv_").html("");}</v>
      </c>
      <c r="AN74" s="61" t="str">
        <f t="shared" si="83"/>
        <v>if (=="") {$("#adv_").html("Required");$("#").css({"background":"yellow"});} else {$("#adv_").html("");$("#").css({"background":"white"});}</v>
      </c>
      <c r="AO74" s="50" t="str">
        <f t="shared" si="102"/>
        <v/>
      </c>
      <c r="AP74" s="61" t="str">
        <f t="shared" si="103"/>
        <v>=$("#").val();</v>
      </c>
      <c r="AQ74" s="61" t="str">
        <f t="shared" si="104"/>
        <v/>
      </c>
      <c r="AR74" s="50" t="str">
        <f t="shared" si="105"/>
        <v>&lt;input type="checkbox" id="" name="" value="1" /&gt;</v>
      </c>
      <c r="AS74" s="61" t="str">
        <f t="shared" si="106"/>
        <v>=document.getElementById("").checked;</v>
      </c>
      <c r="AT74" s="102" t="str">
        <f t="shared" si="107"/>
        <v>if (isset($_GET[''])) {$=($_GET['']);}else $='';</v>
      </c>
      <c r="AU74" s="52" t="str">
        <f t="shared" si="108"/>
        <v/>
      </c>
      <c r="AV74" s="52" t="str">
        <f t="shared" si="147"/>
        <v>&lt;select size="1" name="" id=""&gt;&lt;option value=""&gt;</v>
      </c>
      <c r="AW74" s="52" t="str">
        <f t="shared" si="109"/>
        <v>&lt;option value=""&gt;&lt;/option&gt;</v>
      </c>
      <c r="AX74" s="145" t="str">
        <f t="shared" si="110"/>
        <v/>
      </c>
      <c r="AY74" s="102" t="str">
        <f>""</f>
        <v/>
      </c>
      <c r="AZ74" s="102"/>
      <c r="BA74" s="113">
        <f t="shared" si="111"/>
        <v>0</v>
      </c>
      <c r="BB74" s="103" t="str">
        <f t="shared" si="112"/>
        <v>0:</v>
      </c>
      <c r="BC74" s="50" t="str">
        <f t="shared" si="113"/>
        <v>0:&lt;span id="adv_0"&gt;&lt;/span&gt;&lt;br/&gt;&lt;input type="radio" name="0" id="" value="" /&gt;</v>
      </c>
      <c r="BD74" s="52" t="str">
        <f t="shared" si="114"/>
        <v>else if (document.getElementById("</v>
      </c>
      <c r="BE74" s="61" t="str">
        <f t="shared" si="115"/>
        <v>else if (document.getElementById("").checked==true) {0="";}</v>
      </c>
      <c r="BF74" s="61" t="str">
        <f t="shared" si="116"/>
        <v/>
      </c>
      <c r="BG74" s="61" t="str">
        <f t="shared" si="117"/>
        <v>0:0</v>
      </c>
      <c r="BH74" s="102" t="str">
        <f t="shared" si="118"/>
        <v>if (isset($_GET['0'])) {$0=($_GET['0']);}else $0='';</v>
      </c>
      <c r="BI74" s="105" t="str">
        <f t="shared" si="119"/>
        <v>&lt;br/&gt;&lt;textarea rows="2" cols="80" id=""&gt;&lt;/textarea&gt;&lt;br/&gt;</v>
      </c>
      <c r="BJ74" s="107" t="str">
        <f t="shared" si="120"/>
        <v>&lt;input type="text"  size="7"  id="" class="datepicker"/&gt;</v>
      </c>
      <c r="BK74" s="107" t="str">
        <f t="shared" si="121"/>
        <v>&lt;h2 id=""&gt;&lt;/h2&gt;</v>
      </c>
      <c r="BL74" s="109" t="str">
        <f t="shared" si="155"/>
        <v/>
      </c>
      <c r="BM74" s="61" t="str">
        <f t="shared" si="156"/>
        <v/>
      </c>
      <c r="BN74" s="52">
        <f t="shared" si="143"/>
        <v>0</v>
      </c>
      <c r="BO74" s="61" t="str">
        <f t="shared" si="157"/>
        <v/>
      </c>
      <c r="BP74" s="102" t="str">
        <f t="shared" si="158"/>
        <v/>
      </c>
      <c r="BQ74" s="105" t="str">
        <f t="shared" si="159"/>
        <v/>
      </c>
      <c r="BR74" s="52" t="str">
        <f t="shared" si="122"/>
        <v/>
      </c>
      <c r="BS74" s="52">
        <f t="shared" si="123"/>
        <v>0</v>
      </c>
      <c r="BT74" s="52">
        <f t="shared" si="144"/>
        <v>0</v>
      </c>
      <c r="BU74" s="52" t="str">
        <f t="shared" si="124"/>
        <v/>
      </c>
      <c r="BV74" s="52" t="str">
        <f t="shared" si="125"/>
        <v/>
      </c>
      <c r="BW74" s="52" t="str">
        <f t="shared" si="145"/>
        <v/>
      </c>
      <c r="BX74" s="113" t="str">
        <f t="shared" si="160"/>
        <v/>
      </c>
      <c r="BY74" s="52" t="str">
        <f t="shared" si="126"/>
        <v/>
      </c>
      <c r="BZ74" s="52" t="str">
        <f t="shared" si="127"/>
        <v/>
      </c>
      <c r="CA74" s="52" t="str">
        <f t="shared" si="161"/>
        <v/>
      </c>
      <c r="CB74" s="52" t="str">
        <f t="shared" si="162"/>
        <v/>
      </c>
      <c r="CC74" s="52" t="str">
        <f t="shared" si="128"/>
        <v/>
      </c>
      <c r="CD74" s="52" t="str">
        <f t="shared" si="129"/>
        <v/>
      </c>
      <c r="CE74" s="102" t="str">
        <f t="shared" si="163"/>
        <v/>
      </c>
      <c r="CF74" s="116" t="str">
        <f t="shared" si="130"/>
        <v/>
      </c>
      <c r="CG74" s="61" t="str">
        <f t="shared" si="164"/>
        <v/>
      </c>
      <c r="CH74" s="52" t="str">
        <f t="shared" si="84"/>
        <v/>
      </c>
      <c r="CI74" s="52" t="str">
        <f t="shared" si="85"/>
        <v/>
      </c>
      <c r="CJ74" s="52" t="str">
        <f t="shared" si="131"/>
        <v/>
      </c>
      <c r="CK74" s="52" t="str">
        <f t="shared" si="132"/>
        <v/>
      </c>
      <c r="CL74" s="52" t="str">
        <f t="shared" si="133"/>
        <v/>
      </c>
      <c r="CM74" s="102" t="str">
        <f t="shared" si="134"/>
        <v/>
      </c>
      <c r="CN74" s="116" t="str">
        <f t="shared" si="135"/>
        <v/>
      </c>
      <c r="CO74" s="61">
        <f t="shared" si="146"/>
        <v>0</v>
      </c>
      <c r="CP74" s="61" t="str">
        <f t="shared" si="92"/>
        <v/>
      </c>
      <c r="CQ74" s="61" t="str">
        <f t="shared" si="148"/>
        <v/>
      </c>
      <c r="CR74" s="61" t="str">
        <f t="shared" si="149"/>
        <v/>
      </c>
      <c r="CS74" s="105" t="str">
        <f t="shared" si="150"/>
        <v/>
      </c>
      <c r="CT74" s="105" t="str">
        <f t="shared" si="151"/>
        <v/>
      </c>
      <c r="CU74" s="61" t="str">
        <f t="shared" si="152"/>
        <v/>
      </c>
      <c r="CV74" s="61" t="str">
        <f t="shared" si="153"/>
        <v/>
      </c>
      <c r="CW74" s="61" t="str">
        <f t="shared" si="136"/>
        <v/>
      </c>
      <c r="CX74" s="61" t="str">
        <f t="shared" si="165"/>
        <v/>
      </c>
      <c r="CY74" s="61" t="str">
        <f t="shared" si="93"/>
        <v/>
      </c>
      <c r="CZ74" s="102" t="str">
        <f t="shared" si="137"/>
        <v/>
      </c>
      <c r="DA74" s="17">
        <f t="shared" si="138"/>
        <v>0</v>
      </c>
      <c r="DC74" s="17">
        <f t="shared" si="167"/>
        <v>0</v>
      </c>
      <c r="DD74" s="17">
        <f t="shared" si="139"/>
        <v>0</v>
      </c>
      <c r="DE74" s="17" t="str">
        <f t="shared" si="140"/>
        <v/>
      </c>
      <c r="DF74" s="17" t="str">
        <f t="shared" si="141"/>
        <v/>
      </c>
    </row>
    <row r="75" spans="2:110" s="17" customFormat="1">
      <c r="B75" s="35"/>
      <c r="C75" s="35"/>
      <c r="D75" s="36"/>
      <c r="E75" s="35"/>
      <c r="F75" s="35"/>
      <c r="G75" s="35"/>
      <c r="H75" s="35"/>
      <c r="I75" s="35"/>
      <c r="J75" s="59"/>
      <c r="Z75" s="172" t="str">
        <f t="shared" si="94"/>
        <v/>
      </c>
      <c r="AB75" s="47" t="s">
        <v>254</v>
      </c>
      <c r="AC75" s="52" t="str">
        <f t="shared" si="166"/>
        <v/>
      </c>
      <c r="AD75" s="52">
        <f t="shared" si="154"/>
        <v>0</v>
      </c>
      <c r="AE75" s="52">
        <f t="shared" si="142"/>
        <v>0</v>
      </c>
      <c r="AF75" s="61" t="str">
        <f t="shared" si="95"/>
        <v/>
      </c>
      <c r="AG75" s="52">
        <f t="shared" si="96"/>
        <v>0</v>
      </c>
      <c r="AH75" s="52">
        <f t="shared" si="97"/>
        <v>0</v>
      </c>
      <c r="AI75" s="52" t="str">
        <f t="shared" si="98"/>
        <v/>
      </c>
      <c r="AJ75" s="61" t="str">
        <f t="shared" si="99"/>
        <v/>
      </c>
      <c r="AK75" s="95" t="str">
        <f t="shared" si="7"/>
        <v/>
      </c>
      <c r="AL75" s="61" t="str">
        <f t="shared" si="100"/>
        <v>if () {$("#adv_").html("Required");$("#").css({"background":"yellow"});} else {$("#adv_").html("");$("#").css({"background":"white"});}</v>
      </c>
      <c r="AM75" s="61" t="str">
        <f t="shared" si="101"/>
        <v>if (=="") {$("#adv_").html("Required");$("#adv_").css({"background":"yellow"});} else {$("#adv_").html("");}</v>
      </c>
      <c r="AN75" s="61" t="str">
        <f t="shared" si="83"/>
        <v>if (=="") {$("#adv_").html("Required");$("#").css({"background":"yellow"});} else {$("#adv_").html("");$("#").css({"background":"white"});}</v>
      </c>
      <c r="AO75" s="50" t="str">
        <f t="shared" si="102"/>
        <v/>
      </c>
      <c r="AP75" s="61" t="str">
        <f t="shared" si="103"/>
        <v>=$("#").val();</v>
      </c>
      <c r="AQ75" s="61" t="str">
        <f t="shared" si="104"/>
        <v/>
      </c>
      <c r="AR75" s="50" t="str">
        <f t="shared" si="105"/>
        <v>&lt;input type="checkbox" id="" name="" value="1" /&gt;</v>
      </c>
      <c r="AS75" s="61" t="str">
        <f t="shared" si="106"/>
        <v>=document.getElementById("").checked;</v>
      </c>
      <c r="AT75" s="102" t="str">
        <f t="shared" si="107"/>
        <v>if (isset($_GET[''])) {$=($_GET['']);}else $='';</v>
      </c>
      <c r="AU75" s="52" t="str">
        <f t="shared" si="108"/>
        <v/>
      </c>
      <c r="AV75" s="52" t="str">
        <f t="shared" si="147"/>
        <v>&lt;select size="1" name="" id=""&gt;&lt;option value=""&gt;</v>
      </c>
      <c r="AW75" s="52" t="str">
        <f t="shared" si="109"/>
        <v>&lt;option value=""&gt;&lt;/option&gt;</v>
      </c>
      <c r="AX75" s="145" t="str">
        <f t="shared" si="110"/>
        <v/>
      </c>
      <c r="AY75" s="102" t="str">
        <f>""</f>
        <v/>
      </c>
      <c r="AZ75" s="102"/>
      <c r="BA75" s="113">
        <f t="shared" si="111"/>
        <v>0</v>
      </c>
      <c r="BB75" s="103" t="str">
        <f t="shared" si="112"/>
        <v>0:</v>
      </c>
      <c r="BC75" s="50" t="str">
        <f t="shared" si="113"/>
        <v>0:&lt;span id="adv_0"&gt;&lt;/span&gt;&lt;br/&gt;&lt;input type="radio" name="0" id="" value="" /&gt;</v>
      </c>
      <c r="BD75" s="52" t="str">
        <f t="shared" si="114"/>
        <v>else if (document.getElementById("</v>
      </c>
      <c r="BE75" s="61" t="str">
        <f t="shared" si="115"/>
        <v>else if (document.getElementById("").checked==true) {0="";}</v>
      </c>
      <c r="BF75" s="61" t="str">
        <f t="shared" si="116"/>
        <v/>
      </c>
      <c r="BG75" s="61" t="str">
        <f t="shared" si="117"/>
        <v>0:0</v>
      </c>
      <c r="BH75" s="102" t="str">
        <f t="shared" si="118"/>
        <v>if (isset($_GET['0'])) {$0=($_GET['0']);}else $0='';</v>
      </c>
      <c r="BI75" s="105" t="str">
        <f t="shared" si="119"/>
        <v>&lt;br/&gt;&lt;textarea rows="2" cols="80" id=""&gt;&lt;/textarea&gt;&lt;br/&gt;</v>
      </c>
      <c r="BJ75" s="107" t="str">
        <f t="shared" si="120"/>
        <v>&lt;input type="text"  size="7"  id="" class="datepicker"/&gt;</v>
      </c>
      <c r="BK75" s="107" t="str">
        <f t="shared" si="121"/>
        <v>&lt;h2 id=""&gt;&lt;/h2&gt;</v>
      </c>
      <c r="BL75" s="109" t="str">
        <f t="shared" si="155"/>
        <v/>
      </c>
      <c r="BM75" s="61" t="str">
        <f t="shared" si="156"/>
        <v/>
      </c>
      <c r="BN75" s="52">
        <f t="shared" si="143"/>
        <v>0</v>
      </c>
      <c r="BO75" s="61" t="str">
        <f t="shared" si="157"/>
        <v/>
      </c>
      <c r="BP75" s="102" t="str">
        <f t="shared" si="158"/>
        <v/>
      </c>
      <c r="BQ75" s="105" t="str">
        <f t="shared" si="159"/>
        <v/>
      </c>
      <c r="BR75" s="52" t="str">
        <f t="shared" si="122"/>
        <v/>
      </c>
      <c r="BS75" s="52">
        <f t="shared" si="123"/>
        <v>0</v>
      </c>
      <c r="BT75" s="52">
        <f t="shared" si="144"/>
        <v>0</v>
      </c>
      <c r="BU75" s="52" t="str">
        <f t="shared" si="124"/>
        <v/>
      </c>
      <c r="BV75" s="52" t="str">
        <f t="shared" si="125"/>
        <v/>
      </c>
      <c r="BW75" s="52" t="str">
        <f t="shared" si="145"/>
        <v/>
      </c>
      <c r="BX75" s="113" t="str">
        <f t="shared" si="160"/>
        <v/>
      </c>
      <c r="BY75" s="52" t="str">
        <f t="shared" si="126"/>
        <v/>
      </c>
      <c r="BZ75" s="52" t="str">
        <f t="shared" si="127"/>
        <v/>
      </c>
      <c r="CA75" s="52" t="str">
        <f t="shared" si="161"/>
        <v/>
      </c>
      <c r="CB75" s="52" t="str">
        <f t="shared" si="162"/>
        <v/>
      </c>
      <c r="CC75" s="52" t="str">
        <f t="shared" si="128"/>
        <v/>
      </c>
      <c r="CD75" s="52" t="str">
        <f t="shared" si="129"/>
        <v/>
      </c>
      <c r="CE75" s="102" t="str">
        <f t="shared" si="163"/>
        <v/>
      </c>
      <c r="CF75" s="116" t="str">
        <f t="shared" si="130"/>
        <v/>
      </c>
      <c r="CG75" s="61" t="str">
        <f t="shared" si="164"/>
        <v/>
      </c>
      <c r="CH75" s="52" t="str">
        <f t="shared" si="84"/>
        <v/>
      </c>
      <c r="CI75" s="52" t="str">
        <f t="shared" si="85"/>
        <v/>
      </c>
      <c r="CJ75" s="52" t="str">
        <f t="shared" si="131"/>
        <v/>
      </c>
      <c r="CK75" s="52" t="str">
        <f t="shared" si="132"/>
        <v/>
      </c>
      <c r="CL75" s="52" t="str">
        <f t="shared" si="133"/>
        <v/>
      </c>
      <c r="CM75" s="102" t="str">
        <f t="shared" si="134"/>
        <v/>
      </c>
      <c r="CN75" s="116" t="str">
        <f t="shared" si="135"/>
        <v/>
      </c>
      <c r="CO75" s="61">
        <f t="shared" si="146"/>
        <v>0</v>
      </c>
      <c r="CP75" s="61" t="str">
        <f t="shared" si="92"/>
        <v/>
      </c>
      <c r="CQ75" s="61" t="str">
        <f t="shared" si="148"/>
        <v/>
      </c>
      <c r="CR75" s="61" t="str">
        <f t="shared" si="149"/>
        <v/>
      </c>
      <c r="CS75" s="105" t="str">
        <f t="shared" si="150"/>
        <v/>
      </c>
      <c r="CT75" s="105" t="str">
        <f t="shared" si="151"/>
        <v/>
      </c>
      <c r="CU75" s="61" t="str">
        <f t="shared" si="152"/>
        <v/>
      </c>
      <c r="CV75" s="61" t="str">
        <f t="shared" si="153"/>
        <v/>
      </c>
      <c r="CW75" s="61" t="str">
        <f t="shared" si="136"/>
        <v/>
      </c>
      <c r="CX75" s="61" t="str">
        <f t="shared" si="165"/>
        <v/>
      </c>
      <c r="CY75" s="61" t="str">
        <f t="shared" si="93"/>
        <v/>
      </c>
      <c r="CZ75" s="102" t="str">
        <f t="shared" si="137"/>
        <v/>
      </c>
      <c r="DA75" s="17">
        <f t="shared" si="138"/>
        <v>0</v>
      </c>
      <c r="DC75" s="17">
        <f t="shared" si="167"/>
        <v>0</v>
      </c>
      <c r="DD75" s="17">
        <f t="shared" si="139"/>
        <v>0</v>
      </c>
      <c r="DE75" s="17" t="str">
        <f t="shared" si="140"/>
        <v/>
      </c>
      <c r="DF75" s="17" t="str">
        <f t="shared" si="141"/>
        <v/>
      </c>
    </row>
    <row r="76" spans="2:110" s="17" customFormat="1">
      <c r="B76" s="35"/>
      <c r="C76" s="35"/>
      <c r="D76" s="36"/>
      <c r="E76" s="35"/>
      <c r="F76" s="35"/>
      <c r="G76" s="35"/>
      <c r="H76" s="35"/>
      <c r="I76" s="35"/>
      <c r="J76" s="59"/>
      <c r="Z76" s="172" t="str">
        <f t="shared" si="94"/>
        <v/>
      </c>
      <c r="AB76" s="47" t="s">
        <v>255</v>
      </c>
      <c r="AC76" s="52" t="str">
        <f t="shared" si="166"/>
        <v/>
      </c>
      <c r="AD76" s="52">
        <f t="shared" si="154"/>
        <v>0</v>
      </c>
      <c r="AE76" s="52">
        <f t="shared" si="142"/>
        <v>0</v>
      </c>
      <c r="AF76" s="61" t="str">
        <f t="shared" si="95"/>
        <v/>
      </c>
      <c r="AG76" s="52">
        <f t="shared" si="96"/>
        <v>0</v>
      </c>
      <c r="AH76" s="52">
        <f t="shared" si="97"/>
        <v>0</v>
      </c>
      <c r="AI76" s="52" t="str">
        <f t="shared" si="98"/>
        <v/>
      </c>
      <c r="AJ76" s="61" t="str">
        <f t="shared" si="99"/>
        <v/>
      </c>
      <c r="AK76" s="95" t="str">
        <f t="shared" si="7"/>
        <v/>
      </c>
      <c r="AL76" s="61" t="str">
        <f t="shared" si="100"/>
        <v>if () {$("#adv_").html("Required");$("#").css({"background":"yellow"});} else {$("#adv_").html("");$("#").css({"background":"white"});}</v>
      </c>
      <c r="AM76" s="61" t="str">
        <f t="shared" si="101"/>
        <v>if (=="") {$("#adv_").html("Required");$("#adv_").css({"background":"yellow"});} else {$("#adv_").html("");}</v>
      </c>
      <c r="AN76" s="61" t="str">
        <f t="shared" si="83"/>
        <v>if (=="") {$("#adv_").html("Required");$("#").css({"background":"yellow"});} else {$("#adv_").html("");$("#").css({"background":"white"});}</v>
      </c>
      <c r="AO76" s="50" t="str">
        <f t="shared" si="102"/>
        <v/>
      </c>
      <c r="AP76" s="61" t="str">
        <f t="shared" si="103"/>
        <v>=$("#").val();</v>
      </c>
      <c r="AQ76" s="61" t="str">
        <f t="shared" si="104"/>
        <v/>
      </c>
      <c r="AR76" s="50" t="str">
        <f t="shared" si="105"/>
        <v>&lt;input type="checkbox" id="" name="" value="1" /&gt;</v>
      </c>
      <c r="AS76" s="61" t="str">
        <f t="shared" si="106"/>
        <v>=document.getElementById("").checked;</v>
      </c>
      <c r="AT76" s="102" t="str">
        <f t="shared" si="107"/>
        <v>if (isset($_GET[''])) {$=($_GET['']);}else $='';</v>
      </c>
      <c r="AU76" s="52" t="str">
        <f t="shared" si="108"/>
        <v/>
      </c>
      <c r="AV76" s="52" t="str">
        <f t="shared" si="147"/>
        <v>&lt;select size="1" name="" id=""&gt;&lt;option value=""&gt;</v>
      </c>
      <c r="AW76" s="52" t="str">
        <f t="shared" si="109"/>
        <v>&lt;option value=""&gt;&lt;/option&gt;</v>
      </c>
      <c r="AX76" s="145" t="str">
        <f t="shared" si="110"/>
        <v/>
      </c>
      <c r="AY76" s="102" t="str">
        <f>""</f>
        <v/>
      </c>
      <c r="AZ76" s="102"/>
      <c r="BA76" s="113">
        <f t="shared" si="111"/>
        <v>0</v>
      </c>
      <c r="BB76" s="103" t="str">
        <f t="shared" si="112"/>
        <v>0:</v>
      </c>
      <c r="BC76" s="50" t="str">
        <f t="shared" si="113"/>
        <v>0:&lt;span id="adv_0"&gt;&lt;/span&gt;&lt;br/&gt;&lt;input type="radio" name="0" id="" value="" /&gt;</v>
      </c>
      <c r="BD76" s="52" t="str">
        <f t="shared" si="114"/>
        <v>else if (document.getElementById("</v>
      </c>
      <c r="BE76" s="61" t="str">
        <f t="shared" si="115"/>
        <v>else if (document.getElementById("").checked==true) {0="";}</v>
      </c>
      <c r="BF76" s="61" t="str">
        <f t="shared" si="116"/>
        <v/>
      </c>
      <c r="BG76" s="61" t="str">
        <f t="shared" si="117"/>
        <v>0:0</v>
      </c>
      <c r="BH76" s="102" t="str">
        <f t="shared" si="118"/>
        <v>if (isset($_GET['0'])) {$0=($_GET['0']);}else $0='';</v>
      </c>
      <c r="BI76" s="105" t="str">
        <f t="shared" si="119"/>
        <v>&lt;br/&gt;&lt;textarea rows="2" cols="80" id=""&gt;&lt;/textarea&gt;&lt;br/&gt;</v>
      </c>
      <c r="BJ76" s="107" t="str">
        <f t="shared" si="120"/>
        <v>&lt;input type="text"  size="7"  id="" class="datepicker"/&gt;</v>
      </c>
      <c r="BK76" s="107" t="str">
        <f t="shared" si="121"/>
        <v>&lt;h2 id=""&gt;&lt;/h2&gt;</v>
      </c>
      <c r="BL76" s="109" t="str">
        <f t="shared" si="155"/>
        <v/>
      </c>
      <c r="BM76" s="61" t="str">
        <f t="shared" si="156"/>
        <v/>
      </c>
      <c r="BN76" s="52">
        <f t="shared" si="143"/>
        <v>0</v>
      </c>
      <c r="BO76" s="61" t="str">
        <f t="shared" si="157"/>
        <v/>
      </c>
      <c r="BP76" s="102" t="str">
        <f t="shared" si="158"/>
        <v/>
      </c>
      <c r="BQ76" s="105" t="str">
        <f t="shared" si="159"/>
        <v/>
      </c>
      <c r="BR76" s="52" t="str">
        <f t="shared" si="122"/>
        <v/>
      </c>
      <c r="BS76" s="52">
        <f t="shared" si="123"/>
        <v>0</v>
      </c>
      <c r="BT76" s="52">
        <f t="shared" si="144"/>
        <v>0</v>
      </c>
      <c r="BU76" s="52" t="str">
        <f t="shared" si="124"/>
        <v/>
      </c>
      <c r="BV76" s="52" t="str">
        <f t="shared" si="125"/>
        <v/>
      </c>
      <c r="BW76" s="52" t="str">
        <f t="shared" si="145"/>
        <v/>
      </c>
      <c r="BX76" s="113" t="str">
        <f t="shared" si="160"/>
        <v/>
      </c>
      <c r="BY76" s="52" t="str">
        <f t="shared" si="126"/>
        <v/>
      </c>
      <c r="BZ76" s="52" t="str">
        <f t="shared" si="127"/>
        <v/>
      </c>
      <c r="CA76" s="52" t="str">
        <f t="shared" si="161"/>
        <v/>
      </c>
      <c r="CB76" s="52" t="str">
        <f t="shared" si="162"/>
        <v/>
      </c>
      <c r="CC76" s="52" t="str">
        <f t="shared" si="128"/>
        <v/>
      </c>
      <c r="CD76" s="52" t="str">
        <f t="shared" si="129"/>
        <v/>
      </c>
      <c r="CE76" s="102" t="str">
        <f t="shared" si="163"/>
        <v/>
      </c>
      <c r="CF76" s="116" t="str">
        <f t="shared" si="130"/>
        <v/>
      </c>
      <c r="CG76" s="61" t="str">
        <f t="shared" si="164"/>
        <v/>
      </c>
      <c r="CH76" s="52" t="str">
        <f t="shared" si="84"/>
        <v/>
      </c>
      <c r="CI76" s="52" t="str">
        <f t="shared" si="85"/>
        <v/>
      </c>
      <c r="CJ76" s="52" t="str">
        <f t="shared" si="131"/>
        <v/>
      </c>
      <c r="CK76" s="52" t="str">
        <f t="shared" si="132"/>
        <v/>
      </c>
      <c r="CL76" s="52" t="str">
        <f t="shared" si="133"/>
        <v/>
      </c>
      <c r="CM76" s="102" t="str">
        <f t="shared" si="134"/>
        <v/>
      </c>
      <c r="CN76" s="116" t="str">
        <f t="shared" si="135"/>
        <v/>
      </c>
      <c r="CO76" s="61">
        <f t="shared" si="146"/>
        <v>0</v>
      </c>
      <c r="CP76" s="61" t="str">
        <f t="shared" ref="CP76:CP107" si="168">IF(I76="si",$G$7&amp;$D$6&amp;C75&amp;$P$10&amp;C76&amp;$P$11&amp;C76&amp;$P$9&amp;$P$12&amp;C76&amp;$P$9&amp;"=0;","")</f>
        <v/>
      </c>
      <c r="CQ76" s="61" t="str">
        <f t="shared" si="148"/>
        <v/>
      </c>
      <c r="CR76" s="61" t="str">
        <f t="shared" si="149"/>
        <v/>
      </c>
      <c r="CS76" s="105" t="str">
        <f t="shared" si="150"/>
        <v/>
      </c>
      <c r="CT76" s="105" t="str">
        <f t="shared" si="151"/>
        <v/>
      </c>
      <c r="CU76" s="61" t="str">
        <f t="shared" si="152"/>
        <v/>
      </c>
      <c r="CV76" s="61" t="str">
        <f t="shared" si="153"/>
        <v/>
      </c>
      <c r="CW76" s="61" t="str">
        <f t="shared" si="136"/>
        <v/>
      </c>
      <c r="CX76" s="61" t="str">
        <f t="shared" si="165"/>
        <v/>
      </c>
      <c r="CY76" s="61" t="str">
        <f t="shared" ref="CY76:CY107" si="169">+IF(CO76=2,$C$5&amp;C76&amp;$Q$4&amp;CW76&amp;$D$3&amp;$C$5&amp;CV76&amp;$P$9&amp;$Q$5&amp;CV76&amp;$P$9&amp;$H$4&amp;"}})","")</f>
        <v/>
      </c>
      <c r="CZ76" s="102" t="str">
        <f t="shared" si="137"/>
        <v/>
      </c>
      <c r="DA76" s="17">
        <f t="shared" si="138"/>
        <v>0</v>
      </c>
      <c r="DC76" s="17">
        <f t="shared" si="167"/>
        <v>0</v>
      </c>
      <c r="DD76" s="17">
        <f t="shared" si="139"/>
        <v>0</v>
      </c>
      <c r="DE76" s="17" t="str">
        <f t="shared" si="140"/>
        <v/>
      </c>
      <c r="DF76" s="17" t="str">
        <f t="shared" si="141"/>
        <v/>
      </c>
    </row>
    <row r="77" spans="2:110" s="17" customFormat="1">
      <c r="B77" s="35"/>
      <c r="C77" s="35"/>
      <c r="D77" s="36"/>
      <c r="E77" s="35"/>
      <c r="F77" s="35"/>
      <c r="G77" s="35"/>
      <c r="H77" s="35"/>
      <c r="I77" s="35"/>
      <c r="J77" s="59"/>
      <c r="Z77" s="172" t="str">
        <f t="shared" si="94"/>
        <v/>
      </c>
      <c r="AB77" s="47" t="s">
        <v>256</v>
      </c>
      <c r="AC77" s="52" t="str">
        <f t="shared" si="166"/>
        <v/>
      </c>
      <c r="AD77" s="52">
        <f t="shared" si="154"/>
        <v>0</v>
      </c>
      <c r="AE77" s="52">
        <f t="shared" si="142"/>
        <v>0</v>
      </c>
      <c r="AF77" s="61" t="str">
        <f t="shared" si="95"/>
        <v/>
      </c>
      <c r="AG77" s="52">
        <f t="shared" si="96"/>
        <v>0</v>
      </c>
      <c r="AH77" s="52">
        <f t="shared" si="97"/>
        <v>0</v>
      </c>
      <c r="AI77" s="52" t="str">
        <f t="shared" si="98"/>
        <v/>
      </c>
      <c r="AJ77" s="61" t="str">
        <f t="shared" si="99"/>
        <v/>
      </c>
      <c r="AK77" s="95" t="str">
        <f t="shared" si="7"/>
        <v/>
      </c>
      <c r="AL77" s="61" t="str">
        <f t="shared" si="100"/>
        <v>if () {$("#adv_").html("Required");$("#").css({"background":"yellow"});} else {$("#adv_").html("");$("#").css({"background":"white"});}</v>
      </c>
      <c r="AM77" s="61" t="str">
        <f t="shared" si="101"/>
        <v>if (=="") {$("#adv_").html("Required");$("#adv_").css({"background":"yellow"});} else {$("#adv_").html("");}</v>
      </c>
      <c r="AN77" s="61" t="str">
        <f t="shared" si="83"/>
        <v>if (=="") {$("#adv_").html("Required");$("#").css({"background":"yellow"});} else {$("#adv_").html("");$("#").css({"background":"white"});}</v>
      </c>
      <c r="AO77" s="50" t="str">
        <f t="shared" si="102"/>
        <v/>
      </c>
      <c r="AP77" s="61" t="str">
        <f t="shared" si="103"/>
        <v>=$("#").val();</v>
      </c>
      <c r="AQ77" s="61" t="str">
        <f t="shared" si="104"/>
        <v/>
      </c>
      <c r="AR77" s="50" t="str">
        <f t="shared" si="105"/>
        <v>&lt;input type="checkbox" id="" name="" value="1" /&gt;</v>
      </c>
      <c r="AS77" s="61" t="str">
        <f t="shared" si="106"/>
        <v>=document.getElementById("").checked;</v>
      </c>
      <c r="AT77" s="102" t="str">
        <f t="shared" si="107"/>
        <v>if (isset($_GET[''])) {$=($_GET['']);}else $='';</v>
      </c>
      <c r="AU77" s="52" t="str">
        <f t="shared" si="108"/>
        <v/>
      </c>
      <c r="AV77" s="52" t="str">
        <f t="shared" si="147"/>
        <v>&lt;select size="1" name="" id=""&gt;&lt;option value=""&gt;</v>
      </c>
      <c r="AW77" s="52" t="str">
        <f t="shared" si="109"/>
        <v>&lt;option value=""&gt;&lt;/option&gt;</v>
      </c>
      <c r="AX77" s="145" t="str">
        <f t="shared" si="110"/>
        <v/>
      </c>
      <c r="AY77" s="102" t="str">
        <f>""</f>
        <v/>
      </c>
      <c r="AZ77" s="102"/>
      <c r="BA77" s="113">
        <f t="shared" si="111"/>
        <v>0</v>
      </c>
      <c r="BB77" s="103" t="str">
        <f t="shared" si="112"/>
        <v>0:</v>
      </c>
      <c r="BC77" s="50" t="str">
        <f t="shared" si="113"/>
        <v>0:&lt;span id="adv_0"&gt;&lt;/span&gt;&lt;br/&gt;&lt;input type="radio" name="0" id="" value="" /&gt;</v>
      </c>
      <c r="BD77" s="52" t="str">
        <f t="shared" si="114"/>
        <v>else if (document.getElementById("</v>
      </c>
      <c r="BE77" s="61" t="str">
        <f t="shared" si="115"/>
        <v>else if (document.getElementById("").checked==true) {0="";}</v>
      </c>
      <c r="BF77" s="61" t="str">
        <f t="shared" si="116"/>
        <v/>
      </c>
      <c r="BG77" s="61" t="str">
        <f t="shared" si="117"/>
        <v>0:0</v>
      </c>
      <c r="BH77" s="102" t="str">
        <f t="shared" si="118"/>
        <v>if (isset($_GET['0'])) {$0=($_GET['0']);}else $0='';</v>
      </c>
      <c r="BI77" s="105" t="str">
        <f t="shared" si="119"/>
        <v>&lt;br/&gt;&lt;textarea rows="2" cols="80" id=""&gt;&lt;/textarea&gt;&lt;br/&gt;</v>
      </c>
      <c r="BJ77" s="107" t="str">
        <f t="shared" si="120"/>
        <v>&lt;input type="text"  size="7"  id="" class="datepicker"/&gt;</v>
      </c>
      <c r="BK77" s="107" t="str">
        <f t="shared" si="121"/>
        <v>&lt;h2 id=""&gt;&lt;/h2&gt;</v>
      </c>
      <c r="BL77" s="109" t="str">
        <f t="shared" si="155"/>
        <v/>
      </c>
      <c r="BM77" s="61" t="str">
        <f t="shared" si="156"/>
        <v/>
      </c>
      <c r="BN77" s="52">
        <f t="shared" si="143"/>
        <v>0</v>
      </c>
      <c r="BO77" s="61" t="str">
        <f t="shared" si="157"/>
        <v/>
      </c>
      <c r="BP77" s="102" t="str">
        <f t="shared" si="158"/>
        <v/>
      </c>
      <c r="BQ77" s="105" t="str">
        <f t="shared" si="159"/>
        <v/>
      </c>
      <c r="BR77" s="52" t="str">
        <f t="shared" si="122"/>
        <v/>
      </c>
      <c r="BS77" s="52">
        <f t="shared" si="123"/>
        <v>0</v>
      </c>
      <c r="BT77" s="52">
        <f t="shared" si="144"/>
        <v>0</v>
      </c>
      <c r="BU77" s="52" t="str">
        <f t="shared" si="124"/>
        <v/>
      </c>
      <c r="BV77" s="52" t="str">
        <f t="shared" si="125"/>
        <v/>
      </c>
      <c r="BW77" s="52" t="str">
        <f t="shared" si="145"/>
        <v/>
      </c>
      <c r="BX77" s="113" t="str">
        <f t="shared" si="160"/>
        <v/>
      </c>
      <c r="BY77" s="52" t="str">
        <f t="shared" si="126"/>
        <v/>
      </c>
      <c r="BZ77" s="52" t="str">
        <f t="shared" si="127"/>
        <v/>
      </c>
      <c r="CA77" s="52" t="str">
        <f t="shared" si="161"/>
        <v/>
      </c>
      <c r="CB77" s="52" t="str">
        <f t="shared" si="162"/>
        <v/>
      </c>
      <c r="CC77" s="52" t="str">
        <f t="shared" si="128"/>
        <v/>
      </c>
      <c r="CD77" s="52" t="str">
        <f t="shared" si="129"/>
        <v/>
      </c>
      <c r="CE77" s="102" t="str">
        <f t="shared" si="163"/>
        <v/>
      </c>
      <c r="CF77" s="116" t="str">
        <f t="shared" si="130"/>
        <v/>
      </c>
      <c r="CG77" s="61" t="str">
        <f t="shared" si="164"/>
        <v/>
      </c>
      <c r="CH77" s="52" t="str">
        <f t="shared" si="84"/>
        <v/>
      </c>
      <c r="CI77" s="52" t="str">
        <f t="shared" si="85"/>
        <v/>
      </c>
      <c r="CJ77" s="52" t="str">
        <f t="shared" si="131"/>
        <v/>
      </c>
      <c r="CK77" s="52" t="str">
        <f t="shared" si="132"/>
        <v/>
      </c>
      <c r="CL77" s="52" t="str">
        <f t="shared" si="133"/>
        <v/>
      </c>
      <c r="CM77" s="102" t="str">
        <f t="shared" si="134"/>
        <v/>
      </c>
      <c r="CN77" s="116" t="str">
        <f t="shared" si="135"/>
        <v/>
      </c>
      <c r="CO77" s="61">
        <f t="shared" si="146"/>
        <v>0</v>
      </c>
      <c r="CP77" s="61" t="str">
        <f t="shared" si="168"/>
        <v/>
      </c>
      <c r="CQ77" s="61" t="str">
        <f t="shared" si="148"/>
        <v/>
      </c>
      <c r="CR77" s="61" t="str">
        <f t="shared" si="149"/>
        <v/>
      </c>
      <c r="CS77" s="105" t="str">
        <f t="shared" si="150"/>
        <v/>
      </c>
      <c r="CT77" s="105" t="str">
        <f t="shared" si="151"/>
        <v/>
      </c>
      <c r="CU77" s="61" t="str">
        <f t="shared" si="152"/>
        <v/>
      </c>
      <c r="CV77" s="61" t="str">
        <f t="shared" si="153"/>
        <v/>
      </c>
      <c r="CW77" s="61" t="str">
        <f t="shared" si="136"/>
        <v/>
      </c>
      <c r="CX77" s="61" t="str">
        <f t="shared" si="165"/>
        <v/>
      </c>
      <c r="CY77" s="61" t="str">
        <f t="shared" si="169"/>
        <v/>
      </c>
      <c r="CZ77" s="102" t="str">
        <f t="shared" si="137"/>
        <v/>
      </c>
      <c r="DA77" s="17">
        <f t="shared" si="138"/>
        <v>0</v>
      </c>
      <c r="DC77" s="17">
        <f t="shared" si="167"/>
        <v>0</v>
      </c>
      <c r="DD77" s="17">
        <f t="shared" si="139"/>
        <v>0</v>
      </c>
      <c r="DE77" s="17" t="str">
        <f t="shared" si="140"/>
        <v/>
      </c>
      <c r="DF77" s="17" t="str">
        <f t="shared" si="141"/>
        <v/>
      </c>
    </row>
    <row r="78" spans="2:110" s="17" customFormat="1">
      <c r="B78" s="35"/>
      <c r="C78" s="35"/>
      <c r="D78" s="36"/>
      <c r="E78" s="35"/>
      <c r="F78" s="35"/>
      <c r="G78" s="35"/>
      <c r="H78" s="35"/>
      <c r="I78" s="35"/>
      <c r="J78" s="59"/>
      <c r="Z78" s="172" t="str">
        <f t="shared" si="94"/>
        <v/>
      </c>
      <c r="AB78" s="47" t="s">
        <v>257</v>
      </c>
      <c r="AC78" s="52" t="str">
        <f t="shared" si="166"/>
        <v/>
      </c>
      <c r="AD78" s="52">
        <f t="shared" si="154"/>
        <v>0</v>
      </c>
      <c r="AE78" s="52">
        <f t="shared" si="142"/>
        <v>0</v>
      </c>
      <c r="AF78" s="61" t="str">
        <f t="shared" si="95"/>
        <v/>
      </c>
      <c r="AG78" s="52">
        <f t="shared" si="96"/>
        <v>0</v>
      </c>
      <c r="AH78" s="52">
        <f t="shared" si="97"/>
        <v>0</v>
      </c>
      <c r="AI78" s="52" t="str">
        <f t="shared" si="98"/>
        <v/>
      </c>
      <c r="AJ78" s="61" t="str">
        <f t="shared" si="99"/>
        <v/>
      </c>
      <c r="AK78" s="95" t="str">
        <f t="shared" si="7"/>
        <v/>
      </c>
      <c r="AL78" s="61" t="str">
        <f t="shared" si="100"/>
        <v>if () {$("#adv_").html("Required");$("#").css({"background":"yellow"});} else {$("#adv_").html("");$("#").css({"background":"white"});}</v>
      </c>
      <c r="AM78" s="61" t="str">
        <f t="shared" si="101"/>
        <v>if (=="") {$("#adv_").html("Required");$("#adv_").css({"background":"yellow"});} else {$("#adv_").html("");}</v>
      </c>
      <c r="AN78" s="61" t="str">
        <f t="shared" si="83"/>
        <v>if (=="") {$("#adv_").html("Required");$("#").css({"background":"yellow"});} else {$("#adv_").html("");$("#").css({"background":"white"});}</v>
      </c>
      <c r="AO78" s="50" t="str">
        <f t="shared" si="102"/>
        <v/>
      </c>
      <c r="AP78" s="61" t="str">
        <f t="shared" si="103"/>
        <v>=$("#").val();</v>
      </c>
      <c r="AQ78" s="61" t="str">
        <f t="shared" si="104"/>
        <v/>
      </c>
      <c r="AR78" s="50" t="str">
        <f t="shared" si="105"/>
        <v>&lt;input type="checkbox" id="" name="" value="1" /&gt;</v>
      </c>
      <c r="AS78" s="61" t="str">
        <f t="shared" si="106"/>
        <v>=document.getElementById("").checked;</v>
      </c>
      <c r="AT78" s="102" t="str">
        <f t="shared" si="107"/>
        <v>if (isset($_GET[''])) {$=($_GET['']);}else $='';</v>
      </c>
      <c r="AU78" s="52" t="str">
        <f t="shared" si="108"/>
        <v/>
      </c>
      <c r="AV78" s="52" t="str">
        <f t="shared" si="147"/>
        <v>&lt;select size="1" name="" id=""&gt;&lt;option value=""&gt;</v>
      </c>
      <c r="AW78" s="52" t="str">
        <f t="shared" si="109"/>
        <v>&lt;option value=""&gt;&lt;/option&gt;</v>
      </c>
      <c r="AX78" s="145" t="str">
        <f t="shared" si="110"/>
        <v/>
      </c>
      <c r="AY78" s="102" t="str">
        <f>""</f>
        <v/>
      </c>
      <c r="AZ78" s="102"/>
      <c r="BA78" s="113">
        <f t="shared" si="111"/>
        <v>0</v>
      </c>
      <c r="BB78" s="103" t="str">
        <f t="shared" si="112"/>
        <v>0:</v>
      </c>
      <c r="BC78" s="50" t="str">
        <f t="shared" si="113"/>
        <v>0:&lt;span id="adv_0"&gt;&lt;/span&gt;&lt;br/&gt;&lt;input type="radio" name="0" id="" value="" /&gt;</v>
      </c>
      <c r="BD78" s="52" t="str">
        <f t="shared" si="114"/>
        <v>else if (document.getElementById("</v>
      </c>
      <c r="BE78" s="61" t="str">
        <f t="shared" si="115"/>
        <v>else if (document.getElementById("").checked==true) {0="";}</v>
      </c>
      <c r="BF78" s="61" t="str">
        <f t="shared" si="116"/>
        <v/>
      </c>
      <c r="BG78" s="61" t="str">
        <f t="shared" si="117"/>
        <v>0:0</v>
      </c>
      <c r="BH78" s="102" t="str">
        <f t="shared" si="118"/>
        <v>if (isset($_GET['0'])) {$0=($_GET['0']);}else $0='';</v>
      </c>
      <c r="BI78" s="105" t="str">
        <f t="shared" si="119"/>
        <v>&lt;br/&gt;&lt;textarea rows="2" cols="80" id=""&gt;&lt;/textarea&gt;&lt;br/&gt;</v>
      </c>
      <c r="BJ78" s="107" t="str">
        <f t="shared" si="120"/>
        <v>&lt;input type="text"  size="7"  id="" class="datepicker"/&gt;</v>
      </c>
      <c r="BK78" s="107" t="str">
        <f t="shared" si="121"/>
        <v>&lt;h2 id=""&gt;&lt;/h2&gt;</v>
      </c>
      <c r="BL78" s="109" t="str">
        <f t="shared" si="155"/>
        <v/>
      </c>
      <c r="BM78" s="61" t="str">
        <f t="shared" si="156"/>
        <v/>
      </c>
      <c r="BN78" s="52">
        <f t="shared" si="143"/>
        <v>0</v>
      </c>
      <c r="BO78" s="61" t="str">
        <f t="shared" si="157"/>
        <v/>
      </c>
      <c r="BP78" s="102" t="str">
        <f t="shared" si="158"/>
        <v/>
      </c>
      <c r="BQ78" s="105" t="str">
        <f t="shared" si="159"/>
        <v/>
      </c>
      <c r="BR78" s="52" t="str">
        <f t="shared" si="122"/>
        <v/>
      </c>
      <c r="BS78" s="52">
        <f t="shared" si="123"/>
        <v>0</v>
      </c>
      <c r="BT78" s="52">
        <f t="shared" si="144"/>
        <v>0</v>
      </c>
      <c r="BU78" s="52" t="str">
        <f t="shared" si="124"/>
        <v/>
      </c>
      <c r="BV78" s="52" t="str">
        <f t="shared" si="125"/>
        <v/>
      </c>
      <c r="BW78" s="52" t="str">
        <f t="shared" si="145"/>
        <v/>
      </c>
      <c r="BX78" s="113" t="str">
        <f t="shared" si="160"/>
        <v/>
      </c>
      <c r="BY78" s="52" t="str">
        <f t="shared" si="126"/>
        <v/>
      </c>
      <c r="BZ78" s="52" t="str">
        <f t="shared" si="127"/>
        <v/>
      </c>
      <c r="CA78" s="52" t="str">
        <f t="shared" si="161"/>
        <v/>
      </c>
      <c r="CB78" s="52" t="str">
        <f t="shared" si="162"/>
        <v/>
      </c>
      <c r="CC78" s="52" t="str">
        <f t="shared" si="128"/>
        <v/>
      </c>
      <c r="CD78" s="52" t="str">
        <f t="shared" si="129"/>
        <v/>
      </c>
      <c r="CE78" s="102" t="str">
        <f t="shared" si="163"/>
        <v/>
      </c>
      <c r="CF78" s="116" t="str">
        <f t="shared" si="130"/>
        <v/>
      </c>
      <c r="CG78" s="61" t="str">
        <f t="shared" si="164"/>
        <v/>
      </c>
      <c r="CH78" s="52" t="str">
        <f t="shared" si="84"/>
        <v/>
      </c>
      <c r="CI78" s="52" t="str">
        <f t="shared" si="85"/>
        <v/>
      </c>
      <c r="CJ78" s="52" t="str">
        <f t="shared" si="131"/>
        <v/>
      </c>
      <c r="CK78" s="52" t="str">
        <f t="shared" si="132"/>
        <v/>
      </c>
      <c r="CL78" s="52" t="str">
        <f t="shared" si="133"/>
        <v/>
      </c>
      <c r="CM78" s="102" t="str">
        <f t="shared" si="134"/>
        <v/>
      </c>
      <c r="CN78" s="116" t="str">
        <f t="shared" si="135"/>
        <v/>
      </c>
      <c r="CO78" s="61">
        <f t="shared" si="146"/>
        <v>0</v>
      </c>
      <c r="CP78" s="61" t="str">
        <f t="shared" si="168"/>
        <v/>
      </c>
      <c r="CQ78" s="61" t="str">
        <f t="shared" si="148"/>
        <v/>
      </c>
      <c r="CR78" s="61" t="str">
        <f t="shared" si="149"/>
        <v/>
      </c>
      <c r="CS78" s="105" t="str">
        <f t="shared" si="150"/>
        <v/>
      </c>
      <c r="CT78" s="105" t="str">
        <f t="shared" si="151"/>
        <v/>
      </c>
      <c r="CU78" s="61" t="str">
        <f t="shared" si="152"/>
        <v/>
      </c>
      <c r="CV78" s="61" t="str">
        <f t="shared" si="153"/>
        <v/>
      </c>
      <c r="CW78" s="61" t="str">
        <f t="shared" si="136"/>
        <v/>
      </c>
      <c r="CX78" s="61" t="str">
        <f t="shared" si="165"/>
        <v/>
      </c>
      <c r="CY78" s="61" t="str">
        <f t="shared" si="169"/>
        <v/>
      </c>
      <c r="CZ78" s="102" t="str">
        <f t="shared" si="137"/>
        <v/>
      </c>
      <c r="DA78" s="17">
        <f t="shared" si="138"/>
        <v>0</v>
      </c>
      <c r="DC78" s="17">
        <f t="shared" si="167"/>
        <v>0</v>
      </c>
      <c r="DD78" s="17">
        <f t="shared" si="139"/>
        <v>0</v>
      </c>
      <c r="DE78" s="17" t="str">
        <f t="shared" si="140"/>
        <v/>
      </c>
      <c r="DF78" s="17" t="str">
        <f t="shared" si="141"/>
        <v/>
      </c>
    </row>
    <row r="79" spans="2:110" s="17" customFormat="1">
      <c r="B79" s="35"/>
      <c r="C79" s="35"/>
      <c r="D79" s="36"/>
      <c r="E79" s="35"/>
      <c r="F79" s="35"/>
      <c r="G79" s="35"/>
      <c r="H79" s="35"/>
      <c r="I79" s="35"/>
      <c r="J79" s="59"/>
      <c r="Z79" s="172" t="str">
        <f t="shared" ref="Z79:Z114" si="170">+IF(OR(E79="radio",E79="texto",E79="check",E79="selectlist",E79="bigtext",E79="session"),"VARCHAR",IF(E79="date","DATE",""))</f>
        <v/>
      </c>
      <c r="AB79" s="47" t="s">
        <v>258</v>
      </c>
      <c r="AC79" s="52" t="str">
        <f t="shared" si="166"/>
        <v/>
      </c>
      <c r="AD79" s="52">
        <f t="shared" si="154"/>
        <v>0</v>
      </c>
      <c r="AE79" s="52">
        <f t="shared" si="142"/>
        <v>0</v>
      </c>
      <c r="AF79" s="61" t="str">
        <f t="shared" ref="AF79:AF110" si="171">+IF(AD79=0,"",IF(AE79=1,"if (","else if (")&amp;C79&amp;$I$5&amp;C79&amp;$I$6)</f>
        <v/>
      </c>
      <c r="AG79" s="52">
        <f t="shared" ref="AG79:AG114" si="172">+IF(G79="si",1,IF(AND(E79="radio",BB79&lt;&gt;""),1,0))</f>
        <v>0</v>
      </c>
      <c r="AH79" s="52">
        <f t="shared" ref="AH79:AH110" si="173">+AG79+AH78</f>
        <v>0</v>
      </c>
      <c r="AI79" s="52" t="str">
        <f t="shared" ref="AI79:AI110" si="174">IF(AH78=0,"",IF(AH79=AH78,"","||"))</f>
        <v/>
      </c>
      <c r="AJ79" s="61" t="str">
        <f t="shared" ref="AJ79:AJ110" si="175">IF(AND($B$3&lt;&gt;"",E79&lt;&gt;"title"),AI79&amp;AC79,"")</f>
        <v/>
      </c>
      <c r="AK79" s="95" t="str">
        <f t="shared" ref="AK79:AK114" si="176">IF(E79="title","",IF(AND(E79="radio",B79&lt;&gt;""),AM79,IF(AND(B79&lt;&gt;"",E79="selectlist",G79="si"),AN79,IF(G79="si",AL79,""))))</f>
        <v/>
      </c>
      <c r="AL79" s="61" t="str">
        <f t="shared" ref="AL79:AL114" si="177">+$G$7&amp;AC79&amp;$G$8&amp;C79&amp;$G$9&amp;$C$5&amp;C79&amp;$H$6&amp;$H$5&amp;C79&amp;$H$7&amp;C79&amp;$H$8</f>
        <v>if () {$("#adv_").html("Required");$("#").css({"background":"yellow"});} else {$("#adv_").html("");$("#").css({"background":"white"});}</v>
      </c>
      <c r="AM79" s="61" t="str">
        <f t="shared" ref="AM79:AM114" si="178">$G$7&amp;B79&amp;"=="&amp;$B$4&amp;$G$8&amp;B79&amp;$G$9&amp;$H$11&amp;B79&amp;$H$6&amp;$H$5&amp;B79&amp;$B$10&amp;$B$11&amp;$H$9</f>
        <v>if (=="") {$("#adv_").html("Required");$("#adv_").css({"background":"yellow"});} else {$("#adv_").html("");}</v>
      </c>
      <c r="AN79" s="61" t="str">
        <f t="shared" si="83"/>
        <v>if (=="") {$("#adv_").html("Required");$("#").css({"background":"yellow"});} else {$("#adv_").html("");$("#").css({"background":"white"});}</v>
      </c>
      <c r="AO79" s="50" t="str">
        <f t="shared" ref="AO79:AO114" si="179">IF(C79="","",B79&amp;$C$1&amp;C79&amp;$C$2&amp;C79&amp;$C$3)</f>
        <v/>
      </c>
      <c r="AP79" s="61" t="str">
        <f t="shared" ref="AP79:AP114" si="180">+C79&amp;$A$3&amp;C79&amp;$A$4</f>
        <v>=$("#").val();</v>
      </c>
      <c r="AQ79" s="61" t="str">
        <f t="shared" ref="AQ79:AQ114" si="181">IF(AND(E79="selectlist",B79&lt;&gt;""),B79&amp;$A$3&amp;B79&amp;$A$4,"")</f>
        <v/>
      </c>
      <c r="AR79" s="50" t="str">
        <f t="shared" ref="AR79:AR114" si="182">B79&amp;$C$4&amp;C79&amp;$C$2&amp;C79&amp;$C$10</f>
        <v>&lt;input type="checkbox" id="" name="" value="1" /&gt;</v>
      </c>
      <c r="AS79" s="61" t="str">
        <f t="shared" ref="AS79:AS114" si="183">+C79&amp;"="&amp;$D$6&amp;C79&amp;$D$7</f>
        <v>=document.getElementById("").checked;</v>
      </c>
      <c r="AT79" s="102" t="str">
        <f t="shared" ref="AT79:AT114" si="184">+$D$8&amp;C79&amp;$D$9&amp;C79&amp;$D$10&amp;C79&amp;$D$11&amp;C79&amp;$D$12</f>
        <v>if (isset($_GET[''])) {$=($_GET['']);}else $='';</v>
      </c>
      <c r="AU79" s="52" t="str">
        <f t="shared" ref="AU79:AU114" si="185">+IF(AND(B79&lt;&gt;"",E79=$M$5),B79,IF(AND(B79="",E79=$M$5),AU78,""))</f>
        <v/>
      </c>
      <c r="AV79" s="52" t="str">
        <f t="shared" si="147"/>
        <v>&lt;select size="1" name="" id=""&gt;&lt;option value=""&gt;</v>
      </c>
      <c r="AW79" s="52" t="str">
        <f t="shared" ref="AW79:AW114" si="186">$K$10&amp;C79&amp;$K$9&amp;C79&amp;$K$11</f>
        <v>&lt;option value=""&gt;&lt;/option&gt;</v>
      </c>
      <c r="AX79" s="145" t="str">
        <f t="shared" ref="AX79:AX110" si="187">IF(AU79="","",IF(AND(AU79&lt;&gt;AU78,AU79&lt;&gt;""),AV79,IF(AU79=AU80,AW79,AW79&amp;$K$12)))</f>
        <v/>
      </c>
      <c r="AY79" s="102" t="str">
        <f>""</f>
        <v/>
      </c>
      <c r="AZ79" s="102"/>
      <c r="BA79" s="113">
        <f t="shared" ref="BA79:BA114" si="188">+IF(AND(B79="",E79="radio"),BA78,B79)</f>
        <v>0</v>
      </c>
      <c r="BB79" s="103" t="str">
        <f t="shared" ref="BB79:BB110" si="189">+IF(OR(AND(BA79=BA78,E79="radio"),AND(AU79=AU78,E79="selectlist")),"",BA79&amp;":")</f>
        <v>0:</v>
      </c>
      <c r="BC79" s="50" t="str">
        <f t="shared" ref="BC79:BC110" si="190">BB79&amp;IF(BB79="","",$C$6&amp;BA79&amp;$C$7&amp;"&lt;br/&gt;")&amp;C79&amp;$C$9&amp;BA79&amp;$C$11&amp;C79&amp;$C$12&amp;C79&amp;$D$1</f>
        <v>0:&lt;span id="adv_0"&gt;&lt;/span&gt;&lt;br/&gt;&lt;input type="radio" name="0" id="" value="" /&gt;</v>
      </c>
      <c r="BD79" s="52" t="str">
        <f t="shared" ref="BD79:BD114" si="191">IF(BA79&lt;&gt;BA78,$D$2,"else "&amp;$D$2)</f>
        <v>else if (document.getElementById("</v>
      </c>
      <c r="BE79" s="61" t="str">
        <f t="shared" ref="BE79:BE110" si="192">BD79&amp;C79&amp;$D$3&amp;BA79&amp;"="&amp;$D$4&amp;C79&amp;$D$5&amp;IF(AND(BB79="",BB80&lt;&gt;""),"else "&amp;BA79&amp;"="&amp;$B$4&amp;";","")</f>
        <v>else if (document.getElementById("").checked==true) {0="";}</v>
      </c>
      <c r="BF79" s="61" t="str">
        <f t="shared" ref="BF79:BF114" si="193">+IF(BN79&lt;2,"",",")</f>
        <v/>
      </c>
      <c r="BG79" s="61" t="str">
        <f t="shared" ref="BG79:BG110" si="194">IF(BB79="","",BF79&amp;BB79&amp;LEFT(BB79,LEN(BB79)-1))</f>
        <v>0:0</v>
      </c>
      <c r="BH79" s="102" t="str">
        <f t="shared" ref="BH79:BH114" si="195">IF(BB79="","",$D$8&amp;BA79&amp;$D$9&amp;BA79&amp;$D$10&amp;BA79&amp;$D$11&amp;BA79&amp;$D$12)</f>
        <v>if (isset($_GET['0'])) {$0=($_GET['0']);}else $0='';</v>
      </c>
      <c r="BI79" s="105" t="str">
        <f t="shared" ref="BI79:BI114" si="196">+B79&amp;$G$5&amp;C79&amp;$G$6</f>
        <v>&lt;br/&gt;&lt;textarea rows="2" cols="80" id=""&gt;&lt;/textarea&gt;&lt;br/&gt;</v>
      </c>
      <c r="BJ79" s="107" t="str">
        <f t="shared" ref="BJ79:BJ114" si="197">+B79&amp;$G$3&amp;C79&amp;$G$4</f>
        <v>&lt;input type="text"  size="7"  id="" class="datepicker"/&gt;</v>
      </c>
      <c r="BK79" s="107" t="str">
        <f t="shared" ref="BK79:BK114" si="198">+$O$1&amp;C79&amp;$O$2&amp;B79&amp;$O$3</f>
        <v>&lt;h2 id=""&gt;&lt;/h2&gt;</v>
      </c>
      <c r="BL79" s="109" t="str">
        <f t="shared" si="155"/>
        <v/>
      </c>
      <c r="BM79" s="61" t="str">
        <f t="shared" si="156"/>
        <v/>
      </c>
      <c r="BN79" s="52">
        <f t="shared" si="143"/>
        <v>0</v>
      </c>
      <c r="BO79" s="61" t="str">
        <f t="shared" si="157"/>
        <v/>
      </c>
      <c r="BP79" s="102" t="str">
        <f t="shared" si="158"/>
        <v/>
      </c>
      <c r="BQ79" s="105" t="str">
        <f t="shared" si="159"/>
        <v/>
      </c>
      <c r="BR79" s="52" t="str">
        <f t="shared" ref="BR79:BR114" si="199">+IF(G79="si","required advise","")</f>
        <v/>
      </c>
      <c r="BS79" s="52">
        <f t="shared" ref="BS79:BS114" si="200">+IF(H79="si",1,0)</f>
        <v>0</v>
      </c>
      <c r="BT79" s="52">
        <f t="shared" si="144"/>
        <v>0</v>
      </c>
      <c r="BU79" s="52" t="str">
        <f t="shared" ref="BU79:BU110" si="201">IF(BT78=0,"",IF(BT79=BT78,""," AND "))</f>
        <v/>
      </c>
      <c r="BV79" s="52" t="str">
        <f t="shared" ref="BV79:BV110" si="202">+IF(BU79=" AND ",$E$10,"")</f>
        <v/>
      </c>
      <c r="BW79" s="52" t="str">
        <f t="shared" si="145"/>
        <v/>
      </c>
      <c r="BX79" s="113" t="str">
        <f t="shared" si="160"/>
        <v/>
      </c>
      <c r="BY79" s="52" t="str">
        <f t="shared" ref="BY79:BY110" si="203">IF(BS79=0,"",IF(BX79="","",BU79&amp;BX79&amp;"='$"&amp;BX79&amp;"'"))</f>
        <v/>
      </c>
      <c r="BZ79" s="52" t="str">
        <f t="shared" ref="BZ79:BZ114" si="204">+IF(BS79=0,"",BV79&amp;".$"&amp;BX79)</f>
        <v/>
      </c>
      <c r="CA79" s="52" t="str">
        <f t="shared" si="161"/>
        <v/>
      </c>
      <c r="CB79" s="52" t="str">
        <f t="shared" si="162"/>
        <v/>
      </c>
      <c r="CC79" s="52" t="str">
        <f t="shared" ref="CC79:CC114" si="205">IF(BX79="","","$"&amp;BX79)</f>
        <v/>
      </c>
      <c r="CD79" s="52" t="str">
        <f t="shared" ref="CD79:CD110" si="206">IF(C79="","",IF(OR(E79="texto",E79="bigtext"),CC79&amp;$S$12&amp;CC79&amp;");",""))</f>
        <v/>
      </c>
      <c r="CE79" s="102" t="str">
        <f t="shared" si="163"/>
        <v/>
      </c>
      <c r="CF79" s="116" t="str">
        <f t="shared" ref="CF79:CF114" si="207">IF(E79=$M$8,"$"&amp;C79&amp;"="&amp;J79&amp;";","")</f>
        <v/>
      </c>
      <c r="CG79" s="61" t="str">
        <f t="shared" si="164"/>
        <v/>
      </c>
      <c r="CH79" s="52" t="str">
        <f t="shared" si="84"/>
        <v/>
      </c>
      <c r="CI79" s="52" t="str">
        <f t="shared" si="85"/>
        <v/>
      </c>
      <c r="CJ79" s="52" t="str">
        <f t="shared" ref="CJ79:CJ110" si="208">+CH79&amp;CI79</f>
        <v/>
      </c>
      <c r="CK79" s="52" t="str">
        <f t="shared" ref="CK79:CK114" si="209">IF(E79="radio",$D$6&amp;C79&amp;$I$3&amp;IF(B79="","",$H$11&amp;B79&amp;$H$12),"")</f>
        <v/>
      </c>
      <c r="CL79" s="52" t="str">
        <f t="shared" ref="CL79:CL114" si="210">IF(E79="check",$D$6&amp;C79&amp;$I$3,"")</f>
        <v/>
      </c>
      <c r="CM79" s="102" t="str">
        <f t="shared" ref="CM79:CM114" si="211">IF(OR(C79="",B79=""),"",$J$8&amp;BX79&amp;$J$9&amp;BX79&amp;$J$10)</f>
        <v/>
      </c>
      <c r="CN79" s="116" t="str">
        <f t="shared" ref="CN79:CN114" si="212">IF(B79="","",IF(E79="check",$K$1&amp;BX79&amp;$K$2&amp;$K$3&amp;" "&amp;$D$4&amp;B79&amp;$D$4&amp;$H$9,$K$4&amp;$D$4&amp;B79&amp;":"&amp;$D$4&amp;"."&amp;$K$5&amp;BX79&amp;$K$2&amp;"];"))</f>
        <v/>
      </c>
      <c r="CO79" s="61">
        <f t="shared" si="146"/>
        <v>0</v>
      </c>
      <c r="CP79" s="61" t="str">
        <f t="shared" si="168"/>
        <v/>
      </c>
      <c r="CQ79" s="61" t="str">
        <f t="shared" si="148"/>
        <v/>
      </c>
      <c r="CR79" s="61" t="str">
        <f t="shared" si="149"/>
        <v/>
      </c>
      <c r="CS79" s="105" t="str">
        <f t="shared" si="150"/>
        <v/>
      </c>
      <c r="CT79" s="105" t="str">
        <f t="shared" si="151"/>
        <v/>
      </c>
      <c r="CU79" s="61" t="str">
        <f t="shared" si="152"/>
        <v/>
      </c>
      <c r="CV79" s="61" t="str">
        <f t="shared" si="153"/>
        <v/>
      </c>
      <c r="CW79" s="61" t="str">
        <f t="shared" ref="CW79:CW114" si="213">+IF(CO79=2,IF(CO80=0,C79,CW80),"")</f>
        <v/>
      </c>
      <c r="CX79" s="61" t="str">
        <f t="shared" si="165"/>
        <v/>
      </c>
      <c r="CY79" s="61" t="str">
        <f t="shared" si="169"/>
        <v/>
      </c>
      <c r="CZ79" s="102" t="str">
        <f t="shared" ref="CZ79:CZ114" si="214">IF(OR(BX79="",E79="session",E79="title"),"",$G$1&amp;BX79&amp;$Q$12&amp;BX79&amp;$J$10)</f>
        <v/>
      </c>
      <c r="DA79" s="17">
        <f t="shared" ref="DA79:DA114" si="215">+LEN(C79)</f>
        <v>0</v>
      </c>
      <c r="DC79" s="17">
        <f t="shared" si="167"/>
        <v>0</v>
      </c>
      <c r="DD79" s="17">
        <f t="shared" ref="DD79:DD114" si="216">IF(OR(E79="radio",E79="selectlist"),LEN(C79),0)</f>
        <v>0</v>
      </c>
      <c r="DE79" s="17" t="str">
        <f t="shared" ref="DE79:DE114" si="217">+IF(AND(E79="radio",F79&lt;&gt;"",C79&lt;&gt;""),$G$7&amp;"$"&amp;BA79&amp;"=="&amp;$D$4&amp;C79&amp;$D$4&amp;") "&amp; "$"&amp;BA79&amp;"="&amp;$D$4&amp;F79&amp;$D$4&amp;";","")</f>
        <v/>
      </c>
      <c r="DF79" s="17" t="str">
        <f t="shared" ref="DF79:DF114" si="218">+IF(AND(E79="radio",F79&lt;&gt;"",C79&lt;&gt;""),$G$7&amp;"$row['"&amp;BA79&amp;"']=="&amp;$D$4&amp;C79&amp;$D$4&amp;") "&amp; "$row['"&amp;BA79&amp;"']="&amp;$D$4&amp;F79&amp;$D$4&amp;";","")</f>
        <v/>
      </c>
    </row>
    <row r="80" spans="2:110" s="17" customFormat="1">
      <c r="B80" s="35"/>
      <c r="C80" s="35"/>
      <c r="D80" s="36"/>
      <c r="E80" s="35"/>
      <c r="F80" s="35"/>
      <c r="G80" s="35"/>
      <c r="H80" s="35"/>
      <c r="I80" s="35"/>
      <c r="J80" s="59"/>
      <c r="Z80" s="172" t="str">
        <f t="shared" si="170"/>
        <v/>
      </c>
      <c r="AB80" s="47" t="s">
        <v>259</v>
      </c>
      <c r="AC80" s="52" t="str">
        <f t="shared" si="166"/>
        <v/>
      </c>
      <c r="AD80" s="52">
        <f t="shared" si="154"/>
        <v>0</v>
      </c>
      <c r="AE80" s="52">
        <f t="shared" ref="AE80:AE111" si="219">+AE79+AD80</f>
        <v>0</v>
      </c>
      <c r="AF80" s="61" t="str">
        <f t="shared" si="171"/>
        <v/>
      </c>
      <c r="AG80" s="52">
        <f t="shared" si="172"/>
        <v>0</v>
      </c>
      <c r="AH80" s="52">
        <f t="shared" si="173"/>
        <v>0</v>
      </c>
      <c r="AI80" s="52" t="str">
        <f t="shared" si="174"/>
        <v/>
      </c>
      <c r="AJ80" s="61" t="str">
        <f t="shared" si="175"/>
        <v/>
      </c>
      <c r="AK80" s="95" t="str">
        <f t="shared" si="176"/>
        <v/>
      </c>
      <c r="AL80" s="61" t="str">
        <f t="shared" si="177"/>
        <v>if () {$("#adv_").html("Required");$("#").css({"background":"yellow"});} else {$("#adv_").html("");$("#").css({"background":"white"});}</v>
      </c>
      <c r="AM80" s="61" t="str">
        <f t="shared" si="178"/>
        <v>if (=="") {$("#adv_").html("Required");$("#adv_").css({"background":"yellow"});} else {$("#adv_").html("");}</v>
      </c>
      <c r="AN80" s="61" t="str">
        <f t="shared" si="83"/>
        <v>if (=="") {$("#adv_").html("Required");$("#").css({"background":"yellow"});} else {$("#adv_").html("");$("#").css({"background":"white"});}</v>
      </c>
      <c r="AO80" s="50" t="str">
        <f t="shared" si="179"/>
        <v/>
      </c>
      <c r="AP80" s="61" t="str">
        <f t="shared" si="180"/>
        <v>=$("#").val();</v>
      </c>
      <c r="AQ80" s="61" t="str">
        <f t="shared" si="181"/>
        <v/>
      </c>
      <c r="AR80" s="50" t="str">
        <f t="shared" si="182"/>
        <v>&lt;input type="checkbox" id="" name="" value="1" /&gt;</v>
      </c>
      <c r="AS80" s="61" t="str">
        <f t="shared" si="183"/>
        <v>=document.getElementById("").checked;</v>
      </c>
      <c r="AT80" s="102" t="str">
        <f t="shared" si="184"/>
        <v>if (isset($_GET[''])) {$=($_GET['']);}else $='';</v>
      </c>
      <c r="AU80" s="52" t="str">
        <f t="shared" si="185"/>
        <v/>
      </c>
      <c r="AV80" s="52" t="str">
        <f t="shared" si="147"/>
        <v>&lt;select size="1" name="" id=""&gt;&lt;option value=""&gt;</v>
      </c>
      <c r="AW80" s="52" t="str">
        <f t="shared" si="186"/>
        <v>&lt;option value=""&gt;&lt;/option&gt;</v>
      </c>
      <c r="AX80" s="145" t="str">
        <f t="shared" si="187"/>
        <v/>
      </c>
      <c r="AY80" s="102" t="str">
        <f>""</f>
        <v/>
      </c>
      <c r="AZ80" s="102"/>
      <c r="BA80" s="113">
        <f t="shared" si="188"/>
        <v>0</v>
      </c>
      <c r="BB80" s="103" t="str">
        <f t="shared" si="189"/>
        <v>0:</v>
      </c>
      <c r="BC80" s="50" t="str">
        <f t="shared" si="190"/>
        <v>0:&lt;span id="adv_0"&gt;&lt;/span&gt;&lt;br/&gt;&lt;input type="radio" name="0" id="" value="" /&gt;</v>
      </c>
      <c r="BD80" s="52" t="str">
        <f t="shared" si="191"/>
        <v>else if (document.getElementById("</v>
      </c>
      <c r="BE80" s="61" t="str">
        <f t="shared" si="192"/>
        <v>else if (document.getElementById("").checked==true) {0="";}</v>
      </c>
      <c r="BF80" s="61" t="str">
        <f t="shared" si="193"/>
        <v/>
      </c>
      <c r="BG80" s="61" t="str">
        <f t="shared" si="194"/>
        <v>0:0</v>
      </c>
      <c r="BH80" s="102" t="str">
        <f t="shared" si="195"/>
        <v>if (isset($_GET['0'])) {$0=($_GET['0']);}else $0='';</v>
      </c>
      <c r="BI80" s="105" t="str">
        <f t="shared" si="196"/>
        <v>&lt;br/&gt;&lt;textarea rows="2" cols="80" id=""&gt;&lt;/textarea&gt;&lt;br/&gt;</v>
      </c>
      <c r="BJ80" s="107" t="str">
        <f t="shared" si="197"/>
        <v>&lt;input type="text"  size="7"  id="" class="datepicker"/&gt;</v>
      </c>
      <c r="BK80" s="107" t="str">
        <f t="shared" si="198"/>
        <v>&lt;h2 id=""&gt;&lt;/h2&gt;</v>
      </c>
      <c r="BL80" s="109" t="str">
        <f t="shared" si="155"/>
        <v/>
      </c>
      <c r="BM80" s="61" t="str">
        <f t="shared" si="156"/>
        <v/>
      </c>
      <c r="BN80" s="52">
        <f t="shared" ref="BN80:BN111" si="220">+IF(BM80="",0,1)+BN79</f>
        <v>0</v>
      </c>
      <c r="BO80" s="61" t="str">
        <f t="shared" si="157"/>
        <v/>
      </c>
      <c r="BP80" s="102" t="str">
        <f t="shared" si="158"/>
        <v/>
      </c>
      <c r="BQ80" s="105" t="str">
        <f t="shared" si="159"/>
        <v/>
      </c>
      <c r="BR80" s="52" t="str">
        <f t="shared" si="199"/>
        <v/>
      </c>
      <c r="BS80" s="52">
        <f t="shared" si="200"/>
        <v>0</v>
      </c>
      <c r="BT80" s="52">
        <f t="shared" ref="BT80:BT111" si="221">+BS80+BT79</f>
        <v>0</v>
      </c>
      <c r="BU80" s="52" t="str">
        <f t="shared" si="201"/>
        <v/>
      </c>
      <c r="BV80" s="52" t="str">
        <f t="shared" si="202"/>
        <v/>
      </c>
      <c r="BW80" s="52" t="str">
        <f t="shared" ref="BW80:BW111" si="222">+IF(BX80="","",",")</f>
        <v/>
      </c>
      <c r="BX80" s="113" t="str">
        <f t="shared" si="160"/>
        <v/>
      </c>
      <c r="BY80" s="52" t="str">
        <f t="shared" si="203"/>
        <v/>
      </c>
      <c r="BZ80" s="52" t="str">
        <f t="shared" si="204"/>
        <v/>
      </c>
      <c r="CA80" s="52" t="str">
        <f t="shared" si="161"/>
        <v/>
      </c>
      <c r="CB80" s="52" t="str">
        <f t="shared" si="162"/>
        <v/>
      </c>
      <c r="CC80" s="52" t="str">
        <f t="shared" si="205"/>
        <v/>
      </c>
      <c r="CD80" s="52" t="str">
        <f t="shared" si="206"/>
        <v/>
      </c>
      <c r="CE80" s="102" t="str">
        <f t="shared" si="163"/>
        <v/>
      </c>
      <c r="CF80" s="116" t="str">
        <f t="shared" si="207"/>
        <v/>
      </c>
      <c r="CG80" s="61" t="str">
        <f t="shared" si="164"/>
        <v/>
      </c>
      <c r="CH80" s="52" t="str">
        <f t="shared" si="84"/>
        <v/>
      </c>
      <c r="CI80" s="52" t="str">
        <f t="shared" si="85"/>
        <v/>
      </c>
      <c r="CJ80" s="52" t="str">
        <f t="shared" si="208"/>
        <v/>
      </c>
      <c r="CK80" s="52" t="str">
        <f t="shared" si="209"/>
        <v/>
      </c>
      <c r="CL80" s="52" t="str">
        <f t="shared" si="210"/>
        <v/>
      </c>
      <c r="CM80" s="102" t="str">
        <f t="shared" si="211"/>
        <v/>
      </c>
      <c r="CN80" s="116" t="str">
        <f t="shared" si="212"/>
        <v/>
      </c>
      <c r="CO80" s="61">
        <f t="shared" si="146"/>
        <v>0</v>
      </c>
      <c r="CP80" s="61" t="str">
        <f t="shared" si="168"/>
        <v/>
      </c>
      <c r="CQ80" s="61" t="str">
        <f t="shared" si="148"/>
        <v/>
      </c>
      <c r="CR80" s="61" t="str">
        <f t="shared" si="149"/>
        <v/>
      </c>
      <c r="CS80" s="105" t="str">
        <f t="shared" si="150"/>
        <v/>
      </c>
      <c r="CT80" s="105" t="str">
        <f t="shared" si="151"/>
        <v/>
      </c>
      <c r="CU80" s="61" t="str">
        <f t="shared" si="152"/>
        <v/>
      </c>
      <c r="CV80" s="61" t="str">
        <f t="shared" si="153"/>
        <v/>
      </c>
      <c r="CW80" s="61" t="str">
        <f t="shared" si="213"/>
        <v/>
      </c>
      <c r="CX80" s="61" t="str">
        <f t="shared" si="165"/>
        <v/>
      </c>
      <c r="CY80" s="61" t="str">
        <f t="shared" si="169"/>
        <v/>
      </c>
      <c r="CZ80" s="102" t="str">
        <f t="shared" si="214"/>
        <v/>
      </c>
      <c r="DA80" s="17">
        <f t="shared" si="215"/>
        <v>0</v>
      </c>
      <c r="DC80" s="17">
        <f t="shared" si="167"/>
        <v>0</v>
      </c>
      <c r="DD80" s="17">
        <f t="shared" si="216"/>
        <v>0</v>
      </c>
      <c r="DE80" s="17" t="str">
        <f t="shared" si="217"/>
        <v/>
      </c>
      <c r="DF80" s="17" t="str">
        <f t="shared" si="218"/>
        <v/>
      </c>
    </row>
    <row r="81" spans="2:110" s="17" customFormat="1">
      <c r="B81" s="35"/>
      <c r="C81" s="35"/>
      <c r="D81" s="36"/>
      <c r="E81" s="35"/>
      <c r="F81" s="35"/>
      <c r="G81" s="35"/>
      <c r="H81" s="35"/>
      <c r="I81" s="35"/>
      <c r="J81" s="59"/>
      <c r="Z81" s="172" t="str">
        <f t="shared" si="170"/>
        <v/>
      </c>
      <c r="AB81" s="47" t="s">
        <v>260</v>
      </c>
      <c r="AC81" s="52" t="str">
        <f t="shared" si="166"/>
        <v/>
      </c>
      <c r="AD81" s="52">
        <f t="shared" si="154"/>
        <v>0</v>
      </c>
      <c r="AE81" s="52">
        <f t="shared" si="219"/>
        <v>0</v>
      </c>
      <c r="AF81" s="61" t="str">
        <f t="shared" si="171"/>
        <v/>
      </c>
      <c r="AG81" s="52">
        <f t="shared" si="172"/>
        <v>0</v>
      </c>
      <c r="AH81" s="52">
        <f t="shared" si="173"/>
        <v>0</v>
      </c>
      <c r="AI81" s="52" t="str">
        <f t="shared" si="174"/>
        <v/>
      </c>
      <c r="AJ81" s="61" t="str">
        <f t="shared" si="175"/>
        <v/>
      </c>
      <c r="AK81" s="95" t="str">
        <f t="shared" si="176"/>
        <v/>
      </c>
      <c r="AL81" s="61" t="str">
        <f t="shared" si="177"/>
        <v>if () {$("#adv_").html("Required");$("#").css({"background":"yellow"});} else {$("#adv_").html("");$("#").css({"background":"white"});}</v>
      </c>
      <c r="AM81" s="61" t="str">
        <f t="shared" si="178"/>
        <v>if (=="") {$("#adv_").html("Required");$("#adv_").css({"background":"yellow"});} else {$("#adv_").html("");}</v>
      </c>
      <c r="AN81" s="61" t="str">
        <f t="shared" si="83"/>
        <v>if (=="") {$("#adv_").html("Required");$("#").css({"background":"yellow"});} else {$("#adv_").html("");$("#").css({"background":"white"});}</v>
      </c>
      <c r="AO81" s="50" t="str">
        <f t="shared" si="179"/>
        <v/>
      </c>
      <c r="AP81" s="61" t="str">
        <f t="shared" si="180"/>
        <v>=$("#").val();</v>
      </c>
      <c r="AQ81" s="61" t="str">
        <f t="shared" si="181"/>
        <v/>
      </c>
      <c r="AR81" s="50" t="str">
        <f t="shared" si="182"/>
        <v>&lt;input type="checkbox" id="" name="" value="1" /&gt;</v>
      </c>
      <c r="AS81" s="61" t="str">
        <f t="shared" si="183"/>
        <v>=document.getElementById("").checked;</v>
      </c>
      <c r="AT81" s="102" t="str">
        <f t="shared" si="184"/>
        <v>if (isset($_GET[''])) {$=($_GET['']);}else $='';</v>
      </c>
      <c r="AU81" s="52" t="str">
        <f t="shared" si="185"/>
        <v/>
      </c>
      <c r="AV81" s="52" t="str">
        <f t="shared" si="147"/>
        <v>&lt;select size="1" name="" id=""&gt;&lt;option value=""&gt;</v>
      </c>
      <c r="AW81" s="52" t="str">
        <f t="shared" si="186"/>
        <v>&lt;option value=""&gt;&lt;/option&gt;</v>
      </c>
      <c r="AX81" s="145" t="str">
        <f t="shared" si="187"/>
        <v/>
      </c>
      <c r="AY81" s="102" t="str">
        <f>""</f>
        <v/>
      </c>
      <c r="AZ81" s="102"/>
      <c r="BA81" s="113">
        <f t="shared" si="188"/>
        <v>0</v>
      </c>
      <c r="BB81" s="103" t="str">
        <f t="shared" si="189"/>
        <v>0:</v>
      </c>
      <c r="BC81" s="50" t="str">
        <f t="shared" si="190"/>
        <v>0:&lt;span id="adv_0"&gt;&lt;/span&gt;&lt;br/&gt;&lt;input type="radio" name="0" id="" value="" /&gt;</v>
      </c>
      <c r="BD81" s="52" t="str">
        <f t="shared" si="191"/>
        <v>else if (document.getElementById("</v>
      </c>
      <c r="BE81" s="61" t="str">
        <f t="shared" si="192"/>
        <v>else if (document.getElementById("").checked==true) {0="";}</v>
      </c>
      <c r="BF81" s="61" t="str">
        <f t="shared" si="193"/>
        <v/>
      </c>
      <c r="BG81" s="61" t="str">
        <f t="shared" si="194"/>
        <v>0:0</v>
      </c>
      <c r="BH81" s="102" t="str">
        <f t="shared" si="195"/>
        <v>if (isset($_GET['0'])) {$0=($_GET['0']);}else $0='';</v>
      </c>
      <c r="BI81" s="105" t="str">
        <f t="shared" si="196"/>
        <v>&lt;br/&gt;&lt;textarea rows="2" cols="80" id=""&gt;&lt;/textarea&gt;&lt;br/&gt;</v>
      </c>
      <c r="BJ81" s="107" t="str">
        <f t="shared" si="197"/>
        <v>&lt;input type="text"  size="7"  id="" class="datepicker"/&gt;</v>
      </c>
      <c r="BK81" s="107" t="str">
        <f t="shared" si="198"/>
        <v>&lt;h2 id=""&gt;&lt;/h2&gt;</v>
      </c>
      <c r="BL81" s="109" t="str">
        <f t="shared" si="155"/>
        <v/>
      </c>
      <c r="BM81" s="61" t="str">
        <f t="shared" si="156"/>
        <v/>
      </c>
      <c r="BN81" s="52">
        <f t="shared" si="220"/>
        <v>0</v>
      </c>
      <c r="BO81" s="61" t="str">
        <f t="shared" si="157"/>
        <v/>
      </c>
      <c r="BP81" s="102" t="str">
        <f t="shared" si="158"/>
        <v/>
      </c>
      <c r="BQ81" s="105" t="str">
        <f t="shared" si="159"/>
        <v/>
      </c>
      <c r="BR81" s="52" t="str">
        <f t="shared" si="199"/>
        <v/>
      </c>
      <c r="BS81" s="52">
        <f t="shared" si="200"/>
        <v>0</v>
      </c>
      <c r="BT81" s="52">
        <f t="shared" si="221"/>
        <v>0</v>
      </c>
      <c r="BU81" s="52" t="str">
        <f t="shared" si="201"/>
        <v/>
      </c>
      <c r="BV81" s="52" t="str">
        <f t="shared" si="202"/>
        <v/>
      </c>
      <c r="BW81" s="52" t="str">
        <f t="shared" si="222"/>
        <v/>
      </c>
      <c r="BX81" s="113" t="str">
        <f t="shared" si="160"/>
        <v/>
      </c>
      <c r="BY81" s="52" t="str">
        <f t="shared" si="203"/>
        <v/>
      </c>
      <c r="BZ81" s="52" t="str">
        <f t="shared" si="204"/>
        <v/>
      </c>
      <c r="CA81" s="52" t="str">
        <f t="shared" si="161"/>
        <v/>
      </c>
      <c r="CB81" s="52" t="str">
        <f t="shared" si="162"/>
        <v/>
      </c>
      <c r="CC81" s="52" t="str">
        <f t="shared" si="205"/>
        <v/>
      </c>
      <c r="CD81" s="52" t="str">
        <f t="shared" si="206"/>
        <v/>
      </c>
      <c r="CE81" s="102" t="str">
        <f t="shared" si="163"/>
        <v/>
      </c>
      <c r="CF81" s="116" t="str">
        <f t="shared" si="207"/>
        <v/>
      </c>
      <c r="CG81" s="61" t="str">
        <f t="shared" si="164"/>
        <v/>
      </c>
      <c r="CH81" s="52" t="str">
        <f t="shared" si="84"/>
        <v/>
      </c>
      <c r="CI81" s="52" t="str">
        <f t="shared" si="85"/>
        <v/>
      </c>
      <c r="CJ81" s="52" t="str">
        <f t="shared" si="208"/>
        <v/>
      </c>
      <c r="CK81" s="52" t="str">
        <f t="shared" si="209"/>
        <v/>
      </c>
      <c r="CL81" s="52" t="str">
        <f t="shared" si="210"/>
        <v/>
      </c>
      <c r="CM81" s="102" t="str">
        <f t="shared" si="211"/>
        <v/>
      </c>
      <c r="CN81" s="116" t="str">
        <f t="shared" si="212"/>
        <v/>
      </c>
      <c r="CO81" s="61">
        <f t="shared" ref="CO81:CO113" si="223">IF(AND(CO82=2,BA81=BA82),2,IF(IF(I82="si",1,0)=1,2,0))</f>
        <v>0</v>
      </c>
      <c r="CP81" s="61" t="str">
        <f t="shared" si="168"/>
        <v/>
      </c>
      <c r="CQ81" s="61" t="str">
        <f t="shared" si="148"/>
        <v/>
      </c>
      <c r="CR81" s="61" t="str">
        <f t="shared" si="149"/>
        <v/>
      </c>
      <c r="CS81" s="105" t="str">
        <f t="shared" si="150"/>
        <v/>
      </c>
      <c r="CT81" s="105" t="str">
        <f t="shared" si="151"/>
        <v/>
      </c>
      <c r="CU81" s="61" t="str">
        <f t="shared" si="152"/>
        <v/>
      </c>
      <c r="CV81" s="61" t="str">
        <f t="shared" si="153"/>
        <v/>
      </c>
      <c r="CW81" s="61" t="str">
        <f t="shared" si="213"/>
        <v/>
      </c>
      <c r="CX81" s="61" t="str">
        <f t="shared" si="165"/>
        <v/>
      </c>
      <c r="CY81" s="61" t="str">
        <f t="shared" si="169"/>
        <v/>
      </c>
      <c r="CZ81" s="102" t="str">
        <f t="shared" si="214"/>
        <v/>
      </c>
      <c r="DA81" s="17">
        <f t="shared" si="215"/>
        <v>0</v>
      </c>
      <c r="DC81" s="17">
        <f t="shared" si="167"/>
        <v>0</v>
      </c>
      <c r="DD81" s="17">
        <f t="shared" si="216"/>
        <v>0</v>
      </c>
      <c r="DE81" s="17" t="str">
        <f t="shared" si="217"/>
        <v/>
      </c>
      <c r="DF81" s="17" t="str">
        <f t="shared" si="218"/>
        <v/>
      </c>
    </row>
    <row r="82" spans="2:110" s="17" customFormat="1">
      <c r="B82" s="35"/>
      <c r="C82" s="35"/>
      <c r="D82" s="36"/>
      <c r="E82" s="35"/>
      <c r="F82" s="35"/>
      <c r="G82" s="35"/>
      <c r="H82" s="35"/>
      <c r="I82" s="35"/>
      <c r="J82" s="59"/>
      <c r="Z82" s="172" t="str">
        <f t="shared" si="170"/>
        <v/>
      </c>
      <c r="AB82" s="47" t="s">
        <v>261</v>
      </c>
      <c r="AC82" s="52" t="str">
        <f t="shared" si="166"/>
        <v/>
      </c>
      <c r="AD82" s="52">
        <f t="shared" si="154"/>
        <v>0</v>
      </c>
      <c r="AE82" s="52">
        <f t="shared" si="219"/>
        <v>0</v>
      </c>
      <c r="AF82" s="61" t="str">
        <f t="shared" si="171"/>
        <v/>
      </c>
      <c r="AG82" s="52">
        <f t="shared" si="172"/>
        <v>0</v>
      </c>
      <c r="AH82" s="52">
        <f t="shared" si="173"/>
        <v>0</v>
      </c>
      <c r="AI82" s="52" t="str">
        <f t="shared" si="174"/>
        <v/>
      </c>
      <c r="AJ82" s="61" t="str">
        <f t="shared" si="175"/>
        <v/>
      </c>
      <c r="AK82" s="95" t="str">
        <f t="shared" si="176"/>
        <v/>
      </c>
      <c r="AL82" s="61" t="str">
        <f t="shared" si="177"/>
        <v>if () {$("#adv_").html("Required");$("#").css({"background":"yellow"});} else {$("#adv_").html("");$("#").css({"background":"white"});}</v>
      </c>
      <c r="AM82" s="61" t="str">
        <f t="shared" si="178"/>
        <v>if (=="") {$("#adv_").html("Required");$("#adv_").css({"background":"yellow"});} else {$("#adv_").html("");}</v>
      </c>
      <c r="AN82" s="61" t="str">
        <f t="shared" si="83"/>
        <v>if (=="") {$("#adv_").html("Required");$("#").css({"background":"yellow"});} else {$("#adv_").html("");$("#").css({"background":"white"});}</v>
      </c>
      <c r="AO82" s="50" t="str">
        <f t="shared" si="179"/>
        <v/>
      </c>
      <c r="AP82" s="61" t="str">
        <f t="shared" si="180"/>
        <v>=$("#").val();</v>
      </c>
      <c r="AQ82" s="61" t="str">
        <f t="shared" si="181"/>
        <v/>
      </c>
      <c r="AR82" s="50" t="str">
        <f t="shared" si="182"/>
        <v>&lt;input type="checkbox" id="" name="" value="1" /&gt;</v>
      </c>
      <c r="AS82" s="61" t="str">
        <f t="shared" si="183"/>
        <v>=document.getElementById("").checked;</v>
      </c>
      <c r="AT82" s="102" t="str">
        <f t="shared" si="184"/>
        <v>if (isset($_GET[''])) {$=($_GET['']);}else $='';</v>
      </c>
      <c r="AU82" s="52" t="str">
        <f t="shared" si="185"/>
        <v/>
      </c>
      <c r="AV82" s="52" t="str">
        <f t="shared" ref="AV82:AV113" si="224">AU82&amp;$K$8&amp;AU82&amp;$C$11&amp;AU82&amp;$K$9&amp;$K$10&amp;C82&amp;$K$9&amp;C82&amp;I78</f>
        <v>&lt;select size="1" name="" id=""&gt;&lt;option value=""&gt;</v>
      </c>
      <c r="AW82" s="52" t="str">
        <f t="shared" si="186"/>
        <v>&lt;option value=""&gt;&lt;/option&gt;</v>
      </c>
      <c r="AX82" s="145" t="str">
        <f t="shared" si="187"/>
        <v/>
      </c>
      <c r="AY82" s="102" t="str">
        <f>""</f>
        <v/>
      </c>
      <c r="AZ82" s="102"/>
      <c r="BA82" s="113">
        <f t="shared" si="188"/>
        <v>0</v>
      </c>
      <c r="BB82" s="103" t="str">
        <f t="shared" si="189"/>
        <v>0:</v>
      </c>
      <c r="BC82" s="50" t="str">
        <f t="shared" si="190"/>
        <v>0:&lt;span id="adv_0"&gt;&lt;/span&gt;&lt;br/&gt;&lt;input type="radio" name="0" id="" value="" /&gt;</v>
      </c>
      <c r="BD82" s="52" t="str">
        <f t="shared" si="191"/>
        <v>else if (document.getElementById("</v>
      </c>
      <c r="BE82" s="61" t="str">
        <f t="shared" si="192"/>
        <v>else if (document.getElementById("").checked==true) {0="";}</v>
      </c>
      <c r="BF82" s="61" t="str">
        <f t="shared" si="193"/>
        <v/>
      </c>
      <c r="BG82" s="61" t="str">
        <f t="shared" si="194"/>
        <v>0:0</v>
      </c>
      <c r="BH82" s="102" t="str">
        <f t="shared" si="195"/>
        <v>if (isset($_GET['0'])) {$0=($_GET['0']);}else $0='';</v>
      </c>
      <c r="BI82" s="105" t="str">
        <f t="shared" si="196"/>
        <v>&lt;br/&gt;&lt;textarea rows="2" cols="80" id=""&gt;&lt;/textarea&gt;&lt;br/&gt;</v>
      </c>
      <c r="BJ82" s="107" t="str">
        <f t="shared" si="197"/>
        <v>&lt;input type="text"  size="7"  id="" class="datepicker"/&gt;</v>
      </c>
      <c r="BK82" s="107" t="str">
        <f t="shared" si="198"/>
        <v>&lt;h2 id=""&gt;&lt;/h2&gt;</v>
      </c>
      <c r="BL82" s="109" t="str">
        <f t="shared" si="155"/>
        <v/>
      </c>
      <c r="BM82" s="61" t="str">
        <f t="shared" si="156"/>
        <v/>
      </c>
      <c r="BN82" s="52">
        <f t="shared" si="220"/>
        <v>0</v>
      </c>
      <c r="BO82" s="61" t="str">
        <f t="shared" si="157"/>
        <v/>
      </c>
      <c r="BP82" s="102" t="str">
        <f t="shared" si="158"/>
        <v/>
      </c>
      <c r="BQ82" s="105" t="str">
        <f t="shared" si="159"/>
        <v/>
      </c>
      <c r="BR82" s="52" t="str">
        <f t="shared" si="199"/>
        <v/>
      </c>
      <c r="BS82" s="52">
        <f t="shared" si="200"/>
        <v>0</v>
      </c>
      <c r="BT82" s="52">
        <f t="shared" si="221"/>
        <v>0</v>
      </c>
      <c r="BU82" s="52" t="str">
        <f t="shared" si="201"/>
        <v/>
      </c>
      <c r="BV82" s="52" t="str">
        <f t="shared" si="202"/>
        <v/>
      </c>
      <c r="BW82" s="52" t="str">
        <f t="shared" si="222"/>
        <v/>
      </c>
      <c r="BX82" s="113" t="str">
        <f t="shared" si="160"/>
        <v/>
      </c>
      <c r="BY82" s="52" t="str">
        <f t="shared" si="203"/>
        <v/>
      </c>
      <c r="BZ82" s="52" t="str">
        <f t="shared" si="204"/>
        <v/>
      </c>
      <c r="CA82" s="52" t="str">
        <f t="shared" si="161"/>
        <v/>
      </c>
      <c r="CB82" s="52" t="str">
        <f t="shared" si="162"/>
        <v/>
      </c>
      <c r="CC82" s="52" t="str">
        <f t="shared" si="205"/>
        <v/>
      </c>
      <c r="CD82" s="52" t="str">
        <f t="shared" si="206"/>
        <v/>
      </c>
      <c r="CE82" s="102" t="str">
        <f t="shared" si="163"/>
        <v/>
      </c>
      <c r="CF82" s="116" t="str">
        <f t="shared" si="207"/>
        <v/>
      </c>
      <c r="CG82" s="61" t="str">
        <f t="shared" si="164"/>
        <v/>
      </c>
      <c r="CH82" s="52" t="str">
        <f t="shared" si="84"/>
        <v/>
      </c>
      <c r="CI82" s="52" t="str">
        <f t="shared" si="85"/>
        <v/>
      </c>
      <c r="CJ82" s="52" t="str">
        <f t="shared" si="208"/>
        <v/>
      </c>
      <c r="CK82" s="52" t="str">
        <f t="shared" si="209"/>
        <v/>
      </c>
      <c r="CL82" s="52" t="str">
        <f t="shared" si="210"/>
        <v/>
      </c>
      <c r="CM82" s="102" t="str">
        <f t="shared" si="211"/>
        <v/>
      </c>
      <c r="CN82" s="116" t="str">
        <f t="shared" si="212"/>
        <v/>
      </c>
      <c r="CO82" s="61">
        <f t="shared" si="223"/>
        <v>0</v>
      </c>
      <c r="CP82" s="61" t="str">
        <f t="shared" si="168"/>
        <v/>
      </c>
      <c r="CQ82" s="61" t="str">
        <f t="shared" ref="CQ82:CQ114" si="225">+IF(I82="si","||"&amp;C82&amp;$P$9&amp;$Q$1,"")</f>
        <v/>
      </c>
      <c r="CR82" s="61" t="str">
        <f t="shared" ref="CR82:CR114" si="226">+IF(I82="si",$G$7&amp;C82&amp;$P$11&amp;$C$5&amp;C82&amp;$C$8&amp;$Q$2&amp;C82&amp;$H$8,"")</f>
        <v/>
      </c>
      <c r="CS82" s="105" t="str">
        <f t="shared" ref="CS82:CS114" si="227">+IF(I82="si",$A$9&amp;C82&amp;$P$9&amp;$J$12,"")</f>
        <v/>
      </c>
      <c r="CT82" s="105" t="str">
        <f t="shared" ref="CT82:CT114" si="228">+IF(I82="si","&lt;/div&gt;","")</f>
        <v/>
      </c>
      <c r="CU82" s="61" t="str">
        <f t="shared" ref="CU82:CU114" si="229">IF(I82="si",$C$5&amp;C82&amp;$P$9&amp;$H$4&amp;$C$5&amp;C82&amp;$Q$3,"")</f>
        <v/>
      </c>
      <c r="CV82" s="61" t="str">
        <f t="shared" ref="CV82:CV114" si="230">+IF(CO82=2,CV83,IF(I82="si",C82,""))</f>
        <v/>
      </c>
      <c r="CW82" s="61" t="str">
        <f t="shared" si="213"/>
        <v/>
      </c>
      <c r="CX82" s="61" t="str">
        <f t="shared" si="165"/>
        <v/>
      </c>
      <c r="CY82" s="61" t="str">
        <f t="shared" si="169"/>
        <v/>
      </c>
      <c r="CZ82" s="102" t="str">
        <f t="shared" si="214"/>
        <v/>
      </c>
      <c r="DA82" s="17">
        <f t="shared" si="215"/>
        <v>0</v>
      </c>
      <c r="DC82" s="17">
        <f t="shared" si="167"/>
        <v>0</v>
      </c>
      <c r="DD82" s="17">
        <f t="shared" si="216"/>
        <v>0</v>
      </c>
      <c r="DE82" s="17" t="str">
        <f t="shared" si="217"/>
        <v/>
      </c>
      <c r="DF82" s="17" t="str">
        <f t="shared" si="218"/>
        <v/>
      </c>
    </row>
    <row r="83" spans="2:110" s="17" customFormat="1">
      <c r="B83" s="35"/>
      <c r="C83" s="35"/>
      <c r="D83" s="36"/>
      <c r="E83" s="35"/>
      <c r="F83" s="35"/>
      <c r="G83" s="35"/>
      <c r="H83" s="35"/>
      <c r="I83" s="35"/>
      <c r="J83" s="59"/>
      <c r="Z83" s="172" t="str">
        <f t="shared" si="170"/>
        <v/>
      </c>
      <c r="AB83" s="47" t="s">
        <v>262</v>
      </c>
      <c r="AC83" s="52" t="str">
        <f t="shared" si="166"/>
        <v/>
      </c>
      <c r="AD83" s="52">
        <f t="shared" ref="AD83:AD114" si="231">+IF(OR(E83=$M$2,E83=$M$6,E83=$M$7),1,0)</f>
        <v>0</v>
      </c>
      <c r="AE83" s="52">
        <f t="shared" si="219"/>
        <v>0</v>
      </c>
      <c r="AF83" s="61" t="str">
        <f t="shared" si="171"/>
        <v/>
      </c>
      <c r="AG83" s="52">
        <f t="shared" si="172"/>
        <v>0</v>
      </c>
      <c r="AH83" s="52">
        <f t="shared" si="173"/>
        <v>0</v>
      </c>
      <c r="AI83" s="52" t="str">
        <f t="shared" si="174"/>
        <v/>
      </c>
      <c r="AJ83" s="61" t="str">
        <f t="shared" si="175"/>
        <v/>
      </c>
      <c r="AK83" s="95" t="str">
        <f t="shared" si="176"/>
        <v/>
      </c>
      <c r="AL83" s="61" t="str">
        <f t="shared" si="177"/>
        <v>if () {$("#adv_").html("Required");$("#").css({"background":"yellow"});} else {$("#adv_").html("");$("#").css({"background":"white"});}</v>
      </c>
      <c r="AM83" s="61" t="str">
        <f t="shared" si="178"/>
        <v>if (=="") {$("#adv_").html("Required");$("#adv_").css({"background":"yellow"});} else {$("#adv_").html("");}</v>
      </c>
      <c r="AN83" s="61" t="str">
        <f t="shared" si="83"/>
        <v>if (=="") {$("#adv_").html("Required");$("#").css({"background":"yellow"});} else {$("#adv_").html("");$("#").css({"background":"white"});}</v>
      </c>
      <c r="AO83" s="50" t="str">
        <f t="shared" si="179"/>
        <v/>
      </c>
      <c r="AP83" s="61" t="str">
        <f t="shared" si="180"/>
        <v>=$("#").val();</v>
      </c>
      <c r="AQ83" s="61" t="str">
        <f t="shared" si="181"/>
        <v/>
      </c>
      <c r="AR83" s="50" t="str">
        <f t="shared" si="182"/>
        <v>&lt;input type="checkbox" id="" name="" value="1" /&gt;</v>
      </c>
      <c r="AS83" s="61" t="str">
        <f t="shared" si="183"/>
        <v>=document.getElementById("").checked;</v>
      </c>
      <c r="AT83" s="102" t="str">
        <f t="shared" si="184"/>
        <v>if (isset($_GET[''])) {$=($_GET['']);}else $='';</v>
      </c>
      <c r="AU83" s="52" t="str">
        <f t="shared" si="185"/>
        <v/>
      </c>
      <c r="AV83" s="52" t="str">
        <f t="shared" si="224"/>
        <v>&lt;select size="1" name="" id=""&gt;&lt;option value=""&gt;</v>
      </c>
      <c r="AW83" s="52" t="str">
        <f t="shared" si="186"/>
        <v>&lt;option value=""&gt;&lt;/option&gt;</v>
      </c>
      <c r="AX83" s="145" t="str">
        <f t="shared" si="187"/>
        <v/>
      </c>
      <c r="AY83" s="102" t="str">
        <f>""</f>
        <v/>
      </c>
      <c r="AZ83" s="102"/>
      <c r="BA83" s="113">
        <f t="shared" si="188"/>
        <v>0</v>
      </c>
      <c r="BB83" s="103" t="str">
        <f t="shared" si="189"/>
        <v>0:</v>
      </c>
      <c r="BC83" s="50" t="str">
        <f t="shared" si="190"/>
        <v>0:&lt;span id="adv_0"&gt;&lt;/span&gt;&lt;br/&gt;&lt;input type="radio" name="0" id="" value="" /&gt;</v>
      </c>
      <c r="BD83" s="52" t="str">
        <f t="shared" si="191"/>
        <v>else if (document.getElementById("</v>
      </c>
      <c r="BE83" s="61" t="str">
        <f t="shared" si="192"/>
        <v>else if (document.getElementById("").checked==true) {0="";}</v>
      </c>
      <c r="BF83" s="61" t="str">
        <f t="shared" si="193"/>
        <v/>
      </c>
      <c r="BG83" s="61" t="str">
        <f t="shared" si="194"/>
        <v>0:0</v>
      </c>
      <c r="BH83" s="102" t="str">
        <f t="shared" si="195"/>
        <v>if (isset($_GET['0'])) {$0=($_GET['0']);}else $0='';</v>
      </c>
      <c r="BI83" s="105" t="str">
        <f t="shared" si="196"/>
        <v>&lt;br/&gt;&lt;textarea rows="2" cols="80" id=""&gt;&lt;/textarea&gt;&lt;br/&gt;</v>
      </c>
      <c r="BJ83" s="107" t="str">
        <f t="shared" si="197"/>
        <v>&lt;input type="text"  size="7"  id="" class="datepicker"/&gt;</v>
      </c>
      <c r="BK83" s="107" t="str">
        <f t="shared" si="198"/>
        <v>&lt;h2 id=""&gt;&lt;/h2&gt;</v>
      </c>
      <c r="BL83" s="109" t="str">
        <f t="shared" ref="BL83:BL114" si="232">IF(AND(E83="title",B83&lt;&gt;"",C83&lt;&gt;""),BK83,CS83&amp;IF(C83="","",IF(E83="check",AR83,IF(E83="texto",AO83,IF(E83="radio",BC83,IF(E83="date",BJ83,IF(E83="bigtext",BI83,IF(E83=$M$8,"",AX83)))))))&amp;CT83)</f>
        <v/>
      </c>
      <c r="BM83" s="61" t="str">
        <f t="shared" ref="BM83:BM114" si="233">IF(C83="","",IF(E83="texto",AP83,IF(E83="check",AS83,IF(E83="radio",BE83,IF(E83="date",AP83,IF(E83="bigtext",AP83,IF(E83=$M$8,"",AQ83)))))))</f>
        <v/>
      </c>
      <c r="BN83" s="52">
        <f t="shared" si="220"/>
        <v>0</v>
      </c>
      <c r="BO83" s="61" t="str">
        <f t="shared" ref="BO83:BO114" si="234">IF(E83="title","",IF(E83=$M$8,"",IF(C83="","",IF(OR(E83="radio",E83="selectlist"),BG83,IF(BN83=1,"",",")&amp;C83&amp;":"&amp;C83))))</f>
        <v/>
      </c>
      <c r="BP83" s="102" t="str">
        <f t="shared" ref="BP83:BP114" si="235">IF(AND(E83="title",C83&lt;&gt;"",B83&lt;&gt;""),"",IF(E83=$M$8,"",IF(C83="","",IF(OR(E83="radio",E83="selectlist"),BH83,AT83))))</f>
        <v/>
      </c>
      <c r="BQ83" s="105" t="str">
        <f t="shared" ref="BQ83:BQ114" si="236">IF(AND(E83="title",C83&lt;&gt;"",B83&lt;&gt;""),"",IF(BL83="","",IF(AZ83=1,IF(AU83&lt;&gt;AU84,$C$6&amp;AU83&amp;$C$7,""),IF(G83="si",$C$6&amp;C83&amp;$C$7,""))&amp;"&lt;br/&gt;"))</f>
        <v/>
      </c>
      <c r="BR83" s="52" t="str">
        <f t="shared" si="199"/>
        <v/>
      </c>
      <c r="BS83" s="52">
        <f t="shared" si="200"/>
        <v>0</v>
      </c>
      <c r="BT83" s="52">
        <f t="shared" si="221"/>
        <v>0</v>
      </c>
      <c r="BU83" s="52" t="str">
        <f t="shared" si="201"/>
        <v/>
      </c>
      <c r="BV83" s="52" t="str">
        <f t="shared" si="202"/>
        <v/>
      </c>
      <c r="BW83" s="52" t="str">
        <f t="shared" si="222"/>
        <v/>
      </c>
      <c r="BX83" s="113" t="str">
        <f t="shared" ref="BX83:BX114" si="237">IF(E83="session",C83,IF(B83="","",IF(OR(E83="radio",E83="selectlist"),B83,C83)))</f>
        <v/>
      </c>
      <c r="BY83" s="52" t="str">
        <f t="shared" si="203"/>
        <v/>
      </c>
      <c r="BZ83" s="52" t="str">
        <f t="shared" si="204"/>
        <v/>
      </c>
      <c r="CA83" s="52" t="str">
        <f t="shared" ref="CA83:CA114" si="238">IF(AND(E83="title",C83&lt;&gt;"",B83&lt;&gt;""),"",BW83&amp;BX83)</f>
        <v/>
      </c>
      <c r="CB83" s="52" t="str">
        <f t="shared" ref="CB83:CB114" si="239">IF(AND(E83="title",C83&lt;&gt;"",B83&lt;&gt;""),"",IF(BX83="","",BW83&amp;"'$"&amp;BX83&amp;"'"))</f>
        <v/>
      </c>
      <c r="CC83" s="52" t="str">
        <f t="shared" si="205"/>
        <v/>
      </c>
      <c r="CD83" s="52" t="str">
        <f t="shared" si="206"/>
        <v/>
      </c>
      <c r="CE83" s="102" t="str">
        <f t="shared" ref="CE83:CE114" si="240">IF(AND(E83="title",C83&lt;&gt;"",B83&lt;&gt;""),"",IF(BX83="","",IF(E83="check",$G$7&amp;"$"&amp;C83&amp;$K$6&amp;B83&amp;$K$7,$G$1&amp;B83&amp;$G$2&amp;CC83&amp;";")))</f>
        <v/>
      </c>
      <c r="CF83" s="116" t="str">
        <f t="shared" si="207"/>
        <v/>
      </c>
      <c r="CG83" s="61" t="str">
        <f t="shared" ref="CG83:CG114" si="241">+IF(OR(E83="texto",E83="bigtext",E83="selectlist",E83="date"),CJ83,IF(E83="check",CL83,CK83))</f>
        <v/>
      </c>
      <c r="CH83" s="52" t="str">
        <f t="shared" si="84"/>
        <v/>
      </c>
      <c r="CI83" s="52" t="str">
        <f t="shared" si="85"/>
        <v/>
      </c>
      <c r="CJ83" s="52" t="str">
        <f t="shared" si="208"/>
        <v/>
      </c>
      <c r="CK83" s="52" t="str">
        <f t="shared" si="209"/>
        <v/>
      </c>
      <c r="CL83" s="52" t="str">
        <f t="shared" si="210"/>
        <v/>
      </c>
      <c r="CM83" s="102" t="str">
        <f t="shared" si="211"/>
        <v/>
      </c>
      <c r="CN83" s="116" t="str">
        <f t="shared" si="212"/>
        <v/>
      </c>
      <c r="CO83" s="61">
        <f t="shared" si="223"/>
        <v>0</v>
      </c>
      <c r="CP83" s="61" t="str">
        <f t="shared" si="168"/>
        <v/>
      </c>
      <c r="CQ83" s="61" t="str">
        <f t="shared" si="225"/>
        <v/>
      </c>
      <c r="CR83" s="61" t="str">
        <f t="shared" si="226"/>
        <v/>
      </c>
      <c r="CS83" s="105" t="str">
        <f t="shared" si="227"/>
        <v/>
      </c>
      <c r="CT83" s="105" t="str">
        <f t="shared" si="228"/>
        <v/>
      </c>
      <c r="CU83" s="61" t="str">
        <f t="shared" si="229"/>
        <v/>
      </c>
      <c r="CV83" s="61" t="str">
        <f t="shared" si="230"/>
        <v/>
      </c>
      <c r="CW83" s="61" t="str">
        <f t="shared" si="213"/>
        <v/>
      </c>
      <c r="CX83" s="61" t="str">
        <f t="shared" si="165"/>
        <v/>
      </c>
      <c r="CY83" s="61" t="str">
        <f t="shared" si="169"/>
        <v/>
      </c>
      <c r="CZ83" s="102" t="str">
        <f t="shared" si="214"/>
        <v/>
      </c>
      <c r="DA83" s="17">
        <f t="shared" si="215"/>
        <v>0</v>
      </c>
      <c r="DC83" s="17">
        <f t="shared" si="167"/>
        <v>0</v>
      </c>
      <c r="DD83" s="17">
        <f t="shared" si="216"/>
        <v>0</v>
      </c>
      <c r="DE83" s="17" t="str">
        <f t="shared" si="217"/>
        <v/>
      </c>
      <c r="DF83" s="17" t="str">
        <f t="shared" si="218"/>
        <v/>
      </c>
    </row>
    <row r="84" spans="2:110" s="17" customFormat="1">
      <c r="B84" s="35"/>
      <c r="C84" s="35"/>
      <c r="D84" s="36"/>
      <c r="E84" s="35"/>
      <c r="F84" s="35"/>
      <c r="G84" s="35"/>
      <c r="H84" s="35"/>
      <c r="I84" s="35"/>
      <c r="J84" s="59"/>
      <c r="Z84" s="172" t="str">
        <f t="shared" si="170"/>
        <v/>
      </c>
      <c r="AB84" s="47" t="s">
        <v>263</v>
      </c>
      <c r="AC84" s="52" t="str">
        <f t="shared" si="166"/>
        <v/>
      </c>
      <c r="AD84" s="52">
        <f t="shared" si="231"/>
        <v>0</v>
      </c>
      <c r="AE84" s="52">
        <f t="shared" si="219"/>
        <v>0</v>
      </c>
      <c r="AF84" s="61" t="str">
        <f t="shared" si="171"/>
        <v/>
      </c>
      <c r="AG84" s="52">
        <f t="shared" si="172"/>
        <v>0</v>
      </c>
      <c r="AH84" s="52">
        <f t="shared" si="173"/>
        <v>0</v>
      </c>
      <c r="AI84" s="52" t="str">
        <f t="shared" si="174"/>
        <v/>
      </c>
      <c r="AJ84" s="61" t="str">
        <f t="shared" si="175"/>
        <v/>
      </c>
      <c r="AK84" s="95" t="str">
        <f t="shared" si="176"/>
        <v/>
      </c>
      <c r="AL84" s="61" t="str">
        <f t="shared" si="177"/>
        <v>if () {$("#adv_").html("Required");$("#").css({"background":"yellow"});} else {$("#adv_").html("");$("#").css({"background":"white"});}</v>
      </c>
      <c r="AM84" s="61" t="str">
        <f t="shared" si="178"/>
        <v>if (=="") {$("#adv_").html("Required");$("#adv_").css({"background":"yellow"});} else {$("#adv_").html("");}</v>
      </c>
      <c r="AN84" s="61" t="str">
        <f t="shared" ref="AN84:AN114" si="242">$G$7&amp;B84&amp;"=="&amp;$B$4&amp;$G$8&amp;B84&amp;$G$9&amp;$C$5&amp;B84&amp;$H$6&amp;$H$5&amp;B84&amp;$B$10&amp;$R$6&amp;$C$5&amp;B84&amp;$H$8</f>
        <v>if (=="") {$("#adv_").html("Required");$("#").css({"background":"yellow"});} else {$("#adv_").html("");$("#").css({"background":"white"});}</v>
      </c>
      <c r="AO84" s="50" t="str">
        <f t="shared" si="179"/>
        <v/>
      </c>
      <c r="AP84" s="61" t="str">
        <f t="shared" si="180"/>
        <v>=$("#").val();</v>
      </c>
      <c r="AQ84" s="61" t="str">
        <f t="shared" si="181"/>
        <v/>
      </c>
      <c r="AR84" s="50" t="str">
        <f t="shared" si="182"/>
        <v>&lt;input type="checkbox" id="" name="" value="1" /&gt;</v>
      </c>
      <c r="AS84" s="61" t="str">
        <f t="shared" si="183"/>
        <v>=document.getElementById("").checked;</v>
      </c>
      <c r="AT84" s="102" t="str">
        <f t="shared" si="184"/>
        <v>if (isset($_GET[''])) {$=($_GET['']);}else $='';</v>
      </c>
      <c r="AU84" s="52" t="str">
        <f t="shared" si="185"/>
        <v/>
      </c>
      <c r="AV84" s="52" t="str">
        <f t="shared" si="224"/>
        <v>&lt;select size="1" name="" id=""&gt;&lt;option value=""&gt;</v>
      </c>
      <c r="AW84" s="52" t="str">
        <f t="shared" si="186"/>
        <v>&lt;option value=""&gt;&lt;/option&gt;</v>
      </c>
      <c r="AX84" s="145" t="str">
        <f t="shared" si="187"/>
        <v/>
      </c>
      <c r="AY84" s="102" t="str">
        <f>""</f>
        <v/>
      </c>
      <c r="AZ84" s="102"/>
      <c r="BA84" s="113">
        <f t="shared" si="188"/>
        <v>0</v>
      </c>
      <c r="BB84" s="103" t="str">
        <f t="shared" si="189"/>
        <v>0:</v>
      </c>
      <c r="BC84" s="50" t="str">
        <f t="shared" si="190"/>
        <v>0:&lt;span id="adv_0"&gt;&lt;/span&gt;&lt;br/&gt;&lt;input type="radio" name="0" id="" value="" /&gt;</v>
      </c>
      <c r="BD84" s="52" t="str">
        <f t="shared" si="191"/>
        <v>else if (document.getElementById("</v>
      </c>
      <c r="BE84" s="61" t="str">
        <f t="shared" si="192"/>
        <v>else if (document.getElementById("").checked==true) {0="";}</v>
      </c>
      <c r="BF84" s="61" t="str">
        <f t="shared" si="193"/>
        <v/>
      </c>
      <c r="BG84" s="61" t="str">
        <f t="shared" si="194"/>
        <v>0:0</v>
      </c>
      <c r="BH84" s="102" t="str">
        <f t="shared" si="195"/>
        <v>if (isset($_GET['0'])) {$0=($_GET['0']);}else $0='';</v>
      </c>
      <c r="BI84" s="105" t="str">
        <f t="shared" si="196"/>
        <v>&lt;br/&gt;&lt;textarea rows="2" cols="80" id=""&gt;&lt;/textarea&gt;&lt;br/&gt;</v>
      </c>
      <c r="BJ84" s="107" t="str">
        <f t="shared" si="197"/>
        <v>&lt;input type="text"  size="7"  id="" class="datepicker"/&gt;</v>
      </c>
      <c r="BK84" s="107" t="str">
        <f t="shared" si="198"/>
        <v>&lt;h2 id=""&gt;&lt;/h2&gt;</v>
      </c>
      <c r="BL84" s="109" t="str">
        <f t="shared" si="232"/>
        <v/>
      </c>
      <c r="BM84" s="61" t="str">
        <f t="shared" si="233"/>
        <v/>
      </c>
      <c r="BN84" s="52">
        <f t="shared" si="220"/>
        <v>0</v>
      </c>
      <c r="BO84" s="61" t="str">
        <f t="shared" si="234"/>
        <v/>
      </c>
      <c r="BP84" s="102" t="str">
        <f t="shared" si="235"/>
        <v/>
      </c>
      <c r="BQ84" s="105" t="str">
        <f t="shared" si="236"/>
        <v/>
      </c>
      <c r="BR84" s="52" t="str">
        <f t="shared" si="199"/>
        <v/>
      </c>
      <c r="BS84" s="52">
        <f t="shared" si="200"/>
        <v>0</v>
      </c>
      <c r="BT84" s="52">
        <f t="shared" si="221"/>
        <v>0</v>
      </c>
      <c r="BU84" s="52" t="str">
        <f t="shared" si="201"/>
        <v/>
      </c>
      <c r="BV84" s="52" t="str">
        <f t="shared" si="202"/>
        <v/>
      </c>
      <c r="BW84" s="52" t="str">
        <f t="shared" si="222"/>
        <v/>
      </c>
      <c r="BX84" s="113" t="str">
        <f t="shared" si="237"/>
        <v/>
      </c>
      <c r="BY84" s="52" t="str">
        <f t="shared" si="203"/>
        <v/>
      </c>
      <c r="BZ84" s="52" t="str">
        <f t="shared" si="204"/>
        <v/>
      </c>
      <c r="CA84" s="52" t="str">
        <f t="shared" si="238"/>
        <v/>
      </c>
      <c r="CB84" s="52" t="str">
        <f t="shared" si="239"/>
        <v/>
      </c>
      <c r="CC84" s="52" t="str">
        <f t="shared" si="205"/>
        <v/>
      </c>
      <c r="CD84" s="52" t="str">
        <f t="shared" si="206"/>
        <v/>
      </c>
      <c r="CE84" s="102" t="str">
        <f t="shared" si="240"/>
        <v/>
      </c>
      <c r="CF84" s="116" t="str">
        <f t="shared" si="207"/>
        <v/>
      </c>
      <c r="CG84" s="61" t="str">
        <f t="shared" si="241"/>
        <v/>
      </c>
      <c r="CH84" s="52" t="str">
        <f t="shared" ref="CH84:CH114" si="243">IF(AND(E84="selectlist",B84&lt;&gt;""),$C$5&amp;B84&amp;$I$2,IF(OR(C84="",E84="selectlist"),"",$C$5&amp;C84&amp;$I$2))</f>
        <v/>
      </c>
      <c r="CI84" s="52" t="str">
        <f t="shared" ref="CI84:CI114" si="244">IF(AND(E84="selectlist",B84&lt;&gt;"",G84="si"),$H$11&amp;B84&amp;$H$12&amp;$C$5&amp;B84&amp;$I$1,IF(AND(G84="si",C84&lt;&gt;""),$H$11&amp;C84&amp;$H$12&amp;$C$5&amp;C84&amp;$I$1,""))</f>
        <v/>
      </c>
      <c r="CJ84" s="52" t="str">
        <f t="shared" si="208"/>
        <v/>
      </c>
      <c r="CK84" s="52" t="str">
        <f t="shared" si="209"/>
        <v/>
      </c>
      <c r="CL84" s="52" t="str">
        <f t="shared" si="210"/>
        <v/>
      </c>
      <c r="CM84" s="102" t="str">
        <f t="shared" si="211"/>
        <v/>
      </c>
      <c r="CN84" s="116" t="str">
        <f t="shared" si="212"/>
        <v/>
      </c>
      <c r="CO84" s="61">
        <f t="shared" si="223"/>
        <v>0</v>
      </c>
      <c r="CP84" s="61" t="str">
        <f t="shared" si="168"/>
        <v/>
      </c>
      <c r="CQ84" s="61" t="str">
        <f t="shared" si="225"/>
        <v/>
      </c>
      <c r="CR84" s="61" t="str">
        <f t="shared" si="226"/>
        <v/>
      </c>
      <c r="CS84" s="105" t="str">
        <f t="shared" si="227"/>
        <v/>
      </c>
      <c r="CT84" s="105" t="str">
        <f t="shared" si="228"/>
        <v/>
      </c>
      <c r="CU84" s="61" t="str">
        <f t="shared" si="229"/>
        <v/>
      </c>
      <c r="CV84" s="61" t="str">
        <f t="shared" si="230"/>
        <v/>
      </c>
      <c r="CW84" s="61" t="str">
        <f t="shared" si="213"/>
        <v/>
      </c>
      <c r="CX84" s="61" t="str">
        <f t="shared" si="165"/>
        <v/>
      </c>
      <c r="CY84" s="61" t="str">
        <f t="shared" si="169"/>
        <v/>
      </c>
      <c r="CZ84" s="102" t="str">
        <f t="shared" si="214"/>
        <v/>
      </c>
      <c r="DA84" s="17">
        <f t="shared" si="215"/>
        <v>0</v>
      </c>
      <c r="DC84" s="17">
        <f t="shared" si="167"/>
        <v>0</v>
      </c>
      <c r="DD84" s="17">
        <f t="shared" si="216"/>
        <v>0</v>
      </c>
      <c r="DE84" s="17" t="str">
        <f t="shared" si="217"/>
        <v/>
      </c>
      <c r="DF84" s="17" t="str">
        <f t="shared" si="218"/>
        <v/>
      </c>
    </row>
    <row r="85" spans="2:110" s="17" customFormat="1">
      <c r="B85" s="35"/>
      <c r="C85" s="35"/>
      <c r="D85" s="36"/>
      <c r="E85" s="35"/>
      <c r="F85" s="35"/>
      <c r="G85" s="35"/>
      <c r="H85" s="35"/>
      <c r="I85" s="35"/>
      <c r="J85" s="59"/>
      <c r="Z85" s="172" t="str">
        <f t="shared" si="170"/>
        <v/>
      </c>
      <c r="AB85" s="47" t="s">
        <v>264</v>
      </c>
      <c r="AC85" s="52" t="str">
        <f t="shared" si="166"/>
        <v/>
      </c>
      <c r="AD85" s="52">
        <f t="shared" si="231"/>
        <v>0</v>
      </c>
      <c r="AE85" s="52">
        <f t="shared" si="219"/>
        <v>0</v>
      </c>
      <c r="AF85" s="61" t="str">
        <f t="shared" si="171"/>
        <v/>
      </c>
      <c r="AG85" s="52">
        <f t="shared" si="172"/>
        <v>0</v>
      </c>
      <c r="AH85" s="52">
        <f t="shared" si="173"/>
        <v>0</v>
      </c>
      <c r="AI85" s="52" t="str">
        <f t="shared" si="174"/>
        <v/>
      </c>
      <c r="AJ85" s="61" t="str">
        <f t="shared" si="175"/>
        <v/>
      </c>
      <c r="AK85" s="95" t="str">
        <f t="shared" si="176"/>
        <v/>
      </c>
      <c r="AL85" s="61" t="str">
        <f t="shared" si="177"/>
        <v>if () {$("#adv_").html("Required");$("#").css({"background":"yellow"});} else {$("#adv_").html("");$("#").css({"background":"white"});}</v>
      </c>
      <c r="AM85" s="61" t="str">
        <f t="shared" si="178"/>
        <v>if (=="") {$("#adv_").html("Required");$("#adv_").css({"background":"yellow"});} else {$("#adv_").html("");}</v>
      </c>
      <c r="AN85" s="61" t="str">
        <f t="shared" si="242"/>
        <v>if (=="") {$("#adv_").html("Required");$("#").css({"background":"yellow"});} else {$("#adv_").html("");$("#").css({"background":"white"});}</v>
      </c>
      <c r="AO85" s="50" t="str">
        <f t="shared" si="179"/>
        <v/>
      </c>
      <c r="AP85" s="61" t="str">
        <f t="shared" si="180"/>
        <v>=$("#").val();</v>
      </c>
      <c r="AQ85" s="61" t="str">
        <f t="shared" si="181"/>
        <v/>
      </c>
      <c r="AR85" s="50" t="str">
        <f t="shared" si="182"/>
        <v>&lt;input type="checkbox" id="" name="" value="1" /&gt;</v>
      </c>
      <c r="AS85" s="61" t="str">
        <f t="shared" si="183"/>
        <v>=document.getElementById("").checked;</v>
      </c>
      <c r="AT85" s="102" t="str">
        <f t="shared" si="184"/>
        <v>if (isset($_GET[''])) {$=($_GET['']);}else $='';</v>
      </c>
      <c r="AU85" s="52" t="str">
        <f t="shared" si="185"/>
        <v/>
      </c>
      <c r="AV85" s="52" t="str">
        <f t="shared" si="224"/>
        <v>&lt;select size="1" name="" id=""&gt;&lt;option value=""&gt;</v>
      </c>
      <c r="AW85" s="52" t="str">
        <f t="shared" si="186"/>
        <v>&lt;option value=""&gt;&lt;/option&gt;</v>
      </c>
      <c r="AX85" s="145" t="str">
        <f t="shared" si="187"/>
        <v/>
      </c>
      <c r="AY85" s="102" t="str">
        <f>""</f>
        <v/>
      </c>
      <c r="AZ85" s="102"/>
      <c r="BA85" s="113">
        <f t="shared" si="188"/>
        <v>0</v>
      </c>
      <c r="BB85" s="103" t="str">
        <f t="shared" si="189"/>
        <v>0:</v>
      </c>
      <c r="BC85" s="50" t="str">
        <f t="shared" si="190"/>
        <v>0:&lt;span id="adv_0"&gt;&lt;/span&gt;&lt;br/&gt;&lt;input type="radio" name="0" id="" value="" /&gt;</v>
      </c>
      <c r="BD85" s="52" t="str">
        <f t="shared" si="191"/>
        <v>else if (document.getElementById("</v>
      </c>
      <c r="BE85" s="61" t="str">
        <f t="shared" si="192"/>
        <v>else if (document.getElementById("").checked==true) {0="";}</v>
      </c>
      <c r="BF85" s="61" t="str">
        <f t="shared" si="193"/>
        <v/>
      </c>
      <c r="BG85" s="61" t="str">
        <f t="shared" si="194"/>
        <v>0:0</v>
      </c>
      <c r="BH85" s="102" t="str">
        <f t="shared" si="195"/>
        <v>if (isset($_GET['0'])) {$0=($_GET['0']);}else $0='';</v>
      </c>
      <c r="BI85" s="105" t="str">
        <f t="shared" si="196"/>
        <v>&lt;br/&gt;&lt;textarea rows="2" cols="80" id=""&gt;&lt;/textarea&gt;&lt;br/&gt;</v>
      </c>
      <c r="BJ85" s="107" t="str">
        <f t="shared" si="197"/>
        <v>&lt;input type="text"  size="7"  id="" class="datepicker"/&gt;</v>
      </c>
      <c r="BK85" s="107" t="str">
        <f t="shared" si="198"/>
        <v>&lt;h2 id=""&gt;&lt;/h2&gt;</v>
      </c>
      <c r="BL85" s="109" t="str">
        <f t="shared" si="232"/>
        <v/>
      </c>
      <c r="BM85" s="61" t="str">
        <f t="shared" si="233"/>
        <v/>
      </c>
      <c r="BN85" s="52">
        <f t="shared" si="220"/>
        <v>0</v>
      </c>
      <c r="BO85" s="61" t="str">
        <f t="shared" si="234"/>
        <v/>
      </c>
      <c r="BP85" s="102" t="str">
        <f t="shared" si="235"/>
        <v/>
      </c>
      <c r="BQ85" s="105" t="str">
        <f t="shared" si="236"/>
        <v/>
      </c>
      <c r="BR85" s="52" t="str">
        <f t="shared" si="199"/>
        <v/>
      </c>
      <c r="BS85" s="52">
        <f t="shared" si="200"/>
        <v>0</v>
      </c>
      <c r="BT85" s="52">
        <f t="shared" si="221"/>
        <v>0</v>
      </c>
      <c r="BU85" s="52" t="str">
        <f t="shared" si="201"/>
        <v/>
      </c>
      <c r="BV85" s="52" t="str">
        <f t="shared" si="202"/>
        <v/>
      </c>
      <c r="BW85" s="52" t="str">
        <f t="shared" si="222"/>
        <v/>
      </c>
      <c r="BX85" s="113" t="str">
        <f t="shared" si="237"/>
        <v/>
      </c>
      <c r="BY85" s="52" t="str">
        <f t="shared" si="203"/>
        <v/>
      </c>
      <c r="BZ85" s="52" t="str">
        <f t="shared" si="204"/>
        <v/>
      </c>
      <c r="CA85" s="52" t="str">
        <f t="shared" si="238"/>
        <v/>
      </c>
      <c r="CB85" s="52" t="str">
        <f t="shared" si="239"/>
        <v/>
      </c>
      <c r="CC85" s="52" t="str">
        <f t="shared" si="205"/>
        <v/>
      </c>
      <c r="CD85" s="52" t="str">
        <f t="shared" si="206"/>
        <v/>
      </c>
      <c r="CE85" s="102" t="str">
        <f t="shared" si="240"/>
        <v/>
      </c>
      <c r="CF85" s="116" t="str">
        <f t="shared" si="207"/>
        <v/>
      </c>
      <c r="CG85" s="61" t="str">
        <f t="shared" si="241"/>
        <v/>
      </c>
      <c r="CH85" s="52" t="str">
        <f t="shared" si="243"/>
        <v/>
      </c>
      <c r="CI85" s="52" t="str">
        <f t="shared" si="244"/>
        <v/>
      </c>
      <c r="CJ85" s="52" t="str">
        <f t="shared" si="208"/>
        <v/>
      </c>
      <c r="CK85" s="52" t="str">
        <f t="shared" si="209"/>
        <v/>
      </c>
      <c r="CL85" s="52" t="str">
        <f t="shared" si="210"/>
        <v/>
      </c>
      <c r="CM85" s="102" t="str">
        <f t="shared" si="211"/>
        <v/>
      </c>
      <c r="CN85" s="116" t="str">
        <f t="shared" si="212"/>
        <v/>
      </c>
      <c r="CO85" s="61">
        <f t="shared" si="223"/>
        <v>0</v>
      </c>
      <c r="CP85" s="61" t="str">
        <f t="shared" si="168"/>
        <v/>
      </c>
      <c r="CQ85" s="61" t="str">
        <f t="shared" si="225"/>
        <v/>
      </c>
      <c r="CR85" s="61" t="str">
        <f t="shared" si="226"/>
        <v/>
      </c>
      <c r="CS85" s="105" t="str">
        <f t="shared" si="227"/>
        <v/>
      </c>
      <c r="CT85" s="105" t="str">
        <f t="shared" si="228"/>
        <v/>
      </c>
      <c r="CU85" s="61" t="str">
        <f t="shared" si="229"/>
        <v/>
      </c>
      <c r="CV85" s="61" t="str">
        <f t="shared" si="230"/>
        <v/>
      </c>
      <c r="CW85" s="61" t="str">
        <f t="shared" si="213"/>
        <v/>
      </c>
      <c r="CX85" s="61" t="str">
        <f t="shared" si="165"/>
        <v/>
      </c>
      <c r="CY85" s="61" t="str">
        <f t="shared" si="169"/>
        <v/>
      </c>
      <c r="CZ85" s="102" t="str">
        <f t="shared" si="214"/>
        <v/>
      </c>
      <c r="DA85" s="17">
        <f t="shared" si="215"/>
        <v>0</v>
      </c>
      <c r="DC85" s="17">
        <f t="shared" si="167"/>
        <v>0</v>
      </c>
      <c r="DD85" s="17">
        <f t="shared" si="216"/>
        <v>0</v>
      </c>
      <c r="DE85" s="17" t="str">
        <f t="shared" si="217"/>
        <v/>
      </c>
      <c r="DF85" s="17" t="str">
        <f t="shared" si="218"/>
        <v/>
      </c>
    </row>
    <row r="86" spans="2:110" s="17" customFormat="1">
      <c r="B86" s="35"/>
      <c r="C86" s="35"/>
      <c r="D86" s="36"/>
      <c r="E86" s="35"/>
      <c r="F86" s="35"/>
      <c r="G86" s="35"/>
      <c r="H86" s="35"/>
      <c r="I86" s="35"/>
      <c r="J86" s="59"/>
      <c r="Z86" s="172" t="str">
        <f t="shared" si="170"/>
        <v/>
      </c>
      <c r="AB86" s="47" t="s">
        <v>265</v>
      </c>
      <c r="AC86" s="52" t="str">
        <f t="shared" si="166"/>
        <v/>
      </c>
      <c r="AD86" s="52">
        <f t="shared" si="231"/>
        <v>0</v>
      </c>
      <c r="AE86" s="52">
        <f t="shared" si="219"/>
        <v>0</v>
      </c>
      <c r="AF86" s="61" t="str">
        <f t="shared" si="171"/>
        <v/>
      </c>
      <c r="AG86" s="52">
        <f t="shared" si="172"/>
        <v>0</v>
      </c>
      <c r="AH86" s="52">
        <f t="shared" si="173"/>
        <v>0</v>
      </c>
      <c r="AI86" s="52" t="str">
        <f t="shared" si="174"/>
        <v/>
      </c>
      <c r="AJ86" s="61" t="str">
        <f t="shared" si="175"/>
        <v/>
      </c>
      <c r="AK86" s="95" t="str">
        <f t="shared" si="176"/>
        <v/>
      </c>
      <c r="AL86" s="61" t="str">
        <f t="shared" si="177"/>
        <v>if () {$("#adv_").html("Required");$("#").css({"background":"yellow"});} else {$("#adv_").html("");$("#").css({"background":"white"});}</v>
      </c>
      <c r="AM86" s="61" t="str">
        <f t="shared" si="178"/>
        <v>if (=="") {$("#adv_").html("Required");$("#adv_").css({"background":"yellow"});} else {$("#adv_").html("");}</v>
      </c>
      <c r="AN86" s="61" t="str">
        <f t="shared" si="242"/>
        <v>if (=="") {$("#adv_").html("Required");$("#").css({"background":"yellow"});} else {$("#adv_").html("");$("#").css({"background":"white"});}</v>
      </c>
      <c r="AO86" s="50" t="str">
        <f t="shared" si="179"/>
        <v/>
      </c>
      <c r="AP86" s="61" t="str">
        <f t="shared" si="180"/>
        <v>=$("#").val();</v>
      </c>
      <c r="AQ86" s="61" t="str">
        <f t="shared" si="181"/>
        <v/>
      </c>
      <c r="AR86" s="50" t="str">
        <f t="shared" si="182"/>
        <v>&lt;input type="checkbox" id="" name="" value="1" /&gt;</v>
      </c>
      <c r="AS86" s="61" t="str">
        <f t="shared" si="183"/>
        <v>=document.getElementById("").checked;</v>
      </c>
      <c r="AT86" s="102" t="str">
        <f t="shared" si="184"/>
        <v>if (isset($_GET[''])) {$=($_GET['']);}else $='';</v>
      </c>
      <c r="AU86" s="52" t="str">
        <f t="shared" si="185"/>
        <v/>
      </c>
      <c r="AV86" s="52" t="str">
        <f t="shared" si="224"/>
        <v>&lt;select size="1" name="" id=""&gt;&lt;option value=""&gt;</v>
      </c>
      <c r="AW86" s="52" t="str">
        <f t="shared" si="186"/>
        <v>&lt;option value=""&gt;&lt;/option&gt;</v>
      </c>
      <c r="AX86" s="145" t="str">
        <f t="shared" si="187"/>
        <v/>
      </c>
      <c r="AY86" s="102" t="str">
        <f>""</f>
        <v/>
      </c>
      <c r="AZ86" s="102"/>
      <c r="BA86" s="113">
        <f t="shared" si="188"/>
        <v>0</v>
      </c>
      <c r="BB86" s="103" t="str">
        <f t="shared" si="189"/>
        <v>0:</v>
      </c>
      <c r="BC86" s="50" t="str">
        <f t="shared" si="190"/>
        <v>0:&lt;span id="adv_0"&gt;&lt;/span&gt;&lt;br/&gt;&lt;input type="radio" name="0" id="" value="" /&gt;</v>
      </c>
      <c r="BD86" s="52" t="str">
        <f t="shared" si="191"/>
        <v>else if (document.getElementById("</v>
      </c>
      <c r="BE86" s="61" t="str">
        <f t="shared" si="192"/>
        <v>else if (document.getElementById("").checked==true) {0="";}</v>
      </c>
      <c r="BF86" s="61" t="str">
        <f t="shared" si="193"/>
        <v/>
      </c>
      <c r="BG86" s="61" t="str">
        <f t="shared" si="194"/>
        <v>0:0</v>
      </c>
      <c r="BH86" s="102" t="str">
        <f t="shared" si="195"/>
        <v>if (isset($_GET['0'])) {$0=($_GET['0']);}else $0='';</v>
      </c>
      <c r="BI86" s="105" t="str">
        <f t="shared" si="196"/>
        <v>&lt;br/&gt;&lt;textarea rows="2" cols="80" id=""&gt;&lt;/textarea&gt;&lt;br/&gt;</v>
      </c>
      <c r="BJ86" s="107" t="str">
        <f t="shared" si="197"/>
        <v>&lt;input type="text"  size="7"  id="" class="datepicker"/&gt;</v>
      </c>
      <c r="BK86" s="107" t="str">
        <f t="shared" si="198"/>
        <v>&lt;h2 id=""&gt;&lt;/h2&gt;</v>
      </c>
      <c r="BL86" s="109" t="str">
        <f t="shared" si="232"/>
        <v/>
      </c>
      <c r="BM86" s="61" t="str">
        <f t="shared" si="233"/>
        <v/>
      </c>
      <c r="BN86" s="52">
        <f t="shared" si="220"/>
        <v>0</v>
      </c>
      <c r="BO86" s="61" t="str">
        <f t="shared" si="234"/>
        <v/>
      </c>
      <c r="BP86" s="102" t="str">
        <f t="shared" si="235"/>
        <v/>
      </c>
      <c r="BQ86" s="105" t="str">
        <f t="shared" si="236"/>
        <v/>
      </c>
      <c r="BR86" s="52" t="str">
        <f t="shared" si="199"/>
        <v/>
      </c>
      <c r="BS86" s="52">
        <f t="shared" si="200"/>
        <v>0</v>
      </c>
      <c r="BT86" s="52">
        <f t="shared" si="221"/>
        <v>0</v>
      </c>
      <c r="BU86" s="52" t="str">
        <f t="shared" si="201"/>
        <v/>
      </c>
      <c r="BV86" s="52" t="str">
        <f t="shared" si="202"/>
        <v/>
      </c>
      <c r="BW86" s="52" t="str">
        <f t="shared" si="222"/>
        <v/>
      </c>
      <c r="BX86" s="113" t="str">
        <f t="shared" si="237"/>
        <v/>
      </c>
      <c r="BY86" s="52" t="str">
        <f t="shared" si="203"/>
        <v/>
      </c>
      <c r="BZ86" s="52" t="str">
        <f t="shared" si="204"/>
        <v/>
      </c>
      <c r="CA86" s="52" t="str">
        <f t="shared" si="238"/>
        <v/>
      </c>
      <c r="CB86" s="52" t="str">
        <f t="shared" si="239"/>
        <v/>
      </c>
      <c r="CC86" s="52" t="str">
        <f t="shared" si="205"/>
        <v/>
      </c>
      <c r="CD86" s="52" t="str">
        <f t="shared" si="206"/>
        <v/>
      </c>
      <c r="CE86" s="102" t="str">
        <f t="shared" si="240"/>
        <v/>
      </c>
      <c r="CF86" s="116" t="str">
        <f t="shared" si="207"/>
        <v/>
      </c>
      <c r="CG86" s="61" t="str">
        <f t="shared" si="241"/>
        <v/>
      </c>
      <c r="CH86" s="52" t="str">
        <f t="shared" si="243"/>
        <v/>
      </c>
      <c r="CI86" s="52" t="str">
        <f t="shared" si="244"/>
        <v/>
      </c>
      <c r="CJ86" s="52" t="str">
        <f t="shared" si="208"/>
        <v/>
      </c>
      <c r="CK86" s="52" t="str">
        <f t="shared" si="209"/>
        <v/>
      </c>
      <c r="CL86" s="52" t="str">
        <f t="shared" si="210"/>
        <v/>
      </c>
      <c r="CM86" s="102" t="str">
        <f t="shared" si="211"/>
        <v/>
      </c>
      <c r="CN86" s="116" t="str">
        <f t="shared" si="212"/>
        <v/>
      </c>
      <c r="CO86" s="61">
        <f t="shared" si="223"/>
        <v>0</v>
      </c>
      <c r="CP86" s="61" t="str">
        <f t="shared" si="168"/>
        <v/>
      </c>
      <c r="CQ86" s="61" t="str">
        <f t="shared" si="225"/>
        <v/>
      </c>
      <c r="CR86" s="61" t="str">
        <f t="shared" si="226"/>
        <v/>
      </c>
      <c r="CS86" s="105" t="str">
        <f t="shared" si="227"/>
        <v/>
      </c>
      <c r="CT86" s="105" t="str">
        <f t="shared" si="228"/>
        <v/>
      </c>
      <c r="CU86" s="61" t="str">
        <f t="shared" si="229"/>
        <v/>
      </c>
      <c r="CV86" s="61" t="str">
        <f t="shared" si="230"/>
        <v/>
      </c>
      <c r="CW86" s="61" t="str">
        <f t="shared" si="213"/>
        <v/>
      </c>
      <c r="CX86" s="61" t="str">
        <f t="shared" si="165"/>
        <v/>
      </c>
      <c r="CY86" s="61" t="str">
        <f t="shared" si="169"/>
        <v/>
      </c>
      <c r="CZ86" s="102" t="str">
        <f t="shared" si="214"/>
        <v/>
      </c>
      <c r="DA86" s="17">
        <f t="shared" si="215"/>
        <v>0</v>
      </c>
      <c r="DC86" s="17">
        <f t="shared" si="167"/>
        <v>0</v>
      </c>
      <c r="DD86" s="17">
        <f t="shared" si="216"/>
        <v>0</v>
      </c>
      <c r="DE86" s="17" t="str">
        <f t="shared" si="217"/>
        <v/>
      </c>
      <c r="DF86" s="17" t="str">
        <f t="shared" si="218"/>
        <v/>
      </c>
    </row>
    <row r="87" spans="2:110" s="17" customFormat="1">
      <c r="B87" s="35"/>
      <c r="C87" s="35"/>
      <c r="D87" s="36"/>
      <c r="E87" s="35"/>
      <c r="F87" s="35"/>
      <c r="G87" s="35"/>
      <c r="H87" s="35"/>
      <c r="I87" s="35"/>
      <c r="J87" s="59"/>
      <c r="Z87" s="172" t="str">
        <f t="shared" si="170"/>
        <v/>
      </c>
      <c r="AB87" s="47" t="s">
        <v>266</v>
      </c>
      <c r="AC87" s="52" t="str">
        <f t="shared" si="166"/>
        <v/>
      </c>
      <c r="AD87" s="52">
        <f t="shared" si="231"/>
        <v>0</v>
      </c>
      <c r="AE87" s="52">
        <f t="shared" si="219"/>
        <v>0</v>
      </c>
      <c r="AF87" s="61" t="str">
        <f t="shared" si="171"/>
        <v/>
      </c>
      <c r="AG87" s="52">
        <f t="shared" si="172"/>
        <v>0</v>
      </c>
      <c r="AH87" s="52">
        <f t="shared" si="173"/>
        <v>0</v>
      </c>
      <c r="AI87" s="52" t="str">
        <f t="shared" si="174"/>
        <v/>
      </c>
      <c r="AJ87" s="61" t="str">
        <f t="shared" si="175"/>
        <v/>
      </c>
      <c r="AK87" s="95" t="str">
        <f t="shared" si="176"/>
        <v/>
      </c>
      <c r="AL87" s="61" t="str">
        <f t="shared" si="177"/>
        <v>if () {$("#adv_").html("Required");$("#").css({"background":"yellow"});} else {$("#adv_").html("");$("#").css({"background":"white"});}</v>
      </c>
      <c r="AM87" s="61" t="str">
        <f t="shared" si="178"/>
        <v>if (=="") {$("#adv_").html("Required");$("#adv_").css({"background":"yellow"});} else {$("#adv_").html("");}</v>
      </c>
      <c r="AN87" s="61" t="str">
        <f t="shared" si="242"/>
        <v>if (=="") {$("#adv_").html("Required");$("#").css({"background":"yellow"});} else {$("#adv_").html("");$("#").css({"background":"white"});}</v>
      </c>
      <c r="AO87" s="50" t="str">
        <f t="shared" si="179"/>
        <v/>
      </c>
      <c r="AP87" s="61" t="str">
        <f t="shared" si="180"/>
        <v>=$("#").val();</v>
      </c>
      <c r="AQ87" s="61" t="str">
        <f t="shared" si="181"/>
        <v/>
      </c>
      <c r="AR87" s="50" t="str">
        <f t="shared" si="182"/>
        <v>&lt;input type="checkbox" id="" name="" value="1" /&gt;</v>
      </c>
      <c r="AS87" s="61" t="str">
        <f t="shared" si="183"/>
        <v>=document.getElementById("").checked;</v>
      </c>
      <c r="AT87" s="102" t="str">
        <f t="shared" si="184"/>
        <v>if (isset($_GET[''])) {$=($_GET['']);}else $='';</v>
      </c>
      <c r="AU87" s="52" t="str">
        <f t="shared" si="185"/>
        <v/>
      </c>
      <c r="AV87" s="52" t="str">
        <f t="shared" si="224"/>
        <v>&lt;select size="1" name="" id=""&gt;&lt;option value=""&gt;</v>
      </c>
      <c r="AW87" s="52" t="str">
        <f t="shared" si="186"/>
        <v>&lt;option value=""&gt;&lt;/option&gt;</v>
      </c>
      <c r="AX87" s="145" t="str">
        <f t="shared" si="187"/>
        <v/>
      </c>
      <c r="AY87" s="102" t="str">
        <f>""</f>
        <v/>
      </c>
      <c r="AZ87" s="102"/>
      <c r="BA87" s="113">
        <f t="shared" si="188"/>
        <v>0</v>
      </c>
      <c r="BB87" s="103" t="str">
        <f t="shared" si="189"/>
        <v>0:</v>
      </c>
      <c r="BC87" s="50" t="str">
        <f t="shared" si="190"/>
        <v>0:&lt;span id="adv_0"&gt;&lt;/span&gt;&lt;br/&gt;&lt;input type="radio" name="0" id="" value="" /&gt;</v>
      </c>
      <c r="BD87" s="52" t="str">
        <f t="shared" si="191"/>
        <v>else if (document.getElementById("</v>
      </c>
      <c r="BE87" s="61" t="str">
        <f t="shared" si="192"/>
        <v>else if (document.getElementById("").checked==true) {0="";}</v>
      </c>
      <c r="BF87" s="61" t="str">
        <f t="shared" si="193"/>
        <v/>
      </c>
      <c r="BG87" s="61" t="str">
        <f t="shared" si="194"/>
        <v>0:0</v>
      </c>
      <c r="BH87" s="102" t="str">
        <f t="shared" si="195"/>
        <v>if (isset($_GET['0'])) {$0=($_GET['0']);}else $0='';</v>
      </c>
      <c r="BI87" s="105" t="str">
        <f t="shared" si="196"/>
        <v>&lt;br/&gt;&lt;textarea rows="2" cols="80" id=""&gt;&lt;/textarea&gt;&lt;br/&gt;</v>
      </c>
      <c r="BJ87" s="107" t="str">
        <f t="shared" si="197"/>
        <v>&lt;input type="text"  size="7"  id="" class="datepicker"/&gt;</v>
      </c>
      <c r="BK87" s="107" t="str">
        <f t="shared" si="198"/>
        <v>&lt;h2 id=""&gt;&lt;/h2&gt;</v>
      </c>
      <c r="BL87" s="109" t="str">
        <f t="shared" si="232"/>
        <v/>
      </c>
      <c r="BM87" s="61" t="str">
        <f t="shared" si="233"/>
        <v/>
      </c>
      <c r="BN87" s="52">
        <f t="shared" si="220"/>
        <v>0</v>
      </c>
      <c r="BO87" s="61" t="str">
        <f t="shared" si="234"/>
        <v/>
      </c>
      <c r="BP87" s="102" t="str">
        <f t="shared" si="235"/>
        <v/>
      </c>
      <c r="BQ87" s="105" t="str">
        <f t="shared" si="236"/>
        <v/>
      </c>
      <c r="BR87" s="52" t="str">
        <f t="shared" si="199"/>
        <v/>
      </c>
      <c r="BS87" s="52">
        <f t="shared" si="200"/>
        <v>0</v>
      </c>
      <c r="BT87" s="52">
        <f t="shared" si="221"/>
        <v>0</v>
      </c>
      <c r="BU87" s="52" t="str">
        <f t="shared" si="201"/>
        <v/>
      </c>
      <c r="BV87" s="52" t="str">
        <f t="shared" si="202"/>
        <v/>
      </c>
      <c r="BW87" s="52" t="str">
        <f t="shared" si="222"/>
        <v/>
      </c>
      <c r="BX87" s="113" t="str">
        <f t="shared" si="237"/>
        <v/>
      </c>
      <c r="BY87" s="52" t="str">
        <f t="shared" si="203"/>
        <v/>
      </c>
      <c r="BZ87" s="52" t="str">
        <f t="shared" si="204"/>
        <v/>
      </c>
      <c r="CA87" s="52" t="str">
        <f t="shared" si="238"/>
        <v/>
      </c>
      <c r="CB87" s="52" t="str">
        <f t="shared" si="239"/>
        <v/>
      </c>
      <c r="CC87" s="52" t="str">
        <f t="shared" si="205"/>
        <v/>
      </c>
      <c r="CD87" s="52" t="str">
        <f t="shared" si="206"/>
        <v/>
      </c>
      <c r="CE87" s="102" t="str">
        <f t="shared" si="240"/>
        <v/>
      </c>
      <c r="CF87" s="116" t="str">
        <f t="shared" si="207"/>
        <v/>
      </c>
      <c r="CG87" s="61" t="str">
        <f t="shared" si="241"/>
        <v/>
      </c>
      <c r="CH87" s="52" t="str">
        <f t="shared" si="243"/>
        <v/>
      </c>
      <c r="CI87" s="52" t="str">
        <f t="shared" si="244"/>
        <v/>
      </c>
      <c r="CJ87" s="52" t="str">
        <f t="shared" si="208"/>
        <v/>
      </c>
      <c r="CK87" s="52" t="str">
        <f t="shared" si="209"/>
        <v/>
      </c>
      <c r="CL87" s="52" t="str">
        <f t="shared" si="210"/>
        <v/>
      </c>
      <c r="CM87" s="102" t="str">
        <f t="shared" si="211"/>
        <v/>
      </c>
      <c r="CN87" s="116" t="str">
        <f t="shared" si="212"/>
        <v/>
      </c>
      <c r="CO87" s="61">
        <f t="shared" si="223"/>
        <v>0</v>
      </c>
      <c r="CP87" s="61" t="str">
        <f t="shared" si="168"/>
        <v/>
      </c>
      <c r="CQ87" s="61" t="str">
        <f t="shared" si="225"/>
        <v/>
      </c>
      <c r="CR87" s="61" t="str">
        <f t="shared" si="226"/>
        <v/>
      </c>
      <c r="CS87" s="105" t="str">
        <f t="shared" si="227"/>
        <v/>
      </c>
      <c r="CT87" s="105" t="str">
        <f t="shared" si="228"/>
        <v/>
      </c>
      <c r="CU87" s="61" t="str">
        <f t="shared" si="229"/>
        <v/>
      </c>
      <c r="CV87" s="61" t="str">
        <f t="shared" si="230"/>
        <v/>
      </c>
      <c r="CW87" s="61" t="str">
        <f t="shared" si="213"/>
        <v/>
      </c>
      <c r="CX87" s="61" t="str">
        <f t="shared" si="165"/>
        <v/>
      </c>
      <c r="CY87" s="61" t="str">
        <f t="shared" si="169"/>
        <v/>
      </c>
      <c r="CZ87" s="102" t="str">
        <f t="shared" si="214"/>
        <v/>
      </c>
      <c r="DA87" s="17">
        <f t="shared" si="215"/>
        <v>0</v>
      </c>
      <c r="DC87" s="17">
        <f t="shared" si="167"/>
        <v>0</v>
      </c>
      <c r="DD87" s="17">
        <f t="shared" si="216"/>
        <v>0</v>
      </c>
      <c r="DE87" s="17" t="str">
        <f t="shared" si="217"/>
        <v/>
      </c>
      <c r="DF87" s="17" t="str">
        <f t="shared" si="218"/>
        <v/>
      </c>
    </row>
    <row r="88" spans="2:110" s="17" customFormat="1">
      <c r="B88" s="35"/>
      <c r="C88" s="35"/>
      <c r="D88" s="36"/>
      <c r="E88" s="35"/>
      <c r="F88" s="35"/>
      <c r="G88" s="35"/>
      <c r="H88" s="35"/>
      <c r="I88" s="35"/>
      <c r="J88" s="59"/>
      <c r="Z88" s="172" t="str">
        <f t="shared" si="170"/>
        <v/>
      </c>
      <c r="AB88" s="47" t="s">
        <v>267</v>
      </c>
      <c r="AC88" s="52" t="str">
        <f t="shared" si="166"/>
        <v/>
      </c>
      <c r="AD88" s="52">
        <f t="shared" si="231"/>
        <v>0</v>
      </c>
      <c r="AE88" s="52">
        <f t="shared" si="219"/>
        <v>0</v>
      </c>
      <c r="AF88" s="61" t="str">
        <f t="shared" si="171"/>
        <v/>
      </c>
      <c r="AG88" s="52">
        <f t="shared" si="172"/>
        <v>0</v>
      </c>
      <c r="AH88" s="52">
        <f t="shared" si="173"/>
        <v>0</v>
      </c>
      <c r="AI88" s="52" t="str">
        <f t="shared" si="174"/>
        <v/>
      </c>
      <c r="AJ88" s="61" t="str">
        <f t="shared" si="175"/>
        <v/>
      </c>
      <c r="AK88" s="95" t="str">
        <f t="shared" si="176"/>
        <v/>
      </c>
      <c r="AL88" s="61" t="str">
        <f t="shared" si="177"/>
        <v>if () {$("#adv_").html("Required");$("#").css({"background":"yellow"});} else {$("#adv_").html("");$("#").css({"background":"white"});}</v>
      </c>
      <c r="AM88" s="61" t="str">
        <f t="shared" si="178"/>
        <v>if (=="") {$("#adv_").html("Required");$("#adv_").css({"background":"yellow"});} else {$("#adv_").html("");}</v>
      </c>
      <c r="AN88" s="61" t="str">
        <f t="shared" si="242"/>
        <v>if (=="") {$("#adv_").html("Required");$("#").css({"background":"yellow"});} else {$("#adv_").html("");$("#").css({"background":"white"});}</v>
      </c>
      <c r="AO88" s="50" t="str">
        <f t="shared" si="179"/>
        <v/>
      </c>
      <c r="AP88" s="61" t="str">
        <f t="shared" si="180"/>
        <v>=$("#").val();</v>
      </c>
      <c r="AQ88" s="61" t="str">
        <f t="shared" si="181"/>
        <v/>
      </c>
      <c r="AR88" s="50" t="str">
        <f t="shared" si="182"/>
        <v>&lt;input type="checkbox" id="" name="" value="1" /&gt;</v>
      </c>
      <c r="AS88" s="61" t="str">
        <f t="shared" si="183"/>
        <v>=document.getElementById("").checked;</v>
      </c>
      <c r="AT88" s="102" t="str">
        <f t="shared" si="184"/>
        <v>if (isset($_GET[''])) {$=($_GET['']);}else $='';</v>
      </c>
      <c r="AU88" s="52" t="str">
        <f t="shared" si="185"/>
        <v/>
      </c>
      <c r="AV88" s="52" t="str">
        <f t="shared" si="224"/>
        <v>&lt;select size="1" name="" id=""&gt;&lt;option value=""&gt;</v>
      </c>
      <c r="AW88" s="52" t="str">
        <f t="shared" si="186"/>
        <v>&lt;option value=""&gt;&lt;/option&gt;</v>
      </c>
      <c r="AX88" s="145" t="str">
        <f t="shared" si="187"/>
        <v/>
      </c>
      <c r="AY88" s="102" t="str">
        <f>""</f>
        <v/>
      </c>
      <c r="AZ88" s="102"/>
      <c r="BA88" s="113">
        <f t="shared" si="188"/>
        <v>0</v>
      </c>
      <c r="BB88" s="103" t="str">
        <f t="shared" si="189"/>
        <v>0:</v>
      </c>
      <c r="BC88" s="50" t="str">
        <f t="shared" si="190"/>
        <v>0:&lt;span id="adv_0"&gt;&lt;/span&gt;&lt;br/&gt;&lt;input type="radio" name="0" id="" value="" /&gt;</v>
      </c>
      <c r="BD88" s="52" t="str">
        <f t="shared" si="191"/>
        <v>else if (document.getElementById("</v>
      </c>
      <c r="BE88" s="61" t="str">
        <f t="shared" si="192"/>
        <v>else if (document.getElementById("").checked==true) {0="";}</v>
      </c>
      <c r="BF88" s="61" t="str">
        <f t="shared" si="193"/>
        <v/>
      </c>
      <c r="BG88" s="61" t="str">
        <f t="shared" si="194"/>
        <v>0:0</v>
      </c>
      <c r="BH88" s="102" t="str">
        <f t="shared" si="195"/>
        <v>if (isset($_GET['0'])) {$0=($_GET['0']);}else $0='';</v>
      </c>
      <c r="BI88" s="105" t="str">
        <f t="shared" si="196"/>
        <v>&lt;br/&gt;&lt;textarea rows="2" cols="80" id=""&gt;&lt;/textarea&gt;&lt;br/&gt;</v>
      </c>
      <c r="BJ88" s="107" t="str">
        <f t="shared" si="197"/>
        <v>&lt;input type="text"  size="7"  id="" class="datepicker"/&gt;</v>
      </c>
      <c r="BK88" s="107" t="str">
        <f t="shared" si="198"/>
        <v>&lt;h2 id=""&gt;&lt;/h2&gt;</v>
      </c>
      <c r="BL88" s="109" t="str">
        <f t="shared" si="232"/>
        <v/>
      </c>
      <c r="BM88" s="61" t="str">
        <f t="shared" si="233"/>
        <v/>
      </c>
      <c r="BN88" s="52">
        <f t="shared" si="220"/>
        <v>0</v>
      </c>
      <c r="BO88" s="61" t="str">
        <f t="shared" si="234"/>
        <v/>
      </c>
      <c r="BP88" s="102" t="str">
        <f t="shared" si="235"/>
        <v/>
      </c>
      <c r="BQ88" s="105" t="str">
        <f t="shared" si="236"/>
        <v/>
      </c>
      <c r="BR88" s="52" t="str">
        <f t="shared" si="199"/>
        <v/>
      </c>
      <c r="BS88" s="52">
        <f t="shared" si="200"/>
        <v>0</v>
      </c>
      <c r="BT88" s="52">
        <f t="shared" si="221"/>
        <v>0</v>
      </c>
      <c r="BU88" s="52" t="str">
        <f t="shared" si="201"/>
        <v/>
      </c>
      <c r="BV88" s="52" t="str">
        <f t="shared" si="202"/>
        <v/>
      </c>
      <c r="BW88" s="52" t="str">
        <f t="shared" si="222"/>
        <v/>
      </c>
      <c r="BX88" s="113" t="str">
        <f t="shared" si="237"/>
        <v/>
      </c>
      <c r="BY88" s="52" t="str">
        <f t="shared" si="203"/>
        <v/>
      </c>
      <c r="BZ88" s="52" t="str">
        <f t="shared" si="204"/>
        <v/>
      </c>
      <c r="CA88" s="52" t="str">
        <f t="shared" si="238"/>
        <v/>
      </c>
      <c r="CB88" s="52" t="str">
        <f t="shared" si="239"/>
        <v/>
      </c>
      <c r="CC88" s="52" t="str">
        <f t="shared" si="205"/>
        <v/>
      </c>
      <c r="CD88" s="52" t="str">
        <f t="shared" si="206"/>
        <v/>
      </c>
      <c r="CE88" s="102" t="str">
        <f t="shared" si="240"/>
        <v/>
      </c>
      <c r="CF88" s="116" t="str">
        <f t="shared" si="207"/>
        <v/>
      </c>
      <c r="CG88" s="61" t="str">
        <f t="shared" si="241"/>
        <v/>
      </c>
      <c r="CH88" s="52" t="str">
        <f t="shared" si="243"/>
        <v/>
      </c>
      <c r="CI88" s="52" t="str">
        <f t="shared" si="244"/>
        <v/>
      </c>
      <c r="CJ88" s="52" t="str">
        <f t="shared" si="208"/>
        <v/>
      </c>
      <c r="CK88" s="52" t="str">
        <f t="shared" si="209"/>
        <v/>
      </c>
      <c r="CL88" s="52" t="str">
        <f t="shared" si="210"/>
        <v/>
      </c>
      <c r="CM88" s="102" t="str">
        <f t="shared" si="211"/>
        <v/>
      </c>
      <c r="CN88" s="116" t="str">
        <f t="shared" si="212"/>
        <v/>
      </c>
      <c r="CO88" s="61">
        <f t="shared" si="223"/>
        <v>0</v>
      </c>
      <c r="CP88" s="61" t="str">
        <f t="shared" si="168"/>
        <v/>
      </c>
      <c r="CQ88" s="61" t="str">
        <f t="shared" si="225"/>
        <v/>
      </c>
      <c r="CR88" s="61" t="str">
        <f t="shared" si="226"/>
        <v/>
      </c>
      <c r="CS88" s="105" t="str">
        <f t="shared" si="227"/>
        <v/>
      </c>
      <c r="CT88" s="105" t="str">
        <f t="shared" si="228"/>
        <v/>
      </c>
      <c r="CU88" s="61" t="str">
        <f t="shared" si="229"/>
        <v/>
      </c>
      <c r="CV88" s="61" t="str">
        <f t="shared" si="230"/>
        <v/>
      </c>
      <c r="CW88" s="61" t="str">
        <f t="shared" si="213"/>
        <v/>
      </c>
      <c r="CX88" s="61" t="str">
        <f t="shared" si="165"/>
        <v/>
      </c>
      <c r="CY88" s="61" t="str">
        <f t="shared" si="169"/>
        <v/>
      </c>
      <c r="CZ88" s="102" t="str">
        <f t="shared" si="214"/>
        <v/>
      </c>
      <c r="DA88" s="17">
        <f t="shared" si="215"/>
        <v>0</v>
      </c>
      <c r="DC88" s="17">
        <f t="shared" si="167"/>
        <v>0</v>
      </c>
      <c r="DD88" s="17">
        <f t="shared" si="216"/>
        <v>0</v>
      </c>
      <c r="DE88" s="17" t="str">
        <f t="shared" si="217"/>
        <v/>
      </c>
      <c r="DF88" s="17" t="str">
        <f t="shared" si="218"/>
        <v/>
      </c>
    </row>
    <row r="89" spans="2:110" s="17" customFormat="1">
      <c r="B89" s="35"/>
      <c r="C89" s="35"/>
      <c r="D89" s="36"/>
      <c r="E89" s="35"/>
      <c r="F89" s="35"/>
      <c r="G89" s="35"/>
      <c r="H89" s="35"/>
      <c r="I89" s="35"/>
      <c r="J89" s="59"/>
      <c r="Z89" s="172" t="str">
        <f t="shared" si="170"/>
        <v/>
      </c>
      <c r="AB89" s="47" t="s">
        <v>268</v>
      </c>
      <c r="AC89" s="52" t="str">
        <f t="shared" si="166"/>
        <v/>
      </c>
      <c r="AD89" s="52">
        <f t="shared" si="231"/>
        <v>0</v>
      </c>
      <c r="AE89" s="52">
        <f t="shared" si="219"/>
        <v>0</v>
      </c>
      <c r="AF89" s="61" t="str">
        <f t="shared" si="171"/>
        <v/>
      </c>
      <c r="AG89" s="52">
        <f t="shared" si="172"/>
        <v>0</v>
      </c>
      <c r="AH89" s="52">
        <f t="shared" si="173"/>
        <v>0</v>
      </c>
      <c r="AI89" s="52" t="str">
        <f t="shared" si="174"/>
        <v/>
      </c>
      <c r="AJ89" s="61" t="str">
        <f t="shared" si="175"/>
        <v/>
      </c>
      <c r="AK89" s="95" t="str">
        <f t="shared" si="176"/>
        <v/>
      </c>
      <c r="AL89" s="61" t="str">
        <f t="shared" si="177"/>
        <v>if () {$("#adv_").html("Required");$("#").css({"background":"yellow"});} else {$("#adv_").html("");$("#").css({"background":"white"});}</v>
      </c>
      <c r="AM89" s="61" t="str">
        <f t="shared" si="178"/>
        <v>if (=="") {$("#adv_").html("Required");$("#adv_").css({"background":"yellow"});} else {$("#adv_").html("");}</v>
      </c>
      <c r="AN89" s="61" t="str">
        <f t="shared" si="242"/>
        <v>if (=="") {$("#adv_").html("Required");$("#").css({"background":"yellow"});} else {$("#adv_").html("");$("#").css({"background":"white"});}</v>
      </c>
      <c r="AO89" s="50" t="str">
        <f t="shared" si="179"/>
        <v/>
      </c>
      <c r="AP89" s="61" t="str">
        <f t="shared" si="180"/>
        <v>=$("#").val();</v>
      </c>
      <c r="AQ89" s="61" t="str">
        <f t="shared" si="181"/>
        <v/>
      </c>
      <c r="AR89" s="50" t="str">
        <f t="shared" si="182"/>
        <v>&lt;input type="checkbox" id="" name="" value="1" /&gt;</v>
      </c>
      <c r="AS89" s="61" t="str">
        <f t="shared" si="183"/>
        <v>=document.getElementById("").checked;</v>
      </c>
      <c r="AT89" s="102" t="str">
        <f t="shared" si="184"/>
        <v>if (isset($_GET[''])) {$=($_GET['']);}else $='';</v>
      </c>
      <c r="AU89" s="52" t="str">
        <f t="shared" si="185"/>
        <v/>
      </c>
      <c r="AV89" s="52" t="str">
        <f t="shared" si="224"/>
        <v>&lt;select size="1" name="" id=""&gt;&lt;option value=""&gt;</v>
      </c>
      <c r="AW89" s="52" t="str">
        <f t="shared" si="186"/>
        <v>&lt;option value=""&gt;&lt;/option&gt;</v>
      </c>
      <c r="AX89" s="145" t="str">
        <f t="shared" si="187"/>
        <v/>
      </c>
      <c r="AY89" s="102" t="str">
        <f>""</f>
        <v/>
      </c>
      <c r="AZ89" s="102"/>
      <c r="BA89" s="113">
        <f t="shared" si="188"/>
        <v>0</v>
      </c>
      <c r="BB89" s="103" t="str">
        <f t="shared" si="189"/>
        <v>0:</v>
      </c>
      <c r="BC89" s="50" t="str">
        <f t="shared" si="190"/>
        <v>0:&lt;span id="adv_0"&gt;&lt;/span&gt;&lt;br/&gt;&lt;input type="radio" name="0" id="" value="" /&gt;</v>
      </c>
      <c r="BD89" s="52" t="str">
        <f t="shared" si="191"/>
        <v>else if (document.getElementById("</v>
      </c>
      <c r="BE89" s="61" t="str">
        <f t="shared" si="192"/>
        <v>else if (document.getElementById("").checked==true) {0="";}</v>
      </c>
      <c r="BF89" s="61" t="str">
        <f t="shared" si="193"/>
        <v/>
      </c>
      <c r="BG89" s="61" t="str">
        <f t="shared" si="194"/>
        <v>0:0</v>
      </c>
      <c r="BH89" s="102" t="str">
        <f t="shared" si="195"/>
        <v>if (isset($_GET['0'])) {$0=($_GET['0']);}else $0='';</v>
      </c>
      <c r="BI89" s="105" t="str">
        <f t="shared" si="196"/>
        <v>&lt;br/&gt;&lt;textarea rows="2" cols="80" id=""&gt;&lt;/textarea&gt;&lt;br/&gt;</v>
      </c>
      <c r="BJ89" s="107" t="str">
        <f t="shared" si="197"/>
        <v>&lt;input type="text"  size="7"  id="" class="datepicker"/&gt;</v>
      </c>
      <c r="BK89" s="107" t="str">
        <f t="shared" si="198"/>
        <v>&lt;h2 id=""&gt;&lt;/h2&gt;</v>
      </c>
      <c r="BL89" s="109" t="str">
        <f t="shared" si="232"/>
        <v/>
      </c>
      <c r="BM89" s="61" t="str">
        <f t="shared" si="233"/>
        <v/>
      </c>
      <c r="BN89" s="52">
        <f t="shared" si="220"/>
        <v>0</v>
      </c>
      <c r="BO89" s="61" t="str">
        <f t="shared" si="234"/>
        <v/>
      </c>
      <c r="BP89" s="102" t="str">
        <f t="shared" si="235"/>
        <v/>
      </c>
      <c r="BQ89" s="105" t="str">
        <f t="shared" si="236"/>
        <v/>
      </c>
      <c r="BR89" s="52" t="str">
        <f t="shared" si="199"/>
        <v/>
      </c>
      <c r="BS89" s="52">
        <f t="shared" si="200"/>
        <v>0</v>
      </c>
      <c r="BT89" s="52">
        <f t="shared" si="221"/>
        <v>0</v>
      </c>
      <c r="BU89" s="52" t="str">
        <f t="shared" si="201"/>
        <v/>
      </c>
      <c r="BV89" s="52" t="str">
        <f t="shared" si="202"/>
        <v/>
      </c>
      <c r="BW89" s="52" t="str">
        <f t="shared" si="222"/>
        <v/>
      </c>
      <c r="BX89" s="113" t="str">
        <f t="shared" si="237"/>
        <v/>
      </c>
      <c r="BY89" s="52" t="str">
        <f t="shared" si="203"/>
        <v/>
      </c>
      <c r="BZ89" s="52" t="str">
        <f t="shared" si="204"/>
        <v/>
      </c>
      <c r="CA89" s="52" t="str">
        <f t="shared" si="238"/>
        <v/>
      </c>
      <c r="CB89" s="52" t="str">
        <f t="shared" si="239"/>
        <v/>
      </c>
      <c r="CC89" s="52" t="str">
        <f t="shared" si="205"/>
        <v/>
      </c>
      <c r="CD89" s="52" t="str">
        <f t="shared" si="206"/>
        <v/>
      </c>
      <c r="CE89" s="102" t="str">
        <f t="shared" si="240"/>
        <v/>
      </c>
      <c r="CF89" s="116" t="str">
        <f t="shared" si="207"/>
        <v/>
      </c>
      <c r="CG89" s="61" t="str">
        <f t="shared" si="241"/>
        <v/>
      </c>
      <c r="CH89" s="52" t="str">
        <f t="shared" si="243"/>
        <v/>
      </c>
      <c r="CI89" s="52" t="str">
        <f t="shared" si="244"/>
        <v/>
      </c>
      <c r="CJ89" s="52" t="str">
        <f t="shared" si="208"/>
        <v/>
      </c>
      <c r="CK89" s="52" t="str">
        <f t="shared" si="209"/>
        <v/>
      </c>
      <c r="CL89" s="52" t="str">
        <f t="shared" si="210"/>
        <v/>
      </c>
      <c r="CM89" s="102" t="str">
        <f t="shared" si="211"/>
        <v/>
      </c>
      <c r="CN89" s="116" t="str">
        <f t="shared" si="212"/>
        <v/>
      </c>
      <c r="CO89" s="61">
        <f t="shared" si="223"/>
        <v>0</v>
      </c>
      <c r="CP89" s="61" t="str">
        <f t="shared" si="168"/>
        <v/>
      </c>
      <c r="CQ89" s="61" t="str">
        <f t="shared" si="225"/>
        <v/>
      </c>
      <c r="CR89" s="61" t="str">
        <f t="shared" si="226"/>
        <v/>
      </c>
      <c r="CS89" s="105" t="str">
        <f t="shared" si="227"/>
        <v/>
      </c>
      <c r="CT89" s="105" t="str">
        <f t="shared" si="228"/>
        <v/>
      </c>
      <c r="CU89" s="61" t="str">
        <f t="shared" si="229"/>
        <v/>
      </c>
      <c r="CV89" s="61" t="str">
        <f t="shared" si="230"/>
        <v/>
      </c>
      <c r="CW89" s="61" t="str">
        <f t="shared" si="213"/>
        <v/>
      </c>
      <c r="CX89" s="61" t="str">
        <f t="shared" si="165"/>
        <v/>
      </c>
      <c r="CY89" s="61" t="str">
        <f t="shared" si="169"/>
        <v/>
      </c>
      <c r="CZ89" s="102" t="str">
        <f t="shared" si="214"/>
        <v/>
      </c>
      <c r="DA89" s="17">
        <f t="shared" si="215"/>
        <v>0</v>
      </c>
      <c r="DC89" s="17">
        <f t="shared" si="167"/>
        <v>0</v>
      </c>
      <c r="DD89" s="17">
        <f t="shared" si="216"/>
        <v>0</v>
      </c>
      <c r="DE89" s="17" t="str">
        <f t="shared" si="217"/>
        <v/>
      </c>
      <c r="DF89" s="17" t="str">
        <f t="shared" si="218"/>
        <v/>
      </c>
    </row>
    <row r="90" spans="2:110" s="17" customFormat="1">
      <c r="B90" s="35"/>
      <c r="C90" s="35"/>
      <c r="D90" s="36"/>
      <c r="E90" s="35"/>
      <c r="F90" s="35"/>
      <c r="G90" s="35"/>
      <c r="H90" s="35"/>
      <c r="I90" s="35"/>
      <c r="J90" s="59"/>
      <c r="Z90" s="172" t="str">
        <f t="shared" si="170"/>
        <v/>
      </c>
      <c r="AB90" s="47" t="s">
        <v>269</v>
      </c>
      <c r="AC90" s="52" t="str">
        <f t="shared" si="166"/>
        <v/>
      </c>
      <c r="AD90" s="52">
        <f t="shared" si="231"/>
        <v>0</v>
      </c>
      <c r="AE90" s="52">
        <f t="shared" si="219"/>
        <v>0</v>
      </c>
      <c r="AF90" s="61" t="str">
        <f t="shared" si="171"/>
        <v/>
      </c>
      <c r="AG90" s="52">
        <f t="shared" si="172"/>
        <v>0</v>
      </c>
      <c r="AH90" s="52">
        <f t="shared" si="173"/>
        <v>0</v>
      </c>
      <c r="AI90" s="52" t="str">
        <f t="shared" si="174"/>
        <v/>
      </c>
      <c r="AJ90" s="61" t="str">
        <f t="shared" si="175"/>
        <v/>
      </c>
      <c r="AK90" s="95" t="str">
        <f t="shared" si="176"/>
        <v/>
      </c>
      <c r="AL90" s="61" t="str">
        <f t="shared" si="177"/>
        <v>if () {$("#adv_").html("Required");$("#").css({"background":"yellow"});} else {$("#adv_").html("");$("#").css({"background":"white"});}</v>
      </c>
      <c r="AM90" s="61" t="str">
        <f t="shared" si="178"/>
        <v>if (=="") {$("#adv_").html("Required");$("#adv_").css({"background":"yellow"});} else {$("#adv_").html("");}</v>
      </c>
      <c r="AN90" s="61" t="str">
        <f t="shared" si="242"/>
        <v>if (=="") {$("#adv_").html("Required");$("#").css({"background":"yellow"});} else {$("#adv_").html("");$("#").css({"background":"white"});}</v>
      </c>
      <c r="AO90" s="50" t="str">
        <f t="shared" si="179"/>
        <v/>
      </c>
      <c r="AP90" s="61" t="str">
        <f t="shared" si="180"/>
        <v>=$("#").val();</v>
      </c>
      <c r="AQ90" s="61" t="str">
        <f t="shared" si="181"/>
        <v/>
      </c>
      <c r="AR90" s="50" t="str">
        <f t="shared" si="182"/>
        <v>&lt;input type="checkbox" id="" name="" value="1" /&gt;</v>
      </c>
      <c r="AS90" s="61" t="str">
        <f t="shared" si="183"/>
        <v>=document.getElementById("").checked;</v>
      </c>
      <c r="AT90" s="102" t="str">
        <f t="shared" si="184"/>
        <v>if (isset($_GET[''])) {$=($_GET['']);}else $='';</v>
      </c>
      <c r="AU90" s="52" t="str">
        <f t="shared" si="185"/>
        <v/>
      </c>
      <c r="AV90" s="52" t="str">
        <f t="shared" si="224"/>
        <v>&lt;select size="1" name="" id=""&gt;&lt;option value=""&gt;</v>
      </c>
      <c r="AW90" s="52" t="str">
        <f t="shared" si="186"/>
        <v>&lt;option value=""&gt;&lt;/option&gt;</v>
      </c>
      <c r="AX90" s="145" t="str">
        <f t="shared" si="187"/>
        <v/>
      </c>
      <c r="AY90" s="102" t="str">
        <f>""</f>
        <v/>
      </c>
      <c r="AZ90" s="102"/>
      <c r="BA90" s="113">
        <f t="shared" si="188"/>
        <v>0</v>
      </c>
      <c r="BB90" s="103" t="str">
        <f t="shared" si="189"/>
        <v>0:</v>
      </c>
      <c r="BC90" s="50" t="str">
        <f t="shared" si="190"/>
        <v>0:&lt;span id="adv_0"&gt;&lt;/span&gt;&lt;br/&gt;&lt;input type="radio" name="0" id="" value="" /&gt;</v>
      </c>
      <c r="BD90" s="52" t="str">
        <f t="shared" si="191"/>
        <v>else if (document.getElementById("</v>
      </c>
      <c r="BE90" s="61" t="str">
        <f t="shared" si="192"/>
        <v>else if (document.getElementById("").checked==true) {0="";}</v>
      </c>
      <c r="BF90" s="61" t="str">
        <f t="shared" si="193"/>
        <v/>
      </c>
      <c r="BG90" s="61" t="str">
        <f t="shared" si="194"/>
        <v>0:0</v>
      </c>
      <c r="BH90" s="102" t="str">
        <f t="shared" si="195"/>
        <v>if (isset($_GET['0'])) {$0=($_GET['0']);}else $0='';</v>
      </c>
      <c r="BI90" s="105" t="str">
        <f t="shared" si="196"/>
        <v>&lt;br/&gt;&lt;textarea rows="2" cols="80" id=""&gt;&lt;/textarea&gt;&lt;br/&gt;</v>
      </c>
      <c r="BJ90" s="107" t="str">
        <f t="shared" si="197"/>
        <v>&lt;input type="text"  size="7"  id="" class="datepicker"/&gt;</v>
      </c>
      <c r="BK90" s="107" t="str">
        <f t="shared" si="198"/>
        <v>&lt;h2 id=""&gt;&lt;/h2&gt;</v>
      </c>
      <c r="BL90" s="109" t="str">
        <f t="shared" si="232"/>
        <v/>
      </c>
      <c r="BM90" s="61" t="str">
        <f t="shared" si="233"/>
        <v/>
      </c>
      <c r="BN90" s="52">
        <f t="shared" si="220"/>
        <v>0</v>
      </c>
      <c r="BO90" s="61" t="str">
        <f t="shared" si="234"/>
        <v/>
      </c>
      <c r="BP90" s="102" t="str">
        <f t="shared" si="235"/>
        <v/>
      </c>
      <c r="BQ90" s="105" t="str">
        <f t="shared" si="236"/>
        <v/>
      </c>
      <c r="BR90" s="52" t="str">
        <f t="shared" si="199"/>
        <v/>
      </c>
      <c r="BS90" s="52">
        <f t="shared" si="200"/>
        <v>0</v>
      </c>
      <c r="BT90" s="52">
        <f t="shared" si="221"/>
        <v>0</v>
      </c>
      <c r="BU90" s="52" t="str">
        <f t="shared" si="201"/>
        <v/>
      </c>
      <c r="BV90" s="52" t="str">
        <f t="shared" si="202"/>
        <v/>
      </c>
      <c r="BW90" s="52" t="str">
        <f t="shared" si="222"/>
        <v/>
      </c>
      <c r="BX90" s="113" t="str">
        <f t="shared" si="237"/>
        <v/>
      </c>
      <c r="BY90" s="52" t="str">
        <f t="shared" si="203"/>
        <v/>
      </c>
      <c r="BZ90" s="52" t="str">
        <f t="shared" si="204"/>
        <v/>
      </c>
      <c r="CA90" s="52" t="str">
        <f t="shared" si="238"/>
        <v/>
      </c>
      <c r="CB90" s="52" t="str">
        <f t="shared" si="239"/>
        <v/>
      </c>
      <c r="CC90" s="52" t="str">
        <f t="shared" si="205"/>
        <v/>
      </c>
      <c r="CD90" s="52" t="str">
        <f t="shared" si="206"/>
        <v/>
      </c>
      <c r="CE90" s="102" t="str">
        <f t="shared" si="240"/>
        <v/>
      </c>
      <c r="CF90" s="116" t="str">
        <f t="shared" si="207"/>
        <v/>
      </c>
      <c r="CG90" s="61" t="str">
        <f t="shared" si="241"/>
        <v/>
      </c>
      <c r="CH90" s="52" t="str">
        <f t="shared" si="243"/>
        <v/>
      </c>
      <c r="CI90" s="52" t="str">
        <f t="shared" si="244"/>
        <v/>
      </c>
      <c r="CJ90" s="52" t="str">
        <f t="shared" si="208"/>
        <v/>
      </c>
      <c r="CK90" s="52" t="str">
        <f t="shared" si="209"/>
        <v/>
      </c>
      <c r="CL90" s="52" t="str">
        <f t="shared" si="210"/>
        <v/>
      </c>
      <c r="CM90" s="102" t="str">
        <f t="shared" si="211"/>
        <v/>
      </c>
      <c r="CN90" s="116" t="str">
        <f t="shared" si="212"/>
        <v/>
      </c>
      <c r="CO90" s="61">
        <f t="shared" si="223"/>
        <v>0</v>
      </c>
      <c r="CP90" s="61" t="str">
        <f t="shared" si="168"/>
        <v/>
      </c>
      <c r="CQ90" s="61" t="str">
        <f t="shared" si="225"/>
        <v/>
      </c>
      <c r="CR90" s="61" t="str">
        <f t="shared" si="226"/>
        <v/>
      </c>
      <c r="CS90" s="105" t="str">
        <f t="shared" si="227"/>
        <v/>
      </c>
      <c r="CT90" s="105" t="str">
        <f t="shared" si="228"/>
        <v/>
      </c>
      <c r="CU90" s="61" t="str">
        <f t="shared" si="229"/>
        <v/>
      </c>
      <c r="CV90" s="61" t="str">
        <f t="shared" si="230"/>
        <v/>
      </c>
      <c r="CW90" s="61" t="str">
        <f t="shared" si="213"/>
        <v/>
      </c>
      <c r="CX90" s="61" t="str">
        <f t="shared" si="165"/>
        <v/>
      </c>
      <c r="CY90" s="61" t="str">
        <f t="shared" si="169"/>
        <v/>
      </c>
      <c r="CZ90" s="102" t="str">
        <f t="shared" si="214"/>
        <v/>
      </c>
      <c r="DA90" s="17">
        <f t="shared" si="215"/>
        <v>0</v>
      </c>
      <c r="DC90" s="17">
        <f t="shared" si="167"/>
        <v>0</v>
      </c>
      <c r="DD90" s="17">
        <f t="shared" si="216"/>
        <v>0</v>
      </c>
      <c r="DE90" s="17" t="str">
        <f t="shared" si="217"/>
        <v/>
      </c>
      <c r="DF90" s="17" t="str">
        <f t="shared" si="218"/>
        <v/>
      </c>
    </row>
    <row r="91" spans="2:110" s="17" customFormat="1">
      <c r="B91" s="35"/>
      <c r="C91" s="35"/>
      <c r="D91" s="36"/>
      <c r="E91" s="35"/>
      <c r="F91" s="35"/>
      <c r="G91" s="35"/>
      <c r="H91" s="35"/>
      <c r="I91" s="35"/>
      <c r="J91" s="59"/>
      <c r="Z91" s="172" t="str">
        <f t="shared" si="170"/>
        <v/>
      </c>
      <c r="AB91" s="47" t="s">
        <v>270</v>
      </c>
      <c r="AC91" s="52" t="str">
        <f t="shared" si="166"/>
        <v/>
      </c>
      <c r="AD91" s="52">
        <f t="shared" si="231"/>
        <v>0</v>
      </c>
      <c r="AE91" s="52">
        <f t="shared" si="219"/>
        <v>0</v>
      </c>
      <c r="AF91" s="61" t="str">
        <f t="shared" si="171"/>
        <v/>
      </c>
      <c r="AG91" s="52">
        <f t="shared" si="172"/>
        <v>0</v>
      </c>
      <c r="AH91" s="52">
        <f t="shared" si="173"/>
        <v>0</v>
      </c>
      <c r="AI91" s="52" t="str">
        <f t="shared" si="174"/>
        <v/>
      </c>
      <c r="AJ91" s="61" t="str">
        <f t="shared" si="175"/>
        <v/>
      </c>
      <c r="AK91" s="95" t="str">
        <f t="shared" si="176"/>
        <v/>
      </c>
      <c r="AL91" s="61" t="str">
        <f t="shared" si="177"/>
        <v>if () {$("#adv_").html("Required");$("#").css({"background":"yellow"});} else {$("#adv_").html("");$("#").css({"background":"white"});}</v>
      </c>
      <c r="AM91" s="61" t="str">
        <f t="shared" si="178"/>
        <v>if (=="") {$("#adv_").html("Required");$("#adv_").css({"background":"yellow"});} else {$("#adv_").html("");}</v>
      </c>
      <c r="AN91" s="61" t="str">
        <f t="shared" si="242"/>
        <v>if (=="") {$("#adv_").html("Required");$("#").css({"background":"yellow"});} else {$("#adv_").html("");$("#").css({"background":"white"});}</v>
      </c>
      <c r="AO91" s="50" t="str">
        <f t="shared" si="179"/>
        <v/>
      </c>
      <c r="AP91" s="61" t="str">
        <f t="shared" si="180"/>
        <v>=$("#").val();</v>
      </c>
      <c r="AQ91" s="61" t="str">
        <f t="shared" si="181"/>
        <v/>
      </c>
      <c r="AR91" s="50" t="str">
        <f t="shared" si="182"/>
        <v>&lt;input type="checkbox" id="" name="" value="1" /&gt;</v>
      </c>
      <c r="AS91" s="61" t="str">
        <f t="shared" si="183"/>
        <v>=document.getElementById("").checked;</v>
      </c>
      <c r="AT91" s="102" t="str">
        <f t="shared" si="184"/>
        <v>if (isset($_GET[''])) {$=($_GET['']);}else $='';</v>
      </c>
      <c r="AU91" s="52" t="str">
        <f t="shared" si="185"/>
        <v/>
      </c>
      <c r="AV91" s="52" t="str">
        <f t="shared" si="224"/>
        <v>&lt;select size="1" name="" id=""&gt;&lt;option value=""&gt;</v>
      </c>
      <c r="AW91" s="52" t="str">
        <f t="shared" si="186"/>
        <v>&lt;option value=""&gt;&lt;/option&gt;</v>
      </c>
      <c r="AX91" s="145" t="str">
        <f t="shared" si="187"/>
        <v/>
      </c>
      <c r="AY91" s="102" t="str">
        <f>""</f>
        <v/>
      </c>
      <c r="AZ91" s="102"/>
      <c r="BA91" s="113">
        <f t="shared" si="188"/>
        <v>0</v>
      </c>
      <c r="BB91" s="103" t="str">
        <f t="shared" si="189"/>
        <v>0:</v>
      </c>
      <c r="BC91" s="50" t="str">
        <f t="shared" si="190"/>
        <v>0:&lt;span id="adv_0"&gt;&lt;/span&gt;&lt;br/&gt;&lt;input type="radio" name="0" id="" value="" /&gt;</v>
      </c>
      <c r="BD91" s="52" t="str">
        <f t="shared" si="191"/>
        <v>else if (document.getElementById("</v>
      </c>
      <c r="BE91" s="61" t="str">
        <f t="shared" si="192"/>
        <v>else if (document.getElementById("").checked==true) {0="";}</v>
      </c>
      <c r="BF91" s="61" t="str">
        <f t="shared" si="193"/>
        <v/>
      </c>
      <c r="BG91" s="61" t="str">
        <f t="shared" si="194"/>
        <v>0:0</v>
      </c>
      <c r="BH91" s="102" t="str">
        <f t="shared" si="195"/>
        <v>if (isset($_GET['0'])) {$0=($_GET['0']);}else $0='';</v>
      </c>
      <c r="BI91" s="105" t="str">
        <f t="shared" si="196"/>
        <v>&lt;br/&gt;&lt;textarea rows="2" cols="80" id=""&gt;&lt;/textarea&gt;&lt;br/&gt;</v>
      </c>
      <c r="BJ91" s="107" t="str">
        <f t="shared" si="197"/>
        <v>&lt;input type="text"  size="7"  id="" class="datepicker"/&gt;</v>
      </c>
      <c r="BK91" s="107" t="str">
        <f t="shared" si="198"/>
        <v>&lt;h2 id=""&gt;&lt;/h2&gt;</v>
      </c>
      <c r="BL91" s="109" t="str">
        <f t="shared" si="232"/>
        <v/>
      </c>
      <c r="BM91" s="61" t="str">
        <f t="shared" si="233"/>
        <v/>
      </c>
      <c r="BN91" s="52">
        <f t="shared" si="220"/>
        <v>0</v>
      </c>
      <c r="BO91" s="61" t="str">
        <f t="shared" si="234"/>
        <v/>
      </c>
      <c r="BP91" s="102" t="str">
        <f t="shared" si="235"/>
        <v/>
      </c>
      <c r="BQ91" s="105" t="str">
        <f t="shared" si="236"/>
        <v/>
      </c>
      <c r="BR91" s="52" t="str">
        <f t="shared" si="199"/>
        <v/>
      </c>
      <c r="BS91" s="52">
        <f t="shared" si="200"/>
        <v>0</v>
      </c>
      <c r="BT91" s="52">
        <f t="shared" si="221"/>
        <v>0</v>
      </c>
      <c r="BU91" s="52" t="str">
        <f t="shared" si="201"/>
        <v/>
      </c>
      <c r="BV91" s="52" t="str">
        <f t="shared" si="202"/>
        <v/>
      </c>
      <c r="BW91" s="52" t="str">
        <f t="shared" si="222"/>
        <v/>
      </c>
      <c r="BX91" s="113" t="str">
        <f t="shared" si="237"/>
        <v/>
      </c>
      <c r="BY91" s="52" t="str">
        <f t="shared" si="203"/>
        <v/>
      </c>
      <c r="BZ91" s="52" t="str">
        <f t="shared" si="204"/>
        <v/>
      </c>
      <c r="CA91" s="52" t="str">
        <f t="shared" si="238"/>
        <v/>
      </c>
      <c r="CB91" s="52" t="str">
        <f t="shared" si="239"/>
        <v/>
      </c>
      <c r="CC91" s="52" t="str">
        <f t="shared" si="205"/>
        <v/>
      </c>
      <c r="CD91" s="52" t="str">
        <f t="shared" si="206"/>
        <v/>
      </c>
      <c r="CE91" s="102" t="str">
        <f t="shared" si="240"/>
        <v/>
      </c>
      <c r="CF91" s="116" t="str">
        <f t="shared" si="207"/>
        <v/>
      </c>
      <c r="CG91" s="61" t="str">
        <f t="shared" si="241"/>
        <v/>
      </c>
      <c r="CH91" s="52" t="str">
        <f t="shared" si="243"/>
        <v/>
      </c>
      <c r="CI91" s="52" t="str">
        <f t="shared" si="244"/>
        <v/>
      </c>
      <c r="CJ91" s="52" t="str">
        <f t="shared" si="208"/>
        <v/>
      </c>
      <c r="CK91" s="52" t="str">
        <f t="shared" si="209"/>
        <v/>
      </c>
      <c r="CL91" s="52" t="str">
        <f t="shared" si="210"/>
        <v/>
      </c>
      <c r="CM91" s="102" t="str">
        <f t="shared" si="211"/>
        <v/>
      </c>
      <c r="CN91" s="116" t="str">
        <f t="shared" si="212"/>
        <v/>
      </c>
      <c r="CO91" s="61">
        <f t="shared" si="223"/>
        <v>0</v>
      </c>
      <c r="CP91" s="61" t="str">
        <f t="shared" si="168"/>
        <v/>
      </c>
      <c r="CQ91" s="61" t="str">
        <f t="shared" si="225"/>
        <v/>
      </c>
      <c r="CR91" s="61" t="str">
        <f t="shared" si="226"/>
        <v/>
      </c>
      <c r="CS91" s="105" t="str">
        <f t="shared" si="227"/>
        <v/>
      </c>
      <c r="CT91" s="105" t="str">
        <f t="shared" si="228"/>
        <v/>
      </c>
      <c r="CU91" s="61" t="str">
        <f t="shared" si="229"/>
        <v/>
      </c>
      <c r="CV91" s="61" t="str">
        <f t="shared" si="230"/>
        <v/>
      </c>
      <c r="CW91" s="61" t="str">
        <f t="shared" si="213"/>
        <v/>
      </c>
      <c r="CX91" s="61" t="str">
        <f t="shared" si="165"/>
        <v/>
      </c>
      <c r="CY91" s="61" t="str">
        <f t="shared" si="169"/>
        <v/>
      </c>
      <c r="CZ91" s="102" t="str">
        <f t="shared" si="214"/>
        <v/>
      </c>
      <c r="DA91" s="17">
        <f t="shared" si="215"/>
        <v>0</v>
      </c>
      <c r="DC91" s="17">
        <f t="shared" si="167"/>
        <v>0</v>
      </c>
      <c r="DD91" s="17">
        <f t="shared" si="216"/>
        <v>0</v>
      </c>
      <c r="DE91" s="17" t="str">
        <f t="shared" si="217"/>
        <v/>
      </c>
      <c r="DF91" s="17" t="str">
        <f t="shared" si="218"/>
        <v/>
      </c>
    </row>
    <row r="92" spans="2:110" s="17" customFormat="1">
      <c r="B92" s="35"/>
      <c r="C92" s="35"/>
      <c r="D92" s="36"/>
      <c r="E92" s="35"/>
      <c r="F92" s="35"/>
      <c r="G92" s="35"/>
      <c r="H92" s="35"/>
      <c r="I92" s="35"/>
      <c r="J92" s="59"/>
      <c r="Z92" s="172" t="str">
        <f t="shared" si="170"/>
        <v/>
      </c>
      <c r="AB92" s="47" t="s">
        <v>271</v>
      </c>
      <c r="AC92" s="52" t="str">
        <f t="shared" si="166"/>
        <v/>
      </c>
      <c r="AD92" s="52">
        <f t="shared" si="231"/>
        <v>0</v>
      </c>
      <c r="AE92" s="52">
        <f t="shared" si="219"/>
        <v>0</v>
      </c>
      <c r="AF92" s="61" t="str">
        <f t="shared" si="171"/>
        <v/>
      </c>
      <c r="AG92" s="52">
        <f t="shared" si="172"/>
        <v>0</v>
      </c>
      <c r="AH92" s="52">
        <f t="shared" si="173"/>
        <v>0</v>
      </c>
      <c r="AI92" s="52" t="str">
        <f t="shared" si="174"/>
        <v/>
      </c>
      <c r="AJ92" s="61" t="str">
        <f t="shared" si="175"/>
        <v/>
      </c>
      <c r="AK92" s="95" t="str">
        <f t="shared" si="176"/>
        <v/>
      </c>
      <c r="AL92" s="61" t="str">
        <f t="shared" si="177"/>
        <v>if () {$("#adv_").html("Required");$("#").css({"background":"yellow"});} else {$("#adv_").html("");$("#").css({"background":"white"});}</v>
      </c>
      <c r="AM92" s="61" t="str">
        <f t="shared" si="178"/>
        <v>if (=="") {$("#adv_").html("Required");$("#adv_").css({"background":"yellow"});} else {$("#adv_").html("");}</v>
      </c>
      <c r="AN92" s="61" t="str">
        <f t="shared" si="242"/>
        <v>if (=="") {$("#adv_").html("Required");$("#").css({"background":"yellow"});} else {$("#adv_").html("");$("#").css({"background":"white"});}</v>
      </c>
      <c r="AO92" s="50" t="str">
        <f t="shared" si="179"/>
        <v/>
      </c>
      <c r="AP92" s="61" t="str">
        <f t="shared" si="180"/>
        <v>=$("#").val();</v>
      </c>
      <c r="AQ92" s="61" t="str">
        <f t="shared" si="181"/>
        <v/>
      </c>
      <c r="AR92" s="50" t="str">
        <f t="shared" si="182"/>
        <v>&lt;input type="checkbox" id="" name="" value="1" /&gt;</v>
      </c>
      <c r="AS92" s="61" t="str">
        <f t="shared" si="183"/>
        <v>=document.getElementById("").checked;</v>
      </c>
      <c r="AT92" s="102" t="str">
        <f t="shared" si="184"/>
        <v>if (isset($_GET[''])) {$=($_GET['']);}else $='';</v>
      </c>
      <c r="AU92" s="52" t="str">
        <f t="shared" si="185"/>
        <v/>
      </c>
      <c r="AV92" s="52" t="str">
        <f t="shared" si="224"/>
        <v>&lt;select size="1" name="" id=""&gt;&lt;option value=""&gt;</v>
      </c>
      <c r="AW92" s="52" t="str">
        <f t="shared" si="186"/>
        <v>&lt;option value=""&gt;&lt;/option&gt;</v>
      </c>
      <c r="AX92" s="145" t="str">
        <f t="shared" si="187"/>
        <v/>
      </c>
      <c r="AY92" s="102" t="str">
        <f>""</f>
        <v/>
      </c>
      <c r="AZ92" s="102"/>
      <c r="BA92" s="113">
        <f t="shared" si="188"/>
        <v>0</v>
      </c>
      <c r="BB92" s="103" t="str">
        <f t="shared" si="189"/>
        <v>0:</v>
      </c>
      <c r="BC92" s="50" t="str">
        <f t="shared" si="190"/>
        <v>0:&lt;span id="adv_0"&gt;&lt;/span&gt;&lt;br/&gt;&lt;input type="radio" name="0" id="" value="" /&gt;</v>
      </c>
      <c r="BD92" s="52" t="str">
        <f t="shared" si="191"/>
        <v>else if (document.getElementById("</v>
      </c>
      <c r="BE92" s="61" t="str">
        <f t="shared" si="192"/>
        <v>else if (document.getElementById("").checked==true) {0="";}</v>
      </c>
      <c r="BF92" s="61" t="str">
        <f t="shared" si="193"/>
        <v/>
      </c>
      <c r="BG92" s="61" t="str">
        <f t="shared" si="194"/>
        <v>0:0</v>
      </c>
      <c r="BH92" s="102" t="str">
        <f t="shared" si="195"/>
        <v>if (isset($_GET['0'])) {$0=($_GET['0']);}else $0='';</v>
      </c>
      <c r="BI92" s="105" t="str">
        <f t="shared" si="196"/>
        <v>&lt;br/&gt;&lt;textarea rows="2" cols="80" id=""&gt;&lt;/textarea&gt;&lt;br/&gt;</v>
      </c>
      <c r="BJ92" s="107" t="str">
        <f t="shared" si="197"/>
        <v>&lt;input type="text"  size="7"  id="" class="datepicker"/&gt;</v>
      </c>
      <c r="BK92" s="107" t="str">
        <f t="shared" si="198"/>
        <v>&lt;h2 id=""&gt;&lt;/h2&gt;</v>
      </c>
      <c r="BL92" s="109" t="str">
        <f t="shared" si="232"/>
        <v/>
      </c>
      <c r="BM92" s="61" t="str">
        <f t="shared" si="233"/>
        <v/>
      </c>
      <c r="BN92" s="52">
        <f t="shared" si="220"/>
        <v>0</v>
      </c>
      <c r="BO92" s="61" t="str">
        <f t="shared" si="234"/>
        <v/>
      </c>
      <c r="BP92" s="102" t="str">
        <f t="shared" si="235"/>
        <v/>
      </c>
      <c r="BQ92" s="105" t="str">
        <f t="shared" si="236"/>
        <v/>
      </c>
      <c r="BR92" s="52" t="str">
        <f t="shared" si="199"/>
        <v/>
      </c>
      <c r="BS92" s="52">
        <f t="shared" si="200"/>
        <v>0</v>
      </c>
      <c r="BT92" s="52">
        <f t="shared" si="221"/>
        <v>0</v>
      </c>
      <c r="BU92" s="52" t="str">
        <f t="shared" si="201"/>
        <v/>
      </c>
      <c r="BV92" s="52" t="str">
        <f t="shared" si="202"/>
        <v/>
      </c>
      <c r="BW92" s="52" t="str">
        <f t="shared" si="222"/>
        <v/>
      </c>
      <c r="BX92" s="113" t="str">
        <f t="shared" si="237"/>
        <v/>
      </c>
      <c r="BY92" s="52" t="str">
        <f t="shared" si="203"/>
        <v/>
      </c>
      <c r="BZ92" s="52" t="str">
        <f t="shared" si="204"/>
        <v/>
      </c>
      <c r="CA92" s="52" t="str">
        <f t="shared" si="238"/>
        <v/>
      </c>
      <c r="CB92" s="52" t="str">
        <f t="shared" si="239"/>
        <v/>
      </c>
      <c r="CC92" s="52" t="str">
        <f t="shared" si="205"/>
        <v/>
      </c>
      <c r="CD92" s="52" t="str">
        <f t="shared" si="206"/>
        <v/>
      </c>
      <c r="CE92" s="102" t="str">
        <f t="shared" si="240"/>
        <v/>
      </c>
      <c r="CF92" s="116" t="str">
        <f t="shared" si="207"/>
        <v/>
      </c>
      <c r="CG92" s="61" t="str">
        <f t="shared" si="241"/>
        <v/>
      </c>
      <c r="CH92" s="52" t="str">
        <f t="shared" si="243"/>
        <v/>
      </c>
      <c r="CI92" s="52" t="str">
        <f t="shared" si="244"/>
        <v/>
      </c>
      <c r="CJ92" s="52" t="str">
        <f t="shared" si="208"/>
        <v/>
      </c>
      <c r="CK92" s="52" t="str">
        <f t="shared" si="209"/>
        <v/>
      </c>
      <c r="CL92" s="52" t="str">
        <f t="shared" si="210"/>
        <v/>
      </c>
      <c r="CM92" s="102" t="str">
        <f t="shared" si="211"/>
        <v/>
      </c>
      <c r="CN92" s="116" t="str">
        <f t="shared" si="212"/>
        <v/>
      </c>
      <c r="CO92" s="61">
        <f t="shared" si="223"/>
        <v>0</v>
      </c>
      <c r="CP92" s="61" t="str">
        <f t="shared" si="168"/>
        <v/>
      </c>
      <c r="CQ92" s="61" t="str">
        <f t="shared" si="225"/>
        <v/>
      </c>
      <c r="CR92" s="61" t="str">
        <f t="shared" si="226"/>
        <v/>
      </c>
      <c r="CS92" s="105" t="str">
        <f t="shared" si="227"/>
        <v/>
      </c>
      <c r="CT92" s="105" t="str">
        <f t="shared" si="228"/>
        <v/>
      </c>
      <c r="CU92" s="61" t="str">
        <f t="shared" si="229"/>
        <v/>
      </c>
      <c r="CV92" s="61" t="str">
        <f t="shared" si="230"/>
        <v/>
      </c>
      <c r="CW92" s="61" t="str">
        <f t="shared" si="213"/>
        <v/>
      </c>
      <c r="CX92" s="61" t="str">
        <f t="shared" si="165"/>
        <v/>
      </c>
      <c r="CY92" s="61" t="str">
        <f t="shared" si="169"/>
        <v/>
      </c>
      <c r="CZ92" s="102" t="str">
        <f t="shared" si="214"/>
        <v/>
      </c>
      <c r="DA92" s="17">
        <f t="shared" si="215"/>
        <v>0</v>
      </c>
      <c r="DC92" s="17">
        <f t="shared" si="167"/>
        <v>0</v>
      </c>
      <c r="DD92" s="17">
        <f t="shared" si="216"/>
        <v>0</v>
      </c>
      <c r="DE92" s="17" t="str">
        <f t="shared" si="217"/>
        <v/>
      </c>
      <c r="DF92" s="17" t="str">
        <f t="shared" si="218"/>
        <v/>
      </c>
    </row>
    <row r="93" spans="2:110" s="17" customFormat="1">
      <c r="B93" s="35"/>
      <c r="C93" s="35"/>
      <c r="D93" s="36"/>
      <c r="E93" s="35"/>
      <c r="F93" s="35"/>
      <c r="G93" s="35"/>
      <c r="H93" s="35"/>
      <c r="I93" s="35"/>
      <c r="J93" s="59"/>
      <c r="Z93" s="172" t="str">
        <f t="shared" si="170"/>
        <v/>
      </c>
      <c r="AB93" s="47" t="s">
        <v>272</v>
      </c>
      <c r="AC93" s="52" t="str">
        <f t="shared" si="166"/>
        <v/>
      </c>
      <c r="AD93" s="52">
        <f t="shared" si="231"/>
        <v>0</v>
      </c>
      <c r="AE93" s="52">
        <f t="shared" si="219"/>
        <v>0</v>
      </c>
      <c r="AF93" s="61" t="str">
        <f t="shared" si="171"/>
        <v/>
      </c>
      <c r="AG93" s="52">
        <f t="shared" si="172"/>
        <v>0</v>
      </c>
      <c r="AH93" s="52">
        <f t="shared" si="173"/>
        <v>0</v>
      </c>
      <c r="AI93" s="52" t="str">
        <f t="shared" si="174"/>
        <v/>
      </c>
      <c r="AJ93" s="61" t="str">
        <f t="shared" si="175"/>
        <v/>
      </c>
      <c r="AK93" s="95" t="str">
        <f t="shared" si="176"/>
        <v/>
      </c>
      <c r="AL93" s="61" t="str">
        <f t="shared" si="177"/>
        <v>if () {$("#adv_").html("Required");$("#").css({"background":"yellow"});} else {$("#adv_").html("");$("#").css({"background":"white"});}</v>
      </c>
      <c r="AM93" s="61" t="str">
        <f t="shared" si="178"/>
        <v>if (=="") {$("#adv_").html("Required");$("#adv_").css({"background":"yellow"});} else {$("#adv_").html("");}</v>
      </c>
      <c r="AN93" s="61" t="str">
        <f t="shared" si="242"/>
        <v>if (=="") {$("#adv_").html("Required");$("#").css({"background":"yellow"});} else {$("#adv_").html("");$("#").css({"background":"white"});}</v>
      </c>
      <c r="AO93" s="50" t="str">
        <f t="shared" si="179"/>
        <v/>
      </c>
      <c r="AP93" s="61" t="str">
        <f t="shared" si="180"/>
        <v>=$("#").val();</v>
      </c>
      <c r="AQ93" s="61" t="str">
        <f t="shared" si="181"/>
        <v/>
      </c>
      <c r="AR93" s="50" t="str">
        <f t="shared" si="182"/>
        <v>&lt;input type="checkbox" id="" name="" value="1" /&gt;</v>
      </c>
      <c r="AS93" s="61" t="str">
        <f t="shared" si="183"/>
        <v>=document.getElementById("").checked;</v>
      </c>
      <c r="AT93" s="102" t="str">
        <f t="shared" si="184"/>
        <v>if (isset($_GET[''])) {$=($_GET['']);}else $='';</v>
      </c>
      <c r="AU93" s="52" t="str">
        <f t="shared" si="185"/>
        <v/>
      </c>
      <c r="AV93" s="52" t="str">
        <f t="shared" si="224"/>
        <v>&lt;select size="1" name="" id=""&gt;&lt;option value=""&gt;</v>
      </c>
      <c r="AW93" s="52" t="str">
        <f t="shared" si="186"/>
        <v>&lt;option value=""&gt;&lt;/option&gt;</v>
      </c>
      <c r="AX93" s="145" t="str">
        <f t="shared" si="187"/>
        <v/>
      </c>
      <c r="AY93" s="102" t="str">
        <f>""</f>
        <v/>
      </c>
      <c r="AZ93" s="102"/>
      <c r="BA93" s="113">
        <f t="shared" si="188"/>
        <v>0</v>
      </c>
      <c r="BB93" s="103" t="str">
        <f t="shared" si="189"/>
        <v>0:</v>
      </c>
      <c r="BC93" s="50" t="str">
        <f t="shared" si="190"/>
        <v>0:&lt;span id="adv_0"&gt;&lt;/span&gt;&lt;br/&gt;&lt;input type="radio" name="0" id="" value="" /&gt;</v>
      </c>
      <c r="BD93" s="52" t="str">
        <f t="shared" si="191"/>
        <v>else if (document.getElementById("</v>
      </c>
      <c r="BE93" s="61" t="str">
        <f t="shared" si="192"/>
        <v>else if (document.getElementById("").checked==true) {0="";}</v>
      </c>
      <c r="BF93" s="61" t="str">
        <f t="shared" si="193"/>
        <v/>
      </c>
      <c r="BG93" s="61" t="str">
        <f t="shared" si="194"/>
        <v>0:0</v>
      </c>
      <c r="BH93" s="102" t="str">
        <f t="shared" si="195"/>
        <v>if (isset($_GET['0'])) {$0=($_GET['0']);}else $0='';</v>
      </c>
      <c r="BI93" s="105" t="str">
        <f t="shared" si="196"/>
        <v>&lt;br/&gt;&lt;textarea rows="2" cols="80" id=""&gt;&lt;/textarea&gt;&lt;br/&gt;</v>
      </c>
      <c r="BJ93" s="107" t="str">
        <f t="shared" si="197"/>
        <v>&lt;input type="text"  size="7"  id="" class="datepicker"/&gt;</v>
      </c>
      <c r="BK93" s="107" t="str">
        <f t="shared" si="198"/>
        <v>&lt;h2 id=""&gt;&lt;/h2&gt;</v>
      </c>
      <c r="BL93" s="109" t="str">
        <f t="shared" si="232"/>
        <v/>
      </c>
      <c r="BM93" s="61" t="str">
        <f t="shared" si="233"/>
        <v/>
      </c>
      <c r="BN93" s="52">
        <f t="shared" si="220"/>
        <v>0</v>
      </c>
      <c r="BO93" s="61" t="str">
        <f t="shared" si="234"/>
        <v/>
      </c>
      <c r="BP93" s="102" t="str">
        <f t="shared" si="235"/>
        <v/>
      </c>
      <c r="BQ93" s="105" t="str">
        <f t="shared" si="236"/>
        <v/>
      </c>
      <c r="BR93" s="52" t="str">
        <f t="shared" si="199"/>
        <v/>
      </c>
      <c r="BS93" s="52">
        <f t="shared" si="200"/>
        <v>0</v>
      </c>
      <c r="BT93" s="52">
        <f t="shared" si="221"/>
        <v>0</v>
      </c>
      <c r="BU93" s="52" t="str">
        <f t="shared" si="201"/>
        <v/>
      </c>
      <c r="BV93" s="52" t="str">
        <f t="shared" si="202"/>
        <v/>
      </c>
      <c r="BW93" s="52" t="str">
        <f t="shared" si="222"/>
        <v/>
      </c>
      <c r="BX93" s="113" t="str">
        <f t="shared" si="237"/>
        <v/>
      </c>
      <c r="BY93" s="52" t="str">
        <f t="shared" si="203"/>
        <v/>
      </c>
      <c r="BZ93" s="52" t="str">
        <f t="shared" si="204"/>
        <v/>
      </c>
      <c r="CA93" s="52" t="str">
        <f t="shared" si="238"/>
        <v/>
      </c>
      <c r="CB93" s="52" t="str">
        <f t="shared" si="239"/>
        <v/>
      </c>
      <c r="CC93" s="52" t="str">
        <f t="shared" si="205"/>
        <v/>
      </c>
      <c r="CD93" s="52" t="str">
        <f t="shared" si="206"/>
        <v/>
      </c>
      <c r="CE93" s="102" t="str">
        <f t="shared" si="240"/>
        <v/>
      </c>
      <c r="CF93" s="116" t="str">
        <f t="shared" si="207"/>
        <v/>
      </c>
      <c r="CG93" s="61" t="str">
        <f t="shared" si="241"/>
        <v/>
      </c>
      <c r="CH93" s="52" t="str">
        <f t="shared" si="243"/>
        <v/>
      </c>
      <c r="CI93" s="52" t="str">
        <f t="shared" si="244"/>
        <v/>
      </c>
      <c r="CJ93" s="52" t="str">
        <f t="shared" si="208"/>
        <v/>
      </c>
      <c r="CK93" s="52" t="str">
        <f t="shared" si="209"/>
        <v/>
      </c>
      <c r="CL93" s="52" t="str">
        <f t="shared" si="210"/>
        <v/>
      </c>
      <c r="CM93" s="102" t="str">
        <f t="shared" si="211"/>
        <v/>
      </c>
      <c r="CN93" s="116" t="str">
        <f t="shared" si="212"/>
        <v/>
      </c>
      <c r="CO93" s="61">
        <f t="shared" si="223"/>
        <v>0</v>
      </c>
      <c r="CP93" s="61" t="str">
        <f t="shared" si="168"/>
        <v/>
      </c>
      <c r="CQ93" s="61" t="str">
        <f t="shared" si="225"/>
        <v/>
      </c>
      <c r="CR93" s="61" t="str">
        <f t="shared" si="226"/>
        <v/>
      </c>
      <c r="CS93" s="105" t="str">
        <f t="shared" si="227"/>
        <v/>
      </c>
      <c r="CT93" s="105" t="str">
        <f t="shared" si="228"/>
        <v/>
      </c>
      <c r="CU93" s="61" t="str">
        <f t="shared" si="229"/>
        <v/>
      </c>
      <c r="CV93" s="61" t="str">
        <f t="shared" si="230"/>
        <v/>
      </c>
      <c r="CW93" s="61" t="str">
        <f t="shared" si="213"/>
        <v/>
      </c>
      <c r="CX93" s="61" t="str">
        <f t="shared" si="165"/>
        <v/>
      </c>
      <c r="CY93" s="61" t="str">
        <f t="shared" si="169"/>
        <v/>
      </c>
      <c r="CZ93" s="102" t="str">
        <f t="shared" si="214"/>
        <v/>
      </c>
      <c r="DA93" s="17">
        <f t="shared" si="215"/>
        <v>0</v>
      </c>
      <c r="DC93" s="17">
        <f t="shared" si="167"/>
        <v>0</v>
      </c>
      <c r="DD93" s="17">
        <f t="shared" si="216"/>
        <v>0</v>
      </c>
      <c r="DE93" s="17" t="str">
        <f t="shared" si="217"/>
        <v/>
      </c>
      <c r="DF93" s="17" t="str">
        <f t="shared" si="218"/>
        <v/>
      </c>
    </row>
    <row r="94" spans="2:110" s="17" customFormat="1">
      <c r="B94" s="35"/>
      <c r="C94" s="35"/>
      <c r="D94" s="36"/>
      <c r="E94" s="35"/>
      <c r="F94" s="35"/>
      <c r="G94" s="35"/>
      <c r="H94" s="35"/>
      <c r="I94" s="35"/>
      <c r="J94" s="59"/>
      <c r="Z94" s="172" t="str">
        <f t="shared" si="170"/>
        <v/>
      </c>
      <c r="AB94" s="47" t="s">
        <v>273</v>
      </c>
      <c r="AC94" s="52" t="str">
        <f t="shared" si="166"/>
        <v/>
      </c>
      <c r="AD94" s="52">
        <f t="shared" si="231"/>
        <v>0</v>
      </c>
      <c r="AE94" s="52">
        <f t="shared" si="219"/>
        <v>0</v>
      </c>
      <c r="AF94" s="61" t="str">
        <f t="shared" si="171"/>
        <v/>
      </c>
      <c r="AG94" s="52">
        <f t="shared" si="172"/>
        <v>0</v>
      </c>
      <c r="AH94" s="52">
        <f t="shared" si="173"/>
        <v>0</v>
      </c>
      <c r="AI94" s="52" t="str">
        <f t="shared" si="174"/>
        <v/>
      </c>
      <c r="AJ94" s="61" t="str">
        <f t="shared" si="175"/>
        <v/>
      </c>
      <c r="AK94" s="95" t="str">
        <f t="shared" si="176"/>
        <v/>
      </c>
      <c r="AL94" s="61" t="str">
        <f t="shared" si="177"/>
        <v>if () {$("#adv_").html("Required");$("#").css({"background":"yellow"});} else {$("#adv_").html("");$("#").css({"background":"white"});}</v>
      </c>
      <c r="AM94" s="61" t="str">
        <f t="shared" si="178"/>
        <v>if (=="") {$("#adv_").html("Required");$("#adv_").css({"background":"yellow"});} else {$("#adv_").html("");}</v>
      </c>
      <c r="AN94" s="61" t="str">
        <f t="shared" si="242"/>
        <v>if (=="") {$("#adv_").html("Required");$("#").css({"background":"yellow"});} else {$("#adv_").html("");$("#").css({"background":"white"});}</v>
      </c>
      <c r="AO94" s="50" t="str">
        <f t="shared" si="179"/>
        <v/>
      </c>
      <c r="AP94" s="61" t="str">
        <f t="shared" si="180"/>
        <v>=$("#").val();</v>
      </c>
      <c r="AQ94" s="61" t="str">
        <f t="shared" si="181"/>
        <v/>
      </c>
      <c r="AR94" s="50" t="str">
        <f t="shared" si="182"/>
        <v>&lt;input type="checkbox" id="" name="" value="1" /&gt;</v>
      </c>
      <c r="AS94" s="61" t="str">
        <f t="shared" si="183"/>
        <v>=document.getElementById("").checked;</v>
      </c>
      <c r="AT94" s="102" t="str">
        <f t="shared" si="184"/>
        <v>if (isset($_GET[''])) {$=($_GET['']);}else $='';</v>
      </c>
      <c r="AU94" s="52" t="str">
        <f t="shared" si="185"/>
        <v/>
      </c>
      <c r="AV94" s="52" t="str">
        <f t="shared" si="224"/>
        <v>&lt;select size="1" name="" id=""&gt;&lt;option value=""&gt;</v>
      </c>
      <c r="AW94" s="52" t="str">
        <f t="shared" si="186"/>
        <v>&lt;option value=""&gt;&lt;/option&gt;</v>
      </c>
      <c r="AX94" s="145" t="str">
        <f t="shared" si="187"/>
        <v/>
      </c>
      <c r="AY94" s="102" t="str">
        <f>""</f>
        <v/>
      </c>
      <c r="AZ94" s="102"/>
      <c r="BA94" s="113">
        <f t="shared" si="188"/>
        <v>0</v>
      </c>
      <c r="BB94" s="103" t="str">
        <f t="shared" si="189"/>
        <v>0:</v>
      </c>
      <c r="BC94" s="50" t="str">
        <f t="shared" si="190"/>
        <v>0:&lt;span id="adv_0"&gt;&lt;/span&gt;&lt;br/&gt;&lt;input type="radio" name="0" id="" value="" /&gt;</v>
      </c>
      <c r="BD94" s="52" t="str">
        <f t="shared" si="191"/>
        <v>else if (document.getElementById("</v>
      </c>
      <c r="BE94" s="61" t="str">
        <f t="shared" si="192"/>
        <v>else if (document.getElementById("").checked==true) {0="";}</v>
      </c>
      <c r="BF94" s="61" t="str">
        <f t="shared" si="193"/>
        <v/>
      </c>
      <c r="BG94" s="61" t="str">
        <f t="shared" si="194"/>
        <v>0:0</v>
      </c>
      <c r="BH94" s="102" t="str">
        <f t="shared" si="195"/>
        <v>if (isset($_GET['0'])) {$0=($_GET['0']);}else $0='';</v>
      </c>
      <c r="BI94" s="105" t="str">
        <f t="shared" si="196"/>
        <v>&lt;br/&gt;&lt;textarea rows="2" cols="80" id=""&gt;&lt;/textarea&gt;&lt;br/&gt;</v>
      </c>
      <c r="BJ94" s="107" t="str">
        <f t="shared" si="197"/>
        <v>&lt;input type="text"  size="7"  id="" class="datepicker"/&gt;</v>
      </c>
      <c r="BK94" s="107" t="str">
        <f t="shared" si="198"/>
        <v>&lt;h2 id=""&gt;&lt;/h2&gt;</v>
      </c>
      <c r="BL94" s="109" t="str">
        <f t="shared" si="232"/>
        <v/>
      </c>
      <c r="BM94" s="61" t="str">
        <f t="shared" si="233"/>
        <v/>
      </c>
      <c r="BN94" s="52">
        <f t="shared" si="220"/>
        <v>0</v>
      </c>
      <c r="BO94" s="61" t="str">
        <f t="shared" si="234"/>
        <v/>
      </c>
      <c r="BP94" s="102" t="str">
        <f t="shared" si="235"/>
        <v/>
      </c>
      <c r="BQ94" s="105" t="str">
        <f t="shared" si="236"/>
        <v/>
      </c>
      <c r="BR94" s="52" t="str">
        <f t="shared" si="199"/>
        <v/>
      </c>
      <c r="BS94" s="52">
        <f t="shared" si="200"/>
        <v>0</v>
      </c>
      <c r="BT94" s="52">
        <f t="shared" si="221"/>
        <v>0</v>
      </c>
      <c r="BU94" s="52" t="str">
        <f t="shared" si="201"/>
        <v/>
      </c>
      <c r="BV94" s="52" t="str">
        <f t="shared" si="202"/>
        <v/>
      </c>
      <c r="BW94" s="52" t="str">
        <f t="shared" si="222"/>
        <v/>
      </c>
      <c r="BX94" s="113" t="str">
        <f t="shared" si="237"/>
        <v/>
      </c>
      <c r="BY94" s="52" t="str">
        <f t="shared" si="203"/>
        <v/>
      </c>
      <c r="BZ94" s="52" t="str">
        <f t="shared" si="204"/>
        <v/>
      </c>
      <c r="CA94" s="52" t="str">
        <f t="shared" si="238"/>
        <v/>
      </c>
      <c r="CB94" s="52" t="str">
        <f t="shared" si="239"/>
        <v/>
      </c>
      <c r="CC94" s="52" t="str">
        <f t="shared" si="205"/>
        <v/>
      </c>
      <c r="CD94" s="52" t="str">
        <f t="shared" si="206"/>
        <v/>
      </c>
      <c r="CE94" s="102" t="str">
        <f t="shared" si="240"/>
        <v/>
      </c>
      <c r="CF94" s="116" t="str">
        <f t="shared" si="207"/>
        <v/>
      </c>
      <c r="CG94" s="61" t="str">
        <f t="shared" si="241"/>
        <v/>
      </c>
      <c r="CH94" s="52" t="str">
        <f t="shared" si="243"/>
        <v/>
      </c>
      <c r="CI94" s="52" t="str">
        <f t="shared" si="244"/>
        <v/>
      </c>
      <c r="CJ94" s="52" t="str">
        <f t="shared" si="208"/>
        <v/>
      </c>
      <c r="CK94" s="52" t="str">
        <f t="shared" si="209"/>
        <v/>
      </c>
      <c r="CL94" s="52" t="str">
        <f t="shared" si="210"/>
        <v/>
      </c>
      <c r="CM94" s="102" t="str">
        <f t="shared" si="211"/>
        <v/>
      </c>
      <c r="CN94" s="116" t="str">
        <f t="shared" si="212"/>
        <v/>
      </c>
      <c r="CO94" s="61">
        <f t="shared" si="223"/>
        <v>0</v>
      </c>
      <c r="CP94" s="61" t="str">
        <f t="shared" si="168"/>
        <v/>
      </c>
      <c r="CQ94" s="61" t="str">
        <f t="shared" si="225"/>
        <v/>
      </c>
      <c r="CR94" s="61" t="str">
        <f t="shared" si="226"/>
        <v/>
      </c>
      <c r="CS94" s="105" t="str">
        <f t="shared" si="227"/>
        <v/>
      </c>
      <c r="CT94" s="105" t="str">
        <f t="shared" si="228"/>
        <v/>
      </c>
      <c r="CU94" s="61" t="str">
        <f t="shared" si="229"/>
        <v/>
      </c>
      <c r="CV94" s="61" t="str">
        <f t="shared" si="230"/>
        <v/>
      </c>
      <c r="CW94" s="61" t="str">
        <f t="shared" si="213"/>
        <v/>
      </c>
      <c r="CX94" s="61" t="str">
        <f t="shared" si="165"/>
        <v/>
      </c>
      <c r="CY94" s="61" t="str">
        <f t="shared" si="169"/>
        <v/>
      </c>
      <c r="CZ94" s="102" t="str">
        <f t="shared" si="214"/>
        <v/>
      </c>
      <c r="DA94" s="17">
        <f t="shared" si="215"/>
        <v>0</v>
      </c>
      <c r="DC94" s="17">
        <f t="shared" si="167"/>
        <v>0</v>
      </c>
      <c r="DD94" s="17">
        <f t="shared" si="216"/>
        <v>0</v>
      </c>
      <c r="DE94" s="17" t="str">
        <f t="shared" si="217"/>
        <v/>
      </c>
      <c r="DF94" s="17" t="str">
        <f t="shared" si="218"/>
        <v/>
      </c>
    </row>
    <row r="95" spans="2:110" s="17" customFormat="1">
      <c r="B95" s="35"/>
      <c r="C95" s="35"/>
      <c r="D95" s="36"/>
      <c r="E95" s="35"/>
      <c r="F95" s="35"/>
      <c r="G95" s="35"/>
      <c r="H95" s="35"/>
      <c r="I95" s="35"/>
      <c r="J95" s="59"/>
      <c r="Z95" s="172" t="str">
        <f t="shared" si="170"/>
        <v/>
      </c>
      <c r="AB95" s="47" t="s">
        <v>274</v>
      </c>
      <c r="AC95" s="52" t="str">
        <f t="shared" si="166"/>
        <v/>
      </c>
      <c r="AD95" s="52">
        <f t="shared" si="231"/>
        <v>0</v>
      </c>
      <c r="AE95" s="52">
        <f t="shared" si="219"/>
        <v>0</v>
      </c>
      <c r="AF95" s="61" t="str">
        <f t="shared" si="171"/>
        <v/>
      </c>
      <c r="AG95" s="52">
        <f t="shared" si="172"/>
        <v>0</v>
      </c>
      <c r="AH95" s="52">
        <f t="shared" si="173"/>
        <v>0</v>
      </c>
      <c r="AI95" s="52" t="str">
        <f t="shared" si="174"/>
        <v/>
      </c>
      <c r="AJ95" s="61" t="str">
        <f t="shared" si="175"/>
        <v/>
      </c>
      <c r="AK95" s="95" t="str">
        <f t="shared" si="176"/>
        <v/>
      </c>
      <c r="AL95" s="61" t="str">
        <f t="shared" si="177"/>
        <v>if () {$("#adv_").html("Required");$("#").css({"background":"yellow"});} else {$("#adv_").html("");$("#").css({"background":"white"});}</v>
      </c>
      <c r="AM95" s="61" t="str">
        <f t="shared" si="178"/>
        <v>if (=="") {$("#adv_").html("Required");$("#adv_").css({"background":"yellow"});} else {$("#adv_").html("");}</v>
      </c>
      <c r="AN95" s="61" t="str">
        <f t="shared" si="242"/>
        <v>if (=="") {$("#adv_").html("Required");$("#").css({"background":"yellow"});} else {$("#adv_").html("");$("#").css({"background":"white"});}</v>
      </c>
      <c r="AO95" s="50" t="str">
        <f t="shared" si="179"/>
        <v/>
      </c>
      <c r="AP95" s="61" t="str">
        <f t="shared" si="180"/>
        <v>=$("#").val();</v>
      </c>
      <c r="AQ95" s="61" t="str">
        <f t="shared" si="181"/>
        <v/>
      </c>
      <c r="AR95" s="50" t="str">
        <f t="shared" si="182"/>
        <v>&lt;input type="checkbox" id="" name="" value="1" /&gt;</v>
      </c>
      <c r="AS95" s="61" t="str">
        <f t="shared" si="183"/>
        <v>=document.getElementById("").checked;</v>
      </c>
      <c r="AT95" s="102" t="str">
        <f t="shared" si="184"/>
        <v>if (isset($_GET[''])) {$=($_GET['']);}else $='';</v>
      </c>
      <c r="AU95" s="52" t="str">
        <f t="shared" si="185"/>
        <v/>
      </c>
      <c r="AV95" s="52" t="str">
        <f t="shared" si="224"/>
        <v>&lt;select size="1" name="" id=""&gt;&lt;option value=""&gt;</v>
      </c>
      <c r="AW95" s="52" t="str">
        <f t="shared" si="186"/>
        <v>&lt;option value=""&gt;&lt;/option&gt;</v>
      </c>
      <c r="AX95" s="145" t="str">
        <f t="shared" si="187"/>
        <v/>
      </c>
      <c r="AY95" s="102" t="str">
        <f>""</f>
        <v/>
      </c>
      <c r="AZ95" s="102"/>
      <c r="BA95" s="113">
        <f t="shared" si="188"/>
        <v>0</v>
      </c>
      <c r="BB95" s="103" t="str">
        <f t="shared" si="189"/>
        <v>0:</v>
      </c>
      <c r="BC95" s="50" t="str">
        <f t="shared" si="190"/>
        <v>0:&lt;span id="adv_0"&gt;&lt;/span&gt;&lt;br/&gt;&lt;input type="radio" name="0" id="" value="" /&gt;</v>
      </c>
      <c r="BD95" s="52" t="str">
        <f t="shared" si="191"/>
        <v>else if (document.getElementById("</v>
      </c>
      <c r="BE95" s="61" t="str">
        <f t="shared" si="192"/>
        <v>else if (document.getElementById("").checked==true) {0="";}</v>
      </c>
      <c r="BF95" s="61" t="str">
        <f t="shared" si="193"/>
        <v/>
      </c>
      <c r="BG95" s="61" t="str">
        <f t="shared" si="194"/>
        <v>0:0</v>
      </c>
      <c r="BH95" s="102" t="str">
        <f t="shared" si="195"/>
        <v>if (isset($_GET['0'])) {$0=($_GET['0']);}else $0='';</v>
      </c>
      <c r="BI95" s="105" t="str">
        <f t="shared" si="196"/>
        <v>&lt;br/&gt;&lt;textarea rows="2" cols="80" id=""&gt;&lt;/textarea&gt;&lt;br/&gt;</v>
      </c>
      <c r="BJ95" s="107" t="str">
        <f t="shared" si="197"/>
        <v>&lt;input type="text"  size="7"  id="" class="datepicker"/&gt;</v>
      </c>
      <c r="BK95" s="107" t="str">
        <f t="shared" si="198"/>
        <v>&lt;h2 id=""&gt;&lt;/h2&gt;</v>
      </c>
      <c r="BL95" s="109" t="str">
        <f t="shared" si="232"/>
        <v/>
      </c>
      <c r="BM95" s="61" t="str">
        <f t="shared" si="233"/>
        <v/>
      </c>
      <c r="BN95" s="52">
        <f t="shared" si="220"/>
        <v>0</v>
      </c>
      <c r="BO95" s="61" t="str">
        <f t="shared" si="234"/>
        <v/>
      </c>
      <c r="BP95" s="102" t="str">
        <f t="shared" si="235"/>
        <v/>
      </c>
      <c r="BQ95" s="105" t="str">
        <f t="shared" si="236"/>
        <v/>
      </c>
      <c r="BR95" s="52" t="str">
        <f t="shared" si="199"/>
        <v/>
      </c>
      <c r="BS95" s="52">
        <f t="shared" si="200"/>
        <v>0</v>
      </c>
      <c r="BT95" s="52">
        <f t="shared" si="221"/>
        <v>0</v>
      </c>
      <c r="BU95" s="52" t="str">
        <f t="shared" si="201"/>
        <v/>
      </c>
      <c r="BV95" s="52" t="str">
        <f t="shared" si="202"/>
        <v/>
      </c>
      <c r="BW95" s="52" t="str">
        <f t="shared" si="222"/>
        <v/>
      </c>
      <c r="BX95" s="113" t="str">
        <f t="shared" si="237"/>
        <v/>
      </c>
      <c r="BY95" s="52" t="str">
        <f t="shared" si="203"/>
        <v/>
      </c>
      <c r="BZ95" s="52" t="str">
        <f t="shared" si="204"/>
        <v/>
      </c>
      <c r="CA95" s="52" t="str">
        <f t="shared" si="238"/>
        <v/>
      </c>
      <c r="CB95" s="52" t="str">
        <f t="shared" si="239"/>
        <v/>
      </c>
      <c r="CC95" s="52" t="str">
        <f t="shared" si="205"/>
        <v/>
      </c>
      <c r="CD95" s="52" t="str">
        <f t="shared" si="206"/>
        <v/>
      </c>
      <c r="CE95" s="102" t="str">
        <f t="shared" si="240"/>
        <v/>
      </c>
      <c r="CF95" s="116" t="str">
        <f t="shared" si="207"/>
        <v/>
      </c>
      <c r="CG95" s="61" t="str">
        <f t="shared" si="241"/>
        <v/>
      </c>
      <c r="CH95" s="52" t="str">
        <f t="shared" si="243"/>
        <v/>
      </c>
      <c r="CI95" s="52" t="str">
        <f t="shared" si="244"/>
        <v/>
      </c>
      <c r="CJ95" s="52" t="str">
        <f t="shared" si="208"/>
        <v/>
      </c>
      <c r="CK95" s="52" t="str">
        <f t="shared" si="209"/>
        <v/>
      </c>
      <c r="CL95" s="52" t="str">
        <f t="shared" si="210"/>
        <v/>
      </c>
      <c r="CM95" s="102" t="str">
        <f t="shared" si="211"/>
        <v/>
      </c>
      <c r="CN95" s="116" t="str">
        <f t="shared" si="212"/>
        <v/>
      </c>
      <c r="CO95" s="61">
        <f t="shared" si="223"/>
        <v>0</v>
      </c>
      <c r="CP95" s="61" t="str">
        <f t="shared" si="168"/>
        <v/>
      </c>
      <c r="CQ95" s="61" t="str">
        <f t="shared" si="225"/>
        <v/>
      </c>
      <c r="CR95" s="61" t="str">
        <f t="shared" si="226"/>
        <v/>
      </c>
      <c r="CS95" s="105" t="str">
        <f t="shared" si="227"/>
        <v/>
      </c>
      <c r="CT95" s="105" t="str">
        <f t="shared" si="228"/>
        <v/>
      </c>
      <c r="CU95" s="61" t="str">
        <f t="shared" si="229"/>
        <v/>
      </c>
      <c r="CV95" s="61" t="str">
        <f t="shared" si="230"/>
        <v/>
      </c>
      <c r="CW95" s="61" t="str">
        <f t="shared" si="213"/>
        <v/>
      </c>
      <c r="CX95" s="61" t="str">
        <f t="shared" si="165"/>
        <v/>
      </c>
      <c r="CY95" s="61" t="str">
        <f t="shared" si="169"/>
        <v/>
      </c>
      <c r="CZ95" s="102" t="str">
        <f t="shared" si="214"/>
        <v/>
      </c>
      <c r="DA95" s="17">
        <f t="shared" si="215"/>
        <v>0</v>
      </c>
      <c r="DC95" s="17">
        <f t="shared" si="167"/>
        <v>0</v>
      </c>
      <c r="DD95" s="17">
        <f t="shared" si="216"/>
        <v>0</v>
      </c>
      <c r="DE95" s="17" t="str">
        <f t="shared" si="217"/>
        <v/>
      </c>
      <c r="DF95" s="17" t="str">
        <f t="shared" si="218"/>
        <v/>
      </c>
    </row>
    <row r="96" spans="2:110" s="17" customFormat="1">
      <c r="B96" s="35"/>
      <c r="C96" s="35"/>
      <c r="D96" s="36"/>
      <c r="E96" s="35"/>
      <c r="F96" s="35"/>
      <c r="G96" s="35"/>
      <c r="H96" s="35"/>
      <c r="I96" s="35"/>
      <c r="J96" s="59"/>
      <c r="Z96" s="172" t="str">
        <f t="shared" si="170"/>
        <v/>
      </c>
      <c r="AB96" s="47" t="s">
        <v>275</v>
      </c>
      <c r="AC96" s="52" t="str">
        <f t="shared" si="166"/>
        <v/>
      </c>
      <c r="AD96" s="52">
        <f t="shared" si="231"/>
        <v>0</v>
      </c>
      <c r="AE96" s="52">
        <f t="shared" si="219"/>
        <v>0</v>
      </c>
      <c r="AF96" s="61" t="str">
        <f t="shared" si="171"/>
        <v/>
      </c>
      <c r="AG96" s="52">
        <f t="shared" si="172"/>
        <v>0</v>
      </c>
      <c r="AH96" s="52">
        <f t="shared" si="173"/>
        <v>0</v>
      </c>
      <c r="AI96" s="52" t="str">
        <f t="shared" si="174"/>
        <v/>
      </c>
      <c r="AJ96" s="61" t="str">
        <f t="shared" si="175"/>
        <v/>
      </c>
      <c r="AK96" s="95" t="str">
        <f t="shared" si="176"/>
        <v/>
      </c>
      <c r="AL96" s="61" t="str">
        <f t="shared" si="177"/>
        <v>if () {$("#adv_").html("Required");$("#").css({"background":"yellow"});} else {$("#adv_").html("");$("#").css({"background":"white"});}</v>
      </c>
      <c r="AM96" s="61" t="str">
        <f t="shared" si="178"/>
        <v>if (=="") {$("#adv_").html("Required");$("#adv_").css({"background":"yellow"});} else {$("#adv_").html("");}</v>
      </c>
      <c r="AN96" s="61" t="str">
        <f t="shared" si="242"/>
        <v>if (=="") {$("#adv_").html("Required");$("#").css({"background":"yellow"});} else {$("#adv_").html("");$("#").css({"background":"white"});}</v>
      </c>
      <c r="AO96" s="50" t="str">
        <f t="shared" si="179"/>
        <v/>
      </c>
      <c r="AP96" s="61" t="str">
        <f t="shared" si="180"/>
        <v>=$("#").val();</v>
      </c>
      <c r="AQ96" s="61" t="str">
        <f t="shared" si="181"/>
        <v/>
      </c>
      <c r="AR96" s="50" t="str">
        <f t="shared" si="182"/>
        <v>&lt;input type="checkbox" id="" name="" value="1" /&gt;</v>
      </c>
      <c r="AS96" s="61" t="str">
        <f t="shared" si="183"/>
        <v>=document.getElementById("").checked;</v>
      </c>
      <c r="AT96" s="102" t="str">
        <f t="shared" si="184"/>
        <v>if (isset($_GET[''])) {$=($_GET['']);}else $='';</v>
      </c>
      <c r="AU96" s="52" t="str">
        <f t="shared" si="185"/>
        <v/>
      </c>
      <c r="AV96" s="52" t="str">
        <f t="shared" si="224"/>
        <v>&lt;select size="1" name="" id=""&gt;&lt;option value=""&gt;</v>
      </c>
      <c r="AW96" s="52" t="str">
        <f t="shared" si="186"/>
        <v>&lt;option value=""&gt;&lt;/option&gt;</v>
      </c>
      <c r="AX96" s="145" t="str">
        <f t="shared" si="187"/>
        <v/>
      </c>
      <c r="AY96" s="102" t="str">
        <f>""</f>
        <v/>
      </c>
      <c r="AZ96" s="102"/>
      <c r="BA96" s="113">
        <f t="shared" si="188"/>
        <v>0</v>
      </c>
      <c r="BB96" s="103" t="str">
        <f t="shared" si="189"/>
        <v>0:</v>
      </c>
      <c r="BC96" s="50" t="str">
        <f t="shared" si="190"/>
        <v>0:&lt;span id="adv_0"&gt;&lt;/span&gt;&lt;br/&gt;&lt;input type="radio" name="0" id="" value="" /&gt;</v>
      </c>
      <c r="BD96" s="52" t="str">
        <f t="shared" si="191"/>
        <v>else if (document.getElementById("</v>
      </c>
      <c r="BE96" s="61" t="str">
        <f t="shared" si="192"/>
        <v>else if (document.getElementById("").checked==true) {0="";}</v>
      </c>
      <c r="BF96" s="61" t="str">
        <f t="shared" si="193"/>
        <v/>
      </c>
      <c r="BG96" s="61" t="str">
        <f t="shared" si="194"/>
        <v>0:0</v>
      </c>
      <c r="BH96" s="102" t="str">
        <f t="shared" si="195"/>
        <v>if (isset($_GET['0'])) {$0=($_GET['0']);}else $0='';</v>
      </c>
      <c r="BI96" s="105" t="str">
        <f t="shared" si="196"/>
        <v>&lt;br/&gt;&lt;textarea rows="2" cols="80" id=""&gt;&lt;/textarea&gt;&lt;br/&gt;</v>
      </c>
      <c r="BJ96" s="107" t="str">
        <f t="shared" si="197"/>
        <v>&lt;input type="text"  size="7"  id="" class="datepicker"/&gt;</v>
      </c>
      <c r="BK96" s="107" t="str">
        <f t="shared" si="198"/>
        <v>&lt;h2 id=""&gt;&lt;/h2&gt;</v>
      </c>
      <c r="BL96" s="109" t="str">
        <f t="shared" si="232"/>
        <v/>
      </c>
      <c r="BM96" s="61" t="str">
        <f t="shared" si="233"/>
        <v/>
      </c>
      <c r="BN96" s="52">
        <f t="shared" si="220"/>
        <v>0</v>
      </c>
      <c r="BO96" s="61" t="str">
        <f t="shared" si="234"/>
        <v/>
      </c>
      <c r="BP96" s="102" t="str">
        <f t="shared" si="235"/>
        <v/>
      </c>
      <c r="BQ96" s="105" t="str">
        <f t="shared" si="236"/>
        <v/>
      </c>
      <c r="BR96" s="52" t="str">
        <f t="shared" si="199"/>
        <v/>
      </c>
      <c r="BS96" s="52">
        <f t="shared" si="200"/>
        <v>0</v>
      </c>
      <c r="BT96" s="52">
        <f t="shared" si="221"/>
        <v>0</v>
      </c>
      <c r="BU96" s="52" t="str">
        <f t="shared" si="201"/>
        <v/>
      </c>
      <c r="BV96" s="52" t="str">
        <f t="shared" si="202"/>
        <v/>
      </c>
      <c r="BW96" s="52" t="str">
        <f t="shared" si="222"/>
        <v/>
      </c>
      <c r="BX96" s="113" t="str">
        <f t="shared" si="237"/>
        <v/>
      </c>
      <c r="BY96" s="52" t="str">
        <f t="shared" si="203"/>
        <v/>
      </c>
      <c r="BZ96" s="52" t="str">
        <f t="shared" si="204"/>
        <v/>
      </c>
      <c r="CA96" s="52" t="str">
        <f t="shared" si="238"/>
        <v/>
      </c>
      <c r="CB96" s="52" t="str">
        <f t="shared" si="239"/>
        <v/>
      </c>
      <c r="CC96" s="52" t="str">
        <f t="shared" si="205"/>
        <v/>
      </c>
      <c r="CD96" s="52" t="str">
        <f t="shared" si="206"/>
        <v/>
      </c>
      <c r="CE96" s="102" t="str">
        <f t="shared" si="240"/>
        <v/>
      </c>
      <c r="CF96" s="116" t="str">
        <f t="shared" si="207"/>
        <v/>
      </c>
      <c r="CG96" s="61" t="str">
        <f t="shared" si="241"/>
        <v/>
      </c>
      <c r="CH96" s="52" t="str">
        <f t="shared" si="243"/>
        <v/>
      </c>
      <c r="CI96" s="52" t="str">
        <f t="shared" si="244"/>
        <v/>
      </c>
      <c r="CJ96" s="52" t="str">
        <f t="shared" si="208"/>
        <v/>
      </c>
      <c r="CK96" s="52" t="str">
        <f t="shared" si="209"/>
        <v/>
      </c>
      <c r="CL96" s="52" t="str">
        <f t="shared" si="210"/>
        <v/>
      </c>
      <c r="CM96" s="102" t="str">
        <f t="shared" si="211"/>
        <v/>
      </c>
      <c r="CN96" s="116" t="str">
        <f t="shared" si="212"/>
        <v/>
      </c>
      <c r="CO96" s="61">
        <f t="shared" si="223"/>
        <v>0</v>
      </c>
      <c r="CP96" s="61" t="str">
        <f t="shared" si="168"/>
        <v/>
      </c>
      <c r="CQ96" s="61" t="str">
        <f t="shared" si="225"/>
        <v/>
      </c>
      <c r="CR96" s="61" t="str">
        <f t="shared" si="226"/>
        <v/>
      </c>
      <c r="CS96" s="105" t="str">
        <f t="shared" si="227"/>
        <v/>
      </c>
      <c r="CT96" s="105" t="str">
        <f t="shared" si="228"/>
        <v/>
      </c>
      <c r="CU96" s="61" t="str">
        <f t="shared" si="229"/>
        <v/>
      </c>
      <c r="CV96" s="61" t="str">
        <f t="shared" si="230"/>
        <v/>
      </c>
      <c r="CW96" s="61" t="str">
        <f t="shared" si="213"/>
        <v/>
      </c>
      <c r="CX96" s="61" t="str">
        <f t="shared" ref="CX96:CX114" si="245">+IF(AND(OR(E96="texto",E96="bigtext"),I96="si",E95="selectlist"),$C$5&amp;AU95&amp;$Q$4&amp;AU95&amp;$R$12&amp;C95&amp;$S$1&amp;C96&amp;$P$9&amp;$Q$5&amp;C96&amp;$P$9&amp;$H$4&amp;"}})","")</f>
        <v/>
      </c>
      <c r="CY96" s="61" t="str">
        <f t="shared" si="169"/>
        <v/>
      </c>
      <c r="CZ96" s="102" t="str">
        <f t="shared" si="214"/>
        <v/>
      </c>
      <c r="DA96" s="17">
        <f t="shared" si="215"/>
        <v>0</v>
      </c>
      <c r="DC96" s="17">
        <f t="shared" si="167"/>
        <v>0</v>
      </c>
      <c r="DD96" s="17">
        <f t="shared" si="216"/>
        <v>0</v>
      </c>
      <c r="DE96" s="17" t="str">
        <f t="shared" si="217"/>
        <v/>
      </c>
      <c r="DF96" s="17" t="str">
        <f t="shared" si="218"/>
        <v/>
      </c>
    </row>
    <row r="97" spans="2:110" s="17" customFormat="1">
      <c r="B97" s="35"/>
      <c r="C97" s="35"/>
      <c r="D97" s="36"/>
      <c r="E97" s="35"/>
      <c r="F97" s="35"/>
      <c r="G97" s="35"/>
      <c r="H97" s="35"/>
      <c r="I97" s="35"/>
      <c r="J97" s="59"/>
      <c r="Z97" s="172" t="str">
        <f t="shared" si="170"/>
        <v/>
      </c>
      <c r="AB97" s="47" t="s">
        <v>276</v>
      </c>
      <c r="AC97" s="52" t="str">
        <f t="shared" si="166"/>
        <v/>
      </c>
      <c r="AD97" s="52">
        <f t="shared" si="231"/>
        <v>0</v>
      </c>
      <c r="AE97" s="52">
        <f t="shared" si="219"/>
        <v>0</v>
      </c>
      <c r="AF97" s="61" t="str">
        <f t="shared" si="171"/>
        <v/>
      </c>
      <c r="AG97" s="52">
        <f t="shared" si="172"/>
        <v>0</v>
      </c>
      <c r="AH97" s="52">
        <f t="shared" si="173"/>
        <v>0</v>
      </c>
      <c r="AI97" s="52" t="str">
        <f t="shared" si="174"/>
        <v/>
      </c>
      <c r="AJ97" s="61" t="str">
        <f t="shared" si="175"/>
        <v/>
      </c>
      <c r="AK97" s="95" t="str">
        <f t="shared" si="176"/>
        <v/>
      </c>
      <c r="AL97" s="61" t="str">
        <f t="shared" si="177"/>
        <v>if () {$("#adv_").html("Required");$("#").css({"background":"yellow"});} else {$("#adv_").html("");$("#").css({"background":"white"});}</v>
      </c>
      <c r="AM97" s="61" t="str">
        <f t="shared" si="178"/>
        <v>if (=="") {$("#adv_").html("Required");$("#adv_").css({"background":"yellow"});} else {$("#adv_").html("");}</v>
      </c>
      <c r="AN97" s="61" t="str">
        <f t="shared" si="242"/>
        <v>if (=="") {$("#adv_").html("Required");$("#").css({"background":"yellow"});} else {$("#adv_").html("");$("#").css({"background":"white"});}</v>
      </c>
      <c r="AO97" s="50" t="str">
        <f t="shared" si="179"/>
        <v/>
      </c>
      <c r="AP97" s="61" t="str">
        <f t="shared" si="180"/>
        <v>=$("#").val();</v>
      </c>
      <c r="AQ97" s="61" t="str">
        <f t="shared" si="181"/>
        <v/>
      </c>
      <c r="AR97" s="50" t="str">
        <f t="shared" si="182"/>
        <v>&lt;input type="checkbox" id="" name="" value="1" /&gt;</v>
      </c>
      <c r="AS97" s="61" t="str">
        <f t="shared" si="183"/>
        <v>=document.getElementById("").checked;</v>
      </c>
      <c r="AT97" s="102" t="str">
        <f t="shared" si="184"/>
        <v>if (isset($_GET[''])) {$=($_GET['']);}else $='';</v>
      </c>
      <c r="AU97" s="52" t="str">
        <f t="shared" si="185"/>
        <v/>
      </c>
      <c r="AV97" s="52" t="str">
        <f t="shared" si="224"/>
        <v>&lt;select size="1" name="" id=""&gt;&lt;option value=""&gt;</v>
      </c>
      <c r="AW97" s="52" t="str">
        <f t="shared" si="186"/>
        <v>&lt;option value=""&gt;&lt;/option&gt;</v>
      </c>
      <c r="AX97" s="145" t="str">
        <f t="shared" si="187"/>
        <v/>
      </c>
      <c r="AY97" s="102" t="str">
        <f>""</f>
        <v/>
      </c>
      <c r="AZ97" s="102"/>
      <c r="BA97" s="113">
        <f t="shared" si="188"/>
        <v>0</v>
      </c>
      <c r="BB97" s="103" t="str">
        <f t="shared" si="189"/>
        <v>0:</v>
      </c>
      <c r="BC97" s="50" t="str">
        <f t="shared" si="190"/>
        <v>0:&lt;span id="adv_0"&gt;&lt;/span&gt;&lt;br/&gt;&lt;input type="radio" name="0" id="" value="" /&gt;</v>
      </c>
      <c r="BD97" s="52" t="str">
        <f t="shared" si="191"/>
        <v>else if (document.getElementById("</v>
      </c>
      <c r="BE97" s="61" t="str">
        <f t="shared" si="192"/>
        <v>else if (document.getElementById("").checked==true) {0="";}</v>
      </c>
      <c r="BF97" s="61" t="str">
        <f t="shared" si="193"/>
        <v/>
      </c>
      <c r="BG97" s="61" t="str">
        <f t="shared" si="194"/>
        <v>0:0</v>
      </c>
      <c r="BH97" s="102" t="str">
        <f t="shared" si="195"/>
        <v>if (isset($_GET['0'])) {$0=($_GET['0']);}else $0='';</v>
      </c>
      <c r="BI97" s="105" t="str">
        <f t="shared" si="196"/>
        <v>&lt;br/&gt;&lt;textarea rows="2" cols="80" id=""&gt;&lt;/textarea&gt;&lt;br/&gt;</v>
      </c>
      <c r="BJ97" s="107" t="str">
        <f t="shared" si="197"/>
        <v>&lt;input type="text"  size="7"  id="" class="datepicker"/&gt;</v>
      </c>
      <c r="BK97" s="107" t="str">
        <f t="shared" si="198"/>
        <v>&lt;h2 id=""&gt;&lt;/h2&gt;</v>
      </c>
      <c r="BL97" s="109" t="str">
        <f t="shared" si="232"/>
        <v/>
      </c>
      <c r="BM97" s="61" t="str">
        <f t="shared" si="233"/>
        <v/>
      </c>
      <c r="BN97" s="52">
        <f t="shared" si="220"/>
        <v>0</v>
      </c>
      <c r="BO97" s="61" t="str">
        <f t="shared" si="234"/>
        <v/>
      </c>
      <c r="BP97" s="102" t="str">
        <f t="shared" si="235"/>
        <v/>
      </c>
      <c r="BQ97" s="105" t="str">
        <f t="shared" si="236"/>
        <v/>
      </c>
      <c r="BR97" s="52" t="str">
        <f t="shared" si="199"/>
        <v/>
      </c>
      <c r="BS97" s="52">
        <f t="shared" si="200"/>
        <v>0</v>
      </c>
      <c r="BT97" s="52">
        <f t="shared" si="221"/>
        <v>0</v>
      </c>
      <c r="BU97" s="52" t="str">
        <f t="shared" si="201"/>
        <v/>
      </c>
      <c r="BV97" s="52" t="str">
        <f t="shared" si="202"/>
        <v/>
      </c>
      <c r="BW97" s="52" t="str">
        <f t="shared" si="222"/>
        <v/>
      </c>
      <c r="BX97" s="113" t="str">
        <f t="shared" si="237"/>
        <v/>
      </c>
      <c r="BY97" s="52" t="str">
        <f t="shared" si="203"/>
        <v/>
      </c>
      <c r="BZ97" s="52" t="str">
        <f t="shared" si="204"/>
        <v/>
      </c>
      <c r="CA97" s="52" t="str">
        <f t="shared" si="238"/>
        <v/>
      </c>
      <c r="CB97" s="52" t="str">
        <f t="shared" si="239"/>
        <v/>
      </c>
      <c r="CC97" s="52" t="str">
        <f t="shared" si="205"/>
        <v/>
      </c>
      <c r="CD97" s="52" t="str">
        <f t="shared" si="206"/>
        <v/>
      </c>
      <c r="CE97" s="102" t="str">
        <f t="shared" si="240"/>
        <v/>
      </c>
      <c r="CF97" s="116" t="str">
        <f t="shared" si="207"/>
        <v/>
      </c>
      <c r="CG97" s="61" t="str">
        <f t="shared" si="241"/>
        <v/>
      </c>
      <c r="CH97" s="52" t="str">
        <f t="shared" si="243"/>
        <v/>
      </c>
      <c r="CI97" s="52" t="str">
        <f t="shared" si="244"/>
        <v/>
      </c>
      <c r="CJ97" s="52" t="str">
        <f t="shared" si="208"/>
        <v/>
      </c>
      <c r="CK97" s="52" t="str">
        <f t="shared" si="209"/>
        <v/>
      </c>
      <c r="CL97" s="52" t="str">
        <f t="shared" si="210"/>
        <v/>
      </c>
      <c r="CM97" s="102" t="str">
        <f t="shared" si="211"/>
        <v/>
      </c>
      <c r="CN97" s="116" t="str">
        <f t="shared" si="212"/>
        <v/>
      </c>
      <c r="CO97" s="61">
        <f t="shared" si="223"/>
        <v>0</v>
      </c>
      <c r="CP97" s="61" t="str">
        <f t="shared" si="168"/>
        <v/>
      </c>
      <c r="CQ97" s="61" t="str">
        <f t="shared" si="225"/>
        <v/>
      </c>
      <c r="CR97" s="61" t="str">
        <f t="shared" si="226"/>
        <v/>
      </c>
      <c r="CS97" s="105" t="str">
        <f t="shared" si="227"/>
        <v/>
      </c>
      <c r="CT97" s="105" t="str">
        <f t="shared" si="228"/>
        <v/>
      </c>
      <c r="CU97" s="61" t="str">
        <f t="shared" si="229"/>
        <v/>
      </c>
      <c r="CV97" s="61" t="str">
        <f t="shared" si="230"/>
        <v/>
      </c>
      <c r="CW97" s="61" t="str">
        <f t="shared" si="213"/>
        <v/>
      </c>
      <c r="CX97" s="61" t="str">
        <f t="shared" si="245"/>
        <v/>
      </c>
      <c r="CY97" s="61" t="str">
        <f t="shared" si="169"/>
        <v/>
      </c>
      <c r="CZ97" s="102" t="str">
        <f t="shared" si="214"/>
        <v/>
      </c>
      <c r="DA97" s="17">
        <f t="shared" si="215"/>
        <v>0</v>
      </c>
      <c r="DC97" s="17">
        <f t="shared" si="167"/>
        <v>0</v>
      </c>
      <c r="DD97" s="17">
        <f t="shared" si="216"/>
        <v>0</v>
      </c>
      <c r="DE97" s="17" t="str">
        <f t="shared" si="217"/>
        <v/>
      </c>
      <c r="DF97" s="17" t="str">
        <f t="shared" si="218"/>
        <v/>
      </c>
    </row>
    <row r="98" spans="2:110" s="17" customFormat="1">
      <c r="B98" s="35"/>
      <c r="C98" s="35"/>
      <c r="D98" s="36"/>
      <c r="E98" s="35"/>
      <c r="F98" s="35"/>
      <c r="G98" s="35"/>
      <c r="H98" s="35"/>
      <c r="I98" s="35"/>
      <c r="J98" s="59"/>
      <c r="Z98" s="172" t="str">
        <f t="shared" si="170"/>
        <v/>
      </c>
      <c r="AB98" s="47" t="s">
        <v>277</v>
      </c>
      <c r="AC98" s="52" t="str">
        <f t="shared" si="166"/>
        <v/>
      </c>
      <c r="AD98" s="52">
        <f t="shared" si="231"/>
        <v>0</v>
      </c>
      <c r="AE98" s="52">
        <f t="shared" si="219"/>
        <v>0</v>
      </c>
      <c r="AF98" s="61" t="str">
        <f t="shared" si="171"/>
        <v/>
      </c>
      <c r="AG98" s="52">
        <f t="shared" si="172"/>
        <v>0</v>
      </c>
      <c r="AH98" s="52">
        <f t="shared" si="173"/>
        <v>0</v>
      </c>
      <c r="AI98" s="52" t="str">
        <f t="shared" si="174"/>
        <v/>
      </c>
      <c r="AJ98" s="61" t="str">
        <f t="shared" si="175"/>
        <v/>
      </c>
      <c r="AK98" s="95" t="str">
        <f t="shared" si="176"/>
        <v/>
      </c>
      <c r="AL98" s="61" t="str">
        <f t="shared" si="177"/>
        <v>if () {$("#adv_").html("Required");$("#").css({"background":"yellow"});} else {$("#adv_").html("");$("#").css({"background":"white"});}</v>
      </c>
      <c r="AM98" s="61" t="str">
        <f t="shared" si="178"/>
        <v>if (=="") {$("#adv_").html("Required");$("#adv_").css({"background":"yellow"});} else {$("#adv_").html("");}</v>
      </c>
      <c r="AN98" s="61" t="str">
        <f t="shared" si="242"/>
        <v>if (=="") {$("#adv_").html("Required");$("#").css({"background":"yellow"});} else {$("#adv_").html("");$("#").css({"background":"white"});}</v>
      </c>
      <c r="AO98" s="50" t="str">
        <f t="shared" si="179"/>
        <v/>
      </c>
      <c r="AP98" s="61" t="str">
        <f t="shared" si="180"/>
        <v>=$("#").val();</v>
      </c>
      <c r="AQ98" s="61" t="str">
        <f t="shared" si="181"/>
        <v/>
      </c>
      <c r="AR98" s="50" t="str">
        <f t="shared" si="182"/>
        <v>&lt;input type="checkbox" id="" name="" value="1" /&gt;</v>
      </c>
      <c r="AS98" s="61" t="str">
        <f t="shared" si="183"/>
        <v>=document.getElementById("").checked;</v>
      </c>
      <c r="AT98" s="102" t="str">
        <f t="shared" si="184"/>
        <v>if (isset($_GET[''])) {$=($_GET['']);}else $='';</v>
      </c>
      <c r="AU98" s="52" t="str">
        <f t="shared" si="185"/>
        <v/>
      </c>
      <c r="AV98" s="52" t="str">
        <f t="shared" si="224"/>
        <v>&lt;select size="1" name="" id=""&gt;&lt;option value=""&gt;</v>
      </c>
      <c r="AW98" s="52" t="str">
        <f t="shared" si="186"/>
        <v>&lt;option value=""&gt;&lt;/option&gt;</v>
      </c>
      <c r="AX98" s="145" t="str">
        <f t="shared" si="187"/>
        <v/>
      </c>
      <c r="AY98" s="102" t="str">
        <f>""</f>
        <v/>
      </c>
      <c r="AZ98" s="102"/>
      <c r="BA98" s="113">
        <f t="shared" si="188"/>
        <v>0</v>
      </c>
      <c r="BB98" s="103" t="str">
        <f t="shared" si="189"/>
        <v>0:</v>
      </c>
      <c r="BC98" s="50" t="str">
        <f t="shared" si="190"/>
        <v>0:&lt;span id="adv_0"&gt;&lt;/span&gt;&lt;br/&gt;&lt;input type="radio" name="0" id="" value="" /&gt;</v>
      </c>
      <c r="BD98" s="52" t="str">
        <f t="shared" si="191"/>
        <v>else if (document.getElementById("</v>
      </c>
      <c r="BE98" s="61" t="str">
        <f t="shared" si="192"/>
        <v>else if (document.getElementById("").checked==true) {0="";}</v>
      </c>
      <c r="BF98" s="61" t="str">
        <f t="shared" si="193"/>
        <v/>
      </c>
      <c r="BG98" s="61" t="str">
        <f t="shared" si="194"/>
        <v>0:0</v>
      </c>
      <c r="BH98" s="102" t="str">
        <f t="shared" si="195"/>
        <v>if (isset($_GET['0'])) {$0=($_GET['0']);}else $0='';</v>
      </c>
      <c r="BI98" s="105" t="str">
        <f t="shared" si="196"/>
        <v>&lt;br/&gt;&lt;textarea rows="2" cols="80" id=""&gt;&lt;/textarea&gt;&lt;br/&gt;</v>
      </c>
      <c r="BJ98" s="107" t="str">
        <f t="shared" si="197"/>
        <v>&lt;input type="text"  size="7"  id="" class="datepicker"/&gt;</v>
      </c>
      <c r="BK98" s="107" t="str">
        <f t="shared" si="198"/>
        <v>&lt;h2 id=""&gt;&lt;/h2&gt;</v>
      </c>
      <c r="BL98" s="109" t="str">
        <f t="shared" si="232"/>
        <v/>
      </c>
      <c r="BM98" s="61" t="str">
        <f t="shared" si="233"/>
        <v/>
      </c>
      <c r="BN98" s="52">
        <f t="shared" si="220"/>
        <v>0</v>
      </c>
      <c r="BO98" s="61" t="str">
        <f t="shared" si="234"/>
        <v/>
      </c>
      <c r="BP98" s="102" t="str">
        <f t="shared" si="235"/>
        <v/>
      </c>
      <c r="BQ98" s="105" t="str">
        <f t="shared" si="236"/>
        <v/>
      </c>
      <c r="BR98" s="52" t="str">
        <f t="shared" si="199"/>
        <v/>
      </c>
      <c r="BS98" s="52">
        <f t="shared" si="200"/>
        <v>0</v>
      </c>
      <c r="BT98" s="52">
        <f t="shared" si="221"/>
        <v>0</v>
      </c>
      <c r="BU98" s="52" t="str">
        <f t="shared" si="201"/>
        <v/>
      </c>
      <c r="BV98" s="52" t="str">
        <f t="shared" si="202"/>
        <v/>
      </c>
      <c r="BW98" s="52" t="str">
        <f t="shared" si="222"/>
        <v/>
      </c>
      <c r="BX98" s="113" t="str">
        <f t="shared" si="237"/>
        <v/>
      </c>
      <c r="BY98" s="52" t="str">
        <f t="shared" si="203"/>
        <v/>
      </c>
      <c r="BZ98" s="52" t="str">
        <f t="shared" si="204"/>
        <v/>
      </c>
      <c r="CA98" s="52" t="str">
        <f t="shared" si="238"/>
        <v/>
      </c>
      <c r="CB98" s="52" t="str">
        <f t="shared" si="239"/>
        <v/>
      </c>
      <c r="CC98" s="52" t="str">
        <f t="shared" si="205"/>
        <v/>
      </c>
      <c r="CD98" s="52" t="str">
        <f t="shared" si="206"/>
        <v/>
      </c>
      <c r="CE98" s="102" t="str">
        <f t="shared" si="240"/>
        <v/>
      </c>
      <c r="CF98" s="116" t="str">
        <f t="shared" si="207"/>
        <v/>
      </c>
      <c r="CG98" s="61" t="str">
        <f t="shared" si="241"/>
        <v/>
      </c>
      <c r="CH98" s="52" t="str">
        <f t="shared" si="243"/>
        <v/>
      </c>
      <c r="CI98" s="52" t="str">
        <f t="shared" si="244"/>
        <v/>
      </c>
      <c r="CJ98" s="52" t="str">
        <f t="shared" si="208"/>
        <v/>
      </c>
      <c r="CK98" s="52" t="str">
        <f t="shared" si="209"/>
        <v/>
      </c>
      <c r="CL98" s="52" t="str">
        <f t="shared" si="210"/>
        <v/>
      </c>
      <c r="CM98" s="102" t="str">
        <f t="shared" si="211"/>
        <v/>
      </c>
      <c r="CN98" s="116" t="str">
        <f t="shared" si="212"/>
        <v/>
      </c>
      <c r="CO98" s="61">
        <f t="shared" si="223"/>
        <v>0</v>
      </c>
      <c r="CP98" s="61" t="str">
        <f t="shared" si="168"/>
        <v/>
      </c>
      <c r="CQ98" s="61" t="str">
        <f t="shared" si="225"/>
        <v/>
      </c>
      <c r="CR98" s="61" t="str">
        <f t="shared" si="226"/>
        <v/>
      </c>
      <c r="CS98" s="105" t="str">
        <f t="shared" si="227"/>
        <v/>
      </c>
      <c r="CT98" s="105" t="str">
        <f t="shared" si="228"/>
        <v/>
      </c>
      <c r="CU98" s="61" t="str">
        <f t="shared" si="229"/>
        <v/>
      </c>
      <c r="CV98" s="61" t="str">
        <f t="shared" si="230"/>
        <v/>
      </c>
      <c r="CW98" s="61" t="str">
        <f t="shared" si="213"/>
        <v/>
      </c>
      <c r="CX98" s="61" t="str">
        <f t="shared" si="245"/>
        <v/>
      </c>
      <c r="CY98" s="61" t="str">
        <f t="shared" si="169"/>
        <v/>
      </c>
      <c r="CZ98" s="102" t="str">
        <f t="shared" si="214"/>
        <v/>
      </c>
      <c r="DA98" s="17">
        <f t="shared" si="215"/>
        <v>0</v>
      </c>
      <c r="DC98" s="17">
        <f t="shared" si="167"/>
        <v>0</v>
      </c>
      <c r="DD98" s="17">
        <f t="shared" si="216"/>
        <v>0</v>
      </c>
      <c r="DE98" s="17" t="str">
        <f t="shared" si="217"/>
        <v/>
      </c>
      <c r="DF98" s="17" t="str">
        <f t="shared" si="218"/>
        <v/>
      </c>
    </row>
    <row r="99" spans="2:110" s="17" customFormat="1">
      <c r="B99" s="35"/>
      <c r="C99" s="35"/>
      <c r="D99" s="36"/>
      <c r="E99" s="35"/>
      <c r="F99" s="35"/>
      <c r="G99" s="35"/>
      <c r="H99" s="35"/>
      <c r="I99" s="35"/>
      <c r="J99" s="59"/>
      <c r="Z99" s="172" t="str">
        <f t="shared" si="170"/>
        <v/>
      </c>
      <c r="AB99" s="47" t="s">
        <v>278</v>
      </c>
      <c r="AC99" s="52" t="str">
        <f t="shared" si="166"/>
        <v/>
      </c>
      <c r="AD99" s="52">
        <f t="shared" si="231"/>
        <v>0</v>
      </c>
      <c r="AE99" s="52">
        <f t="shared" si="219"/>
        <v>0</v>
      </c>
      <c r="AF99" s="61" t="str">
        <f t="shared" si="171"/>
        <v/>
      </c>
      <c r="AG99" s="52">
        <f t="shared" si="172"/>
        <v>0</v>
      </c>
      <c r="AH99" s="52">
        <f t="shared" si="173"/>
        <v>0</v>
      </c>
      <c r="AI99" s="52" t="str">
        <f t="shared" si="174"/>
        <v/>
      </c>
      <c r="AJ99" s="61" t="str">
        <f t="shared" si="175"/>
        <v/>
      </c>
      <c r="AK99" s="95" t="str">
        <f t="shared" si="176"/>
        <v/>
      </c>
      <c r="AL99" s="61" t="str">
        <f t="shared" si="177"/>
        <v>if () {$("#adv_").html("Required");$("#").css({"background":"yellow"});} else {$("#adv_").html("");$("#").css({"background":"white"});}</v>
      </c>
      <c r="AM99" s="61" t="str">
        <f t="shared" si="178"/>
        <v>if (=="") {$("#adv_").html("Required");$("#adv_").css({"background":"yellow"});} else {$("#adv_").html("");}</v>
      </c>
      <c r="AN99" s="61" t="str">
        <f t="shared" si="242"/>
        <v>if (=="") {$("#adv_").html("Required");$("#").css({"background":"yellow"});} else {$("#adv_").html("");$("#").css({"background":"white"});}</v>
      </c>
      <c r="AO99" s="50" t="str">
        <f t="shared" si="179"/>
        <v/>
      </c>
      <c r="AP99" s="61" t="str">
        <f t="shared" si="180"/>
        <v>=$("#").val();</v>
      </c>
      <c r="AQ99" s="61" t="str">
        <f t="shared" si="181"/>
        <v/>
      </c>
      <c r="AR99" s="50" t="str">
        <f t="shared" si="182"/>
        <v>&lt;input type="checkbox" id="" name="" value="1" /&gt;</v>
      </c>
      <c r="AS99" s="61" t="str">
        <f t="shared" si="183"/>
        <v>=document.getElementById("").checked;</v>
      </c>
      <c r="AT99" s="102" t="str">
        <f t="shared" si="184"/>
        <v>if (isset($_GET[''])) {$=($_GET['']);}else $='';</v>
      </c>
      <c r="AU99" s="52" t="str">
        <f t="shared" si="185"/>
        <v/>
      </c>
      <c r="AV99" s="52" t="str">
        <f t="shared" si="224"/>
        <v>&lt;select size="1" name="" id=""&gt;&lt;option value=""&gt;</v>
      </c>
      <c r="AW99" s="52" t="str">
        <f t="shared" si="186"/>
        <v>&lt;option value=""&gt;&lt;/option&gt;</v>
      </c>
      <c r="AX99" s="145" t="str">
        <f t="shared" si="187"/>
        <v/>
      </c>
      <c r="AY99" s="102" t="str">
        <f>""</f>
        <v/>
      </c>
      <c r="AZ99" s="102"/>
      <c r="BA99" s="113">
        <f t="shared" si="188"/>
        <v>0</v>
      </c>
      <c r="BB99" s="103" t="str">
        <f t="shared" si="189"/>
        <v>0:</v>
      </c>
      <c r="BC99" s="50" t="str">
        <f t="shared" si="190"/>
        <v>0:&lt;span id="adv_0"&gt;&lt;/span&gt;&lt;br/&gt;&lt;input type="radio" name="0" id="" value="" /&gt;</v>
      </c>
      <c r="BD99" s="52" t="str">
        <f t="shared" si="191"/>
        <v>else if (document.getElementById("</v>
      </c>
      <c r="BE99" s="61" t="str">
        <f t="shared" si="192"/>
        <v>else if (document.getElementById("").checked==true) {0="";}</v>
      </c>
      <c r="BF99" s="61" t="str">
        <f t="shared" si="193"/>
        <v/>
      </c>
      <c r="BG99" s="61" t="str">
        <f t="shared" si="194"/>
        <v>0:0</v>
      </c>
      <c r="BH99" s="102" t="str">
        <f t="shared" si="195"/>
        <v>if (isset($_GET['0'])) {$0=($_GET['0']);}else $0='';</v>
      </c>
      <c r="BI99" s="105" t="str">
        <f t="shared" si="196"/>
        <v>&lt;br/&gt;&lt;textarea rows="2" cols="80" id=""&gt;&lt;/textarea&gt;&lt;br/&gt;</v>
      </c>
      <c r="BJ99" s="107" t="str">
        <f t="shared" si="197"/>
        <v>&lt;input type="text"  size="7"  id="" class="datepicker"/&gt;</v>
      </c>
      <c r="BK99" s="107" t="str">
        <f t="shared" si="198"/>
        <v>&lt;h2 id=""&gt;&lt;/h2&gt;</v>
      </c>
      <c r="BL99" s="109" t="str">
        <f t="shared" si="232"/>
        <v/>
      </c>
      <c r="BM99" s="61" t="str">
        <f t="shared" si="233"/>
        <v/>
      </c>
      <c r="BN99" s="52">
        <f t="shared" si="220"/>
        <v>0</v>
      </c>
      <c r="BO99" s="61" t="str">
        <f t="shared" si="234"/>
        <v/>
      </c>
      <c r="BP99" s="102" t="str">
        <f t="shared" si="235"/>
        <v/>
      </c>
      <c r="BQ99" s="105" t="str">
        <f t="shared" si="236"/>
        <v/>
      </c>
      <c r="BR99" s="52" t="str">
        <f t="shared" si="199"/>
        <v/>
      </c>
      <c r="BS99" s="52">
        <f t="shared" si="200"/>
        <v>0</v>
      </c>
      <c r="BT99" s="52">
        <f t="shared" si="221"/>
        <v>0</v>
      </c>
      <c r="BU99" s="52" t="str">
        <f t="shared" si="201"/>
        <v/>
      </c>
      <c r="BV99" s="52" t="str">
        <f t="shared" si="202"/>
        <v/>
      </c>
      <c r="BW99" s="52" t="str">
        <f t="shared" si="222"/>
        <v/>
      </c>
      <c r="BX99" s="113" t="str">
        <f t="shared" si="237"/>
        <v/>
      </c>
      <c r="BY99" s="52" t="str">
        <f t="shared" si="203"/>
        <v/>
      </c>
      <c r="BZ99" s="52" t="str">
        <f t="shared" si="204"/>
        <v/>
      </c>
      <c r="CA99" s="52" t="str">
        <f t="shared" si="238"/>
        <v/>
      </c>
      <c r="CB99" s="52" t="str">
        <f t="shared" si="239"/>
        <v/>
      </c>
      <c r="CC99" s="52" t="str">
        <f t="shared" si="205"/>
        <v/>
      </c>
      <c r="CD99" s="52" t="str">
        <f t="shared" si="206"/>
        <v/>
      </c>
      <c r="CE99" s="102" t="str">
        <f t="shared" si="240"/>
        <v/>
      </c>
      <c r="CF99" s="116" t="str">
        <f t="shared" si="207"/>
        <v/>
      </c>
      <c r="CG99" s="61" t="str">
        <f t="shared" si="241"/>
        <v/>
      </c>
      <c r="CH99" s="52" t="str">
        <f t="shared" si="243"/>
        <v/>
      </c>
      <c r="CI99" s="52" t="str">
        <f t="shared" si="244"/>
        <v/>
      </c>
      <c r="CJ99" s="52" t="str">
        <f t="shared" si="208"/>
        <v/>
      </c>
      <c r="CK99" s="52" t="str">
        <f t="shared" si="209"/>
        <v/>
      </c>
      <c r="CL99" s="52" t="str">
        <f t="shared" si="210"/>
        <v/>
      </c>
      <c r="CM99" s="102" t="str">
        <f t="shared" si="211"/>
        <v/>
      </c>
      <c r="CN99" s="116" t="str">
        <f t="shared" si="212"/>
        <v/>
      </c>
      <c r="CO99" s="61">
        <f t="shared" si="223"/>
        <v>0</v>
      </c>
      <c r="CP99" s="61" t="str">
        <f t="shared" si="168"/>
        <v/>
      </c>
      <c r="CQ99" s="61" t="str">
        <f t="shared" si="225"/>
        <v/>
      </c>
      <c r="CR99" s="61" t="str">
        <f t="shared" si="226"/>
        <v/>
      </c>
      <c r="CS99" s="105" t="str">
        <f t="shared" si="227"/>
        <v/>
      </c>
      <c r="CT99" s="105" t="str">
        <f t="shared" si="228"/>
        <v/>
      </c>
      <c r="CU99" s="61" t="str">
        <f t="shared" si="229"/>
        <v/>
      </c>
      <c r="CV99" s="61" t="str">
        <f t="shared" si="230"/>
        <v/>
      </c>
      <c r="CW99" s="61" t="str">
        <f t="shared" si="213"/>
        <v/>
      </c>
      <c r="CX99" s="61" t="str">
        <f t="shared" si="245"/>
        <v/>
      </c>
      <c r="CY99" s="61" t="str">
        <f t="shared" si="169"/>
        <v/>
      </c>
      <c r="CZ99" s="102" t="str">
        <f t="shared" si="214"/>
        <v/>
      </c>
      <c r="DA99" s="17">
        <f t="shared" si="215"/>
        <v>0</v>
      </c>
      <c r="DC99" s="17">
        <f t="shared" si="167"/>
        <v>0</v>
      </c>
      <c r="DD99" s="17">
        <f t="shared" si="216"/>
        <v>0</v>
      </c>
      <c r="DE99" s="17" t="str">
        <f t="shared" si="217"/>
        <v/>
      </c>
      <c r="DF99" s="17" t="str">
        <f t="shared" si="218"/>
        <v/>
      </c>
    </row>
    <row r="100" spans="2:110" s="17" customFormat="1">
      <c r="B100" s="35"/>
      <c r="C100" s="35"/>
      <c r="D100" s="36"/>
      <c r="E100" s="35"/>
      <c r="F100" s="35"/>
      <c r="G100" s="35"/>
      <c r="H100" s="35"/>
      <c r="I100" s="35"/>
      <c r="J100" s="59"/>
      <c r="Z100" s="172" t="str">
        <f t="shared" si="170"/>
        <v/>
      </c>
      <c r="AB100" s="47" t="s">
        <v>279</v>
      </c>
      <c r="AC100" s="52" t="str">
        <f t="shared" ref="AC100:AC113" si="246">+IF(G100="si",C100&amp;"=="&amp;$B$4,IF(AND(E100="radio",BB100&lt;&gt;""),B100&amp;"=="&amp;$B$4,""))</f>
        <v/>
      </c>
      <c r="AD100" s="52">
        <f t="shared" si="231"/>
        <v>0</v>
      </c>
      <c r="AE100" s="52">
        <f t="shared" si="219"/>
        <v>0</v>
      </c>
      <c r="AF100" s="61" t="str">
        <f t="shared" si="171"/>
        <v/>
      </c>
      <c r="AG100" s="52">
        <f t="shared" si="172"/>
        <v>0</v>
      </c>
      <c r="AH100" s="52">
        <f t="shared" si="173"/>
        <v>0</v>
      </c>
      <c r="AI100" s="52" t="str">
        <f t="shared" si="174"/>
        <v/>
      </c>
      <c r="AJ100" s="61" t="str">
        <f t="shared" si="175"/>
        <v/>
      </c>
      <c r="AK100" s="95" t="str">
        <f t="shared" si="176"/>
        <v/>
      </c>
      <c r="AL100" s="61" t="str">
        <f t="shared" si="177"/>
        <v>if () {$("#adv_").html("Required");$("#").css({"background":"yellow"});} else {$("#adv_").html("");$("#").css({"background":"white"});}</v>
      </c>
      <c r="AM100" s="61" t="str">
        <f t="shared" si="178"/>
        <v>if (=="") {$("#adv_").html("Required");$("#adv_").css({"background":"yellow"});} else {$("#adv_").html("");}</v>
      </c>
      <c r="AN100" s="61" t="str">
        <f t="shared" si="242"/>
        <v>if (=="") {$("#adv_").html("Required");$("#").css({"background":"yellow"});} else {$("#adv_").html("");$("#").css({"background":"white"});}</v>
      </c>
      <c r="AO100" s="50" t="str">
        <f t="shared" si="179"/>
        <v/>
      </c>
      <c r="AP100" s="61" t="str">
        <f t="shared" si="180"/>
        <v>=$("#").val();</v>
      </c>
      <c r="AQ100" s="61" t="str">
        <f t="shared" si="181"/>
        <v/>
      </c>
      <c r="AR100" s="50" t="str">
        <f t="shared" si="182"/>
        <v>&lt;input type="checkbox" id="" name="" value="1" /&gt;</v>
      </c>
      <c r="AS100" s="61" t="str">
        <f t="shared" si="183"/>
        <v>=document.getElementById("").checked;</v>
      </c>
      <c r="AT100" s="102" t="str">
        <f t="shared" si="184"/>
        <v>if (isset($_GET[''])) {$=($_GET['']);}else $='';</v>
      </c>
      <c r="AU100" s="52" t="str">
        <f t="shared" si="185"/>
        <v/>
      </c>
      <c r="AV100" s="52" t="str">
        <f t="shared" si="224"/>
        <v>&lt;select size="1" name="" id=""&gt;&lt;option value=""&gt;</v>
      </c>
      <c r="AW100" s="52" t="str">
        <f t="shared" si="186"/>
        <v>&lt;option value=""&gt;&lt;/option&gt;</v>
      </c>
      <c r="AX100" s="145" t="str">
        <f t="shared" si="187"/>
        <v/>
      </c>
      <c r="AY100" s="102" t="str">
        <f>""</f>
        <v/>
      </c>
      <c r="AZ100" s="102"/>
      <c r="BA100" s="113">
        <f t="shared" si="188"/>
        <v>0</v>
      </c>
      <c r="BB100" s="103" t="str">
        <f t="shared" si="189"/>
        <v>0:</v>
      </c>
      <c r="BC100" s="50" t="str">
        <f t="shared" si="190"/>
        <v>0:&lt;span id="adv_0"&gt;&lt;/span&gt;&lt;br/&gt;&lt;input type="radio" name="0" id="" value="" /&gt;</v>
      </c>
      <c r="BD100" s="52" t="str">
        <f t="shared" si="191"/>
        <v>else if (document.getElementById("</v>
      </c>
      <c r="BE100" s="61" t="str">
        <f t="shared" si="192"/>
        <v>else if (document.getElementById("").checked==true) {0="";}</v>
      </c>
      <c r="BF100" s="61" t="str">
        <f t="shared" si="193"/>
        <v/>
      </c>
      <c r="BG100" s="61" t="str">
        <f t="shared" si="194"/>
        <v>0:0</v>
      </c>
      <c r="BH100" s="102" t="str">
        <f t="shared" si="195"/>
        <v>if (isset($_GET['0'])) {$0=($_GET['0']);}else $0='';</v>
      </c>
      <c r="BI100" s="105" t="str">
        <f t="shared" si="196"/>
        <v>&lt;br/&gt;&lt;textarea rows="2" cols="80" id=""&gt;&lt;/textarea&gt;&lt;br/&gt;</v>
      </c>
      <c r="BJ100" s="107" t="str">
        <f t="shared" si="197"/>
        <v>&lt;input type="text"  size="7"  id="" class="datepicker"/&gt;</v>
      </c>
      <c r="BK100" s="107" t="str">
        <f t="shared" si="198"/>
        <v>&lt;h2 id=""&gt;&lt;/h2&gt;</v>
      </c>
      <c r="BL100" s="109" t="str">
        <f t="shared" si="232"/>
        <v/>
      </c>
      <c r="BM100" s="61" t="str">
        <f t="shared" si="233"/>
        <v/>
      </c>
      <c r="BN100" s="52">
        <f t="shared" si="220"/>
        <v>0</v>
      </c>
      <c r="BO100" s="61" t="str">
        <f t="shared" si="234"/>
        <v/>
      </c>
      <c r="BP100" s="102" t="str">
        <f t="shared" si="235"/>
        <v/>
      </c>
      <c r="BQ100" s="105" t="str">
        <f t="shared" si="236"/>
        <v/>
      </c>
      <c r="BR100" s="52" t="str">
        <f t="shared" si="199"/>
        <v/>
      </c>
      <c r="BS100" s="52">
        <f t="shared" si="200"/>
        <v>0</v>
      </c>
      <c r="BT100" s="52">
        <f t="shared" si="221"/>
        <v>0</v>
      </c>
      <c r="BU100" s="52" t="str">
        <f t="shared" si="201"/>
        <v/>
      </c>
      <c r="BV100" s="52" t="str">
        <f t="shared" si="202"/>
        <v/>
      </c>
      <c r="BW100" s="52" t="str">
        <f t="shared" si="222"/>
        <v/>
      </c>
      <c r="BX100" s="113" t="str">
        <f t="shared" si="237"/>
        <v/>
      </c>
      <c r="BY100" s="52" t="str">
        <f t="shared" si="203"/>
        <v/>
      </c>
      <c r="BZ100" s="52" t="str">
        <f t="shared" si="204"/>
        <v/>
      </c>
      <c r="CA100" s="52" t="str">
        <f t="shared" si="238"/>
        <v/>
      </c>
      <c r="CB100" s="52" t="str">
        <f t="shared" si="239"/>
        <v/>
      </c>
      <c r="CC100" s="52" t="str">
        <f t="shared" si="205"/>
        <v/>
      </c>
      <c r="CD100" s="52" t="str">
        <f t="shared" si="206"/>
        <v/>
      </c>
      <c r="CE100" s="102" t="str">
        <f t="shared" si="240"/>
        <v/>
      </c>
      <c r="CF100" s="116" t="str">
        <f t="shared" si="207"/>
        <v/>
      </c>
      <c r="CG100" s="61" t="str">
        <f t="shared" si="241"/>
        <v/>
      </c>
      <c r="CH100" s="52" t="str">
        <f t="shared" si="243"/>
        <v/>
      </c>
      <c r="CI100" s="52" t="str">
        <f t="shared" si="244"/>
        <v/>
      </c>
      <c r="CJ100" s="52" t="str">
        <f t="shared" si="208"/>
        <v/>
      </c>
      <c r="CK100" s="52" t="str">
        <f t="shared" si="209"/>
        <v/>
      </c>
      <c r="CL100" s="52" t="str">
        <f t="shared" si="210"/>
        <v/>
      </c>
      <c r="CM100" s="102" t="str">
        <f t="shared" si="211"/>
        <v/>
      </c>
      <c r="CN100" s="116" t="str">
        <f t="shared" si="212"/>
        <v/>
      </c>
      <c r="CO100" s="61">
        <f t="shared" si="223"/>
        <v>0</v>
      </c>
      <c r="CP100" s="61" t="str">
        <f t="shared" si="168"/>
        <v/>
      </c>
      <c r="CQ100" s="61" t="str">
        <f t="shared" si="225"/>
        <v/>
      </c>
      <c r="CR100" s="61" t="str">
        <f t="shared" si="226"/>
        <v/>
      </c>
      <c r="CS100" s="105" t="str">
        <f t="shared" si="227"/>
        <v/>
      </c>
      <c r="CT100" s="105" t="str">
        <f t="shared" si="228"/>
        <v/>
      </c>
      <c r="CU100" s="61" t="str">
        <f t="shared" si="229"/>
        <v/>
      </c>
      <c r="CV100" s="61" t="str">
        <f t="shared" si="230"/>
        <v/>
      </c>
      <c r="CW100" s="61" t="str">
        <f t="shared" si="213"/>
        <v/>
      </c>
      <c r="CX100" s="61" t="str">
        <f t="shared" si="245"/>
        <v/>
      </c>
      <c r="CY100" s="61" t="str">
        <f t="shared" si="169"/>
        <v/>
      </c>
      <c r="CZ100" s="102" t="str">
        <f t="shared" si="214"/>
        <v/>
      </c>
      <c r="DA100" s="17">
        <f t="shared" si="215"/>
        <v>0</v>
      </c>
      <c r="DC100" s="17">
        <f t="shared" si="167"/>
        <v>0</v>
      </c>
      <c r="DD100" s="17">
        <f t="shared" si="216"/>
        <v>0</v>
      </c>
      <c r="DE100" s="17" t="str">
        <f t="shared" si="217"/>
        <v/>
      </c>
      <c r="DF100" s="17" t="str">
        <f t="shared" si="218"/>
        <v/>
      </c>
    </row>
    <row r="101" spans="2:110" s="17" customFormat="1">
      <c r="B101" s="35"/>
      <c r="C101" s="35"/>
      <c r="D101" s="36"/>
      <c r="E101" s="35"/>
      <c r="F101" s="35"/>
      <c r="G101" s="35"/>
      <c r="H101" s="35"/>
      <c r="I101" s="35"/>
      <c r="J101" s="59"/>
      <c r="Z101" s="172" t="str">
        <f t="shared" si="170"/>
        <v/>
      </c>
      <c r="AB101" s="47" t="s">
        <v>280</v>
      </c>
      <c r="AC101" s="52" t="str">
        <f t="shared" si="246"/>
        <v/>
      </c>
      <c r="AD101" s="52">
        <f t="shared" si="231"/>
        <v>0</v>
      </c>
      <c r="AE101" s="52">
        <f t="shared" si="219"/>
        <v>0</v>
      </c>
      <c r="AF101" s="61" t="str">
        <f t="shared" si="171"/>
        <v/>
      </c>
      <c r="AG101" s="52">
        <f t="shared" si="172"/>
        <v>0</v>
      </c>
      <c r="AH101" s="52">
        <f t="shared" si="173"/>
        <v>0</v>
      </c>
      <c r="AI101" s="52" t="str">
        <f t="shared" si="174"/>
        <v/>
      </c>
      <c r="AJ101" s="61" t="str">
        <f t="shared" si="175"/>
        <v/>
      </c>
      <c r="AK101" s="95" t="str">
        <f t="shared" si="176"/>
        <v/>
      </c>
      <c r="AL101" s="61" t="str">
        <f t="shared" si="177"/>
        <v>if () {$("#adv_").html("Required");$("#").css({"background":"yellow"});} else {$("#adv_").html("");$("#").css({"background":"white"});}</v>
      </c>
      <c r="AM101" s="61" t="str">
        <f t="shared" si="178"/>
        <v>if (=="") {$("#adv_").html("Required");$("#adv_").css({"background":"yellow"});} else {$("#adv_").html("");}</v>
      </c>
      <c r="AN101" s="61" t="str">
        <f t="shared" si="242"/>
        <v>if (=="") {$("#adv_").html("Required");$("#").css({"background":"yellow"});} else {$("#adv_").html("");$("#").css({"background":"white"});}</v>
      </c>
      <c r="AO101" s="50" t="str">
        <f t="shared" si="179"/>
        <v/>
      </c>
      <c r="AP101" s="61" t="str">
        <f t="shared" si="180"/>
        <v>=$("#").val();</v>
      </c>
      <c r="AQ101" s="61" t="str">
        <f t="shared" si="181"/>
        <v/>
      </c>
      <c r="AR101" s="50" t="str">
        <f t="shared" si="182"/>
        <v>&lt;input type="checkbox" id="" name="" value="1" /&gt;</v>
      </c>
      <c r="AS101" s="61" t="str">
        <f t="shared" si="183"/>
        <v>=document.getElementById("").checked;</v>
      </c>
      <c r="AT101" s="102" t="str">
        <f t="shared" si="184"/>
        <v>if (isset($_GET[''])) {$=($_GET['']);}else $='';</v>
      </c>
      <c r="AU101" s="52" t="str">
        <f t="shared" si="185"/>
        <v/>
      </c>
      <c r="AV101" s="52" t="str">
        <f t="shared" si="224"/>
        <v>&lt;select size="1" name="" id=""&gt;&lt;option value=""&gt;</v>
      </c>
      <c r="AW101" s="52" t="str">
        <f t="shared" si="186"/>
        <v>&lt;option value=""&gt;&lt;/option&gt;</v>
      </c>
      <c r="AX101" s="145" t="str">
        <f t="shared" si="187"/>
        <v/>
      </c>
      <c r="AY101" s="102" t="str">
        <f>""</f>
        <v/>
      </c>
      <c r="AZ101" s="102"/>
      <c r="BA101" s="113">
        <f t="shared" si="188"/>
        <v>0</v>
      </c>
      <c r="BB101" s="103" t="str">
        <f t="shared" si="189"/>
        <v>0:</v>
      </c>
      <c r="BC101" s="50" t="str">
        <f t="shared" si="190"/>
        <v>0:&lt;span id="adv_0"&gt;&lt;/span&gt;&lt;br/&gt;&lt;input type="radio" name="0" id="" value="" /&gt;</v>
      </c>
      <c r="BD101" s="52" t="str">
        <f t="shared" si="191"/>
        <v>else if (document.getElementById("</v>
      </c>
      <c r="BE101" s="61" t="str">
        <f t="shared" si="192"/>
        <v>else if (document.getElementById("").checked==true) {0="";}</v>
      </c>
      <c r="BF101" s="61" t="str">
        <f t="shared" si="193"/>
        <v/>
      </c>
      <c r="BG101" s="61" t="str">
        <f t="shared" si="194"/>
        <v>0:0</v>
      </c>
      <c r="BH101" s="102" t="str">
        <f t="shared" si="195"/>
        <v>if (isset($_GET['0'])) {$0=($_GET['0']);}else $0='';</v>
      </c>
      <c r="BI101" s="105" t="str">
        <f t="shared" si="196"/>
        <v>&lt;br/&gt;&lt;textarea rows="2" cols="80" id=""&gt;&lt;/textarea&gt;&lt;br/&gt;</v>
      </c>
      <c r="BJ101" s="107" t="str">
        <f t="shared" si="197"/>
        <v>&lt;input type="text"  size="7"  id="" class="datepicker"/&gt;</v>
      </c>
      <c r="BK101" s="107" t="str">
        <f t="shared" si="198"/>
        <v>&lt;h2 id=""&gt;&lt;/h2&gt;</v>
      </c>
      <c r="BL101" s="109" t="str">
        <f t="shared" si="232"/>
        <v/>
      </c>
      <c r="BM101" s="61" t="str">
        <f t="shared" si="233"/>
        <v/>
      </c>
      <c r="BN101" s="52">
        <f t="shared" si="220"/>
        <v>0</v>
      </c>
      <c r="BO101" s="61" t="str">
        <f t="shared" si="234"/>
        <v/>
      </c>
      <c r="BP101" s="102" t="str">
        <f t="shared" si="235"/>
        <v/>
      </c>
      <c r="BQ101" s="105" t="str">
        <f t="shared" si="236"/>
        <v/>
      </c>
      <c r="BR101" s="52" t="str">
        <f t="shared" si="199"/>
        <v/>
      </c>
      <c r="BS101" s="52">
        <f t="shared" si="200"/>
        <v>0</v>
      </c>
      <c r="BT101" s="52">
        <f t="shared" si="221"/>
        <v>0</v>
      </c>
      <c r="BU101" s="52" t="str">
        <f t="shared" si="201"/>
        <v/>
      </c>
      <c r="BV101" s="52" t="str">
        <f t="shared" si="202"/>
        <v/>
      </c>
      <c r="BW101" s="52" t="str">
        <f t="shared" si="222"/>
        <v/>
      </c>
      <c r="BX101" s="113" t="str">
        <f t="shared" si="237"/>
        <v/>
      </c>
      <c r="BY101" s="52" t="str">
        <f t="shared" si="203"/>
        <v/>
      </c>
      <c r="BZ101" s="52" t="str">
        <f t="shared" si="204"/>
        <v/>
      </c>
      <c r="CA101" s="52" t="str">
        <f t="shared" si="238"/>
        <v/>
      </c>
      <c r="CB101" s="52" t="str">
        <f t="shared" si="239"/>
        <v/>
      </c>
      <c r="CC101" s="52" t="str">
        <f t="shared" si="205"/>
        <v/>
      </c>
      <c r="CD101" s="52" t="str">
        <f t="shared" si="206"/>
        <v/>
      </c>
      <c r="CE101" s="102" t="str">
        <f t="shared" si="240"/>
        <v/>
      </c>
      <c r="CF101" s="116" t="str">
        <f t="shared" si="207"/>
        <v/>
      </c>
      <c r="CG101" s="61" t="str">
        <f t="shared" si="241"/>
        <v/>
      </c>
      <c r="CH101" s="52" t="str">
        <f t="shared" si="243"/>
        <v/>
      </c>
      <c r="CI101" s="52" t="str">
        <f t="shared" si="244"/>
        <v/>
      </c>
      <c r="CJ101" s="52" t="str">
        <f t="shared" si="208"/>
        <v/>
      </c>
      <c r="CK101" s="52" t="str">
        <f t="shared" si="209"/>
        <v/>
      </c>
      <c r="CL101" s="52" t="str">
        <f t="shared" si="210"/>
        <v/>
      </c>
      <c r="CM101" s="102" t="str">
        <f t="shared" si="211"/>
        <v/>
      </c>
      <c r="CN101" s="116" t="str">
        <f t="shared" si="212"/>
        <v/>
      </c>
      <c r="CO101" s="61">
        <f t="shared" si="223"/>
        <v>0</v>
      </c>
      <c r="CP101" s="61" t="str">
        <f t="shared" si="168"/>
        <v/>
      </c>
      <c r="CQ101" s="61" t="str">
        <f t="shared" si="225"/>
        <v/>
      </c>
      <c r="CR101" s="61" t="str">
        <f t="shared" si="226"/>
        <v/>
      </c>
      <c r="CS101" s="105" t="str">
        <f t="shared" si="227"/>
        <v/>
      </c>
      <c r="CT101" s="105" t="str">
        <f t="shared" si="228"/>
        <v/>
      </c>
      <c r="CU101" s="61" t="str">
        <f t="shared" si="229"/>
        <v/>
      </c>
      <c r="CV101" s="61" t="str">
        <f t="shared" si="230"/>
        <v/>
      </c>
      <c r="CW101" s="61" t="str">
        <f t="shared" si="213"/>
        <v/>
      </c>
      <c r="CX101" s="61" t="str">
        <f t="shared" si="245"/>
        <v/>
      </c>
      <c r="CY101" s="61" t="str">
        <f t="shared" si="169"/>
        <v/>
      </c>
      <c r="CZ101" s="102" t="str">
        <f t="shared" si="214"/>
        <v/>
      </c>
      <c r="DA101" s="17">
        <f t="shared" si="215"/>
        <v>0</v>
      </c>
      <c r="DC101" s="17">
        <f t="shared" si="167"/>
        <v>0</v>
      </c>
      <c r="DD101" s="17">
        <f t="shared" si="216"/>
        <v>0</v>
      </c>
      <c r="DE101" s="17" t="str">
        <f t="shared" si="217"/>
        <v/>
      </c>
      <c r="DF101" s="17" t="str">
        <f t="shared" si="218"/>
        <v/>
      </c>
    </row>
    <row r="102" spans="2:110" s="17" customFormat="1">
      <c r="B102" s="35"/>
      <c r="C102" s="35"/>
      <c r="D102" s="36"/>
      <c r="E102" s="35"/>
      <c r="F102" s="35"/>
      <c r="G102" s="35"/>
      <c r="H102" s="35"/>
      <c r="I102" s="35"/>
      <c r="J102" s="59"/>
      <c r="Z102" s="172" t="str">
        <f t="shared" si="170"/>
        <v/>
      </c>
      <c r="AB102" s="47" t="s">
        <v>281</v>
      </c>
      <c r="AC102" s="52" t="str">
        <f t="shared" si="246"/>
        <v/>
      </c>
      <c r="AD102" s="52">
        <f t="shared" si="231"/>
        <v>0</v>
      </c>
      <c r="AE102" s="52">
        <f t="shared" si="219"/>
        <v>0</v>
      </c>
      <c r="AF102" s="61" t="str">
        <f t="shared" si="171"/>
        <v/>
      </c>
      <c r="AG102" s="52">
        <f t="shared" si="172"/>
        <v>0</v>
      </c>
      <c r="AH102" s="52">
        <f t="shared" si="173"/>
        <v>0</v>
      </c>
      <c r="AI102" s="52" t="str">
        <f t="shared" si="174"/>
        <v/>
      </c>
      <c r="AJ102" s="61" t="str">
        <f t="shared" si="175"/>
        <v/>
      </c>
      <c r="AK102" s="95" t="str">
        <f t="shared" si="176"/>
        <v/>
      </c>
      <c r="AL102" s="61" t="str">
        <f t="shared" si="177"/>
        <v>if () {$("#adv_").html("Required");$("#").css({"background":"yellow"});} else {$("#adv_").html("");$("#").css({"background":"white"});}</v>
      </c>
      <c r="AM102" s="61" t="str">
        <f t="shared" si="178"/>
        <v>if (=="") {$("#adv_").html("Required");$("#adv_").css({"background":"yellow"});} else {$("#adv_").html("");}</v>
      </c>
      <c r="AN102" s="61" t="str">
        <f t="shared" si="242"/>
        <v>if (=="") {$("#adv_").html("Required");$("#").css({"background":"yellow"});} else {$("#adv_").html("");$("#").css({"background":"white"});}</v>
      </c>
      <c r="AO102" s="50" t="str">
        <f t="shared" si="179"/>
        <v/>
      </c>
      <c r="AP102" s="61" t="str">
        <f t="shared" si="180"/>
        <v>=$("#").val();</v>
      </c>
      <c r="AQ102" s="61" t="str">
        <f t="shared" si="181"/>
        <v/>
      </c>
      <c r="AR102" s="50" t="str">
        <f t="shared" si="182"/>
        <v>&lt;input type="checkbox" id="" name="" value="1" /&gt;</v>
      </c>
      <c r="AS102" s="61" t="str">
        <f t="shared" si="183"/>
        <v>=document.getElementById("").checked;</v>
      </c>
      <c r="AT102" s="102" t="str">
        <f t="shared" si="184"/>
        <v>if (isset($_GET[''])) {$=($_GET['']);}else $='';</v>
      </c>
      <c r="AU102" s="52" t="str">
        <f t="shared" si="185"/>
        <v/>
      </c>
      <c r="AV102" s="52" t="str">
        <f t="shared" si="224"/>
        <v>&lt;select size="1" name="" id=""&gt;&lt;option value=""&gt;</v>
      </c>
      <c r="AW102" s="52" t="str">
        <f t="shared" si="186"/>
        <v>&lt;option value=""&gt;&lt;/option&gt;</v>
      </c>
      <c r="AX102" s="145" t="str">
        <f t="shared" si="187"/>
        <v/>
      </c>
      <c r="AY102" s="102" t="str">
        <f>""</f>
        <v/>
      </c>
      <c r="AZ102" s="102"/>
      <c r="BA102" s="113">
        <f t="shared" si="188"/>
        <v>0</v>
      </c>
      <c r="BB102" s="103" t="str">
        <f t="shared" si="189"/>
        <v>0:</v>
      </c>
      <c r="BC102" s="50" t="str">
        <f t="shared" si="190"/>
        <v>0:&lt;span id="adv_0"&gt;&lt;/span&gt;&lt;br/&gt;&lt;input type="radio" name="0" id="" value="" /&gt;</v>
      </c>
      <c r="BD102" s="52" t="str">
        <f t="shared" si="191"/>
        <v>else if (document.getElementById("</v>
      </c>
      <c r="BE102" s="61" t="str">
        <f t="shared" si="192"/>
        <v>else if (document.getElementById("").checked==true) {0="";}</v>
      </c>
      <c r="BF102" s="61" t="str">
        <f t="shared" si="193"/>
        <v/>
      </c>
      <c r="BG102" s="61" t="str">
        <f t="shared" si="194"/>
        <v>0:0</v>
      </c>
      <c r="BH102" s="102" t="str">
        <f t="shared" si="195"/>
        <v>if (isset($_GET['0'])) {$0=($_GET['0']);}else $0='';</v>
      </c>
      <c r="BI102" s="105" t="str">
        <f t="shared" si="196"/>
        <v>&lt;br/&gt;&lt;textarea rows="2" cols="80" id=""&gt;&lt;/textarea&gt;&lt;br/&gt;</v>
      </c>
      <c r="BJ102" s="107" t="str">
        <f t="shared" si="197"/>
        <v>&lt;input type="text"  size="7"  id="" class="datepicker"/&gt;</v>
      </c>
      <c r="BK102" s="107" t="str">
        <f t="shared" si="198"/>
        <v>&lt;h2 id=""&gt;&lt;/h2&gt;</v>
      </c>
      <c r="BL102" s="109" t="str">
        <f t="shared" si="232"/>
        <v/>
      </c>
      <c r="BM102" s="61" t="str">
        <f t="shared" si="233"/>
        <v/>
      </c>
      <c r="BN102" s="52">
        <f t="shared" si="220"/>
        <v>0</v>
      </c>
      <c r="BO102" s="61" t="str">
        <f t="shared" si="234"/>
        <v/>
      </c>
      <c r="BP102" s="102" t="str">
        <f t="shared" si="235"/>
        <v/>
      </c>
      <c r="BQ102" s="105" t="str">
        <f t="shared" si="236"/>
        <v/>
      </c>
      <c r="BR102" s="52" t="str">
        <f t="shared" si="199"/>
        <v/>
      </c>
      <c r="BS102" s="52">
        <f t="shared" si="200"/>
        <v>0</v>
      </c>
      <c r="BT102" s="52">
        <f t="shared" si="221"/>
        <v>0</v>
      </c>
      <c r="BU102" s="52" t="str">
        <f t="shared" si="201"/>
        <v/>
      </c>
      <c r="BV102" s="52" t="str">
        <f t="shared" si="202"/>
        <v/>
      </c>
      <c r="BW102" s="52" t="str">
        <f t="shared" si="222"/>
        <v/>
      </c>
      <c r="BX102" s="113" t="str">
        <f t="shared" si="237"/>
        <v/>
      </c>
      <c r="BY102" s="52" t="str">
        <f t="shared" si="203"/>
        <v/>
      </c>
      <c r="BZ102" s="52" t="str">
        <f t="shared" si="204"/>
        <v/>
      </c>
      <c r="CA102" s="52" t="str">
        <f t="shared" si="238"/>
        <v/>
      </c>
      <c r="CB102" s="52" t="str">
        <f t="shared" si="239"/>
        <v/>
      </c>
      <c r="CC102" s="52" t="str">
        <f t="shared" si="205"/>
        <v/>
      </c>
      <c r="CD102" s="52" t="str">
        <f t="shared" si="206"/>
        <v/>
      </c>
      <c r="CE102" s="102" t="str">
        <f t="shared" si="240"/>
        <v/>
      </c>
      <c r="CF102" s="116" t="str">
        <f t="shared" si="207"/>
        <v/>
      </c>
      <c r="CG102" s="61" t="str">
        <f t="shared" si="241"/>
        <v/>
      </c>
      <c r="CH102" s="52" t="str">
        <f t="shared" si="243"/>
        <v/>
      </c>
      <c r="CI102" s="52" t="str">
        <f t="shared" si="244"/>
        <v/>
      </c>
      <c r="CJ102" s="52" t="str">
        <f t="shared" si="208"/>
        <v/>
      </c>
      <c r="CK102" s="52" t="str">
        <f t="shared" si="209"/>
        <v/>
      </c>
      <c r="CL102" s="52" t="str">
        <f t="shared" si="210"/>
        <v/>
      </c>
      <c r="CM102" s="102" t="str">
        <f t="shared" si="211"/>
        <v/>
      </c>
      <c r="CN102" s="116" t="str">
        <f t="shared" si="212"/>
        <v/>
      </c>
      <c r="CO102" s="61">
        <f t="shared" si="223"/>
        <v>0</v>
      </c>
      <c r="CP102" s="61" t="str">
        <f t="shared" si="168"/>
        <v/>
      </c>
      <c r="CQ102" s="61" t="str">
        <f t="shared" si="225"/>
        <v/>
      </c>
      <c r="CR102" s="61" t="str">
        <f t="shared" si="226"/>
        <v/>
      </c>
      <c r="CS102" s="105" t="str">
        <f t="shared" si="227"/>
        <v/>
      </c>
      <c r="CT102" s="105" t="str">
        <f t="shared" si="228"/>
        <v/>
      </c>
      <c r="CU102" s="61" t="str">
        <f t="shared" si="229"/>
        <v/>
      </c>
      <c r="CV102" s="61" t="str">
        <f t="shared" si="230"/>
        <v/>
      </c>
      <c r="CW102" s="61" t="str">
        <f t="shared" si="213"/>
        <v/>
      </c>
      <c r="CX102" s="61" t="str">
        <f t="shared" si="245"/>
        <v/>
      </c>
      <c r="CY102" s="61" t="str">
        <f t="shared" si="169"/>
        <v/>
      </c>
      <c r="CZ102" s="102" t="str">
        <f t="shared" si="214"/>
        <v/>
      </c>
      <c r="DA102" s="17">
        <f t="shared" si="215"/>
        <v>0</v>
      </c>
      <c r="DC102" s="17">
        <f t="shared" si="167"/>
        <v>0</v>
      </c>
      <c r="DD102" s="17">
        <f t="shared" si="216"/>
        <v>0</v>
      </c>
      <c r="DE102" s="17" t="str">
        <f t="shared" si="217"/>
        <v/>
      </c>
      <c r="DF102" s="17" t="str">
        <f t="shared" si="218"/>
        <v/>
      </c>
    </row>
    <row r="103" spans="2:110" s="17" customFormat="1">
      <c r="B103" s="35"/>
      <c r="C103" s="35"/>
      <c r="D103" s="36"/>
      <c r="E103" s="35"/>
      <c r="F103" s="35"/>
      <c r="G103" s="35"/>
      <c r="H103" s="35"/>
      <c r="I103" s="35"/>
      <c r="J103" s="59"/>
      <c r="Z103" s="172" t="str">
        <f t="shared" si="170"/>
        <v/>
      </c>
      <c r="AB103" s="47" t="s">
        <v>282</v>
      </c>
      <c r="AC103" s="52" t="str">
        <f t="shared" si="246"/>
        <v/>
      </c>
      <c r="AD103" s="52">
        <f t="shared" si="231"/>
        <v>0</v>
      </c>
      <c r="AE103" s="52">
        <f t="shared" si="219"/>
        <v>0</v>
      </c>
      <c r="AF103" s="61" t="str">
        <f t="shared" si="171"/>
        <v/>
      </c>
      <c r="AG103" s="52">
        <f t="shared" si="172"/>
        <v>0</v>
      </c>
      <c r="AH103" s="52">
        <f t="shared" si="173"/>
        <v>0</v>
      </c>
      <c r="AI103" s="52" t="str">
        <f t="shared" si="174"/>
        <v/>
      </c>
      <c r="AJ103" s="61" t="str">
        <f t="shared" si="175"/>
        <v/>
      </c>
      <c r="AK103" s="95" t="str">
        <f t="shared" si="176"/>
        <v/>
      </c>
      <c r="AL103" s="61" t="str">
        <f t="shared" si="177"/>
        <v>if () {$("#adv_").html("Required");$("#").css({"background":"yellow"});} else {$("#adv_").html("");$("#").css({"background":"white"});}</v>
      </c>
      <c r="AM103" s="61" t="str">
        <f t="shared" si="178"/>
        <v>if (=="") {$("#adv_").html("Required");$("#adv_").css({"background":"yellow"});} else {$("#adv_").html("");}</v>
      </c>
      <c r="AN103" s="61" t="str">
        <f t="shared" si="242"/>
        <v>if (=="") {$("#adv_").html("Required");$("#").css({"background":"yellow"});} else {$("#adv_").html("");$("#").css({"background":"white"});}</v>
      </c>
      <c r="AO103" s="50" t="str">
        <f t="shared" si="179"/>
        <v/>
      </c>
      <c r="AP103" s="61" t="str">
        <f t="shared" si="180"/>
        <v>=$("#").val();</v>
      </c>
      <c r="AQ103" s="61" t="str">
        <f t="shared" si="181"/>
        <v/>
      </c>
      <c r="AR103" s="50" t="str">
        <f t="shared" si="182"/>
        <v>&lt;input type="checkbox" id="" name="" value="1" /&gt;</v>
      </c>
      <c r="AS103" s="61" t="str">
        <f t="shared" si="183"/>
        <v>=document.getElementById("").checked;</v>
      </c>
      <c r="AT103" s="102" t="str">
        <f t="shared" si="184"/>
        <v>if (isset($_GET[''])) {$=($_GET['']);}else $='';</v>
      </c>
      <c r="AU103" s="52" t="str">
        <f t="shared" si="185"/>
        <v/>
      </c>
      <c r="AV103" s="52" t="str">
        <f t="shared" si="224"/>
        <v>&lt;select size="1" name="" id=""&gt;&lt;option value=""&gt;</v>
      </c>
      <c r="AW103" s="52" t="str">
        <f t="shared" si="186"/>
        <v>&lt;option value=""&gt;&lt;/option&gt;</v>
      </c>
      <c r="AX103" s="145" t="str">
        <f t="shared" si="187"/>
        <v/>
      </c>
      <c r="AY103" s="102" t="str">
        <f>""</f>
        <v/>
      </c>
      <c r="AZ103" s="102"/>
      <c r="BA103" s="113">
        <f t="shared" si="188"/>
        <v>0</v>
      </c>
      <c r="BB103" s="103" t="str">
        <f t="shared" si="189"/>
        <v>0:</v>
      </c>
      <c r="BC103" s="50" t="str">
        <f t="shared" si="190"/>
        <v>0:&lt;span id="adv_0"&gt;&lt;/span&gt;&lt;br/&gt;&lt;input type="radio" name="0" id="" value="" /&gt;</v>
      </c>
      <c r="BD103" s="52" t="str">
        <f t="shared" si="191"/>
        <v>else if (document.getElementById("</v>
      </c>
      <c r="BE103" s="61" t="str">
        <f t="shared" si="192"/>
        <v>else if (document.getElementById("").checked==true) {0="";}</v>
      </c>
      <c r="BF103" s="61" t="str">
        <f t="shared" si="193"/>
        <v/>
      </c>
      <c r="BG103" s="61" t="str">
        <f t="shared" si="194"/>
        <v>0:0</v>
      </c>
      <c r="BH103" s="102" t="str">
        <f t="shared" si="195"/>
        <v>if (isset($_GET['0'])) {$0=($_GET['0']);}else $0='';</v>
      </c>
      <c r="BI103" s="105" t="str">
        <f t="shared" si="196"/>
        <v>&lt;br/&gt;&lt;textarea rows="2" cols="80" id=""&gt;&lt;/textarea&gt;&lt;br/&gt;</v>
      </c>
      <c r="BJ103" s="107" t="str">
        <f t="shared" si="197"/>
        <v>&lt;input type="text"  size="7"  id="" class="datepicker"/&gt;</v>
      </c>
      <c r="BK103" s="107" t="str">
        <f t="shared" si="198"/>
        <v>&lt;h2 id=""&gt;&lt;/h2&gt;</v>
      </c>
      <c r="BL103" s="109" t="str">
        <f t="shared" si="232"/>
        <v/>
      </c>
      <c r="BM103" s="61" t="str">
        <f t="shared" si="233"/>
        <v/>
      </c>
      <c r="BN103" s="52">
        <f t="shared" si="220"/>
        <v>0</v>
      </c>
      <c r="BO103" s="61" t="str">
        <f t="shared" si="234"/>
        <v/>
      </c>
      <c r="BP103" s="102" t="str">
        <f t="shared" si="235"/>
        <v/>
      </c>
      <c r="BQ103" s="105" t="str">
        <f t="shared" si="236"/>
        <v/>
      </c>
      <c r="BR103" s="52" t="str">
        <f t="shared" si="199"/>
        <v/>
      </c>
      <c r="BS103" s="52">
        <f t="shared" si="200"/>
        <v>0</v>
      </c>
      <c r="BT103" s="52">
        <f t="shared" si="221"/>
        <v>0</v>
      </c>
      <c r="BU103" s="52" t="str">
        <f t="shared" si="201"/>
        <v/>
      </c>
      <c r="BV103" s="52" t="str">
        <f t="shared" si="202"/>
        <v/>
      </c>
      <c r="BW103" s="52" t="str">
        <f t="shared" si="222"/>
        <v/>
      </c>
      <c r="BX103" s="113" t="str">
        <f t="shared" si="237"/>
        <v/>
      </c>
      <c r="BY103" s="52" t="str">
        <f t="shared" si="203"/>
        <v/>
      </c>
      <c r="BZ103" s="52" t="str">
        <f t="shared" si="204"/>
        <v/>
      </c>
      <c r="CA103" s="52" t="str">
        <f t="shared" si="238"/>
        <v/>
      </c>
      <c r="CB103" s="52" t="str">
        <f t="shared" si="239"/>
        <v/>
      </c>
      <c r="CC103" s="52" t="str">
        <f t="shared" si="205"/>
        <v/>
      </c>
      <c r="CD103" s="52" t="str">
        <f t="shared" si="206"/>
        <v/>
      </c>
      <c r="CE103" s="102" t="str">
        <f t="shared" si="240"/>
        <v/>
      </c>
      <c r="CF103" s="116" t="str">
        <f t="shared" si="207"/>
        <v/>
      </c>
      <c r="CG103" s="61" t="str">
        <f t="shared" si="241"/>
        <v/>
      </c>
      <c r="CH103" s="52" t="str">
        <f t="shared" si="243"/>
        <v/>
      </c>
      <c r="CI103" s="52" t="str">
        <f t="shared" si="244"/>
        <v/>
      </c>
      <c r="CJ103" s="52" t="str">
        <f t="shared" si="208"/>
        <v/>
      </c>
      <c r="CK103" s="52" t="str">
        <f t="shared" si="209"/>
        <v/>
      </c>
      <c r="CL103" s="52" t="str">
        <f t="shared" si="210"/>
        <v/>
      </c>
      <c r="CM103" s="102" t="str">
        <f t="shared" si="211"/>
        <v/>
      </c>
      <c r="CN103" s="116" t="str">
        <f t="shared" si="212"/>
        <v/>
      </c>
      <c r="CO103" s="61">
        <f t="shared" si="223"/>
        <v>0</v>
      </c>
      <c r="CP103" s="61" t="str">
        <f t="shared" si="168"/>
        <v/>
      </c>
      <c r="CQ103" s="61" t="str">
        <f t="shared" si="225"/>
        <v/>
      </c>
      <c r="CR103" s="61" t="str">
        <f t="shared" si="226"/>
        <v/>
      </c>
      <c r="CS103" s="105" t="str">
        <f t="shared" si="227"/>
        <v/>
      </c>
      <c r="CT103" s="105" t="str">
        <f t="shared" si="228"/>
        <v/>
      </c>
      <c r="CU103" s="61" t="str">
        <f t="shared" si="229"/>
        <v/>
      </c>
      <c r="CV103" s="61" t="str">
        <f t="shared" si="230"/>
        <v/>
      </c>
      <c r="CW103" s="61" t="str">
        <f t="shared" si="213"/>
        <v/>
      </c>
      <c r="CX103" s="61" t="str">
        <f t="shared" si="245"/>
        <v/>
      </c>
      <c r="CY103" s="61" t="str">
        <f t="shared" si="169"/>
        <v/>
      </c>
      <c r="CZ103" s="102" t="str">
        <f t="shared" si="214"/>
        <v/>
      </c>
      <c r="DA103" s="17">
        <f t="shared" si="215"/>
        <v>0</v>
      </c>
      <c r="DC103" s="17">
        <f t="shared" ref="DC103:DC113" si="247">IF(C103&lt;&gt;"",COUNTIF($C$15:$C$114,C103),0)</f>
        <v>0</v>
      </c>
      <c r="DD103" s="17">
        <f t="shared" si="216"/>
        <v>0</v>
      </c>
      <c r="DE103" s="17" t="str">
        <f t="shared" si="217"/>
        <v/>
      </c>
      <c r="DF103" s="17" t="str">
        <f t="shared" si="218"/>
        <v/>
      </c>
    </row>
    <row r="104" spans="2:110" s="17" customFormat="1">
      <c r="B104" s="35"/>
      <c r="C104" s="35"/>
      <c r="D104" s="36"/>
      <c r="E104" s="35"/>
      <c r="F104" s="35"/>
      <c r="G104" s="35"/>
      <c r="H104" s="35"/>
      <c r="I104" s="35"/>
      <c r="J104" s="59"/>
      <c r="Z104" s="172" t="str">
        <f t="shared" si="170"/>
        <v/>
      </c>
      <c r="AB104" s="47" t="s">
        <v>283</v>
      </c>
      <c r="AC104" s="52" t="str">
        <f t="shared" si="246"/>
        <v/>
      </c>
      <c r="AD104" s="52">
        <f t="shared" si="231"/>
        <v>0</v>
      </c>
      <c r="AE104" s="52">
        <f t="shared" si="219"/>
        <v>0</v>
      </c>
      <c r="AF104" s="61" t="str">
        <f t="shared" si="171"/>
        <v/>
      </c>
      <c r="AG104" s="52">
        <f t="shared" si="172"/>
        <v>0</v>
      </c>
      <c r="AH104" s="52">
        <f t="shared" si="173"/>
        <v>0</v>
      </c>
      <c r="AI104" s="52" t="str">
        <f t="shared" si="174"/>
        <v/>
      </c>
      <c r="AJ104" s="61" t="str">
        <f t="shared" si="175"/>
        <v/>
      </c>
      <c r="AK104" s="95" t="str">
        <f t="shared" si="176"/>
        <v/>
      </c>
      <c r="AL104" s="61" t="str">
        <f t="shared" si="177"/>
        <v>if () {$("#adv_").html("Required");$("#").css({"background":"yellow"});} else {$("#adv_").html("");$("#").css({"background":"white"});}</v>
      </c>
      <c r="AM104" s="61" t="str">
        <f t="shared" si="178"/>
        <v>if (=="") {$("#adv_").html("Required");$("#adv_").css({"background":"yellow"});} else {$("#adv_").html("");}</v>
      </c>
      <c r="AN104" s="61" t="str">
        <f t="shared" si="242"/>
        <v>if (=="") {$("#adv_").html("Required");$("#").css({"background":"yellow"});} else {$("#adv_").html("");$("#").css({"background":"white"});}</v>
      </c>
      <c r="AO104" s="50" t="str">
        <f t="shared" si="179"/>
        <v/>
      </c>
      <c r="AP104" s="61" t="str">
        <f t="shared" si="180"/>
        <v>=$("#").val();</v>
      </c>
      <c r="AQ104" s="61" t="str">
        <f t="shared" si="181"/>
        <v/>
      </c>
      <c r="AR104" s="50" t="str">
        <f t="shared" si="182"/>
        <v>&lt;input type="checkbox" id="" name="" value="1" /&gt;</v>
      </c>
      <c r="AS104" s="61" t="str">
        <f t="shared" si="183"/>
        <v>=document.getElementById("").checked;</v>
      </c>
      <c r="AT104" s="102" t="str">
        <f t="shared" si="184"/>
        <v>if (isset($_GET[''])) {$=($_GET['']);}else $='';</v>
      </c>
      <c r="AU104" s="52" t="str">
        <f t="shared" si="185"/>
        <v/>
      </c>
      <c r="AV104" s="52" t="str">
        <f t="shared" si="224"/>
        <v>&lt;select size="1" name="" id=""&gt;&lt;option value=""&gt;</v>
      </c>
      <c r="AW104" s="52" t="str">
        <f t="shared" si="186"/>
        <v>&lt;option value=""&gt;&lt;/option&gt;</v>
      </c>
      <c r="AX104" s="145" t="str">
        <f t="shared" si="187"/>
        <v/>
      </c>
      <c r="AY104" s="102" t="str">
        <f>""</f>
        <v/>
      </c>
      <c r="AZ104" s="102"/>
      <c r="BA104" s="113">
        <f t="shared" si="188"/>
        <v>0</v>
      </c>
      <c r="BB104" s="103" t="str">
        <f t="shared" si="189"/>
        <v>0:</v>
      </c>
      <c r="BC104" s="50" t="str">
        <f t="shared" si="190"/>
        <v>0:&lt;span id="adv_0"&gt;&lt;/span&gt;&lt;br/&gt;&lt;input type="radio" name="0" id="" value="" /&gt;</v>
      </c>
      <c r="BD104" s="52" t="str">
        <f t="shared" si="191"/>
        <v>else if (document.getElementById("</v>
      </c>
      <c r="BE104" s="61" t="str">
        <f t="shared" si="192"/>
        <v>else if (document.getElementById("").checked==true) {0="";}</v>
      </c>
      <c r="BF104" s="61" t="str">
        <f t="shared" si="193"/>
        <v/>
      </c>
      <c r="BG104" s="61" t="str">
        <f t="shared" si="194"/>
        <v>0:0</v>
      </c>
      <c r="BH104" s="102" t="str">
        <f t="shared" si="195"/>
        <v>if (isset($_GET['0'])) {$0=($_GET['0']);}else $0='';</v>
      </c>
      <c r="BI104" s="105" t="str">
        <f t="shared" si="196"/>
        <v>&lt;br/&gt;&lt;textarea rows="2" cols="80" id=""&gt;&lt;/textarea&gt;&lt;br/&gt;</v>
      </c>
      <c r="BJ104" s="107" t="str">
        <f t="shared" si="197"/>
        <v>&lt;input type="text"  size="7"  id="" class="datepicker"/&gt;</v>
      </c>
      <c r="BK104" s="107" t="str">
        <f t="shared" si="198"/>
        <v>&lt;h2 id=""&gt;&lt;/h2&gt;</v>
      </c>
      <c r="BL104" s="109" t="str">
        <f t="shared" si="232"/>
        <v/>
      </c>
      <c r="BM104" s="61" t="str">
        <f t="shared" si="233"/>
        <v/>
      </c>
      <c r="BN104" s="52">
        <f t="shared" si="220"/>
        <v>0</v>
      </c>
      <c r="BO104" s="61" t="str">
        <f t="shared" si="234"/>
        <v/>
      </c>
      <c r="BP104" s="102" t="str">
        <f t="shared" si="235"/>
        <v/>
      </c>
      <c r="BQ104" s="105" t="str">
        <f t="shared" si="236"/>
        <v/>
      </c>
      <c r="BR104" s="52" t="str">
        <f t="shared" si="199"/>
        <v/>
      </c>
      <c r="BS104" s="52">
        <f t="shared" si="200"/>
        <v>0</v>
      </c>
      <c r="BT104" s="52">
        <f t="shared" si="221"/>
        <v>0</v>
      </c>
      <c r="BU104" s="52" t="str">
        <f t="shared" si="201"/>
        <v/>
      </c>
      <c r="BV104" s="52" t="str">
        <f t="shared" si="202"/>
        <v/>
      </c>
      <c r="BW104" s="52" t="str">
        <f t="shared" si="222"/>
        <v/>
      </c>
      <c r="BX104" s="113" t="str">
        <f t="shared" si="237"/>
        <v/>
      </c>
      <c r="BY104" s="52" t="str">
        <f t="shared" si="203"/>
        <v/>
      </c>
      <c r="BZ104" s="52" t="str">
        <f t="shared" si="204"/>
        <v/>
      </c>
      <c r="CA104" s="52" t="str">
        <f t="shared" si="238"/>
        <v/>
      </c>
      <c r="CB104" s="52" t="str">
        <f t="shared" si="239"/>
        <v/>
      </c>
      <c r="CC104" s="52" t="str">
        <f t="shared" si="205"/>
        <v/>
      </c>
      <c r="CD104" s="52" t="str">
        <f t="shared" si="206"/>
        <v/>
      </c>
      <c r="CE104" s="102" t="str">
        <f t="shared" si="240"/>
        <v/>
      </c>
      <c r="CF104" s="116" t="str">
        <f t="shared" si="207"/>
        <v/>
      </c>
      <c r="CG104" s="61" t="str">
        <f t="shared" si="241"/>
        <v/>
      </c>
      <c r="CH104" s="52" t="str">
        <f t="shared" si="243"/>
        <v/>
      </c>
      <c r="CI104" s="52" t="str">
        <f t="shared" si="244"/>
        <v/>
      </c>
      <c r="CJ104" s="52" t="str">
        <f t="shared" si="208"/>
        <v/>
      </c>
      <c r="CK104" s="52" t="str">
        <f t="shared" si="209"/>
        <v/>
      </c>
      <c r="CL104" s="52" t="str">
        <f t="shared" si="210"/>
        <v/>
      </c>
      <c r="CM104" s="102" t="str">
        <f t="shared" si="211"/>
        <v/>
      </c>
      <c r="CN104" s="116" t="str">
        <f t="shared" si="212"/>
        <v/>
      </c>
      <c r="CO104" s="61">
        <f t="shared" si="223"/>
        <v>0</v>
      </c>
      <c r="CP104" s="61" t="str">
        <f t="shared" si="168"/>
        <v/>
      </c>
      <c r="CQ104" s="61" t="str">
        <f t="shared" si="225"/>
        <v/>
      </c>
      <c r="CR104" s="61" t="str">
        <f t="shared" si="226"/>
        <v/>
      </c>
      <c r="CS104" s="105" t="str">
        <f t="shared" si="227"/>
        <v/>
      </c>
      <c r="CT104" s="105" t="str">
        <f t="shared" si="228"/>
        <v/>
      </c>
      <c r="CU104" s="61" t="str">
        <f t="shared" si="229"/>
        <v/>
      </c>
      <c r="CV104" s="61" t="str">
        <f t="shared" si="230"/>
        <v/>
      </c>
      <c r="CW104" s="61" t="str">
        <f t="shared" si="213"/>
        <v/>
      </c>
      <c r="CX104" s="61" t="str">
        <f t="shared" si="245"/>
        <v/>
      </c>
      <c r="CY104" s="61" t="str">
        <f t="shared" si="169"/>
        <v/>
      </c>
      <c r="CZ104" s="102" t="str">
        <f t="shared" si="214"/>
        <v/>
      </c>
      <c r="DA104" s="17">
        <f t="shared" si="215"/>
        <v>0</v>
      </c>
      <c r="DC104" s="17">
        <f t="shared" si="247"/>
        <v>0</v>
      </c>
      <c r="DD104" s="17">
        <f t="shared" si="216"/>
        <v>0</v>
      </c>
      <c r="DE104" s="17" t="str">
        <f t="shared" si="217"/>
        <v/>
      </c>
      <c r="DF104" s="17" t="str">
        <f t="shared" si="218"/>
        <v/>
      </c>
    </row>
    <row r="105" spans="2:110" s="17" customFormat="1">
      <c r="B105" s="35"/>
      <c r="C105" s="35"/>
      <c r="D105" s="36"/>
      <c r="E105" s="35"/>
      <c r="F105" s="35"/>
      <c r="G105" s="35"/>
      <c r="H105" s="35"/>
      <c r="I105" s="35"/>
      <c r="J105" s="59"/>
      <c r="Z105" s="172" t="str">
        <f t="shared" si="170"/>
        <v/>
      </c>
      <c r="AB105" s="47" t="s">
        <v>284</v>
      </c>
      <c r="AC105" s="52" t="str">
        <f t="shared" si="246"/>
        <v/>
      </c>
      <c r="AD105" s="52">
        <f t="shared" si="231"/>
        <v>0</v>
      </c>
      <c r="AE105" s="52">
        <f t="shared" si="219"/>
        <v>0</v>
      </c>
      <c r="AF105" s="61" t="str">
        <f t="shared" si="171"/>
        <v/>
      </c>
      <c r="AG105" s="52">
        <f t="shared" si="172"/>
        <v>0</v>
      </c>
      <c r="AH105" s="52">
        <f t="shared" si="173"/>
        <v>0</v>
      </c>
      <c r="AI105" s="52" t="str">
        <f t="shared" si="174"/>
        <v/>
      </c>
      <c r="AJ105" s="61" t="str">
        <f t="shared" si="175"/>
        <v/>
      </c>
      <c r="AK105" s="95" t="str">
        <f t="shared" si="176"/>
        <v/>
      </c>
      <c r="AL105" s="61" t="str">
        <f t="shared" si="177"/>
        <v>if () {$("#adv_").html("Required");$("#").css({"background":"yellow"});} else {$("#adv_").html("");$("#").css({"background":"white"});}</v>
      </c>
      <c r="AM105" s="61" t="str">
        <f t="shared" si="178"/>
        <v>if (=="") {$("#adv_").html("Required");$("#adv_").css({"background":"yellow"});} else {$("#adv_").html("");}</v>
      </c>
      <c r="AN105" s="61" t="str">
        <f t="shared" si="242"/>
        <v>if (=="") {$("#adv_").html("Required");$("#").css({"background":"yellow"});} else {$("#adv_").html("");$("#").css({"background":"white"});}</v>
      </c>
      <c r="AO105" s="50" t="str">
        <f t="shared" si="179"/>
        <v/>
      </c>
      <c r="AP105" s="61" t="str">
        <f t="shared" si="180"/>
        <v>=$("#").val();</v>
      </c>
      <c r="AQ105" s="61" t="str">
        <f t="shared" si="181"/>
        <v/>
      </c>
      <c r="AR105" s="50" t="str">
        <f t="shared" si="182"/>
        <v>&lt;input type="checkbox" id="" name="" value="1" /&gt;</v>
      </c>
      <c r="AS105" s="61" t="str">
        <f t="shared" si="183"/>
        <v>=document.getElementById("").checked;</v>
      </c>
      <c r="AT105" s="102" t="str">
        <f t="shared" si="184"/>
        <v>if (isset($_GET[''])) {$=($_GET['']);}else $='';</v>
      </c>
      <c r="AU105" s="52" t="str">
        <f t="shared" si="185"/>
        <v/>
      </c>
      <c r="AV105" s="52" t="str">
        <f t="shared" si="224"/>
        <v>&lt;select size="1" name="" id=""&gt;&lt;option value=""&gt;</v>
      </c>
      <c r="AW105" s="52" t="str">
        <f t="shared" si="186"/>
        <v>&lt;option value=""&gt;&lt;/option&gt;</v>
      </c>
      <c r="AX105" s="145" t="str">
        <f t="shared" si="187"/>
        <v/>
      </c>
      <c r="AY105" s="102" t="str">
        <f>""</f>
        <v/>
      </c>
      <c r="AZ105" s="102"/>
      <c r="BA105" s="113">
        <f t="shared" si="188"/>
        <v>0</v>
      </c>
      <c r="BB105" s="103" t="str">
        <f t="shared" si="189"/>
        <v>0:</v>
      </c>
      <c r="BC105" s="50" t="str">
        <f t="shared" si="190"/>
        <v>0:&lt;span id="adv_0"&gt;&lt;/span&gt;&lt;br/&gt;&lt;input type="radio" name="0" id="" value="" /&gt;</v>
      </c>
      <c r="BD105" s="52" t="str">
        <f t="shared" si="191"/>
        <v>else if (document.getElementById("</v>
      </c>
      <c r="BE105" s="61" t="str">
        <f t="shared" si="192"/>
        <v>else if (document.getElementById("").checked==true) {0="";}</v>
      </c>
      <c r="BF105" s="61" t="str">
        <f t="shared" si="193"/>
        <v/>
      </c>
      <c r="BG105" s="61" t="str">
        <f t="shared" si="194"/>
        <v>0:0</v>
      </c>
      <c r="BH105" s="102" t="str">
        <f t="shared" si="195"/>
        <v>if (isset($_GET['0'])) {$0=($_GET['0']);}else $0='';</v>
      </c>
      <c r="BI105" s="105" t="str">
        <f t="shared" si="196"/>
        <v>&lt;br/&gt;&lt;textarea rows="2" cols="80" id=""&gt;&lt;/textarea&gt;&lt;br/&gt;</v>
      </c>
      <c r="BJ105" s="107" t="str">
        <f t="shared" si="197"/>
        <v>&lt;input type="text"  size="7"  id="" class="datepicker"/&gt;</v>
      </c>
      <c r="BK105" s="107" t="str">
        <f t="shared" si="198"/>
        <v>&lt;h2 id=""&gt;&lt;/h2&gt;</v>
      </c>
      <c r="BL105" s="109" t="str">
        <f t="shared" si="232"/>
        <v/>
      </c>
      <c r="BM105" s="61" t="str">
        <f t="shared" si="233"/>
        <v/>
      </c>
      <c r="BN105" s="52">
        <f t="shared" si="220"/>
        <v>0</v>
      </c>
      <c r="BO105" s="61" t="str">
        <f t="shared" si="234"/>
        <v/>
      </c>
      <c r="BP105" s="102" t="str">
        <f t="shared" si="235"/>
        <v/>
      </c>
      <c r="BQ105" s="105" t="str">
        <f t="shared" si="236"/>
        <v/>
      </c>
      <c r="BR105" s="52" t="str">
        <f t="shared" si="199"/>
        <v/>
      </c>
      <c r="BS105" s="52">
        <f t="shared" si="200"/>
        <v>0</v>
      </c>
      <c r="BT105" s="52">
        <f t="shared" si="221"/>
        <v>0</v>
      </c>
      <c r="BU105" s="52" t="str">
        <f t="shared" si="201"/>
        <v/>
      </c>
      <c r="BV105" s="52" t="str">
        <f t="shared" si="202"/>
        <v/>
      </c>
      <c r="BW105" s="52" t="str">
        <f t="shared" si="222"/>
        <v/>
      </c>
      <c r="BX105" s="113" t="str">
        <f t="shared" si="237"/>
        <v/>
      </c>
      <c r="BY105" s="52" t="str">
        <f t="shared" si="203"/>
        <v/>
      </c>
      <c r="BZ105" s="52" t="str">
        <f t="shared" si="204"/>
        <v/>
      </c>
      <c r="CA105" s="52" t="str">
        <f t="shared" si="238"/>
        <v/>
      </c>
      <c r="CB105" s="52" t="str">
        <f t="shared" si="239"/>
        <v/>
      </c>
      <c r="CC105" s="52" t="str">
        <f t="shared" si="205"/>
        <v/>
      </c>
      <c r="CD105" s="52" t="str">
        <f t="shared" si="206"/>
        <v/>
      </c>
      <c r="CE105" s="102" t="str">
        <f t="shared" si="240"/>
        <v/>
      </c>
      <c r="CF105" s="116" t="str">
        <f t="shared" si="207"/>
        <v/>
      </c>
      <c r="CG105" s="61" t="str">
        <f t="shared" si="241"/>
        <v/>
      </c>
      <c r="CH105" s="52" t="str">
        <f t="shared" si="243"/>
        <v/>
      </c>
      <c r="CI105" s="52" t="str">
        <f t="shared" si="244"/>
        <v/>
      </c>
      <c r="CJ105" s="52" t="str">
        <f t="shared" si="208"/>
        <v/>
      </c>
      <c r="CK105" s="52" t="str">
        <f t="shared" si="209"/>
        <v/>
      </c>
      <c r="CL105" s="52" t="str">
        <f t="shared" si="210"/>
        <v/>
      </c>
      <c r="CM105" s="102" t="str">
        <f t="shared" si="211"/>
        <v/>
      </c>
      <c r="CN105" s="116" t="str">
        <f t="shared" si="212"/>
        <v/>
      </c>
      <c r="CO105" s="61">
        <f t="shared" si="223"/>
        <v>0</v>
      </c>
      <c r="CP105" s="61" t="str">
        <f t="shared" si="168"/>
        <v/>
      </c>
      <c r="CQ105" s="61" t="str">
        <f t="shared" si="225"/>
        <v/>
      </c>
      <c r="CR105" s="61" t="str">
        <f t="shared" si="226"/>
        <v/>
      </c>
      <c r="CS105" s="105" t="str">
        <f t="shared" si="227"/>
        <v/>
      </c>
      <c r="CT105" s="105" t="str">
        <f t="shared" si="228"/>
        <v/>
      </c>
      <c r="CU105" s="61" t="str">
        <f t="shared" si="229"/>
        <v/>
      </c>
      <c r="CV105" s="61" t="str">
        <f t="shared" si="230"/>
        <v/>
      </c>
      <c r="CW105" s="61" t="str">
        <f t="shared" si="213"/>
        <v/>
      </c>
      <c r="CX105" s="61" t="str">
        <f t="shared" si="245"/>
        <v/>
      </c>
      <c r="CY105" s="61" t="str">
        <f t="shared" si="169"/>
        <v/>
      </c>
      <c r="CZ105" s="102" t="str">
        <f t="shared" si="214"/>
        <v/>
      </c>
      <c r="DA105" s="17">
        <f t="shared" si="215"/>
        <v>0</v>
      </c>
      <c r="DC105" s="17">
        <f t="shared" si="247"/>
        <v>0</v>
      </c>
      <c r="DD105" s="17">
        <f t="shared" si="216"/>
        <v>0</v>
      </c>
      <c r="DE105" s="17" t="str">
        <f t="shared" si="217"/>
        <v/>
      </c>
      <c r="DF105" s="17" t="str">
        <f t="shared" si="218"/>
        <v/>
      </c>
    </row>
    <row r="106" spans="2:110" s="17" customFormat="1">
      <c r="B106" s="35"/>
      <c r="C106" s="35"/>
      <c r="D106" s="36"/>
      <c r="E106" s="35"/>
      <c r="F106" s="35"/>
      <c r="G106" s="35"/>
      <c r="H106" s="35"/>
      <c r="I106" s="35"/>
      <c r="J106" s="59"/>
      <c r="Z106" s="172" t="str">
        <f t="shared" si="170"/>
        <v/>
      </c>
      <c r="AB106" s="47" t="s">
        <v>285</v>
      </c>
      <c r="AC106" s="52" t="str">
        <f t="shared" si="246"/>
        <v/>
      </c>
      <c r="AD106" s="52">
        <f t="shared" si="231"/>
        <v>0</v>
      </c>
      <c r="AE106" s="52">
        <f t="shared" si="219"/>
        <v>0</v>
      </c>
      <c r="AF106" s="61" t="str">
        <f t="shared" si="171"/>
        <v/>
      </c>
      <c r="AG106" s="52">
        <f t="shared" si="172"/>
        <v>0</v>
      </c>
      <c r="AH106" s="52">
        <f t="shared" si="173"/>
        <v>0</v>
      </c>
      <c r="AI106" s="52" t="str">
        <f t="shared" si="174"/>
        <v/>
      </c>
      <c r="AJ106" s="61" t="str">
        <f t="shared" si="175"/>
        <v/>
      </c>
      <c r="AK106" s="95" t="str">
        <f t="shared" si="176"/>
        <v/>
      </c>
      <c r="AL106" s="61" t="str">
        <f t="shared" si="177"/>
        <v>if () {$("#adv_").html("Required");$("#").css({"background":"yellow"});} else {$("#adv_").html("");$("#").css({"background":"white"});}</v>
      </c>
      <c r="AM106" s="61" t="str">
        <f t="shared" si="178"/>
        <v>if (=="") {$("#adv_").html("Required");$("#adv_").css({"background":"yellow"});} else {$("#adv_").html("");}</v>
      </c>
      <c r="AN106" s="61" t="str">
        <f t="shared" si="242"/>
        <v>if (=="") {$("#adv_").html("Required");$("#").css({"background":"yellow"});} else {$("#adv_").html("");$("#").css({"background":"white"});}</v>
      </c>
      <c r="AO106" s="50" t="str">
        <f t="shared" si="179"/>
        <v/>
      </c>
      <c r="AP106" s="61" t="str">
        <f t="shared" si="180"/>
        <v>=$("#").val();</v>
      </c>
      <c r="AQ106" s="61" t="str">
        <f t="shared" si="181"/>
        <v/>
      </c>
      <c r="AR106" s="50" t="str">
        <f t="shared" si="182"/>
        <v>&lt;input type="checkbox" id="" name="" value="1" /&gt;</v>
      </c>
      <c r="AS106" s="61" t="str">
        <f t="shared" si="183"/>
        <v>=document.getElementById("").checked;</v>
      </c>
      <c r="AT106" s="102" t="str">
        <f t="shared" si="184"/>
        <v>if (isset($_GET[''])) {$=($_GET['']);}else $='';</v>
      </c>
      <c r="AU106" s="52" t="str">
        <f t="shared" si="185"/>
        <v/>
      </c>
      <c r="AV106" s="52" t="str">
        <f t="shared" si="224"/>
        <v>&lt;select size="1" name="" id=""&gt;&lt;option value=""&gt;</v>
      </c>
      <c r="AW106" s="52" t="str">
        <f t="shared" si="186"/>
        <v>&lt;option value=""&gt;&lt;/option&gt;</v>
      </c>
      <c r="AX106" s="145" t="str">
        <f t="shared" si="187"/>
        <v/>
      </c>
      <c r="AY106" s="102" t="str">
        <f>""</f>
        <v/>
      </c>
      <c r="AZ106" s="102"/>
      <c r="BA106" s="113">
        <f t="shared" si="188"/>
        <v>0</v>
      </c>
      <c r="BB106" s="103" t="str">
        <f t="shared" si="189"/>
        <v>0:</v>
      </c>
      <c r="BC106" s="50" t="str">
        <f t="shared" si="190"/>
        <v>0:&lt;span id="adv_0"&gt;&lt;/span&gt;&lt;br/&gt;&lt;input type="radio" name="0" id="" value="" /&gt;</v>
      </c>
      <c r="BD106" s="52" t="str">
        <f t="shared" si="191"/>
        <v>else if (document.getElementById("</v>
      </c>
      <c r="BE106" s="61" t="str">
        <f t="shared" si="192"/>
        <v>else if (document.getElementById("").checked==true) {0="";}</v>
      </c>
      <c r="BF106" s="61" t="str">
        <f t="shared" si="193"/>
        <v/>
      </c>
      <c r="BG106" s="61" t="str">
        <f t="shared" si="194"/>
        <v>0:0</v>
      </c>
      <c r="BH106" s="102" t="str">
        <f t="shared" si="195"/>
        <v>if (isset($_GET['0'])) {$0=($_GET['0']);}else $0='';</v>
      </c>
      <c r="BI106" s="105" t="str">
        <f t="shared" si="196"/>
        <v>&lt;br/&gt;&lt;textarea rows="2" cols="80" id=""&gt;&lt;/textarea&gt;&lt;br/&gt;</v>
      </c>
      <c r="BJ106" s="107" t="str">
        <f t="shared" si="197"/>
        <v>&lt;input type="text"  size="7"  id="" class="datepicker"/&gt;</v>
      </c>
      <c r="BK106" s="107" t="str">
        <f t="shared" si="198"/>
        <v>&lt;h2 id=""&gt;&lt;/h2&gt;</v>
      </c>
      <c r="BL106" s="109" t="str">
        <f t="shared" si="232"/>
        <v/>
      </c>
      <c r="BM106" s="61" t="str">
        <f t="shared" si="233"/>
        <v/>
      </c>
      <c r="BN106" s="52">
        <f t="shared" si="220"/>
        <v>0</v>
      </c>
      <c r="BO106" s="61" t="str">
        <f t="shared" si="234"/>
        <v/>
      </c>
      <c r="BP106" s="102" t="str">
        <f t="shared" si="235"/>
        <v/>
      </c>
      <c r="BQ106" s="105" t="str">
        <f t="shared" si="236"/>
        <v/>
      </c>
      <c r="BR106" s="52" t="str">
        <f t="shared" si="199"/>
        <v/>
      </c>
      <c r="BS106" s="52">
        <f t="shared" si="200"/>
        <v>0</v>
      </c>
      <c r="BT106" s="52">
        <f t="shared" si="221"/>
        <v>0</v>
      </c>
      <c r="BU106" s="52" t="str">
        <f t="shared" si="201"/>
        <v/>
      </c>
      <c r="BV106" s="52" t="str">
        <f t="shared" si="202"/>
        <v/>
      </c>
      <c r="BW106" s="52" t="str">
        <f t="shared" si="222"/>
        <v/>
      </c>
      <c r="BX106" s="113" t="str">
        <f t="shared" si="237"/>
        <v/>
      </c>
      <c r="BY106" s="52" t="str">
        <f t="shared" si="203"/>
        <v/>
      </c>
      <c r="BZ106" s="52" t="str">
        <f t="shared" si="204"/>
        <v/>
      </c>
      <c r="CA106" s="52" t="str">
        <f t="shared" si="238"/>
        <v/>
      </c>
      <c r="CB106" s="52" t="str">
        <f t="shared" si="239"/>
        <v/>
      </c>
      <c r="CC106" s="52" t="str">
        <f t="shared" si="205"/>
        <v/>
      </c>
      <c r="CD106" s="52" t="str">
        <f t="shared" si="206"/>
        <v/>
      </c>
      <c r="CE106" s="102" t="str">
        <f t="shared" si="240"/>
        <v/>
      </c>
      <c r="CF106" s="116" t="str">
        <f t="shared" si="207"/>
        <v/>
      </c>
      <c r="CG106" s="61" t="str">
        <f t="shared" si="241"/>
        <v/>
      </c>
      <c r="CH106" s="52" t="str">
        <f t="shared" si="243"/>
        <v/>
      </c>
      <c r="CI106" s="52" t="str">
        <f t="shared" si="244"/>
        <v/>
      </c>
      <c r="CJ106" s="52" t="str">
        <f t="shared" si="208"/>
        <v/>
      </c>
      <c r="CK106" s="52" t="str">
        <f t="shared" si="209"/>
        <v/>
      </c>
      <c r="CL106" s="52" t="str">
        <f t="shared" si="210"/>
        <v/>
      </c>
      <c r="CM106" s="102" t="str">
        <f t="shared" si="211"/>
        <v/>
      </c>
      <c r="CN106" s="116" t="str">
        <f t="shared" si="212"/>
        <v/>
      </c>
      <c r="CO106" s="61">
        <f t="shared" si="223"/>
        <v>0</v>
      </c>
      <c r="CP106" s="61" t="str">
        <f t="shared" si="168"/>
        <v/>
      </c>
      <c r="CQ106" s="61" t="str">
        <f t="shared" si="225"/>
        <v/>
      </c>
      <c r="CR106" s="61" t="str">
        <f t="shared" si="226"/>
        <v/>
      </c>
      <c r="CS106" s="105" t="str">
        <f t="shared" si="227"/>
        <v/>
      </c>
      <c r="CT106" s="105" t="str">
        <f t="shared" si="228"/>
        <v/>
      </c>
      <c r="CU106" s="61" t="str">
        <f t="shared" si="229"/>
        <v/>
      </c>
      <c r="CV106" s="61" t="str">
        <f t="shared" si="230"/>
        <v/>
      </c>
      <c r="CW106" s="61" t="str">
        <f t="shared" si="213"/>
        <v/>
      </c>
      <c r="CX106" s="61" t="str">
        <f t="shared" si="245"/>
        <v/>
      </c>
      <c r="CY106" s="61" t="str">
        <f t="shared" si="169"/>
        <v/>
      </c>
      <c r="CZ106" s="102" t="str">
        <f t="shared" si="214"/>
        <v/>
      </c>
      <c r="DA106" s="17">
        <f t="shared" si="215"/>
        <v>0</v>
      </c>
      <c r="DC106" s="17">
        <f t="shared" si="247"/>
        <v>0</v>
      </c>
      <c r="DD106" s="17">
        <f t="shared" si="216"/>
        <v>0</v>
      </c>
      <c r="DE106" s="17" t="str">
        <f t="shared" si="217"/>
        <v/>
      </c>
      <c r="DF106" s="17" t="str">
        <f t="shared" si="218"/>
        <v/>
      </c>
    </row>
    <row r="107" spans="2:110" s="17" customFormat="1">
      <c r="B107" s="35"/>
      <c r="C107" s="35"/>
      <c r="D107" s="36"/>
      <c r="E107" s="35"/>
      <c r="F107" s="35"/>
      <c r="G107" s="35"/>
      <c r="H107" s="35"/>
      <c r="I107" s="35"/>
      <c r="J107" s="59"/>
      <c r="Z107" s="172" t="str">
        <f t="shared" si="170"/>
        <v/>
      </c>
      <c r="AB107" s="47" t="s">
        <v>286</v>
      </c>
      <c r="AC107" s="52" t="str">
        <f t="shared" si="246"/>
        <v/>
      </c>
      <c r="AD107" s="52">
        <f t="shared" si="231"/>
        <v>0</v>
      </c>
      <c r="AE107" s="52">
        <f t="shared" si="219"/>
        <v>0</v>
      </c>
      <c r="AF107" s="61" t="str">
        <f t="shared" si="171"/>
        <v/>
      </c>
      <c r="AG107" s="52">
        <f t="shared" si="172"/>
        <v>0</v>
      </c>
      <c r="AH107" s="52">
        <f t="shared" si="173"/>
        <v>0</v>
      </c>
      <c r="AI107" s="52" t="str">
        <f t="shared" si="174"/>
        <v/>
      </c>
      <c r="AJ107" s="61" t="str">
        <f t="shared" si="175"/>
        <v/>
      </c>
      <c r="AK107" s="95" t="str">
        <f t="shared" si="176"/>
        <v/>
      </c>
      <c r="AL107" s="61" t="str">
        <f t="shared" si="177"/>
        <v>if () {$("#adv_").html("Required");$("#").css({"background":"yellow"});} else {$("#adv_").html("");$("#").css({"background":"white"});}</v>
      </c>
      <c r="AM107" s="61" t="str">
        <f t="shared" si="178"/>
        <v>if (=="") {$("#adv_").html("Required");$("#adv_").css({"background":"yellow"});} else {$("#adv_").html("");}</v>
      </c>
      <c r="AN107" s="61" t="str">
        <f t="shared" si="242"/>
        <v>if (=="") {$("#adv_").html("Required");$("#").css({"background":"yellow"});} else {$("#adv_").html("");$("#").css({"background":"white"});}</v>
      </c>
      <c r="AO107" s="50" t="str">
        <f t="shared" si="179"/>
        <v/>
      </c>
      <c r="AP107" s="61" t="str">
        <f t="shared" si="180"/>
        <v>=$("#").val();</v>
      </c>
      <c r="AQ107" s="61" t="str">
        <f t="shared" si="181"/>
        <v/>
      </c>
      <c r="AR107" s="50" t="str">
        <f t="shared" si="182"/>
        <v>&lt;input type="checkbox" id="" name="" value="1" /&gt;</v>
      </c>
      <c r="AS107" s="61" t="str">
        <f t="shared" si="183"/>
        <v>=document.getElementById("").checked;</v>
      </c>
      <c r="AT107" s="102" t="str">
        <f t="shared" si="184"/>
        <v>if (isset($_GET[''])) {$=($_GET['']);}else $='';</v>
      </c>
      <c r="AU107" s="52" t="str">
        <f t="shared" si="185"/>
        <v/>
      </c>
      <c r="AV107" s="52" t="str">
        <f t="shared" si="224"/>
        <v>&lt;select size="1" name="" id=""&gt;&lt;option value=""&gt;</v>
      </c>
      <c r="AW107" s="52" t="str">
        <f t="shared" si="186"/>
        <v>&lt;option value=""&gt;&lt;/option&gt;</v>
      </c>
      <c r="AX107" s="145" t="str">
        <f t="shared" si="187"/>
        <v/>
      </c>
      <c r="AY107" s="102" t="str">
        <f>""</f>
        <v/>
      </c>
      <c r="AZ107" s="102"/>
      <c r="BA107" s="113">
        <f t="shared" si="188"/>
        <v>0</v>
      </c>
      <c r="BB107" s="103" t="str">
        <f t="shared" si="189"/>
        <v>0:</v>
      </c>
      <c r="BC107" s="50" t="str">
        <f t="shared" si="190"/>
        <v>0:&lt;span id="adv_0"&gt;&lt;/span&gt;&lt;br/&gt;&lt;input type="radio" name="0" id="" value="" /&gt;</v>
      </c>
      <c r="BD107" s="52" t="str">
        <f t="shared" si="191"/>
        <v>else if (document.getElementById("</v>
      </c>
      <c r="BE107" s="61" t="str">
        <f t="shared" si="192"/>
        <v>else if (document.getElementById("").checked==true) {0="";}</v>
      </c>
      <c r="BF107" s="61" t="str">
        <f t="shared" si="193"/>
        <v/>
      </c>
      <c r="BG107" s="61" t="str">
        <f t="shared" si="194"/>
        <v>0:0</v>
      </c>
      <c r="BH107" s="102" t="str">
        <f t="shared" si="195"/>
        <v>if (isset($_GET['0'])) {$0=($_GET['0']);}else $0='';</v>
      </c>
      <c r="BI107" s="105" t="str">
        <f t="shared" si="196"/>
        <v>&lt;br/&gt;&lt;textarea rows="2" cols="80" id=""&gt;&lt;/textarea&gt;&lt;br/&gt;</v>
      </c>
      <c r="BJ107" s="107" t="str">
        <f t="shared" si="197"/>
        <v>&lt;input type="text"  size="7"  id="" class="datepicker"/&gt;</v>
      </c>
      <c r="BK107" s="107" t="str">
        <f t="shared" si="198"/>
        <v>&lt;h2 id=""&gt;&lt;/h2&gt;</v>
      </c>
      <c r="BL107" s="109" t="str">
        <f t="shared" si="232"/>
        <v/>
      </c>
      <c r="BM107" s="61" t="str">
        <f t="shared" si="233"/>
        <v/>
      </c>
      <c r="BN107" s="52">
        <f t="shared" si="220"/>
        <v>0</v>
      </c>
      <c r="BO107" s="61" t="str">
        <f t="shared" si="234"/>
        <v/>
      </c>
      <c r="BP107" s="102" t="str">
        <f t="shared" si="235"/>
        <v/>
      </c>
      <c r="BQ107" s="105" t="str">
        <f t="shared" si="236"/>
        <v/>
      </c>
      <c r="BR107" s="52" t="str">
        <f t="shared" si="199"/>
        <v/>
      </c>
      <c r="BS107" s="52">
        <f t="shared" si="200"/>
        <v>0</v>
      </c>
      <c r="BT107" s="52">
        <f t="shared" si="221"/>
        <v>0</v>
      </c>
      <c r="BU107" s="52" t="str">
        <f t="shared" si="201"/>
        <v/>
      </c>
      <c r="BV107" s="52" t="str">
        <f t="shared" si="202"/>
        <v/>
      </c>
      <c r="BW107" s="52" t="str">
        <f t="shared" si="222"/>
        <v/>
      </c>
      <c r="BX107" s="113" t="str">
        <f t="shared" si="237"/>
        <v/>
      </c>
      <c r="BY107" s="52" t="str">
        <f t="shared" si="203"/>
        <v/>
      </c>
      <c r="BZ107" s="52" t="str">
        <f t="shared" si="204"/>
        <v/>
      </c>
      <c r="CA107" s="52" t="str">
        <f t="shared" si="238"/>
        <v/>
      </c>
      <c r="CB107" s="52" t="str">
        <f t="shared" si="239"/>
        <v/>
      </c>
      <c r="CC107" s="52" t="str">
        <f t="shared" si="205"/>
        <v/>
      </c>
      <c r="CD107" s="52" t="str">
        <f t="shared" si="206"/>
        <v/>
      </c>
      <c r="CE107" s="102" t="str">
        <f t="shared" si="240"/>
        <v/>
      </c>
      <c r="CF107" s="116" t="str">
        <f t="shared" si="207"/>
        <v/>
      </c>
      <c r="CG107" s="61" t="str">
        <f t="shared" si="241"/>
        <v/>
      </c>
      <c r="CH107" s="52" t="str">
        <f t="shared" si="243"/>
        <v/>
      </c>
      <c r="CI107" s="52" t="str">
        <f t="shared" si="244"/>
        <v/>
      </c>
      <c r="CJ107" s="52" t="str">
        <f t="shared" si="208"/>
        <v/>
      </c>
      <c r="CK107" s="52" t="str">
        <f t="shared" si="209"/>
        <v/>
      </c>
      <c r="CL107" s="52" t="str">
        <f t="shared" si="210"/>
        <v/>
      </c>
      <c r="CM107" s="102" t="str">
        <f t="shared" si="211"/>
        <v/>
      </c>
      <c r="CN107" s="116" t="str">
        <f t="shared" si="212"/>
        <v/>
      </c>
      <c r="CO107" s="61">
        <f t="shared" si="223"/>
        <v>0</v>
      </c>
      <c r="CP107" s="61" t="str">
        <f t="shared" si="168"/>
        <v/>
      </c>
      <c r="CQ107" s="61" t="str">
        <f t="shared" si="225"/>
        <v/>
      </c>
      <c r="CR107" s="61" t="str">
        <f t="shared" si="226"/>
        <v/>
      </c>
      <c r="CS107" s="105" t="str">
        <f t="shared" si="227"/>
        <v/>
      </c>
      <c r="CT107" s="105" t="str">
        <f t="shared" si="228"/>
        <v/>
      </c>
      <c r="CU107" s="61" t="str">
        <f t="shared" si="229"/>
        <v/>
      </c>
      <c r="CV107" s="61" t="str">
        <f t="shared" si="230"/>
        <v/>
      </c>
      <c r="CW107" s="61" t="str">
        <f t="shared" si="213"/>
        <v/>
      </c>
      <c r="CX107" s="61" t="str">
        <f t="shared" si="245"/>
        <v/>
      </c>
      <c r="CY107" s="61" t="str">
        <f t="shared" si="169"/>
        <v/>
      </c>
      <c r="CZ107" s="102" t="str">
        <f t="shared" si="214"/>
        <v/>
      </c>
      <c r="DA107" s="17">
        <f t="shared" si="215"/>
        <v>0</v>
      </c>
      <c r="DC107" s="17">
        <f t="shared" si="247"/>
        <v>0</v>
      </c>
      <c r="DD107" s="17">
        <f t="shared" si="216"/>
        <v>0</v>
      </c>
      <c r="DE107" s="17" t="str">
        <f t="shared" si="217"/>
        <v/>
      </c>
      <c r="DF107" s="17" t="str">
        <f t="shared" si="218"/>
        <v/>
      </c>
    </row>
    <row r="108" spans="2:110" s="17" customFormat="1">
      <c r="B108" s="35"/>
      <c r="C108" s="35"/>
      <c r="D108" s="36"/>
      <c r="E108" s="35"/>
      <c r="F108" s="35"/>
      <c r="G108" s="35"/>
      <c r="H108" s="35"/>
      <c r="I108" s="35"/>
      <c r="J108" s="59"/>
      <c r="Z108" s="172" t="str">
        <f t="shared" si="170"/>
        <v/>
      </c>
      <c r="AB108" s="47" t="s">
        <v>287</v>
      </c>
      <c r="AC108" s="52" t="str">
        <f t="shared" si="246"/>
        <v/>
      </c>
      <c r="AD108" s="52">
        <f t="shared" si="231"/>
        <v>0</v>
      </c>
      <c r="AE108" s="52">
        <f t="shared" si="219"/>
        <v>0</v>
      </c>
      <c r="AF108" s="61" t="str">
        <f t="shared" si="171"/>
        <v/>
      </c>
      <c r="AG108" s="52">
        <f t="shared" si="172"/>
        <v>0</v>
      </c>
      <c r="AH108" s="52">
        <f t="shared" si="173"/>
        <v>0</v>
      </c>
      <c r="AI108" s="52" t="str">
        <f t="shared" si="174"/>
        <v/>
      </c>
      <c r="AJ108" s="61" t="str">
        <f t="shared" si="175"/>
        <v/>
      </c>
      <c r="AK108" s="95" t="str">
        <f t="shared" si="176"/>
        <v/>
      </c>
      <c r="AL108" s="61" t="str">
        <f t="shared" si="177"/>
        <v>if () {$("#adv_").html("Required");$("#").css({"background":"yellow"});} else {$("#adv_").html("");$("#").css({"background":"white"});}</v>
      </c>
      <c r="AM108" s="61" t="str">
        <f t="shared" si="178"/>
        <v>if (=="") {$("#adv_").html("Required");$("#adv_").css({"background":"yellow"});} else {$("#adv_").html("");}</v>
      </c>
      <c r="AN108" s="61" t="str">
        <f t="shared" si="242"/>
        <v>if (=="") {$("#adv_").html("Required");$("#").css({"background":"yellow"});} else {$("#adv_").html("");$("#").css({"background":"white"});}</v>
      </c>
      <c r="AO108" s="50" t="str">
        <f t="shared" si="179"/>
        <v/>
      </c>
      <c r="AP108" s="61" t="str">
        <f t="shared" si="180"/>
        <v>=$("#").val();</v>
      </c>
      <c r="AQ108" s="61" t="str">
        <f t="shared" si="181"/>
        <v/>
      </c>
      <c r="AR108" s="50" t="str">
        <f t="shared" si="182"/>
        <v>&lt;input type="checkbox" id="" name="" value="1" /&gt;</v>
      </c>
      <c r="AS108" s="61" t="str">
        <f t="shared" si="183"/>
        <v>=document.getElementById("").checked;</v>
      </c>
      <c r="AT108" s="102" t="str">
        <f t="shared" si="184"/>
        <v>if (isset($_GET[''])) {$=($_GET['']);}else $='';</v>
      </c>
      <c r="AU108" s="52" t="str">
        <f t="shared" si="185"/>
        <v/>
      </c>
      <c r="AV108" s="52" t="str">
        <f t="shared" si="224"/>
        <v>&lt;select size="1" name="" id=""&gt;&lt;option value=""&gt;</v>
      </c>
      <c r="AW108" s="52" t="str">
        <f t="shared" si="186"/>
        <v>&lt;option value=""&gt;&lt;/option&gt;</v>
      </c>
      <c r="AX108" s="145" t="str">
        <f t="shared" si="187"/>
        <v/>
      </c>
      <c r="AY108" s="102" t="str">
        <f>""</f>
        <v/>
      </c>
      <c r="AZ108" s="102"/>
      <c r="BA108" s="113">
        <f t="shared" si="188"/>
        <v>0</v>
      </c>
      <c r="BB108" s="103" t="str">
        <f t="shared" si="189"/>
        <v>0:</v>
      </c>
      <c r="BC108" s="50" t="str">
        <f t="shared" si="190"/>
        <v>0:&lt;span id="adv_0"&gt;&lt;/span&gt;&lt;br/&gt;&lt;input type="radio" name="0" id="" value="" /&gt;</v>
      </c>
      <c r="BD108" s="52" t="str">
        <f t="shared" si="191"/>
        <v>else if (document.getElementById("</v>
      </c>
      <c r="BE108" s="61" t="str">
        <f t="shared" si="192"/>
        <v>else if (document.getElementById("").checked==true) {0="";}</v>
      </c>
      <c r="BF108" s="61" t="str">
        <f t="shared" si="193"/>
        <v/>
      </c>
      <c r="BG108" s="61" t="str">
        <f t="shared" si="194"/>
        <v>0:0</v>
      </c>
      <c r="BH108" s="102" t="str">
        <f t="shared" si="195"/>
        <v>if (isset($_GET['0'])) {$0=($_GET['0']);}else $0='';</v>
      </c>
      <c r="BI108" s="105" t="str">
        <f t="shared" si="196"/>
        <v>&lt;br/&gt;&lt;textarea rows="2" cols="80" id=""&gt;&lt;/textarea&gt;&lt;br/&gt;</v>
      </c>
      <c r="BJ108" s="107" t="str">
        <f t="shared" si="197"/>
        <v>&lt;input type="text"  size="7"  id="" class="datepicker"/&gt;</v>
      </c>
      <c r="BK108" s="107" t="str">
        <f t="shared" si="198"/>
        <v>&lt;h2 id=""&gt;&lt;/h2&gt;</v>
      </c>
      <c r="BL108" s="109" t="str">
        <f t="shared" si="232"/>
        <v/>
      </c>
      <c r="BM108" s="61" t="str">
        <f t="shared" si="233"/>
        <v/>
      </c>
      <c r="BN108" s="52">
        <f t="shared" si="220"/>
        <v>0</v>
      </c>
      <c r="BO108" s="61" t="str">
        <f t="shared" si="234"/>
        <v/>
      </c>
      <c r="BP108" s="102" t="str">
        <f t="shared" si="235"/>
        <v/>
      </c>
      <c r="BQ108" s="105" t="str">
        <f t="shared" si="236"/>
        <v/>
      </c>
      <c r="BR108" s="52" t="str">
        <f t="shared" si="199"/>
        <v/>
      </c>
      <c r="BS108" s="52">
        <f t="shared" si="200"/>
        <v>0</v>
      </c>
      <c r="BT108" s="52">
        <f t="shared" si="221"/>
        <v>0</v>
      </c>
      <c r="BU108" s="52" t="str">
        <f t="shared" si="201"/>
        <v/>
      </c>
      <c r="BV108" s="52" t="str">
        <f t="shared" si="202"/>
        <v/>
      </c>
      <c r="BW108" s="52" t="str">
        <f t="shared" si="222"/>
        <v/>
      </c>
      <c r="BX108" s="113" t="str">
        <f t="shared" si="237"/>
        <v/>
      </c>
      <c r="BY108" s="52" t="str">
        <f t="shared" si="203"/>
        <v/>
      </c>
      <c r="BZ108" s="52" t="str">
        <f t="shared" si="204"/>
        <v/>
      </c>
      <c r="CA108" s="52" t="str">
        <f t="shared" si="238"/>
        <v/>
      </c>
      <c r="CB108" s="52" t="str">
        <f t="shared" si="239"/>
        <v/>
      </c>
      <c r="CC108" s="52" t="str">
        <f t="shared" si="205"/>
        <v/>
      </c>
      <c r="CD108" s="52" t="str">
        <f t="shared" si="206"/>
        <v/>
      </c>
      <c r="CE108" s="102" t="str">
        <f t="shared" si="240"/>
        <v/>
      </c>
      <c r="CF108" s="116" t="str">
        <f t="shared" si="207"/>
        <v/>
      </c>
      <c r="CG108" s="61" t="str">
        <f t="shared" si="241"/>
        <v/>
      </c>
      <c r="CH108" s="52" t="str">
        <f t="shared" si="243"/>
        <v/>
      </c>
      <c r="CI108" s="52" t="str">
        <f t="shared" si="244"/>
        <v/>
      </c>
      <c r="CJ108" s="52" t="str">
        <f t="shared" si="208"/>
        <v/>
      </c>
      <c r="CK108" s="52" t="str">
        <f t="shared" si="209"/>
        <v/>
      </c>
      <c r="CL108" s="52" t="str">
        <f t="shared" si="210"/>
        <v/>
      </c>
      <c r="CM108" s="102" t="str">
        <f t="shared" si="211"/>
        <v/>
      </c>
      <c r="CN108" s="116" t="str">
        <f t="shared" si="212"/>
        <v/>
      </c>
      <c r="CO108" s="61">
        <f t="shared" si="223"/>
        <v>0</v>
      </c>
      <c r="CP108" s="61" t="str">
        <f t="shared" ref="CP108:CP113" si="248">IF(I108="si",$G$7&amp;$D$6&amp;C107&amp;$P$10&amp;C108&amp;$P$11&amp;C108&amp;$P$9&amp;$P$12&amp;C108&amp;$P$9&amp;"=0;","")</f>
        <v/>
      </c>
      <c r="CQ108" s="61" t="str">
        <f t="shared" si="225"/>
        <v/>
      </c>
      <c r="CR108" s="61" t="str">
        <f t="shared" si="226"/>
        <v/>
      </c>
      <c r="CS108" s="105" t="str">
        <f t="shared" si="227"/>
        <v/>
      </c>
      <c r="CT108" s="105" t="str">
        <f t="shared" si="228"/>
        <v/>
      </c>
      <c r="CU108" s="61" t="str">
        <f t="shared" si="229"/>
        <v/>
      </c>
      <c r="CV108" s="61" t="str">
        <f t="shared" si="230"/>
        <v/>
      </c>
      <c r="CW108" s="61" t="str">
        <f t="shared" si="213"/>
        <v/>
      </c>
      <c r="CX108" s="61" t="str">
        <f t="shared" si="245"/>
        <v/>
      </c>
      <c r="CY108" s="61" t="str">
        <f t="shared" ref="CY108:CY113" si="249">+IF(CO108=2,$C$5&amp;C108&amp;$Q$4&amp;CW108&amp;$D$3&amp;$C$5&amp;CV108&amp;$P$9&amp;$Q$5&amp;CV108&amp;$P$9&amp;$H$4&amp;"}})","")</f>
        <v/>
      </c>
      <c r="CZ108" s="102" t="str">
        <f t="shared" si="214"/>
        <v/>
      </c>
      <c r="DA108" s="17">
        <f t="shared" si="215"/>
        <v>0</v>
      </c>
      <c r="DC108" s="17">
        <f t="shared" si="247"/>
        <v>0</v>
      </c>
      <c r="DD108" s="17">
        <f t="shared" si="216"/>
        <v>0</v>
      </c>
      <c r="DE108" s="17" t="str">
        <f t="shared" si="217"/>
        <v/>
      </c>
      <c r="DF108" s="17" t="str">
        <f t="shared" si="218"/>
        <v/>
      </c>
    </row>
    <row r="109" spans="2:110" s="17" customFormat="1">
      <c r="B109" s="35"/>
      <c r="C109" s="35"/>
      <c r="D109" s="36"/>
      <c r="E109" s="35"/>
      <c r="F109" s="35"/>
      <c r="G109" s="35"/>
      <c r="H109" s="35"/>
      <c r="I109" s="35"/>
      <c r="J109" s="59"/>
      <c r="Z109" s="172" t="str">
        <f t="shared" si="170"/>
        <v/>
      </c>
      <c r="AB109" s="47" t="s">
        <v>288</v>
      </c>
      <c r="AC109" s="52" t="str">
        <f t="shared" si="246"/>
        <v/>
      </c>
      <c r="AD109" s="52">
        <f t="shared" si="231"/>
        <v>0</v>
      </c>
      <c r="AE109" s="52">
        <f t="shared" si="219"/>
        <v>0</v>
      </c>
      <c r="AF109" s="61" t="str">
        <f t="shared" si="171"/>
        <v/>
      </c>
      <c r="AG109" s="52">
        <f t="shared" si="172"/>
        <v>0</v>
      </c>
      <c r="AH109" s="52">
        <f t="shared" si="173"/>
        <v>0</v>
      </c>
      <c r="AI109" s="52" t="str">
        <f t="shared" si="174"/>
        <v/>
      </c>
      <c r="AJ109" s="61" t="str">
        <f t="shared" si="175"/>
        <v/>
      </c>
      <c r="AK109" s="95" t="str">
        <f t="shared" si="176"/>
        <v/>
      </c>
      <c r="AL109" s="61" t="str">
        <f t="shared" si="177"/>
        <v>if () {$("#adv_").html("Required");$("#").css({"background":"yellow"});} else {$("#adv_").html("");$("#").css({"background":"white"});}</v>
      </c>
      <c r="AM109" s="61" t="str">
        <f t="shared" si="178"/>
        <v>if (=="") {$("#adv_").html("Required");$("#adv_").css({"background":"yellow"});} else {$("#adv_").html("");}</v>
      </c>
      <c r="AN109" s="61" t="str">
        <f t="shared" si="242"/>
        <v>if (=="") {$("#adv_").html("Required");$("#").css({"background":"yellow"});} else {$("#adv_").html("");$("#").css({"background":"white"});}</v>
      </c>
      <c r="AO109" s="50" t="str">
        <f t="shared" si="179"/>
        <v/>
      </c>
      <c r="AP109" s="61" t="str">
        <f t="shared" si="180"/>
        <v>=$("#").val();</v>
      </c>
      <c r="AQ109" s="61" t="str">
        <f t="shared" si="181"/>
        <v/>
      </c>
      <c r="AR109" s="50" t="str">
        <f t="shared" si="182"/>
        <v>&lt;input type="checkbox" id="" name="" value="1" /&gt;</v>
      </c>
      <c r="AS109" s="61" t="str">
        <f t="shared" si="183"/>
        <v>=document.getElementById("").checked;</v>
      </c>
      <c r="AT109" s="102" t="str">
        <f t="shared" si="184"/>
        <v>if (isset($_GET[''])) {$=($_GET['']);}else $='';</v>
      </c>
      <c r="AU109" s="52" t="str">
        <f t="shared" si="185"/>
        <v/>
      </c>
      <c r="AV109" s="52" t="str">
        <f t="shared" si="224"/>
        <v>&lt;select size="1" name="" id=""&gt;&lt;option value=""&gt;</v>
      </c>
      <c r="AW109" s="52" t="str">
        <f t="shared" si="186"/>
        <v>&lt;option value=""&gt;&lt;/option&gt;</v>
      </c>
      <c r="AX109" s="145" t="str">
        <f t="shared" si="187"/>
        <v/>
      </c>
      <c r="AY109" s="102" t="str">
        <f>""</f>
        <v/>
      </c>
      <c r="AZ109" s="102"/>
      <c r="BA109" s="113">
        <f t="shared" si="188"/>
        <v>0</v>
      </c>
      <c r="BB109" s="103" t="str">
        <f t="shared" si="189"/>
        <v>0:</v>
      </c>
      <c r="BC109" s="50" t="str">
        <f t="shared" si="190"/>
        <v>0:&lt;span id="adv_0"&gt;&lt;/span&gt;&lt;br/&gt;&lt;input type="radio" name="0" id="" value="" /&gt;</v>
      </c>
      <c r="BD109" s="52" t="str">
        <f t="shared" si="191"/>
        <v>else if (document.getElementById("</v>
      </c>
      <c r="BE109" s="61" t="str">
        <f t="shared" si="192"/>
        <v>else if (document.getElementById("").checked==true) {0="";}</v>
      </c>
      <c r="BF109" s="61" t="str">
        <f t="shared" si="193"/>
        <v/>
      </c>
      <c r="BG109" s="61" t="str">
        <f t="shared" si="194"/>
        <v>0:0</v>
      </c>
      <c r="BH109" s="102" t="str">
        <f t="shared" si="195"/>
        <v>if (isset($_GET['0'])) {$0=($_GET['0']);}else $0='';</v>
      </c>
      <c r="BI109" s="105" t="str">
        <f t="shared" si="196"/>
        <v>&lt;br/&gt;&lt;textarea rows="2" cols="80" id=""&gt;&lt;/textarea&gt;&lt;br/&gt;</v>
      </c>
      <c r="BJ109" s="107" t="str">
        <f t="shared" si="197"/>
        <v>&lt;input type="text"  size="7"  id="" class="datepicker"/&gt;</v>
      </c>
      <c r="BK109" s="107" t="str">
        <f t="shared" si="198"/>
        <v>&lt;h2 id=""&gt;&lt;/h2&gt;</v>
      </c>
      <c r="BL109" s="109" t="str">
        <f t="shared" si="232"/>
        <v/>
      </c>
      <c r="BM109" s="61" t="str">
        <f t="shared" si="233"/>
        <v/>
      </c>
      <c r="BN109" s="52">
        <f t="shared" si="220"/>
        <v>0</v>
      </c>
      <c r="BO109" s="61" t="str">
        <f t="shared" si="234"/>
        <v/>
      </c>
      <c r="BP109" s="102" t="str">
        <f t="shared" si="235"/>
        <v/>
      </c>
      <c r="BQ109" s="105" t="str">
        <f t="shared" si="236"/>
        <v/>
      </c>
      <c r="BR109" s="52" t="str">
        <f t="shared" si="199"/>
        <v/>
      </c>
      <c r="BS109" s="52">
        <f t="shared" si="200"/>
        <v>0</v>
      </c>
      <c r="BT109" s="52">
        <f t="shared" si="221"/>
        <v>0</v>
      </c>
      <c r="BU109" s="52" t="str">
        <f t="shared" si="201"/>
        <v/>
      </c>
      <c r="BV109" s="52" t="str">
        <f t="shared" si="202"/>
        <v/>
      </c>
      <c r="BW109" s="52" t="str">
        <f t="shared" si="222"/>
        <v/>
      </c>
      <c r="BX109" s="113" t="str">
        <f t="shared" si="237"/>
        <v/>
      </c>
      <c r="BY109" s="52" t="str">
        <f t="shared" si="203"/>
        <v/>
      </c>
      <c r="BZ109" s="52" t="str">
        <f t="shared" si="204"/>
        <v/>
      </c>
      <c r="CA109" s="52" t="str">
        <f t="shared" si="238"/>
        <v/>
      </c>
      <c r="CB109" s="52" t="str">
        <f t="shared" si="239"/>
        <v/>
      </c>
      <c r="CC109" s="52" t="str">
        <f t="shared" si="205"/>
        <v/>
      </c>
      <c r="CD109" s="52" t="str">
        <f t="shared" si="206"/>
        <v/>
      </c>
      <c r="CE109" s="102" t="str">
        <f t="shared" si="240"/>
        <v/>
      </c>
      <c r="CF109" s="116" t="str">
        <f t="shared" si="207"/>
        <v/>
      </c>
      <c r="CG109" s="61" t="str">
        <f t="shared" si="241"/>
        <v/>
      </c>
      <c r="CH109" s="52" t="str">
        <f t="shared" si="243"/>
        <v/>
      </c>
      <c r="CI109" s="52" t="str">
        <f t="shared" si="244"/>
        <v/>
      </c>
      <c r="CJ109" s="52" t="str">
        <f t="shared" si="208"/>
        <v/>
      </c>
      <c r="CK109" s="52" t="str">
        <f t="shared" si="209"/>
        <v/>
      </c>
      <c r="CL109" s="52" t="str">
        <f t="shared" si="210"/>
        <v/>
      </c>
      <c r="CM109" s="102" t="str">
        <f t="shared" si="211"/>
        <v/>
      </c>
      <c r="CN109" s="116" t="str">
        <f t="shared" si="212"/>
        <v/>
      </c>
      <c r="CO109" s="61">
        <f t="shared" si="223"/>
        <v>0</v>
      </c>
      <c r="CP109" s="61" t="str">
        <f t="shared" si="248"/>
        <v/>
      </c>
      <c r="CQ109" s="61" t="str">
        <f t="shared" si="225"/>
        <v/>
      </c>
      <c r="CR109" s="61" t="str">
        <f t="shared" si="226"/>
        <v/>
      </c>
      <c r="CS109" s="105" t="str">
        <f t="shared" si="227"/>
        <v/>
      </c>
      <c r="CT109" s="105" t="str">
        <f t="shared" si="228"/>
        <v/>
      </c>
      <c r="CU109" s="61" t="str">
        <f t="shared" si="229"/>
        <v/>
      </c>
      <c r="CV109" s="61" t="str">
        <f t="shared" si="230"/>
        <v/>
      </c>
      <c r="CW109" s="61" t="str">
        <f t="shared" si="213"/>
        <v/>
      </c>
      <c r="CX109" s="61" t="str">
        <f t="shared" si="245"/>
        <v/>
      </c>
      <c r="CY109" s="61" t="str">
        <f t="shared" si="249"/>
        <v/>
      </c>
      <c r="CZ109" s="102" t="str">
        <f t="shared" si="214"/>
        <v/>
      </c>
      <c r="DA109" s="17">
        <f t="shared" si="215"/>
        <v>0</v>
      </c>
      <c r="DC109" s="17">
        <f t="shared" si="247"/>
        <v>0</v>
      </c>
      <c r="DD109" s="17">
        <f t="shared" si="216"/>
        <v>0</v>
      </c>
      <c r="DE109" s="17" t="str">
        <f t="shared" si="217"/>
        <v/>
      </c>
      <c r="DF109" s="17" t="str">
        <f t="shared" si="218"/>
        <v/>
      </c>
    </row>
    <row r="110" spans="2:110" s="17" customFormat="1">
      <c r="B110" s="35"/>
      <c r="C110" s="35"/>
      <c r="D110" s="36"/>
      <c r="E110" s="35"/>
      <c r="F110" s="35"/>
      <c r="G110" s="35"/>
      <c r="H110" s="35"/>
      <c r="I110" s="35"/>
      <c r="J110" s="59"/>
      <c r="Z110" s="172" t="str">
        <f t="shared" si="170"/>
        <v/>
      </c>
      <c r="AB110" s="47" t="s">
        <v>289</v>
      </c>
      <c r="AC110" s="52" t="str">
        <f t="shared" si="246"/>
        <v/>
      </c>
      <c r="AD110" s="52">
        <f t="shared" si="231"/>
        <v>0</v>
      </c>
      <c r="AE110" s="52">
        <f t="shared" si="219"/>
        <v>0</v>
      </c>
      <c r="AF110" s="61" t="str">
        <f t="shared" si="171"/>
        <v/>
      </c>
      <c r="AG110" s="52">
        <f t="shared" si="172"/>
        <v>0</v>
      </c>
      <c r="AH110" s="52">
        <f t="shared" si="173"/>
        <v>0</v>
      </c>
      <c r="AI110" s="52" t="str">
        <f t="shared" si="174"/>
        <v/>
      </c>
      <c r="AJ110" s="61" t="str">
        <f t="shared" si="175"/>
        <v/>
      </c>
      <c r="AK110" s="95" t="str">
        <f t="shared" si="176"/>
        <v/>
      </c>
      <c r="AL110" s="61" t="str">
        <f t="shared" si="177"/>
        <v>if () {$("#adv_").html("Required");$("#").css({"background":"yellow"});} else {$("#adv_").html("");$("#").css({"background":"white"});}</v>
      </c>
      <c r="AM110" s="61" t="str">
        <f t="shared" si="178"/>
        <v>if (=="") {$("#adv_").html("Required");$("#adv_").css({"background":"yellow"});} else {$("#adv_").html("");}</v>
      </c>
      <c r="AN110" s="61" t="str">
        <f t="shared" si="242"/>
        <v>if (=="") {$("#adv_").html("Required");$("#").css({"background":"yellow"});} else {$("#adv_").html("");$("#").css({"background":"white"});}</v>
      </c>
      <c r="AO110" s="50" t="str">
        <f t="shared" si="179"/>
        <v/>
      </c>
      <c r="AP110" s="61" t="str">
        <f t="shared" si="180"/>
        <v>=$("#").val();</v>
      </c>
      <c r="AQ110" s="61" t="str">
        <f t="shared" si="181"/>
        <v/>
      </c>
      <c r="AR110" s="50" t="str">
        <f t="shared" si="182"/>
        <v>&lt;input type="checkbox" id="" name="" value="1" /&gt;</v>
      </c>
      <c r="AS110" s="61" t="str">
        <f t="shared" si="183"/>
        <v>=document.getElementById("").checked;</v>
      </c>
      <c r="AT110" s="102" t="str">
        <f t="shared" si="184"/>
        <v>if (isset($_GET[''])) {$=($_GET['']);}else $='';</v>
      </c>
      <c r="AU110" s="52" t="str">
        <f t="shared" si="185"/>
        <v/>
      </c>
      <c r="AV110" s="52" t="str">
        <f t="shared" si="224"/>
        <v>&lt;select size="1" name="" id=""&gt;&lt;option value=""&gt;</v>
      </c>
      <c r="AW110" s="52" t="str">
        <f t="shared" si="186"/>
        <v>&lt;option value=""&gt;&lt;/option&gt;</v>
      </c>
      <c r="AX110" s="145" t="str">
        <f t="shared" si="187"/>
        <v/>
      </c>
      <c r="AY110" s="102" t="str">
        <f>""</f>
        <v/>
      </c>
      <c r="AZ110" s="102"/>
      <c r="BA110" s="113">
        <f t="shared" si="188"/>
        <v>0</v>
      </c>
      <c r="BB110" s="103" t="str">
        <f t="shared" si="189"/>
        <v>0:</v>
      </c>
      <c r="BC110" s="50" t="str">
        <f t="shared" si="190"/>
        <v>0:&lt;span id="adv_0"&gt;&lt;/span&gt;&lt;br/&gt;&lt;input type="radio" name="0" id="" value="" /&gt;</v>
      </c>
      <c r="BD110" s="52" t="str">
        <f t="shared" si="191"/>
        <v>else if (document.getElementById("</v>
      </c>
      <c r="BE110" s="61" t="str">
        <f t="shared" si="192"/>
        <v>else if (document.getElementById("").checked==true) {0="";}</v>
      </c>
      <c r="BF110" s="61" t="str">
        <f t="shared" si="193"/>
        <v/>
      </c>
      <c r="BG110" s="61" t="str">
        <f t="shared" si="194"/>
        <v>0:0</v>
      </c>
      <c r="BH110" s="102" t="str">
        <f t="shared" si="195"/>
        <v>if (isset($_GET['0'])) {$0=($_GET['0']);}else $0='';</v>
      </c>
      <c r="BI110" s="105" t="str">
        <f t="shared" si="196"/>
        <v>&lt;br/&gt;&lt;textarea rows="2" cols="80" id=""&gt;&lt;/textarea&gt;&lt;br/&gt;</v>
      </c>
      <c r="BJ110" s="107" t="str">
        <f t="shared" si="197"/>
        <v>&lt;input type="text"  size="7"  id="" class="datepicker"/&gt;</v>
      </c>
      <c r="BK110" s="107" t="str">
        <f t="shared" si="198"/>
        <v>&lt;h2 id=""&gt;&lt;/h2&gt;</v>
      </c>
      <c r="BL110" s="109" t="str">
        <f t="shared" si="232"/>
        <v/>
      </c>
      <c r="BM110" s="61" t="str">
        <f t="shared" si="233"/>
        <v/>
      </c>
      <c r="BN110" s="52">
        <f t="shared" si="220"/>
        <v>0</v>
      </c>
      <c r="BO110" s="61" t="str">
        <f t="shared" si="234"/>
        <v/>
      </c>
      <c r="BP110" s="102" t="str">
        <f t="shared" si="235"/>
        <v/>
      </c>
      <c r="BQ110" s="105" t="str">
        <f t="shared" si="236"/>
        <v/>
      </c>
      <c r="BR110" s="52" t="str">
        <f t="shared" si="199"/>
        <v/>
      </c>
      <c r="BS110" s="52">
        <f t="shared" si="200"/>
        <v>0</v>
      </c>
      <c r="BT110" s="52">
        <f t="shared" si="221"/>
        <v>0</v>
      </c>
      <c r="BU110" s="52" t="str">
        <f t="shared" si="201"/>
        <v/>
      </c>
      <c r="BV110" s="52" t="str">
        <f t="shared" si="202"/>
        <v/>
      </c>
      <c r="BW110" s="52" t="str">
        <f t="shared" si="222"/>
        <v/>
      </c>
      <c r="BX110" s="113" t="str">
        <f t="shared" si="237"/>
        <v/>
      </c>
      <c r="BY110" s="52" t="str">
        <f t="shared" si="203"/>
        <v/>
      </c>
      <c r="BZ110" s="52" t="str">
        <f t="shared" si="204"/>
        <v/>
      </c>
      <c r="CA110" s="52" t="str">
        <f t="shared" si="238"/>
        <v/>
      </c>
      <c r="CB110" s="52" t="str">
        <f t="shared" si="239"/>
        <v/>
      </c>
      <c r="CC110" s="52" t="str">
        <f t="shared" si="205"/>
        <v/>
      </c>
      <c r="CD110" s="52" t="str">
        <f t="shared" si="206"/>
        <v/>
      </c>
      <c r="CE110" s="102" t="str">
        <f t="shared" si="240"/>
        <v/>
      </c>
      <c r="CF110" s="116" t="str">
        <f t="shared" si="207"/>
        <v/>
      </c>
      <c r="CG110" s="61" t="str">
        <f t="shared" si="241"/>
        <v/>
      </c>
      <c r="CH110" s="52" t="str">
        <f t="shared" si="243"/>
        <v/>
      </c>
      <c r="CI110" s="52" t="str">
        <f t="shared" si="244"/>
        <v/>
      </c>
      <c r="CJ110" s="52" t="str">
        <f t="shared" si="208"/>
        <v/>
      </c>
      <c r="CK110" s="52" t="str">
        <f t="shared" si="209"/>
        <v/>
      </c>
      <c r="CL110" s="52" t="str">
        <f t="shared" si="210"/>
        <v/>
      </c>
      <c r="CM110" s="102" t="str">
        <f t="shared" si="211"/>
        <v/>
      </c>
      <c r="CN110" s="116" t="str">
        <f t="shared" si="212"/>
        <v/>
      </c>
      <c r="CO110" s="61">
        <f t="shared" si="223"/>
        <v>0</v>
      </c>
      <c r="CP110" s="61" t="str">
        <f t="shared" si="248"/>
        <v/>
      </c>
      <c r="CQ110" s="61" t="str">
        <f t="shared" si="225"/>
        <v/>
      </c>
      <c r="CR110" s="61" t="str">
        <f t="shared" si="226"/>
        <v/>
      </c>
      <c r="CS110" s="105" t="str">
        <f t="shared" si="227"/>
        <v/>
      </c>
      <c r="CT110" s="105" t="str">
        <f t="shared" si="228"/>
        <v/>
      </c>
      <c r="CU110" s="61" t="str">
        <f t="shared" si="229"/>
        <v/>
      </c>
      <c r="CV110" s="61" t="str">
        <f t="shared" si="230"/>
        <v/>
      </c>
      <c r="CW110" s="61" t="str">
        <f t="shared" si="213"/>
        <v/>
      </c>
      <c r="CX110" s="61" t="str">
        <f t="shared" si="245"/>
        <v/>
      </c>
      <c r="CY110" s="61" t="str">
        <f t="shared" si="249"/>
        <v/>
      </c>
      <c r="CZ110" s="102" t="str">
        <f t="shared" si="214"/>
        <v/>
      </c>
      <c r="DA110" s="17">
        <f t="shared" si="215"/>
        <v>0</v>
      </c>
      <c r="DC110" s="17">
        <f t="shared" si="247"/>
        <v>0</v>
      </c>
      <c r="DD110" s="17">
        <f t="shared" si="216"/>
        <v>0</v>
      </c>
      <c r="DE110" s="17" t="str">
        <f t="shared" si="217"/>
        <v/>
      </c>
      <c r="DF110" s="17" t="str">
        <f t="shared" si="218"/>
        <v/>
      </c>
    </row>
    <row r="111" spans="2:110" s="17" customFormat="1">
      <c r="B111" s="35"/>
      <c r="C111" s="35"/>
      <c r="D111" s="36"/>
      <c r="E111" s="35"/>
      <c r="F111" s="35"/>
      <c r="G111" s="35"/>
      <c r="H111" s="35"/>
      <c r="I111" s="35"/>
      <c r="J111" s="59"/>
      <c r="Z111" s="172" t="str">
        <f t="shared" si="170"/>
        <v/>
      </c>
      <c r="AB111" s="47" t="s">
        <v>290</v>
      </c>
      <c r="AC111" s="52" t="str">
        <f t="shared" si="246"/>
        <v/>
      </c>
      <c r="AD111" s="52">
        <f t="shared" si="231"/>
        <v>0</v>
      </c>
      <c r="AE111" s="52">
        <f t="shared" si="219"/>
        <v>0</v>
      </c>
      <c r="AF111" s="61" t="str">
        <f t="shared" ref="AF111:AF114" si="250">+IF(AD111=0,"",IF(AE111=1,"if (","else if (")&amp;C111&amp;$I$5&amp;C111&amp;$I$6)</f>
        <v/>
      </c>
      <c r="AG111" s="52">
        <f t="shared" si="172"/>
        <v>0</v>
      </c>
      <c r="AH111" s="52">
        <f t="shared" ref="AH111:AH114" si="251">+AG111+AH110</f>
        <v>0</v>
      </c>
      <c r="AI111" s="52" t="str">
        <f t="shared" ref="AI111:AI114" si="252">IF(AH110=0,"",IF(AH111=AH110,"","||"))</f>
        <v/>
      </c>
      <c r="AJ111" s="61" t="str">
        <f t="shared" ref="AJ111:AJ114" si="253">IF(AND($B$3&lt;&gt;"",E111&lt;&gt;"title"),AI111&amp;AC111,"")</f>
        <v/>
      </c>
      <c r="AK111" s="95" t="str">
        <f t="shared" si="176"/>
        <v/>
      </c>
      <c r="AL111" s="61" t="str">
        <f t="shared" si="177"/>
        <v>if () {$("#adv_").html("Required");$("#").css({"background":"yellow"});} else {$("#adv_").html("");$("#").css({"background":"white"});}</v>
      </c>
      <c r="AM111" s="61" t="str">
        <f t="shared" si="178"/>
        <v>if (=="") {$("#adv_").html("Required");$("#adv_").css({"background":"yellow"});} else {$("#adv_").html("");}</v>
      </c>
      <c r="AN111" s="61" t="str">
        <f t="shared" si="242"/>
        <v>if (=="") {$("#adv_").html("Required");$("#").css({"background":"yellow"});} else {$("#adv_").html("");$("#").css({"background":"white"});}</v>
      </c>
      <c r="AO111" s="50" t="str">
        <f t="shared" si="179"/>
        <v/>
      </c>
      <c r="AP111" s="61" t="str">
        <f t="shared" si="180"/>
        <v>=$("#").val();</v>
      </c>
      <c r="AQ111" s="61" t="str">
        <f t="shared" si="181"/>
        <v/>
      </c>
      <c r="AR111" s="50" t="str">
        <f t="shared" si="182"/>
        <v>&lt;input type="checkbox" id="" name="" value="1" /&gt;</v>
      </c>
      <c r="AS111" s="61" t="str">
        <f t="shared" si="183"/>
        <v>=document.getElementById("").checked;</v>
      </c>
      <c r="AT111" s="102" t="str">
        <f t="shared" si="184"/>
        <v>if (isset($_GET[''])) {$=($_GET['']);}else $='';</v>
      </c>
      <c r="AU111" s="52" t="str">
        <f t="shared" si="185"/>
        <v/>
      </c>
      <c r="AV111" s="52" t="str">
        <f t="shared" si="224"/>
        <v>&lt;select size="1" name="" id=""&gt;&lt;option value=""&gt;</v>
      </c>
      <c r="AW111" s="52" t="str">
        <f t="shared" si="186"/>
        <v>&lt;option value=""&gt;&lt;/option&gt;</v>
      </c>
      <c r="AX111" s="145" t="str">
        <f t="shared" ref="AX111:AX114" si="254">IF(AU111="","",IF(AND(AU111&lt;&gt;AU110,AU111&lt;&gt;""),AV111,IF(AU111=AU112,AW111,AW111&amp;$K$12)))</f>
        <v/>
      </c>
      <c r="AY111" s="102" t="str">
        <f>""</f>
        <v/>
      </c>
      <c r="AZ111" s="102"/>
      <c r="BA111" s="113">
        <f t="shared" si="188"/>
        <v>0</v>
      </c>
      <c r="BB111" s="103" t="str">
        <f t="shared" ref="BB111:BB114" si="255">+IF(OR(AND(BA111=BA110,E111="radio"),AND(AU111=AU110,E111="selectlist")),"",BA111&amp;":")</f>
        <v>0:</v>
      </c>
      <c r="BC111" s="50" t="str">
        <f t="shared" ref="BC111:BC114" si="256">BB111&amp;IF(BB111="","",$C$6&amp;BA111&amp;$C$7&amp;"&lt;br/&gt;")&amp;C111&amp;$C$9&amp;BA111&amp;$C$11&amp;C111&amp;$C$12&amp;C111&amp;$D$1</f>
        <v>0:&lt;span id="adv_0"&gt;&lt;/span&gt;&lt;br/&gt;&lt;input type="radio" name="0" id="" value="" /&gt;</v>
      </c>
      <c r="BD111" s="52" t="str">
        <f t="shared" si="191"/>
        <v>else if (document.getElementById("</v>
      </c>
      <c r="BE111" s="61" t="str">
        <f t="shared" ref="BE111:BE114" si="257">BD111&amp;C111&amp;$D$3&amp;BA111&amp;"="&amp;$D$4&amp;C111&amp;$D$5&amp;IF(AND(BB111="",BB112&lt;&gt;""),"else "&amp;BA111&amp;"="&amp;$B$4&amp;";","")</f>
        <v>else if (document.getElementById("").checked==true) {0="";}</v>
      </c>
      <c r="BF111" s="61" t="str">
        <f t="shared" si="193"/>
        <v/>
      </c>
      <c r="BG111" s="61" t="str">
        <f t="shared" ref="BG111:BG114" si="258">IF(BB111="","",BF111&amp;BB111&amp;LEFT(BB111,LEN(BB111)-1))</f>
        <v>0:0</v>
      </c>
      <c r="BH111" s="102" t="str">
        <f t="shared" si="195"/>
        <v>if (isset($_GET['0'])) {$0=($_GET['0']);}else $0='';</v>
      </c>
      <c r="BI111" s="105" t="str">
        <f t="shared" si="196"/>
        <v>&lt;br/&gt;&lt;textarea rows="2" cols="80" id=""&gt;&lt;/textarea&gt;&lt;br/&gt;</v>
      </c>
      <c r="BJ111" s="107" t="str">
        <f t="shared" si="197"/>
        <v>&lt;input type="text"  size="7"  id="" class="datepicker"/&gt;</v>
      </c>
      <c r="BK111" s="107" t="str">
        <f t="shared" si="198"/>
        <v>&lt;h2 id=""&gt;&lt;/h2&gt;</v>
      </c>
      <c r="BL111" s="109" t="str">
        <f t="shared" si="232"/>
        <v/>
      </c>
      <c r="BM111" s="61" t="str">
        <f t="shared" si="233"/>
        <v/>
      </c>
      <c r="BN111" s="52">
        <f t="shared" si="220"/>
        <v>0</v>
      </c>
      <c r="BO111" s="61" t="str">
        <f t="shared" si="234"/>
        <v/>
      </c>
      <c r="BP111" s="102" t="str">
        <f t="shared" si="235"/>
        <v/>
      </c>
      <c r="BQ111" s="105" t="str">
        <f t="shared" si="236"/>
        <v/>
      </c>
      <c r="BR111" s="52" t="str">
        <f t="shared" si="199"/>
        <v/>
      </c>
      <c r="BS111" s="52">
        <f t="shared" si="200"/>
        <v>0</v>
      </c>
      <c r="BT111" s="52">
        <f t="shared" si="221"/>
        <v>0</v>
      </c>
      <c r="BU111" s="52" t="str">
        <f t="shared" ref="BU111:BU114" si="259">IF(BT110=0,"",IF(BT111=BT110,""," AND "))</f>
        <v/>
      </c>
      <c r="BV111" s="52" t="str">
        <f t="shared" ref="BV111:BV114" si="260">+IF(BU111=" AND ",$E$10,"")</f>
        <v/>
      </c>
      <c r="BW111" s="52" t="str">
        <f t="shared" si="222"/>
        <v/>
      </c>
      <c r="BX111" s="113" t="str">
        <f t="shared" si="237"/>
        <v/>
      </c>
      <c r="BY111" s="52" t="str">
        <f t="shared" ref="BY111:BY114" si="261">IF(BS111=0,"",IF(BX111="","",BU111&amp;BX111&amp;"='$"&amp;BX111&amp;"'"))</f>
        <v/>
      </c>
      <c r="BZ111" s="52" t="str">
        <f t="shared" si="204"/>
        <v/>
      </c>
      <c r="CA111" s="52" t="str">
        <f t="shared" si="238"/>
        <v/>
      </c>
      <c r="CB111" s="52" t="str">
        <f t="shared" si="239"/>
        <v/>
      </c>
      <c r="CC111" s="52" t="str">
        <f t="shared" si="205"/>
        <v/>
      </c>
      <c r="CD111" s="52" t="str">
        <f t="shared" ref="CD111:CD114" si="262">IF(C111="","",IF(OR(E111="texto",E111="bigtext"),CC111&amp;$S$12&amp;CC111&amp;");",""))</f>
        <v/>
      </c>
      <c r="CE111" s="102" t="str">
        <f t="shared" si="240"/>
        <v/>
      </c>
      <c r="CF111" s="116" t="str">
        <f t="shared" si="207"/>
        <v/>
      </c>
      <c r="CG111" s="61" t="str">
        <f t="shared" si="241"/>
        <v/>
      </c>
      <c r="CH111" s="52" t="str">
        <f t="shared" si="243"/>
        <v/>
      </c>
      <c r="CI111" s="52" t="str">
        <f t="shared" si="244"/>
        <v/>
      </c>
      <c r="CJ111" s="52" t="str">
        <f t="shared" ref="CJ111:CJ114" si="263">+CH111&amp;CI111</f>
        <v/>
      </c>
      <c r="CK111" s="52" t="str">
        <f t="shared" si="209"/>
        <v/>
      </c>
      <c r="CL111" s="52" t="str">
        <f t="shared" si="210"/>
        <v/>
      </c>
      <c r="CM111" s="102" t="str">
        <f t="shared" si="211"/>
        <v/>
      </c>
      <c r="CN111" s="116" t="str">
        <f t="shared" si="212"/>
        <v/>
      </c>
      <c r="CO111" s="61">
        <f t="shared" si="223"/>
        <v>0</v>
      </c>
      <c r="CP111" s="61" t="str">
        <f t="shared" si="248"/>
        <v/>
      </c>
      <c r="CQ111" s="61" t="str">
        <f t="shared" si="225"/>
        <v/>
      </c>
      <c r="CR111" s="61" t="str">
        <f t="shared" si="226"/>
        <v/>
      </c>
      <c r="CS111" s="105" t="str">
        <f t="shared" si="227"/>
        <v/>
      </c>
      <c r="CT111" s="105" t="str">
        <f t="shared" si="228"/>
        <v/>
      </c>
      <c r="CU111" s="61" t="str">
        <f t="shared" si="229"/>
        <v/>
      </c>
      <c r="CV111" s="61" t="str">
        <f t="shared" si="230"/>
        <v/>
      </c>
      <c r="CW111" s="61" t="str">
        <f t="shared" si="213"/>
        <v/>
      </c>
      <c r="CX111" s="61" t="str">
        <f t="shared" si="245"/>
        <v/>
      </c>
      <c r="CY111" s="61" t="str">
        <f t="shared" si="249"/>
        <v/>
      </c>
      <c r="CZ111" s="102" t="str">
        <f t="shared" si="214"/>
        <v/>
      </c>
      <c r="DA111" s="17">
        <f t="shared" si="215"/>
        <v>0</v>
      </c>
      <c r="DC111" s="17">
        <f t="shared" si="247"/>
        <v>0</v>
      </c>
      <c r="DD111" s="17">
        <f t="shared" si="216"/>
        <v>0</v>
      </c>
      <c r="DE111" s="17" t="str">
        <f t="shared" si="217"/>
        <v/>
      </c>
      <c r="DF111" s="17" t="str">
        <f t="shared" si="218"/>
        <v/>
      </c>
    </row>
    <row r="112" spans="2:110" s="17" customFormat="1">
      <c r="B112" s="35"/>
      <c r="C112" s="35"/>
      <c r="D112" s="36"/>
      <c r="E112" s="35"/>
      <c r="F112" s="35"/>
      <c r="G112" s="35"/>
      <c r="H112" s="35"/>
      <c r="I112" s="35"/>
      <c r="J112" s="59"/>
      <c r="Z112" s="172" t="str">
        <f t="shared" si="170"/>
        <v/>
      </c>
      <c r="AB112" s="47" t="s">
        <v>291</v>
      </c>
      <c r="AC112" s="52" t="str">
        <f t="shared" si="246"/>
        <v/>
      </c>
      <c r="AD112" s="52">
        <f t="shared" si="231"/>
        <v>0</v>
      </c>
      <c r="AE112" s="52">
        <f t="shared" ref="AE112:AE114" si="264">+AE111+AD112</f>
        <v>0</v>
      </c>
      <c r="AF112" s="61" t="str">
        <f t="shared" si="250"/>
        <v/>
      </c>
      <c r="AG112" s="52">
        <f t="shared" si="172"/>
        <v>0</v>
      </c>
      <c r="AH112" s="52">
        <f t="shared" si="251"/>
        <v>0</v>
      </c>
      <c r="AI112" s="52" t="str">
        <f t="shared" si="252"/>
        <v/>
      </c>
      <c r="AJ112" s="61" t="str">
        <f t="shared" si="253"/>
        <v/>
      </c>
      <c r="AK112" s="95" t="str">
        <f t="shared" si="176"/>
        <v/>
      </c>
      <c r="AL112" s="61" t="str">
        <f t="shared" si="177"/>
        <v>if () {$("#adv_").html("Required");$("#").css({"background":"yellow"});} else {$("#adv_").html("");$("#").css({"background":"white"});}</v>
      </c>
      <c r="AM112" s="61" t="str">
        <f t="shared" si="178"/>
        <v>if (=="") {$("#adv_").html("Required");$("#adv_").css({"background":"yellow"});} else {$("#adv_").html("");}</v>
      </c>
      <c r="AN112" s="61" t="str">
        <f t="shared" si="242"/>
        <v>if (=="") {$("#adv_").html("Required");$("#").css({"background":"yellow"});} else {$("#adv_").html("");$("#").css({"background":"white"});}</v>
      </c>
      <c r="AO112" s="50" t="str">
        <f t="shared" si="179"/>
        <v/>
      </c>
      <c r="AP112" s="61" t="str">
        <f t="shared" si="180"/>
        <v>=$("#").val();</v>
      </c>
      <c r="AQ112" s="61" t="str">
        <f t="shared" si="181"/>
        <v/>
      </c>
      <c r="AR112" s="50" t="str">
        <f t="shared" si="182"/>
        <v>&lt;input type="checkbox" id="" name="" value="1" /&gt;</v>
      </c>
      <c r="AS112" s="61" t="str">
        <f t="shared" si="183"/>
        <v>=document.getElementById("").checked;</v>
      </c>
      <c r="AT112" s="102" t="str">
        <f t="shared" si="184"/>
        <v>if (isset($_GET[''])) {$=($_GET['']);}else $='';</v>
      </c>
      <c r="AU112" s="52" t="str">
        <f t="shared" si="185"/>
        <v/>
      </c>
      <c r="AV112" s="52" t="str">
        <f t="shared" si="224"/>
        <v>&lt;select size="1" name="" id=""&gt;&lt;option value=""&gt;</v>
      </c>
      <c r="AW112" s="52" t="str">
        <f t="shared" si="186"/>
        <v>&lt;option value=""&gt;&lt;/option&gt;</v>
      </c>
      <c r="AX112" s="145" t="str">
        <f t="shared" si="254"/>
        <v/>
      </c>
      <c r="AY112" s="102" t="str">
        <f>""</f>
        <v/>
      </c>
      <c r="AZ112" s="102"/>
      <c r="BA112" s="113">
        <f t="shared" si="188"/>
        <v>0</v>
      </c>
      <c r="BB112" s="103" t="str">
        <f t="shared" si="255"/>
        <v>0:</v>
      </c>
      <c r="BC112" s="50" t="str">
        <f t="shared" si="256"/>
        <v>0:&lt;span id="adv_0"&gt;&lt;/span&gt;&lt;br/&gt;&lt;input type="radio" name="0" id="" value="" /&gt;</v>
      </c>
      <c r="BD112" s="52" t="str">
        <f t="shared" si="191"/>
        <v>else if (document.getElementById("</v>
      </c>
      <c r="BE112" s="61" t="str">
        <f t="shared" si="257"/>
        <v>else if (document.getElementById("").checked==true) {0="";}</v>
      </c>
      <c r="BF112" s="61" t="str">
        <f t="shared" si="193"/>
        <v/>
      </c>
      <c r="BG112" s="61" t="str">
        <f t="shared" si="258"/>
        <v>0:0</v>
      </c>
      <c r="BH112" s="102" t="str">
        <f t="shared" si="195"/>
        <v>if (isset($_GET['0'])) {$0=($_GET['0']);}else $0='';</v>
      </c>
      <c r="BI112" s="105" t="str">
        <f t="shared" si="196"/>
        <v>&lt;br/&gt;&lt;textarea rows="2" cols="80" id=""&gt;&lt;/textarea&gt;&lt;br/&gt;</v>
      </c>
      <c r="BJ112" s="107" t="str">
        <f t="shared" si="197"/>
        <v>&lt;input type="text"  size="7"  id="" class="datepicker"/&gt;</v>
      </c>
      <c r="BK112" s="107" t="str">
        <f t="shared" si="198"/>
        <v>&lt;h2 id=""&gt;&lt;/h2&gt;</v>
      </c>
      <c r="BL112" s="109" t="str">
        <f t="shared" si="232"/>
        <v/>
      </c>
      <c r="BM112" s="61" t="str">
        <f t="shared" si="233"/>
        <v/>
      </c>
      <c r="BN112" s="52">
        <f t="shared" ref="BN112:BN114" si="265">+IF(BM112="",0,1)+BN111</f>
        <v>0</v>
      </c>
      <c r="BO112" s="61" t="str">
        <f t="shared" si="234"/>
        <v/>
      </c>
      <c r="BP112" s="102" t="str">
        <f t="shared" si="235"/>
        <v/>
      </c>
      <c r="BQ112" s="105" t="str">
        <f t="shared" si="236"/>
        <v/>
      </c>
      <c r="BR112" s="52" t="str">
        <f t="shared" si="199"/>
        <v/>
      </c>
      <c r="BS112" s="52">
        <f t="shared" si="200"/>
        <v>0</v>
      </c>
      <c r="BT112" s="52">
        <f t="shared" ref="BT112:BT114" si="266">+BS112+BT111</f>
        <v>0</v>
      </c>
      <c r="BU112" s="52" t="str">
        <f t="shared" si="259"/>
        <v/>
      </c>
      <c r="BV112" s="52" t="str">
        <f t="shared" si="260"/>
        <v/>
      </c>
      <c r="BW112" s="52" t="str">
        <f t="shared" ref="BW112:BW114" si="267">+IF(BX112="","",",")</f>
        <v/>
      </c>
      <c r="BX112" s="113" t="str">
        <f t="shared" si="237"/>
        <v/>
      </c>
      <c r="BY112" s="52" t="str">
        <f t="shared" si="261"/>
        <v/>
      </c>
      <c r="BZ112" s="52" t="str">
        <f t="shared" si="204"/>
        <v/>
      </c>
      <c r="CA112" s="52" t="str">
        <f t="shared" si="238"/>
        <v/>
      </c>
      <c r="CB112" s="52" t="str">
        <f t="shared" si="239"/>
        <v/>
      </c>
      <c r="CC112" s="52" t="str">
        <f t="shared" si="205"/>
        <v/>
      </c>
      <c r="CD112" s="52" t="str">
        <f t="shared" si="262"/>
        <v/>
      </c>
      <c r="CE112" s="102" t="str">
        <f t="shared" si="240"/>
        <v/>
      </c>
      <c r="CF112" s="116" t="str">
        <f t="shared" si="207"/>
        <v/>
      </c>
      <c r="CG112" s="61" t="str">
        <f t="shared" si="241"/>
        <v/>
      </c>
      <c r="CH112" s="52" t="str">
        <f t="shared" si="243"/>
        <v/>
      </c>
      <c r="CI112" s="52" t="str">
        <f t="shared" si="244"/>
        <v/>
      </c>
      <c r="CJ112" s="52" t="str">
        <f t="shared" si="263"/>
        <v/>
      </c>
      <c r="CK112" s="52" t="str">
        <f t="shared" si="209"/>
        <v/>
      </c>
      <c r="CL112" s="52" t="str">
        <f t="shared" si="210"/>
        <v/>
      </c>
      <c r="CM112" s="102" t="str">
        <f t="shared" si="211"/>
        <v/>
      </c>
      <c r="CN112" s="116" t="str">
        <f t="shared" si="212"/>
        <v/>
      </c>
      <c r="CO112" s="61">
        <f t="shared" si="223"/>
        <v>0</v>
      </c>
      <c r="CP112" s="61" t="str">
        <f t="shared" si="248"/>
        <v/>
      </c>
      <c r="CQ112" s="61" t="str">
        <f t="shared" si="225"/>
        <v/>
      </c>
      <c r="CR112" s="61" t="str">
        <f t="shared" si="226"/>
        <v/>
      </c>
      <c r="CS112" s="105" t="str">
        <f t="shared" si="227"/>
        <v/>
      </c>
      <c r="CT112" s="105" t="str">
        <f t="shared" si="228"/>
        <v/>
      </c>
      <c r="CU112" s="61" t="str">
        <f t="shared" si="229"/>
        <v/>
      </c>
      <c r="CV112" s="61" t="str">
        <f t="shared" si="230"/>
        <v/>
      </c>
      <c r="CW112" s="61" t="str">
        <f t="shared" si="213"/>
        <v/>
      </c>
      <c r="CX112" s="61" t="str">
        <f t="shared" si="245"/>
        <v/>
      </c>
      <c r="CY112" s="61" t="str">
        <f t="shared" si="249"/>
        <v/>
      </c>
      <c r="CZ112" s="102" t="str">
        <f t="shared" si="214"/>
        <v/>
      </c>
      <c r="DA112" s="17">
        <f t="shared" si="215"/>
        <v>0</v>
      </c>
      <c r="DC112" s="17">
        <f t="shared" si="247"/>
        <v>0</v>
      </c>
      <c r="DD112" s="17">
        <f t="shared" si="216"/>
        <v>0</v>
      </c>
      <c r="DE112" s="17" t="str">
        <f t="shared" si="217"/>
        <v/>
      </c>
      <c r="DF112" s="17" t="str">
        <f t="shared" si="218"/>
        <v/>
      </c>
    </row>
    <row r="113" spans="1:110" s="17" customFormat="1">
      <c r="B113" s="35"/>
      <c r="C113" s="35"/>
      <c r="D113" s="36"/>
      <c r="E113" s="35"/>
      <c r="F113" s="35"/>
      <c r="G113" s="35"/>
      <c r="H113" s="35"/>
      <c r="I113" s="35"/>
      <c r="J113" s="59"/>
      <c r="Z113" s="172" t="str">
        <f t="shared" si="170"/>
        <v/>
      </c>
      <c r="AB113" s="47" t="s">
        <v>292</v>
      </c>
      <c r="AC113" s="52" t="str">
        <f t="shared" si="246"/>
        <v/>
      </c>
      <c r="AD113" s="52">
        <f t="shared" si="231"/>
        <v>0</v>
      </c>
      <c r="AE113" s="52">
        <f t="shared" si="264"/>
        <v>0</v>
      </c>
      <c r="AF113" s="61" t="str">
        <f t="shared" si="250"/>
        <v/>
      </c>
      <c r="AG113" s="52">
        <f t="shared" si="172"/>
        <v>0</v>
      </c>
      <c r="AH113" s="52">
        <f t="shared" si="251"/>
        <v>0</v>
      </c>
      <c r="AI113" s="52" t="str">
        <f t="shared" si="252"/>
        <v/>
      </c>
      <c r="AJ113" s="61" t="str">
        <f t="shared" si="253"/>
        <v/>
      </c>
      <c r="AK113" s="95" t="str">
        <f t="shared" si="176"/>
        <v/>
      </c>
      <c r="AL113" s="61" t="str">
        <f t="shared" si="177"/>
        <v>if () {$("#adv_").html("Required");$("#").css({"background":"yellow"});} else {$("#adv_").html("");$("#").css({"background":"white"});}</v>
      </c>
      <c r="AM113" s="61" t="str">
        <f t="shared" si="178"/>
        <v>if (=="") {$("#adv_").html("Required");$("#adv_").css({"background":"yellow"});} else {$("#adv_").html("");}</v>
      </c>
      <c r="AN113" s="61" t="str">
        <f t="shared" si="242"/>
        <v>if (=="") {$("#adv_").html("Required");$("#").css({"background":"yellow"});} else {$("#adv_").html("");$("#").css({"background":"white"});}</v>
      </c>
      <c r="AO113" s="50" t="str">
        <f t="shared" si="179"/>
        <v/>
      </c>
      <c r="AP113" s="61" t="str">
        <f t="shared" si="180"/>
        <v>=$("#").val();</v>
      </c>
      <c r="AQ113" s="61" t="str">
        <f t="shared" si="181"/>
        <v/>
      </c>
      <c r="AR113" s="50" t="str">
        <f t="shared" si="182"/>
        <v>&lt;input type="checkbox" id="" name="" value="1" /&gt;</v>
      </c>
      <c r="AS113" s="61" t="str">
        <f t="shared" si="183"/>
        <v>=document.getElementById("").checked;</v>
      </c>
      <c r="AT113" s="102" t="str">
        <f t="shared" si="184"/>
        <v>if (isset($_GET[''])) {$=($_GET['']);}else $='';</v>
      </c>
      <c r="AU113" s="52" t="str">
        <f t="shared" si="185"/>
        <v/>
      </c>
      <c r="AV113" s="52" t="str">
        <f t="shared" si="224"/>
        <v>&lt;select size="1" name="" id=""&gt;&lt;option value=""&gt;</v>
      </c>
      <c r="AW113" s="52" t="str">
        <f t="shared" si="186"/>
        <v>&lt;option value=""&gt;&lt;/option&gt;</v>
      </c>
      <c r="AX113" s="145" t="str">
        <f t="shared" si="254"/>
        <v/>
      </c>
      <c r="AY113" s="102" t="str">
        <f>""</f>
        <v/>
      </c>
      <c r="AZ113" s="102"/>
      <c r="BA113" s="113">
        <f t="shared" si="188"/>
        <v>0</v>
      </c>
      <c r="BB113" s="103" t="str">
        <f t="shared" si="255"/>
        <v>0:</v>
      </c>
      <c r="BC113" s="50" t="str">
        <f t="shared" si="256"/>
        <v>0:&lt;span id="adv_0"&gt;&lt;/span&gt;&lt;br/&gt;&lt;input type="radio" name="0" id="" value="" /&gt;</v>
      </c>
      <c r="BD113" s="52" t="str">
        <f t="shared" si="191"/>
        <v>else if (document.getElementById("</v>
      </c>
      <c r="BE113" s="61" t="str">
        <f t="shared" si="257"/>
        <v>else if (document.getElementById("").checked==true) {0="";}</v>
      </c>
      <c r="BF113" s="61" t="str">
        <f t="shared" si="193"/>
        <v/>
      </c>
      <c r="BG113" s="61" t="str">
        <f t="shared" si="258"/>
        <v>0:0</v>
      </c>
      <c r="BH113" s="102" t="str">
        <f t="shared" si="195"/>
        <v>if (isset($_GET['0'])) {$0=($_GET['0']);}else $0='';</v>
      </c>
      <c r="BI113" s="105" t="str">
        <f t="shared" si="196"/>
        <v>&lt;br/&gt;&lt;textarea rows="2" cols="80" id=""&gt;&lt;/textarea&gt;&lt;br/&gt;</v>
      </c>
      <c r="BJ113" s="107" t="str">
        <f t="shared" si="197"/>
        <v>&lt;input type="text"  size="7"  id="" class="datepicker"/&gt;</v>
      </c>
      <c r="BK113" s="107" t="str">
        <f t="shared" si="198"/>
        <v>&lt;h2 id=""&gt;&lt;/h2&gt;</v>
      </c>
      <c r="BL113" s="109" t="str">
        <f t="shared" si="232"/>
        <v/>
      </c>
      <c r="BM113" s="61" t="str">
        <f t="shared" si="233"/>
        <v/>
      </c>
      <c r="BN113" s="52">
        <f t="shared" si="265"/>
        <v>0</v>
      </c>
      <c r="BO113" s="61" t="str">
        <f t="shared" si="234"/>
        <v/>
      </c>
      <c r="BP113" s="102" t="str">
        <f t="shared" si="235"/>
        <v/>
      </c>
      <c r="BQ113" s="105" t="str">
        <f t="shared" si="236"/>
        <v/>
      </c>
      <c r="BR113" s="52" t="str">
        <f t="shared" si="199"/>
        <v/>
      </c>
      <c r="BS113" s="52">
        <f t="shared" si="200"/>
        <v>0</v>
      </c>
      <c r="BT113" s="52">
        <f t="shared" si="266"/>
        <v>0</v>
      </c>
      <c r="BU113" s="52" t="str">
        <f t="shared" si="259"/>
        <v/>
      </c>
      <c r="BV113" s="52" t="str">
        <f t="shared" si="260"/>
        <v/>
      </c>
      <c r="BW113" s="52" t="str">
        <f t="shared" si="267"/>
        <v/>
      </c>
      <c r="BX113" s="113" t="str">
        <f t="shared" si="237"/>
        <v/>
      </c>
      <c r="BY113" s="52" t="str">
        <f t="shared" si="261"/>
        <v/>
      </c>
      <c r="BZ113" s="52" t="str">
        <f t="shared" si="204"/>
        <v/>
      </c>
      <c r="CA113" s="52" t="str">
        <f t="shared" si="238"/>
        <v/>
      </c>
      <c r="CB113" s="52" t="str">
        <f t="shared" si="239"/>
        <v/>
      </c>
      <c r="CC113" s="52" t="str">
        <f t="shared" si="205"/>
        <v/>
      </c>
      <c r="CD113" s="52" t="str">
        <f t="shared" si="262"/>
        <v/>
      </c>
      <c r="CE113" s="102" t="str">
        <f t="shared" si="240"/>
        <v/>
      </c>
      <c r="CF113" s="116" t="str">
        <f t="shared" si="207"/>
        <v/>
      </c>
      <c r="CG113" s="61" t="str">
        <f t="shared" si="241"/>
        <v/>
      </c>
      <c r="CH113" s="52" t="str">
        <f t="shared" si="243"/>
        <v/>
      </c>
      <c r="CI113" s="52" t="str">
        <f t="shared" si="244"/>
        <v/>
      </c>
      <c r="CJ113" s="52" t="str">
        <f t="shared" si="263"/>
        <v/>
      </c>
      <c r="CK113" s="52" t="str">
        <f t="shared" si="209"/>
        <v/>
      </c>
      <c r="CL113" s="52" t="str">
        <f t="shared" si="210"/>
        <v/>
      </c>
      <c r="CM113" s="102" t="str">
        <f t="shared" si="211"/>
        <v/>
      </c>
      <c r="CN113" s="116" t="str">
        <f t="shared" si="212"/>
        <v/>
      </c>
      <c r="CO113" s="61">
        <f t="shared" si="223"/>
        <v>0</v>
      </c>
      <c r="CP113" s="61" t="str">
        <f t="shared" si="248"/>
        <v/>
      </c>
      <c r="CQ113" s="61" t="str">
        <f t="shared" si="225"/>
        <v/>
      </c>
      <c r="CR113" s="61" t="str">
        <f t="shared" si="226"/>
        <v/>
      </c>
      <c r="CS113" s="105" t="str">
        <f t="shared" si="227"/>
        <v/>
      </c>
      <c r="CT113" s="105" t="str">
        <f t="shared" si="228"/>
        <v/>
      </c>
      <c r="CU113" s="61" t="str">
        <f t="shared" si="229"/>
        <v/>
      </c>
      <c r="CV113" s="61" t="str">
        <f t="shared" si="230"/>
        <v/>
      </c>
      <c r="CW113" s="61" t="str">
        <f t="shared" si="213"/>
        <v/>
      </c>
      <c r="CX113" s="61" t="str">
        <f t="shared" si="245"/>
        <v/>
      </c>
      <c r="CY113" s="61" t="str">
        <f t="shared" si="249"/>
        <v/>
      </c>
      <c r="CZ113" s="102" t="str">
        <f t="shared" si="214"/>
        <v/>
      </c>
      <c r="DA113" s="17">
        <f t="shared" si="215"/>
        <v>0</v>
      </c>
      <c r="DC113" s="17">
        <f t="shared" si="247"/>
        <v>0</v>
      </c>
      <c r="DD113" s="17">
        <f t="shared" si="216"/>
        <v>0</v>
      </c>
      <c r="DE113" s="17" t="str">
        <f t="shared" si="217"/>
        <v/>
      </c>
      <c r="DF113" s="17" t="str">
        <f t="shared" si="218"/>
        <v/>
      </c>
    </row>
    <row r="114" spans="1:110" s="17" customFormat="1">
      <c r="B114" s="35"/>
      <c r="C114" s="35"/>
      <c r="D114" s="36"/>
      <c r="E114" s="35"/>
      <c r="F114" s="35"/>
      <c r="G114" s="35"/>
      <c r="H114" s="35"/>
      <c r="I114" s="35"/>
      <c r="J114" s="59"/>
      <c r="Z114" s="172" t="str">
        <f t="shared" si="170"/>
        <v/>
      </c>
      <c r="AB114" s="47" t="s">
        <v>293</v>
      </c>
      <c r="AC114" s="52" t="str">
        <f>+IF(G114="si",BX114&amp;"=="&amp;$B$4,IF(AND(E114="radio",BB114&lt;&gt;""),B114&amp;"=="&amp;$B$4,""))</f>
        <v/>
      </c>
      <c r="AD114" s="52">
        <f t="shared" si="231"/>
        <v>0</v>
      </c>
      <c r="AE114" s="52">
        <f t="shared" si="264"/>
        <v>0</v>
      </c>
      <c r="AF114" s="61" t="str">
        <f t="shared" si="250"/>
        <v/>
      </c>
      <c r="AG114" s="52">
        <f t="shared" si="172"/>
        <v>0</v>
      </c>
      <c r="AH114" s="52">
        <f t="shared" si="251"/>
        <v>0</v>
      </c>
      <c r="AI114" s="52" t="str">
        <f t="shared" si="252"/>
        <v/>
      </c>
      <c r="AJ114" s="61" t="str">
        <f t="shared" si="253"/>
        <v/>
      </c>
      <c r="AK114" s="95" t="str">
        <f t="shared" si="176"/>
        <v/>
      </c>
      <c r="AL114" s="61" t="str">
        <f t="shared" si="177"/>
        <v>if () {$("#adv_").html("Required");$("#").css({"background":"yellow"});} else {$("#adv_").html("");$("#").css({"background":"white"});}</v>
      </c>
      <c r="AM114" s="61" t="str">
        <f t="shared" si="178"/>
        <v>if (=="") {$("#adv_").html("Required");$("#adv_").css({"background":"yellow"});} else {$("#adv_").html("");}</v>
      </c>
      <c r="AN114" s="61" t="str">
        <f t="shared" si="242"/>
        <v>if (=="") {$("#adv_").html("Required");$("#").css({"background":"yellow"});} else {$("#adv_").html("");$("#").css({"background":"white"});}</v>
      </c>
      <c r="AO114" s="50" t="str">
        <f t="shared" si="179"/>
        <v/>
      </c>
      <c r="AP114" s="61" t="str">
        <f t="shared" si="180"/>
        <v>=$("#").val();</v>
      </c>
      <c r="AQ114" s="61" t="str">
        <f t="shared" si="181"/>
        <v/>
      </c>
      <c r="AR114" s="50" t="str">
        <f t="shared" si="182"/>
        <v>&lt;input type="checkbox" id="" name="" value="1" /&gt;</v>
      </c>
      <c r="AS114" s="61" t="str">
        <f t="shared" si="183"/>
        <v>=document.getElementById("").checked;</v>
      </c>
      <c r="AT114" s="102" t="str">
        <f t="shared" si="184"/>
        <v>if (isset($_GET[''])) {$=($_GET['']);}else $='';</v>
      </c>
      <c r="AU114" s="52" t="str">
        <f t="shared" si="185"/>
        <v/>
      </c>
      <c r="AV114" s="52" t="str">
        <f>AU114&amp;$K$8&amp;AU114&amp;$C$11&amp;AU114&amp;$K$9&amp;$L$10&amp;$K$10&amp;C114&amp;$K$9&amp;C114&amp;$K$11</f>
        <v>&lt;select size="1" name="" id=""&gt;&lt;option value=""&gt;&lt;/option&gt;&lt;option value=""&gt;&lt;/option&gt;</v>
      </c>
      <c r="AW114" s="52" t="str">
        <f t="shared" si="186"/>
        <v>&lt;option value=""&gt;&lt;/option&gt;</v>
      </c>
      <c r="AX114" s="145" t="str">
        <f t="shared" si="254"/>
        <v/>
      </c>
      <c r="AY114" s="102">
        <f>+IF(AND(E114="selectlist",G114="si"),1,0)</f>
        <v>0</v>
      </c>
      <c r="AZ114" s="102">
        <f>+IF(AND(E114="selectlist",B114=""),AZ113,AY114)</f>
        <v>0</v>
      </c>
      <c r="BA114" s="113">
        <f t="shared" si="188"/>
        <v>0</v>
      </c>
      <c r="BB114" s="103" t="str">
        <f t="shared" si="255"/>
        <v>0:</v>
      </c>
      <c r="BC114" s="50" t="str">
        <f t="shared" si="256"/>
        <v>0:&lt;span id="adv_0"&gt;&lt;/span&gt;&lt;br/&gt;&lt;input type="radio" name="0" id="" value="" /&gt;</v>
      </c>
      <c r="BD114" s="52" t="str">
        <f t="shared" si="191"/>
        <v>else if (document.getElementById("</v>
      </c>
      <c r="BE114" s="61" t="str">
        <f t="shared" si="257"/>
        <v>else if (document.getElementById("").checked==true) {0="";}</v>
      </c>
      <c r="BF114" s="61" t="str">
        <f t="shared" si="193"/>
        <v/>
      </c>
      <c r="BG114" s="61" t="str">
        <f t="shared" si="258"/>
        <v>0:0</v>
      </c>
      <c r="BH114" s="102" t="str">
        <f t="shared" si="195"/>
        <v>if (isset($_GET['0'])) {$0=($_GET['0']);}else $0='';</v>
      </c>
      <c r="BI114" s="105" t="str">
        <f t="shared" si="196"/>
        <v>&lt;br/&gt;&lt;textarea rows="2" cols="80" id=""&gt;&lt;/textarea&gt;&lt;br/&gt;</v>
      </c>
      <c r="BJ114" s="107" t="str">
        <f t="shared" si="197"/>
        <v>&lt;input type="text"  size="7"  id="" class="datepicker"/&gt;</v>
      </c>
      <c r="BK114" s="107" t="str">
        <f t="shared" si="198"/>
        <v>&lt;h2 id=""&gt;&lt;/h2&gt;</v>
      </c>
      <c r="BL114" s="109" t="str">
        <f t="shared" si="232"/>
        <v/>
      </c>
      <c r="BM114" s="61" t="str">
        <f t="shared" si="233"/>
        <v/>
      </c>
      <c r="BN114" s="52">
        <f t="shared" si="265"/>
        <v>0</v>
      </c>
      <c r="BO114" s="61" t="str">
        <f t="shared" si="234"/>
        <v/>
      </c>
      <c r="BP114" s="102" t="str">
        <f t="shared" si="235"/>
        <v/>
      </c>
      <c r="BQ114" s="105" t="str">
        <f t="shared" si="236"/>
        <v/>
      </c>
      <c r="BR114" s="52" t="str">
        <f t="shared" si="199"/>
        <v/>
      </c>
      <c r="BS114" s="52">
        <f t="shared" si="200"/>
        <v>0</v>
      </c>
      <c r="BT114" s="52">
        <f t="shared" si="266"/>
        <v>0</v>
      </c>
      <c r="BU114" s="52" t="str">
        <f t="shared" si="259"/>
        <v/>
      </c>
      <c r="BV114" s="52" t="str">
        <f t="shared" si="260"/>
        <v/>
      </c>
      <c r="BW114" s="52" t="str">
        <f t="shared" si="267"/>
        <v/>
      </c>
      <c r="BX114" s="113" t="str">
        <f t="shared" si="237"/>
        <v/>
      </c>
      <c r="BY114" s="52" t="str">
        <f t="shared" si="261"/>
        <v/>
      </c>
      <c r="BZ114" s="52" t="str">
        <f t="shared" si="204"/>
        <v/>
      </c>
      <c r="CA114" s="52" t="str">
        <f t="shared" si="238"/>
        <v/>
      </c>
      <c r="CB114" s="52" t="str">
        <f t="shared" si="239"/>
        <v/>
      </c>
      <c r="CC114" s="52" t="str">
        <f t="shared" si="205"/>
        <v/>
      </c>
      <c r="CD114" s="52" t="str">
        <f t="shared" si="262"/>
        <v/>
      </c>
      <c r="CE114" s="102" t="str">
        <f t="shared" si="240"/>
        <v/>
      </c>
      <c r="CF114" s="116" t="str">
        <f t="shared" si="207"/>
        <v/>
      </c>
      <c r="CG114" s="61" t="str">
        <f t="shared" si="241"/>
        <v/>
      </c>
      <c r="CH114" s="52" t="str">
        <f t="shared" si="243"/>
        <v/>
      </c>
      <c r="CI114" s="52" t="str">
        <f t="shared" si="244"/>
        <v/>
      </c>
      <c r="CJ114" s="52" t="str">
        <f t="shared" si="263"/>
        <v/>
      </c>
      <c r="CK114" s="52" t="str">
        <f t="shared" si="209"/>
        <v/>
      </c>
      <c r="CL114" s="52" t="str">
        <f t="shared" si="210"/>
        <v/>
      </c>
      <c r="CM114" s="102" t="str">
        <f t="shared" si="211"/>
        <v/>
      </c>
      <c r="CN114" s="116" t="str">
        <f t="shared" si="212"/>
        <v/>
      </c>
      <c r="CO114" s="61">
        <f>IF(AND(CO115=2,BA114=BA115),2,IF(IF(K115="si",1,0)=1,2,0))</f>
        <v>0</v>
      </c>
      <c r="CP114" s="61" t="str">
        <f>IF(I114="si",IF(E113="radio",$G$7&amp;$D$6&amp;C113&amp;$P$10&amp;C114&amp;$P$11&amp;C114&amp;$P$9&amp;$P$12&amp;C114&amp;$P$9&amp;"=0;",IF(E113="selectlist",$G$7&amp;AU113&amp;$S$3&amp;C113&amp;$S$4&amp;C114&amp;$P$11&amp;C114&amp;$P$9&amp;$P$12&amp;C114&amp;$P$9&amp;"=0;","")),"")</f>
        <v/>
      </c>
      <c r="CQ114" s="61" t="str">
        <f t="shared" si="225"/>
        <v/>
      </c>
      <c r="CR114" s="61" t="str">
        <f t="shared" si="226"/>
        <v/>
      </c>
      <c r="CS114" s="105" t="str">
        <f t="shared" si="227"/>
        <v/>
      </c>
      <c r="CT114" s="105" t="str">
        <f t="shared" si="228"/>
        <v/>
      </c>
      <c r="CU114" s="61" t="str">
        <f t="shared" si="229"/>
        <v/>
      </c>
      <c r="CV114" s="61" t="str">
        <f t="shared" si="230"/>
        <v/>
      </c>
      <c r="CW114" s="61" t="str">
        <f t="shared" si="213"/>
        <v/>
      </c>
      <c r="CX114" s="61" t="str">
        <f t="shared" si="245"/>
        <v/>
      </c>
      <c r="CY114" s="61" t="str">
        <f>IF(E113="selectlist",CX114,IF(CO114=2,$C$5&amp;C114&amp;$Q$4&amp;CW114&amp;$D$3&amp;$C$5&amp;CV114&amp;$P$9&amp;$Q$5&amp;CV114&amp;$P$9&amp;$H$4&amp;"}})",""))</f>
        <v/>
      </c>
      <c r="CZ114" s="102" t="str">
        <f t="shared" si="214"/>
        <v/>
      </c>
      <c r="DA114" s="17">
        <f t="shared" si="215"/>
        <v>0</v>
      </c>
      <c r="DB114" s="17" t="str">
        <f>+LOWER(C114)</f>
        <v/>
      </c>
      <c r="DC114" s="17">
        <f>IF(DB114&lt;&gt;"",COUNTIF($DB$15:$DB$114,DB114),0)</f>
        <v>0</v>
      </c>
      <c r="DD114" s="17">
        <f t="shared" si="216"/>
        <v>0</v>
      </c>
      <c r="DE114" s="17" t="str">
        <f t="shared" si="217"/>
        <v/>
      </c>
      <c r="DF114" s="17" t="str">
        <f t="shared" si="218"/>
        <v/>
      </c>
    </row>
    <row r="115" spans="1:110" s="17" customFormat="1">
      <c r="D115" s="24"/>
    </row>
    <row r="117" spans="1:110">
      <c r="B117" s="12" t="s">
        <v>718</v>
      </c>
      <c r="D117" s="78">
        <f>+IF(OR(L15="",L17="",L19="",L21="",L23=""),1,0)</f>
        <v>0</v>
      </c>
    </row>
    <row r="118" spans="1:110">
      <c r="B118" s="13" t="s">
        <v>719</v>
      </c>
    </row>
    <row r="119" spans="1:110">
      <c r="B119" s="13" t="str">
        <f>+IF(L26="si","SECURE LAYER (only two lines)","no secure layer needed")</f>
        <v>SECURE LAYER (only two lines)</v>
      </c>
    </row>
    <row r="120" spans="1:110">
      <c r="B120" s="116" t="str">
        <f>IF(L26="si",'Membership protocol'!A58,"")</f>
        <v>&lt;?php //Jesus_SecureLayer.php</v>
      </c>
    </row>
    <row r="121" spans="1:110">
      <c r="B121" s="116" t="str">
        <f ca="1">IF(L26="si",'Membership protocol'!A59,"")</f>
        <v>session_start(); if (!isset($_SESSION["standard141509_Virgin_Mary_user"])||$_SESSION["standard141509_Virgin_Mary_autent"]!="yes") {header("Location:Jesus_login.php");} ?&gt;</v>
      </c>
    </row>
    <row r="122" spans="1:110" hidden="1">
      <c r="B122" s="13" t="str">
        <f>+IF(L29="si","newfile","")</f>
        <v>newfile</v>
      </c>
    </row>
    <row r="123" spans="1:110" hidden="1">
      <c r="B123" s="13" t="str">
        <f>+IF(L29="si","SECURELAYER2 (only four lines)","")</f>
        <v>SECURELAYER2 (only four lines)</v>
      </c>
    </row>
    <row r="124" spans="1:110" hidden="1">
      <c r="B124" s="116" t="str">
        <f>+IF(L29="si","&lt;?php //"&amp;L15&amp;"b_SecureLayer.php","")</f>
        <v>&lt;?php //Jesusb_SecureLayer.php</v>
      </c>
    </row>
    <row r="125" spans="1:110" hidden="1">
      <c r="B125" s="116" t="str">
        <f ca="1">+IF(L29="si",B121,"")</f>
        <v>session_start(); if (!isset($_SESSION["standard141509_Virgin_Mary_user"])||$_SESSION["standard141509_Virgin_Mary_autent"]!="yes") {header("Location:Jesus_login.php");} ?&gt;</v>
      </c>
    </row>
    <row r="126" spans="1:110" hidden="1">
      <c r="B126" s="116" t="str">
        <f>+IF(L29="si","&lt;?php","")</f>
        <v>&lt;?php</v>
      </c>
    </row>
    <row r="127" spans="1:110" hidden="1">
      <c r="A127" s="12">
        <v>1</v>
      </c>
      <c r="B127" s="116" t="str">
        <f>+IF(L29="si",unique_id!B785,"")</f>
        <v>if (!isset($_SESSION['a01healmy5_pray_tipo_doc_id'])) { header('Location:a01uniqueJesus.php');}if (!isset($_SESSION['a01healmy5_pray_numd'])) { header('Location:a01uniqueJesus.php');}</v>
      </c>
    </row>
    <row r="128" spans="1:110" hidden="1">
      <c r="A128" s="12">
        <v>2</v>
      </c>
      <c r="B128" s="116" t="str">
        <f>+unique_id!B786</f>
        <v/>
      </c>
    </row>
    <row r="129" spans="1:2" hidden="1">
      <c r="A129" s="12">
        <v>3</v>
      </c>
      <c r="B129" s="116" t="str">
        <f>+unique_id!B787</f>
        <v/>
      </c>
    </row>
    <row r="130" spans="1:2" hidden="1">
      <c r="A130" s="12">
        <v>4</v>
      </c>
      <c r="B130" s="116" t="str">
        <f>+unique_id!B788</f>
        <v/>
      </c>
    </row>
    <row r="131" spans="1:2" hidden="1">
      <c r="A131" s="12">
        <v>5</v>
      </c>
      <c r="B131" s="116" t="str">
        <f>+unique_id!B789</f>
        <v/>
      </c>
    </row>
    <row r="132" spans="1:2" hidden="1">
      <c r="A132" s="12">
        <v>6</v>
      </c>
      <c r="B132" s="116" t="str">
        <f>+unique_id!B790</f>
        <v/>
      </c>
    </row>
    <row r="133" spans="1:2" hidden="1">
      <c r="A133" s="12">
        <v>7</v>
      </c>
      <c r="B133" s="116" t="str">
        <f>+unique_id!B791</f>
        <v/>
      </c>
    </row>
    <row r="134" spans="1:2" hidden="1">
      <c r="A134" s="12">
        <v>8</v>
      </c>
      <c r="B134" s="116" t="str">
        <f>+unique_id!B792</f>
        <v/>
      </c>
    </row>
    <row r="135" spans="1:2" hidden="1">
      <c r="A135" s="12">
        <v>9</v>
      </c>
      <c r="B135" s="116" t="str">
        <f>+unique_id!B793</f>
        <v/>
      </c>
    </row>
    <row r="136" spans="1:2" hidden="1">
      <c r="A136" s="12">
        <v>10</v>
      </c>
      <c r="B136" s="116" t="str">
        <f>+unique_id!B794</f>
        <v/>
      </c>
    </row>
    <row r="137" spans="1:2" hidden="1">
      <c r="A137" s="12">
        <v>11</v>
      </c>
      <c r="B137" s="116" t="str">
        <f>+unique_id!B795</f>
        <v/>
      </c>
    </row>
    <row r="138" spans="1:2" hidden="1">
      <c r="A138" s="12">
        <v>12</v>
      </c>
      <c r="B138" s="116" t="str">
        <f>+unique_id!B796</f>
        <v/>
      </c>
    </row>
    <row r="139" spans="1:2" hidden="1">
      <c r="A139" s="12">
        <v>13</v>
      </c>
      <c r="B139" s="116" t="str">
        <f>+unique_id!B797</f>
        <v/>
      </c>
    </row>
    <row r="140" spans="1:2" hidden="1">
      <c r="A140" s="12">
        <v>14</v>
      </c>
      <c r="B140" s="116" t="str">
        <f>+unique_id!B798</f>
        <v/>
      </c>
    </row>
    <row r="141" spans="1:2" hidden="1">
      <c r="A141" s="12">
        <v>15</v>
      </c>
      <c r="B141" s="116" t="str">
        <f>+unique_id!B799</f>
        <v/>
      </c>
    </row>
    <row r="142" spans="1:2" hidden="1">
      <c r="B142" s="116" t="str">
        <f>+IF(L29="si","?&gt;","")</f>
        <v>?&gt;</v>
      </c>
    </row>
    <row r="143" spans="1:2">
      <c r="B143" s="13" t="s">
        <v>719</v>
      </c>
    </row>
    <row r="144" spans="1:2">
      <c r="B144" s="13" t="str">
        <f>+IF(L26="si","login page","no login page needed")</f>
        <v>login page</v>
      </c>
    </row>
    <row r="145" spans="2:2">
      <c r="B145" s="61" t="str">
        <f>IF(L26="si",'Membership protocol'!A12,"")</f>
        <v>&lt;?php  /*Jesus_login.php*/ ?&gt;</v>
      </c>
    </row>
    <row r="146" spans="2:2" s="193" customFormat="1" ht="12.75">
      <c r="B146" s="194" t="str">
        <f>IF($L$26="si",M11,"")</f>
        <v>&lt;!DOCTYPE html PUBLIC "-//W3C//DTD XHTML 1.0 Transitional//EN"</v>
      </c>
    </row>
    <row r="147" spans="2:2" s="193" customFormat="1" ht="12.75">
      <c r="B147" s="194" t="str">
        <f>IF($L$26="si",M12,"")</f>
        <v xml:space="preserve"> "http://www.w3.org/TR/xhtml1/DTD/xhtml1-transitional.dtd"&gt;</v>
      </c>
    </row>
    <row r="148" spans="2:2" s="193" customFormat="1" ht="12.75">
      <c r="B148" s="194" t="str">
        <f>IF(L26="si",O5,"")</f>
        <v>&lt;html xmlns="http://www.w3.org/1999/xhtml"&gt;</v>
      </c>
    </row>
    <row r="149" spans="2:2" s="193" customFormat="1" ht="12.75">
      <c r="B149" s="194" t="str">
        <f>IF(L26="si","&lt;head&gt;&lt;title&gt;Log in&lt;/title&gt;","")</f>
        <v>&lt;head&gt;&lt;title&gt;Log in&lt;/title&gt;</v>
      </c>
    </row>
    <row r="150" spans="2:2" s="193" customFormat="1" ht="12.75">
      <c r="B150" s="194" t="str">
        <f>+R9&amp;L17&amp;"style.css"&amp;R10</f>
        <v>&lt;link rel="stylesheet" type="text/css" href="healmy5_praystyle.css" /&gt;</v>
      </c>
    </row>
    <row r="151" spans="2:2" s="193" customFormat="1" ht="12.75">
      <c r="B151" s="194" t="str">
        <f>IF($L$26="si",O7,"")</f>
        <v>&lt;link href="http://ajax.googleapis.com/ajax/libs/jqueryui/1.8/themes/base/jquery-ui.css" rel="stylesheet" type="text/css"/&gt;</v>
      </c>
    </row>
    <row r="152" spans="2:2" s="143" customFormat="1" ht="11.25">
      <c r="B152" s="234" t="str">
        <f>IF(L26="si",P2,"")</f>
        <v>&lt;script type="text/javascript" src="//ajax.googleapis.com/ajax/libs/jquery/1.7.1/jquery.min.js"&gt;&lt;/script&gt;</v>
      </c>
    </row>
    <row r="153" spans="2:2" s="143" customFormat="1" ht="11.25">
      <c r="B153" s="234" t="str">
        <f>+IF(L26="si",P3,"")</f>
        <v>&lt;script src="http://ajax.googleapis.com/ajax/libs/jqueryui/1.8/jquery-ui.min.js"&gt;&lt;/script&gt;</v>
      </c>
    </row>
    <row r="154" spans="2:2" s="143" customFormat="1" ht="11.25">
      <c r="B154" s="234" t="str">
        <f>+IF(L26="si",P4,"")</f>
        <v>&lt;script&gt;  $(function() {  $( ".datepicker" ).datepicker({dateFormat: 'yy/mm/dd',changeMonth : true,changeYear : true,yearRange: '-110y:c+nn',}); }); &lt;/script&gt;</v>
      </c>
    </row>
    <row r="155" spans="2:2" s="143" customFormat="1" ht="11.25">
      <c r="B155" s="231" t="str">
        <f>IF(L26="si","&lt;/head&gt;","")</f>
        <v>&lt;/head&gt;</v>
      </c>
    </row>
    <row r="156" spans="2:2" s="143" customFormat="1" ht="11.25">
      <c r="B156" s="231" t="str">
        <f>IF(L26="si","&lt;body&gt;","")</f>
        <v>&lt;body&gt;</v>
      </c>
    </row>
    <row r="157" spans="2:2" s="143" customFormat="1" ht="11.25">
      <c r="B157" s="231" t="str">
        <f>+IF(L26="si",P5,"")</f>
        <v>&lt;div id="container"&gt; &lt;!-- it contains all webpage content--&gt;</v>
      </c>
    </row>
    <row r="158" spans="2:2" s="143" customFormat="1" ht="11.25">
      <c r="B158" s="231" t="str">
        <f>+IF(L26="si",P6,"")</f>
        <v xml:space="preserve">    &lt;div id="header"&gt;</v>
      </c>
    </row>
    <row r="159" spans="2:2" s="193" customFormat="1" ht="12.75">
      <c r="B159" s="194" t="str">
        <f>IF(L26="si","        &lt;!-- Header start ","")</f>
        <v xml:space="preserve">        &lt;!-- Header start </v>
      </c>
    </row>
    <row r="160" spans="2:2" s="193" customFormat="1" ht="12.75">
      <c r="B160" s="194" t="str">
        <f>IF(L26="si","        --&gt;","")</f>
        <v xml:space="preserve">        --&gt;</v>
      </c>
    </row>
    <row r="161" spans="2:2" s="193" customFormat="1" ht="12.75">
      <c r="B161" s="262" t="s">
        <v>1328</v>
      </c>
    </row>
    <row r="162" spans="2:2" s="193" customFormat="1" ht="12.75">
      <c r="B162" s="262" t="s">
        <v>1329</v>
      </c>
    </row>
    <row r="163" spans="2:2" s="193" customFormat="1" ht="12.75">
      <c r="B163" s="262" t="s">
        <v>1330</v>
      </c>
    </row>
    <row r="164" spans="2:2" s="193" customFormat="1" ht="12.75">
      <c r="B164" s="262" t="s">
        <v>96</v>
      </c>
    </row>
    <row r="165" spans="2:2" s="193" customFormat="1" ht="12.75">
      <c r="B165" s="194" t="str">
        <f>IF(L26="si","        &lt;!-- Header end --&gt;","")</f>
        <v xml:space="preserve">        &lt;!-- Header end --&gt;</v>
      </c>
    </row>
    <row r="166" spans="2:2" s="143" customFormat="1" ht="8.25">
      <c r="B166" s="144" t="str">
        <f>IF(L26="si","    &lt;/div&gt;","")</f>
        <v xml:space="preserve">    &lt;/div&gt;</v>
      </c>
    </row>
    <row r="167" spans="2:2" s="143" customFormat="1" ht="8.25">
      <c r="B167" s="144" t="str">
        <f>IF(L26="si",P7,"")</f>
        <v xml:space="preserve">    &lt;div id="body"&gt;</v>
      </c>
    </row>
    <row r="168" spans="2:2" s="143" customFormat="1" ht="8.25">
      <c r="B168" s="144" t="str">
        <f>IF(L26="si","        &lt;!-- Body start ","")</f>
        <v xml:space="preserve">        &lt;!-- Body start </v>
      </c>
    </row>
    <row r="169" spans="2:2" s="143" customFormat="1" ht="8.25">
      <c r="B169" s="144" t="str">
        <f>IF(L26="si","        BBBBBB     OOOOOO   DDDDDD    YY    YY","")</f>
        <v xml:space="preserve">        BBBBBB     OOOOOO   DDDDDD    YY    YY</v>
      </c>
    </row>
    <row r="170" spans="2:2" s="143" customFormat="1" ht="8.25">
      <c r="B170" s="144" t="str">
        <f>IF(L26="si","         BB   BB  OO    OO  DD   DD   YY    YY","")</f>
        <v xml:space="preserve">         BB   BB  OO    OO  DD   DD   YY    YY</v>
      </c>
    </row>
    <row r="171" spans="2:2" s="143" customFormat="1" ht="8.25">
      <c r="B171" s="144" t="str">
        <f>IF(L26="si","         BB   BB  OO    OO  DD   DD   YY    YY","")</f>
        <v xml:space="preserve">         BB   BB  OO    OO  DD   DD   YY    YY</v>
      </c>
    </row>
    <row r="172" spans="2:2" s="143" customFormat="1" ht="8.25">
      <c r="B172" s="144" t="str">
        <f>IF(L26="si","         BBBBBB   OO    OO  DD   DD    YYYYYY","")</f>
        <v xml:space="preserve">         BBBBBB   OO    OO  DD   DD    YYYYYY</v>
      </c>
    </row>
    <row r="173" spans="2:2" s="143" customFormat="1" ht="8.25">
      <c r="B173" s="144" t="str">
        <f>IF(L26="si","         BB   BB  OO    OO  DD   DD      YY","")</f>
        <v xml:space="preserve">         BB   BB  OO    OO  DD   DD      YY</v>
      </c>
    </row>
    <row r="174" spans="2:2" s="143" customFormat="1" ht="8.25">
      <c r="B174" s="144" t="str">
        <f>IF(L26="si","         BB   BB  OO    OO  DD   DD      YY    ","")</f>
        <v xml:space="preserve">         BB   BB  OO    OO  DD   DD      YY    </v>
      </c>
    </row>
    <row r="175" spans="2:2" s="143" customFormat="1" ht="8.25">
      <c r="B175" s="144" t="str">
        <f>IF(L26="si","        BBBBBB     OOOOOO   DDDDDD       YY","")</f>
        <v xml:space="preserve">        BBBBBB     OOOOOO   DDDDDD       YY</v>
      </c>
    </row>
    <row r="176" spans="2:2" s="143" customFormat="1" ht="8.25">
      <c r="B176" s="144" t="str">
        <f>IF(L26="si","        --&gt;&lt;br/&gt;&lt;br/&gt;&lt;br/&gt;","")</f>
        <v xml:space="preserve">        --&gt;&lt;br/&gt;&lt;br/&gt;&lt;br/&gt;</v>
      </c>
    </row>
    <row r="177" spans="2:2" s="143" customFormat="1" ht="12">
      <c r="B177" s="256" t="str">
        <f>IF(L26="si","        &lt;div class='boxbody2'&gt;","")</f>
        <v xml:space="preserve">        &lt;div class='boxbody2'&gt;</v>
      </c>
    </row>
    <row r="178" spans="2:2" s="143" customFormat="1" ht="12">
      <c r="B178" s="258" t="str">
        <f>IF($L$26="si","         &lt;div class='login'&gt;","")</f>
        <v xml:space="preserve">         &lt;div class='login'&gt;</v>
      </c>
    </row>
    <row r="179" spans="2:2">
      <c r="B179" s="145" t="str">
        <f>IF($L$26="si",'Membership protocol'!A13,"")</f>
        <v xml:space="preserve"> &lt;form action="Jesus_verifying_smd.php" method="post"&gt; &lt;div style="width:500px;text-align:right; align:center; "&gt;</v>
      </c>
    </row>
    <row r="180" spans="2:2">
      <c r="B180" s="116" t="str">
        <f>IF($L$26="si",'Membership protocol'!A14,"")</f>
        <v>&lt;? if (isset($_GET["erroruser"])) { if ($_GET["erroruser"]==0) {echo "Empty fields not allowed&lt;br/&gt;";}</v>
      </c>
    </row>
    <row r="181" spans="2:2">
      <c r="B181" s="116" t="str">
        <f>IF($L$26="si",'Membership protocol'!A15,"")</f>
        <v>if ($_GET["erroruser"]=="1"){echo "&lt;span style='color:red'&gt;&lt;b&gt;Wrong user or password&lt;br/&gt;&lt;/b&gt;&lt;/span&gt;";} }?&gt;</v>
      </c>
    </row>
    <row r="182" spans="2:2" hidden="1">
      <c r="B182" s="145"/>
    </row>
    <row r="183" spans="2:2">
      <c r="B183" s="145" t="str">
        <f>IF($L$26="si",'Membership protocol'!A16,"")</f>
        <v>&lt;b&gt;USER&lt;input type="text" name="user" id="user"/&gt;&lt;br/&gt;</v>
      </c>
    </row>
    <row r="184" spans="2:2">
      <c r="B184" s="145" t="str">
        <f>IF($L$26="si",'Membership protocol'!A17,"")</f>
        <v>PASSWORD&lt;input type="password" name="pwd" id="pwd"  onkeypress="capLock(event)"/&gt;&lt;br/&gt;</v>
      </c>
    </row>
    <row r="185" spans="2:2">
      <c r="B185" s="145" t="s">
        <v>1294</v>
      </c>
    </row>
    <row r="186" spans="2:2">
      <c r="B186" s="145" t="s">
        <v>1292</v>
      </c>
    </row>
    <row r="187" spans="2:2">
      <c r="B187" s="145" t="s">
        <v>1293</v>
      </c>
    </row>
    <row r="188" spans="2:2">
      <c r="B188" s="145" t="s">
        <v>6</v>
      </c>
    </row>
    <row r="189" spans="2:2">
      <c r="B189" s="145" t="str">
        <f>IF($L$26="si",'Membership protocol'!A18,"")</f>
        <v>&lt;input type="submit" value="submit"/&gt;&lt;/b&gt;&lt;/div&gt;&lt;/form&gt;</v>
      </c>
    </row>
    <row r="190" spans="2:2">
      <c r="B190" s="257" t="str">
        <f>IF($L$26="si","        &lt;/div&gt;","")</f>
        <v xml:space="preserve">        &lt;/div&gt;</v>
      </c>
    </row>
    <row r="191" spans="2:2">
      <c r="B191" s="145" t="s">
        <v>1289</v>
      </c>
    </row>
    <row r="192" spans="2:2">
      <c r="B192" s="145" t="s">
        <v>1290</v>
      </c>
    </row>
    <row r="193" spans="2:2">
      <c r="B193" s="145" t="s">
        <v>1291</v>
      </c>
    </row>
    <row r="194" spans="2:2">
      <c r="B194" s="145" t="s">
        <v>1293</v>
      </c>
    </row>
    <row r="195" spans="2:2">
      <c r="B195" s="145" t="s">
        <v>1295</v>
      </c>
    </row>
    <row r="196" spans="2:2">
      <c r="B196" s="145" t="str">
        <f>+Q6&amp;"a01"&amp;sessioncreator!K15&amp;Q7</f>
        <v>&lt;a href="a01session.php"&gt;Aun no eres miembro? Haz click aca e inscribite&lt;/a&gt;</v>
      </c>
    </row>
    <row r="197" spans="2:2" s="143" customFormat="1" ht="11.25" hidden="1">
      <c r="B197" s="257"/>
    </row>
    <row r="198" spans="2:2" s="143" customFormat="1" ht="11.25">
      <c r="B198" s="231" t="str">
        <f>IF($L$26="si","        &lt;/div&gt;","")</f>
        <v xml:space="preserve">        &lt;/div&gt;</v>
      </c>
    </row>
    <row r="199" spans="2:2" s="143" customFormat="1" ht="8.25">
      <c r="B199" s="144" t="str">
        <f>IF($L$26="si","        &lt;br/&gt;&lt;br/&gt;&lt;br/&gt;&lt;!-- Body end --&gt;","")</f>
        <v xml:space="preserve">        &lt;br/&gt;&lt;br/&gt;&lt;br/&gt;&lt;!-- Body end --&gt;</v>
      </c>
    </row>
    <row r="200" spans="2:2" s="143" customFormat="1" ht="8.25">
      <c r="B200" s="144" t="str">
        <f>IF($L$26="si","    &lt;/div&gt;","")</f>
        <v xml:space="preserve">    &lt;/div&gt;</v>
      </c>
    </row>
    <row r="201" spans="2:2" s="143" customFormat="1" ht="8.25">
      <c r="B201" s="144" t="str">
        <f>IF($L$26="si",P8,"")</f>
        <v xml:space="preserve">    &lt;div id="footer"&gt;</v>
      </c>
    </row>
    <row r="202" spans="2:2" s="261" customFormat="1" ht="12">
      <c r="B202" s="256" t="str">
        <f>IF($L$26="si","        &lt;!-- Footer start ","")</f>
        <v xml:space="preserve">        &lt;!-- Footer start </v>
      </c>
    </row>
    <row r="203" spans="2:2" s="261" customFormat="1" ht="12">
      <c r="B203" s="256" t="str">
        <f>IF($L$26="si","        --&gt;HELLO FOOTER","")</f>
        <v xml:space="preserve">        --&gt;HELLO FOOTER</v>
      </c>
    </row>
    <row r="204" spans="2:2" s="193" customFormat="1" ht="12.75">
      <c r="B204" s="262" t="s">
        <v>1328</v>
      </c>
    </row>
    <row r="205" spans="2:2" s="193" customFormat="1" ht="12.75">
      <c r="B205" s="262" t="s">
        <v>1329</v>
      </c>
    </row>
    <row r="206" spans="2:2" s="193" customFormat="1" ht="12.75">
      <c r="B206" s="262" t="s">
        <v>1331</v>
      </c>
    </row>
    <row r="207" spans="2:2" s="193" customFormat="1" ht="12.75">
      <c r="B207" s="262" t="s">
        <v>96</v>
      </c>
    </row>
    <row r="208" spans="2:2" s="261" customFormat="1" ht="12">
      <c r="B208" s="256" t="str">
        <f>IF($L$26="si","        &lt;!-- Footer end --&gt;","")</f>
        <v xml:space="preserve">        &lt;!-- Footer end --&gt;</v>
      </c>
    </row>
    <row r="209" spans="2:2" s="143" customFormat="1" ht="8.25">
      <c r="B209" s="144" t="str">
        <f>IF($L$26="si","    &lt;/div&gt;","")</f>
        <v xml:space="preserve">    &lt;/div&gt;</v>
      </c>
    </row>
    <row r="210" spans="2:2" s="143" customFormat="1" ht="8.25">
      <c r="B210" s="144" t="str">
        <f>IF($L$26="si","&lt;/div&gt;","")</f>
        <v>&lt;/div&gt;</v>
      </c>
    </row>
    <row r="211" spans="2:2" s="143" customFormat="1" ht="8.25">
      <c r="B211" s="144" t="str">
        <f>IF($L$26="si","&lt;/body&gt;","")</f>
        <v>&lt;/body&gt;</v>
      </c>
    </row>
    <row r="212" spans="2:2" s="143" customFormat="1" ht="11.25">
      <c r="B212" s="235" t="str">
        <f>+IF($L$26="si",T1,"")</f>
        <v xml:space="preserve">&lt;script&gt; $(document).ready(function(){  $("#user").blur(function(){ if (validateEmail($("#user").val())) {var user=$("#user").val(); $.get("ensureitexist.php",{user:user},function(result){ $("#adv_user").html(result)}); } </v>
      </c>
    </row>
    <row r="213" spans="2:2" s="143" customFormat="1" ht="11.25">
      <c r="B213" s="235" t="str">
        <f>+IF($L$26="si",T2&amp;T3&amp;T4&amp;T5,"")</f>
        <v xml:space="preserve"> else {$("#adv_user").html("Debe ingresar email valido");  $("#user").val("");  $("#user").focus();  } });});&lt;/script&gt;</v>
      </c>
    </row>
    <row r="214" spans="2:2" s="143" customFormat="1" ht="11.25">
      <c r="B214" s="235" t="str">
        <f>+IF($L$26="si",T6,"")</f>
        <v xml:space="preserve">&lt;script&gt; function validateEmail(email) {  </v>
      </c>
    </row>
    <row r="215" spans="2:2" s="143" customFormat="1" ht="11.25">
      <c r="B215" s="235" t="str">
        <f>+IF($L$26="si",T7,"")</f>
        <v xml:space="preserve"> var re = /^(([^&lt;&gt;()[\]\\.,;:\s@\"]+(\.[^&lt;&gt;()[\]\\.,;:\s@\"]+)*)|(\".+\"))@((\[[0-9]{1,3}\.[0-9]{1,3}\.[0-9]{1,3}\.[0-9]{1,3}\])|(([a-zA-Z\-0-9]+\.)+[a-zA-Z]{2,}))$/;</v>
      </c>
    </row>
    <row r="216" spans="2:2" s="143" customFormat="1" ht="11.25">
      <c r="B216" s="235" t="str">
        <f>+IF($L$26="si",T8,"")</f>
        <v xml:space="preserve">  return re.test(email); } &lt;/script&gt;</v>
      </c>
    </row>
    <row r="217" spans="2:2" s="143" customFormat="1" ht="11.25">
      <c r="B217" s="235" t="str">
        <f>+IF($L$26="si",U10,"")</f>
        <v>&lt;script language="Javascript"&gt;function capLock(e){</v>
      </c>
    </row>
    <row r="218" spans="2:2" s="143" customFormat="1" ht="11.25">
      <c r="B218" s="235" t="str">
        <f>+IF($L$26="si",U11,"")</f>
        <v xml:space="preserve"> kc = e.keyCode?e.keyCode:e.which; sk = e.shiftKey?e.shiftKey:((kc == 16)?true:false);</v>
      </c>
    </row>
    <row r="219" spans="2:2" s="143" customFormat="1" ht="11.25">
      <c r="B219" s="235" t="str">
        <f>+IF($L$26="si",U12,"")</f>
        <v xml:space="preserve"> if(((kc &gt;= 65 &amp;&amp; kc &lt;= 90) &amp;&amp; !sk)||((kc &gt;= 97 &amp;&amp; kc &lt;= 122) &amp;&amp; sk))  document.getElementById('divMayus').style.visibility = 'visible';</v>
      </c>
    </row>
    <row r="220" spans="2:2" s="143" customFormat="1" ht="11.25">
      <c r="B220" s="234" t="str">
        <f>+IF($L$26="si",V1,"")</f>
        <v xml:space="preserve"> else  document.getElementById('divMayus').style.visibility = 'hidden';} &lt;/script&gt;</v>
      </c>
    </row>
    <row r="221" spans="2:2" s="143" customFormat="1" ht="11.25">
      <c r="B221" s="234" t="s">
        <v>893</v>
      </c>
    </row>
    <row r="222" spans="2:2" s="143" customFormat="1" ht="11.25">
      <c r="B222" s="234" t="s">
        <v>1296</v>
      </c>
    </row>
    <row r="223" spans="2:2" s="143" customFormat="1" ht="11.25">
      <c r="B223" s="234" t="s">
        <v>1297</v>
      </c>
    </row>
    <row r="224" spans="2:2" s="143" customFormat="1" ht="11.25">
      <c r="B224" s="234" t="s">
        <v>1298</v>
      </c>
    </row>
    <row r="225" spans="2:10" s="143" customFormat="1" ht="11.25">
      <c r="B225" s="234" t="s">
        <v>1299</v>
      </c>
    </row>
    <row r="226" spans="2:10" s="143" customFormat="1" ht="11.25">
      <c r="B226" s="234" t="s">
        <v>1300</v>
      </c>
    </row>
    <row r="227" spans="2:10" s="143" customFormat="1" ht="11.25">
      <c r="B227" s="234" t="s">
        <v>1302</v>
      </c>
    </row>
    <row r="228" spans="2:10" s="143" customFormat="1" ht="11.25">
      <c r="B228" s="234" t="s">
        <v>1303</v>
      </c>
    </row>
    <row r="229" spans="2:10" s="143" customFormat="1" ht="11.25">
      <c r="B229" s="234" t="s">
        <v>1304</v>
      </c>
    </row>
    <row r="230" spans="2:10" s="143" customFormat="1" ht="11.25">
      <c r="B230" s="234" t="s">
        <v>1301</v>
      </c>
    </row>
    <row r="231" spans="2:10" s="143" customFormat="1" ht="11.25">
      <c r="B231" s="234" t="s">
        <v>1305</v>
      </c>
    </row>
    <row r="232" spans="2:10" s="143" customFormat="1" ht="8.25">
      <c r="B232" s="144" t="str">
        <f>IF($L$26="si","&lt;/html&gt;","")</f>
        <v>&lt;/html&gt;</v>
      </c>
    </row>
    <row r="233" spans="2:10">
      <c r="B233" s="13" t="s">
        <v>719</v>
      </c>
    </row>
    <row r="234" spans="2:10">
      <c r="B234" s="13" t="s">
        <v>1147</v>
      </c>
    </row>
    <row r="235" spans="2:10">
      <c r="B235" s="221" t="s">
        <v>1148</v>
      </c>
    </row>
    <row r="236" spans="2:10">
      <c r="B236" s="221" t="s">
        <v>1128</v>
      </c>
    </row>
    <row r="237" spans="2:10">
      <c r="B237" s="221" t="e">
        <f>+#REF!</f>
        <v>#REF!</v>
      </c>
    </row>
    <row r="238" spans="2:10">
      <c r="B238" s="221" t="e">
        <f>+#REF!</f>
        <v>#REF!</v>
      </c>
    </row>
    <row r="239" spans="2:10">
      <c r="B239" s="222" t="e">
        <f>+sessioncreator!B549</f>
        <v>#REF!</v>
      </c>
      <c r="C239" s="222"/>
      <c r="D239" s="222"/>
      <c r="E239" s="222"/>
      <c r="F239" s="222"/>
      <c r="G239" s="222"/>
      <c r="H239" s="222"/>
      <c r="I239" s="222"/>
      <c r="J239" s="222"/>
    </row>
    <row r="240" spans="2:10">
      <c r="B240" s="55" t="s">
        <v>1306</v>
      </c>
    </row>
    <row r="241" spans="2:17">
      <c r="B241" s="64" t="s">
        <v>1307</v>
      </c>
    </row>
    <row r="242" spans="2:17">
      <c r="B242" s="64" t="s">
        <v>1308</v>
      </c>
    </row>
    <row r="243" spans="2:17">
      <c r="B243" s="64" t="s">
        <v>6</v>
      </c>
    </row>
    <row r="244" spans="2:17">
      <c r="B244" s="64" t="s">
        <v>1309</v>
      </c>
    </row>
    <row r="245" spans="2:17">
      <c r="B245" s="61" t="s">
        <v>1310</v>
      </c>
    </row>
    <row r="246" spans="2:17">
      <c r="B246" s="64" t="s">
        <v>1311</v>
      </c>
    </row>
    <row r="247" spans="2:17">
      <c r="B247" s="61" t="s">
        <v>1312</v>
      </c>
    </row>
    <row r="248" spans="2:17">
      <c r="B248" s="243" t="s">
        <v>1313</v>
      </c>
    </row>
    <row r="249" spans="2:17">
      <c r="B249" s="13" t="s">
        <v>719</v>
      </c>
    </row>
    <row r="250" spans="2:17">
      <c r="B250" s="13" t="str">
        <f>IF(L26="si",'Membership protocol'!A31,"no needfor redirect file")</f>
        <v>2. FILE VERIFY</v>
      </c>
    </row>
    <row r="251" spans="2:17">
      <c r="B251" s="116" t="str">
        <f>IF(L26="si",'Membership protocol'!A32,"")</f>
        <v>&lt;?php //Jesus_verifying_smd.php</v>
      </c>
      <c r="J251" s="41"/>
    </row>
    <row r="252" spans="2:17">
      <c r="B252" s="116" t="str">
        <f>IF(L26="si",'Membership protocol'!A33,"")</f>
        <v>if (isset($_POST['user'])) {$user=$_POST['user'];}   if (isset($_POST['pwd'])) {$pwd=$_POST['pwd'];}</v>
      </c>
    </row>
    <row r="253" spans="2:17">
      <c r="B253" s="116" t="str">
        <f>IF(L26="si",'Membership protocol'!A34,"")</f>
        <v>if (empty($user)||empty($pwd))  {header("Location:Jesus_login.php?erroruser='0'");}</v>
      </c>
    </row>
    <row r="254" spans="2:17">
      <c r="B254" s="222" t="e">
        <f>+#REF!</f>
        <v>#REF!</v>
      </c>
      <c r="C254" s="222"/>
      <c r="D254" s="222"/>
      <c r="E254" s="222"/>
      <c r="F254" s="222"/>
      <c r="G254" s="222"/>
      <c r="H254" s="222"/>
      <c r="I254" s="222"/>
      <c r="J254" s="222"/>
      <c r="K254" s="222"/>
      <c r="L254" s="222"/>
      <c r="M254" s="222"/>
      <c r="N254" s="222"/>
      <c r="O254" s="222"/>
      <c r="P254" s="222"/>
      <c r="Q254" s="222"/>
    </row>
    <row r="255" spans="2:17">
      <c r="B255" s="222" t="e">
        <f>+#REF!</f>
        <v>#REF!</v>
      </c>
      <c r="C255" s="222"/>
      <c r="D255" s="222"/>
      <c r="E255" s="222"/>
      <c r="F255" s="222"/>
      <c r="G255" s="222"/>
      <c r="H255" s="222"/>
      <c r="I255" s="222"/>
      <c r="J255" s="222"/>
      <c r="K255" s="222"/>
      <c r="L255" s="222"/>
      <c r="M255" s="222"/>
      <c r="N255" s="222"/>
      <c r="O255" s="222"/>
      <c r="P255" s="222"/>
      <c r="Q255" s="222"/>
    </row>
    <row r="256" spans="2:17">
      <c r="B256" s="116" t="str">
        <f>IF(L26="si",'Membership protocol'!A36,"")</f>
        <v>mysql_select_db("healmy5_pray", $con);$result = mysql_query("SELECT * FROM session WHERE user='$user'");</v>
      </c>
    </row>
    <row r="257" spans="1:17">
      <c r="B257" s="116" t="str">
        <f>IF(L26="si",'Membership protocol'!A37,"")</f>
        <v>$knocker=mysql_fetch_array($result);$truepdw=$knocker['pwd'];mysql_close($con);</v>
      </c>
    </row>
    <row r="258" spans="1:17">
      <c r="B258" s="116" t="str">
        <f>IF(L26="si",'Membership protocol'!A38,"")</f>
        <v>if ($pwd!=$truepdw) {header("Location:Jesus_login.php?erroruser=1");}</v>
      </c>
    </row>
    <row r="259" spans="1:17">
      <c r="B259" s="116" t="str">
        <f>IF(L26="si",'Membership protocol'!A39,"")</f>
        <v>if ($pwd===$truepdw) { session_start(); $userid=$knocker[1];//user email</v>
      </c>
    </row>
    <row r="260" spans="1:17">
      <c r="B260" s="116" t="str">
        <f ca="1">IF(L26="si",'Membership protocol'!A40,"")</f>
        <v>$_SESSION["standard141509_Virgin_Mary_user"]=$userid; $_SESSION["standard141509_Virgin_Mary_autent"]= "yes"; header ("Location: a01Jesus1.php");}?&gt;</v>
      </c>
    </row>
    <row r="261" spans="1:17">
      <c r="B261" s="13" t="s">
        <v>719</v>
      </c>
    </row>
    <row r="262" spans="1:17">
      <c r="B262" s="13" t="s">
        <v>365</v>
      </c>
    </row>
    <row r="263" spans="1:17">
      <c r="B263" s="46" t="str">
        <f>"&lt;? /******   Recommended filename:  a01"&amp;L15&amp;L19&amp;".php    *****/ ?&gt;"</f>
        <v>&lt;? /******   Recommended filename:  a01Jesus1.php    *****/ ?&gt;</v>
      </c>
      <c r="I263" s="12" t="s">
        <v>587</v>
      </c>
      <c r="J263" s="12" t="str">
        <f>+"a01"&amp;unique_id!O15</f>
        <v>a01uniqueJesus.php</v>
      </c>
    </row>
    <row r="264" spans="1:17">
      <c r="B264" s="148" t="str">
        <f>IF(L26="si",L11&amp;L15&amp;J1&amp;L12,"&lt;?/*no login method*/?&gt;")</f>
        <v>&lt;? include ("Jesusb_SecureLayer.php");  ?&gt;</v>
      </c>
    </row>
    <row r="265" spans="1:17">
      <c r="B265" s="46" t="s">
        <v>129</v>
      </c>
    </row>
    <row r="266" spans="1:17">
      <c r="B266" s="222" t="e">
        <f>+#REF!</f>
        <v>#REF!</v>
      </c>
      <c r="C266" s="222"/>
      <c r="D266" s="222"/>
      <c r="E266" s="222"/>
      <c r="F266" s="222"/>
      <c r="G266" s="222"/>
      <c r="H266" s="222"/>
      <c r="I266" s="222"/>
      <c r="J266" s="222"/>
      <c r="K266" s="222"/>
      <c r="L266" s="222"/>
      <c r="M266" s="222"/>
      <c r="N266" s="222"/>
      <c r="O266" s="222"/>
      <c r="P266" s="222"/>
      <c r="Q266" s="222"/>
    </row>
    <row r="267" spans="1:17">
      <c r="B267" s="222" t="e">
        <f>+#REF!</f>
        <v>#REF!</v>
      </c>
      <c r="C267" s="222"/>
      <c r="D267" s="222"/>
      <c r="E267" s="222"/>
      <c r="F267" s="222"/>
      <c r="G267" s="222"/>
      <c r="H267" s="222"/>
      <c r="I267" s="222"/>
      <c r="J267" s="222"/>
      <c r="K267" s="222"/>
      <c r="L267" s="222"/>
      <c r="M267" s="222"/>
      <c r="N267" s="222"/>
      <c r="O267" s="222"/>
      <c r="P267" s="222"/>
      <c r="Q267" s="222"/>
    </row>
    <row r="268" spans="1:17">
      <c r="B268" s="46" t="str">
        <f>+R5&amp;L17&amp;R6</f>
        <v>mysql_query("CREATE DATABASE IF NOT EXISTS healmy5_pray");</v>
      </c>
    </row>
    <row r="269" spans="1:17">
      <c r="B269" s="46" t="str">
        <f>+R7</f>
        <v xml:space="preserve"> mysql_select_db('healmy5_pray', $con);</v>
      </c>
    </row>
    <row r="270" spans="1:17">
      <c r="A270" s="12">
        <v>1</v>
      </c>
      <c r="B270" s="46" t="str">
        <f>+sqlcreate!A10&amp;sqlcreate!A11&amp;sqlcreate!A12&amp;sqlcreate!A13&amp;sqlcreate!A14&amp;sqlcreate!A15&amp;sqlcreate!A16</f>
        <v>$sql = "CREATE TABLE IF NOT EXISTS Jesus1 (id INT(10) AUTO_INCREMENT PRIMARY KEY,user VARCHAR(50),tipo_doc_id VARCHAR(10),numd VARCHAR(50),tms_1 DATE</v>
      </c>
    </row>
    <row r="271" spans="1:17">
      <c r="A271" s="12">
        <v>2</v>
      </c>
      <c r="B271" s="46" t="str">
        <f>sqlcreate!A17&amp;sqlcreate!A18&amp;sqlcreate!A19&amp;sqlcreate!A20&amp;sqlcreate!A21&amp;sqlcreate!A22&amp;sqlcreate!A23</f>
        <v/>
      </c>
    </row>
    <row r="272" spans="1:17">
      <c r="A272" s="12">
        <v>3</v>
      </c>
      <c r="B272" s="46" t="str">
        <f>sqlcreate!A24&amp;sqlcreate!A25&amp;sqlcreate!A26&amp;sqlcreate!A27&amp;sqlcreate!A28&amp;sqlcreate!A29&amp;sqlcreate!A30</f>
        <v/>
      </c>
    </row>
    <row r="273" spans="1:2">
      <c r="A273" s="12">
        <v>4</v>
      </c>
      <c r="B273" s="46" t="str">
        <f>sqlcreate!A31&amp;sqlcreate!A32&amp;sqlcreate!A33&amp;sqlcreate!A34&amp;sqlcreate!A35&amp;sqlcreate!A36&amp;sqlcreate!A37</f>
        <v/>
      </c>
    </row>
    <row r="274" spans="1:2" hidden="1">
      <c r="A274" s="12">
        <v>5</v>
      </c>
      <c r="B274" s="46" t="str">
        <f>sqlcreate!A38&amp;sqlcreate!A39&amp;sqlcreate!A40&amp;sqlcreate!A41&amp;sqlcreate!A42&amp;sqlcreate!A43&amp;sqlcreate!A44</f>
        <v/>
      </c>
    </row>
    <row r="275" spans="1:2" hidden="1">
      <c r="A275" s="12">
        <v>6</v>
      </c>
      <c r="B275" s="46" t="str">
        <f>sqlcreate!A45&amp;sqlcreate!A46&amp;sqlcreate!A47&amp;sqlcreate!A48&amp;sqlcreate!A49&amp;sqlcreate!A50&amp;sqlcreate!A51</f>
        <v/>
      </c>
    </row>
    <row r="276" spans="1:2" hidden="1">
      <c r="A276" s="12">
        <v>7</v>
      </c>
      <c r="B276" s="46" t="str">
        <f>sqlcreate!A52&amp;sqlcreate!A53&amp;sqlcreate!A54&amp;sqlcreate!A55&amp;sqlcreate!A56&amp;sqlcreate!A57&amp;sqlcreate!A58</f>
        <v/>
      </c>
    </row>
    <row r="277" spans="1:2" hidden="1">
      <c r="A277" s="12">
        <v>8</v>
      </c>
      <c r="B277" s="46" t="str">
        <f>sqlcreate!A59&amp;sqlcreate!A60&amp;sqlcreate!A61&amp;sqlcreate!A62&amp;sqlcreate!A63&amp;sqlcreate!A64&amp;sqlcreate!A65</f>
        <v/>
      </c>
    </row>
    <row r="278" spans="1:2" hidden="1">
      <c r="A278" s="12">
        <v>9</v>
      </c>
      <c r="B278" s="46" t="str">
        <f>sqlcreate!A66&amp;sqlcreate!A67&amp;sqlcreate!A68&amp;sqlcreate!A69&amp;sqlcreate!A70&amp;sqlcreate!A71&amp;sqlcreate!A72</f>
        <v/>
      </c>
    </row>
    <row r="279" spans="1:2" hidden="1">
      <c r="A279" s="12">
        <v>10</v>
      </c>
      <c r="B279" s="46" t="str">
        <f>sqlcreate!A73&amp;sqlcreate!A74&amp;sqlcreate!A75&amp;sqlcreate!A76&amp;sqlcreate!A77&amp;sqlcreate!A78&amp;sqlcreate!A79</f>
        <v/>
      </c>
    </row>
    <row r="280" spans="1:2" hidden="1">
      <c r="A280" s="12">
        <v>11</v>
      </c>
      <c r="B280" s="46" t="str">
        <f>sqlcreate!A80&amp;sqlcreate!A81&amp;sqlcreate!A82&amp;sqlcreate!A83&amp;sqlcreate!A84&amp;sqlcreate!A85&amp;sqlcreate!A86</f>
        <v/>
      </c>
    </row>
    <row r="281" spans="1:2" hidden="1">
      <c r="A281" s="12">
        <v>12</v>
      </c>
      <c r="B281" s="46" t="str">
        <f>sqlcreate!A87&amp;sqlcreate!A88&amp;sqlcreate!A89&amp;sqlcreate!A90&amp;sqlcreate!A91&amp;sqlcreate!A92&amp;sqlcreate!A93</f>
        <v/>
      </c>
    </row>
    <row r="282" spans="1:2" hidden="1">
      <c r="A282" s="12">
        <v>13</v>
      </c>
      <c r="B282" s="46" t="str">
        <f>sqlcreate!A94&amp;sqlcreate!A95&amp;sqlcreate!A96&amp;sqlcreate!A97&amp;sqlcreate!A98&amp;sqlcreate!A99&amp;sqlcreate!A100</f>
        <v/>
      </c>
    </row>
    <row r="283" spans="1:2" hidden="1">
      <c r="A283" s="12">
        <v>14</v>
      </c>
      <c r="B283" s="46" t="str">
        <f>sqlcreate!A101&amp;sqlcreate!A102&amp;sqlcreate!A103&amp;sqlcreate!A104&amp;sqlcreate!A105&amp;sqlcreate!A106&amp;sqlcreate!A107</f>
        <v/>
      </c>
    </row>
    <row r="284" spans="1:2">
      <c r="B284" s="46" t="str">
        <f>sqlcreate!A108&amp;sqlcreate!A109&amp;sqlcreate!A110&amp;sqlcreate!A111&amp;sqlcreate!A112&amp;sqlcreate!A113&amp;sqlcreate!A114</f>
        <v>,last_update_by VARCHAR (50),updated_on DATE)";mysql_query($sql,$con);</v>
      </c>
    </row>
    <row r="285" spans="1:2">
      <c r="B285" s="46" t="s">
        <v>140</v>
      </c>
    </row>
    <row r="286" spans="1:2">
      <c r="B286" s="46" t="s">
        <v>107</v>
      </c>
    </row>
    <row r="287" spans="1:2" s="196" customFormat="1">
      <c r="B287" s="195" t="s">
        <v>593</v>
      </c>
    </row>
    <row r="288" spans="1:2" s="196" customFormat="1">
      <c r="B288" s="195" t="s">
        <v>594</v>
      </c>
    </row>
    <row r="289" spans="1:2" s="196" customFormat="1">
      <c r="B289" s="195" t="s">
        <v>595</v>
      </c>
    </row>
    <row r="290" spans="1:2" s="196" customFormat="1">
      <c r="B290" s="195" t="s">
        <v>636</v>
      </c>
    </row>
    <row r="291" spans="1:2" s="196" customFormat="1">
      <c r="B291" s="195" t="str">
        <f>+R9&amp;L17&amp;"style.css"&amp;R10</f>
        <v>&lt;link rel="stylesheet" type="text/css" href="healmy5_praystyle.css" /&gt;</v>
      </c>
    </row>
    <row r="292" spans="1:2" s="196" customFormat="1">
      <c r="B292" s="195" t="s">
        <v>597</v>
      </c>
    </row>
    <row r="293" spans="1:2" s="143" customFormat="1" ht="11.25">
      <c r="B293" s="231" t="s">
        <v>603</v>
      </c>
    </row>
    <row r="294" spans="1:2" s="143" customFormat="1" ht="11.25">
      <c r="B294" s="231" t="s">
        <v>604</v>
      </c>
    </row>
    <row r="295" spans="1:2" s="143" customFormat="1" ht="11.25">
      <c r="B295" s="231" t="s">
        <v>605</v>
      </c>
    </row>
    <row r="296" spans="1:2" s="143" customFormat="1" ht="11.25">
      <c r="B296" s="231" t="s">
        <v>606</v>
      </c>
    </row>
    <row r="297" spans="1:2" s="143" customFormat="1" ht="11.25">
      <c r="B297" s="231" t="s">
        <v>157</v>
      </c>
    </row>
    <row r="298" spans="1:2" s="143" customFormat="1" ht="11.25">
      <c r="B298" s="231" t="s">
        <v>607</v>
      </c>
    </row>
    <row r="299" spans="1:2" s="143" customFormat="1" ht="11.25">
      <c r="B299" s="231" t="s">
        <v>648</v>
      </c>
    </row>
    <row r="300" spans="1:2" hidden="1">
      <c r="B300" s="60"/>
    </row>
    <row r="301" spans="1:2">
      <c r="B301" s="60" t="str">
        <f>+R11&amp;L15&amp;"*/"</f>
        <v>&lt;script type="text/javascript"&gt;  /*ajax get request for table Jesus*/</v>
      </c>
    </row>
    <row r="302" spans="1:2">
      <c r="B302" s="60" t="s">
        <v>160</v>
      </c>
    </row>
    <row r="303" spans="1:2">
      <c r="B303" s="60" t="str">
        <f>+A1&amp;L19&amp;A2</f>
        <v>$("#searchbutton1").click(function() {</v>
      </c>
    </row>
    <row r="304" spans="1:2">
      <c r="A304" s="12">
        <v>1</v>
      </c>
      <c r="B304" s="60" t="str">
        <f>+BM15&amp;BM16&amp;BM17&amp;BM18&amp;BM19&amp;BM20&amp;BM21</f>
        <v/>
      </c>
    </row>
    <row r="305" spans="1:2">
      <c r="A305" s="12">
        <v>2</v>
      </c>
      <c r="B305" s="60" t="str">
        <f>+BM22&amp;BM23&amp;BM24&amp;BM25&amp;BM26&amp;BM27&amp;BM28</f>
        <v/>
      </c>
    </row>
    <row r="306" spans="1:2">
      <c r="A306" s="12">
        <v>3</v>
      </c>
      <c r="B306" s="60" t="str">
        <f>+BM29&amp;BM30&amp;BM31&amp;BM32&amp;BM33&amp;BM34&amp;BM35</f>
        <v/>
      </c>
    </row>
    <row r="307" spans="1:2" hidden="1">
      <c r="A307" s="12">
        <v>4</v>
      </c>
      <c r="B307" s="60" t="str">
        <f>+BM36&amp;BM37&amp;BM38&amp;BM39&amp;BM40&amp;BM41&amp;BM42</f>
        <v/>
      </c>
    </row>
    <row r="308" spans="1:2" hidden="1">
      <c r="A308" s="12">
        <v>5</v>
      </c>
      <c r="B308" s="60" t="str">
        <f>+BM43&amp;BM44&amp;BM45&amp;BM46&amp;BM47&amp;BM48&amp;BM49</f>
        <v/>
      </c>
    </row>
    <row r="309" spans="1:2" hidden="1">
      <c r="A309" s="12">
        <v>6</v>
      </c>
      <c r="B309" s="60" t="str">
        <f>+BM50&amp;BM51&amp;BM52&amp;BM53&amp;BM54&amp;BM55&amp;BM56</f>
        <v/>
      </c>
    </row>
    <row r="310" spans="1:2" hidden="1">
      <c r="A310" s="12">
        <v>7</v>
      </c>
      <c r="B310" s="60" t="str">
        <f>+BM57&amp;BM58&amp;BM59&amp;BM60&amp;BM61&amp;BM62&amp;BM63</f>
        <v/>
      </c>
    </row>
    <row r="311" spans="1:2" hidden="1">
      <c r="A311" s="12">
        <v>8</v>
      </c>
      <c r="B311" s="60" t="str">
        <f>+BM64&amp;BM65&amp;BM66&amp;BM67&amp;BM68&amp;BM69&amp;BM70</f>
        <v/>
      </c>
    </row>
    <row r="312" spans="1:2" hidden="1">
      <c r="A312" s="12">
        <v>9</v>
      </c>
      <c r="B312" s="60" t="str">
        <f>+BM71&amp;BM72&amp;BM73&amp;BM74&amp;BM75&amp;BM76&amp;BM77</f>
        <v/>
      </c>
    </row>
    <row r="313" spans="1:2" hidden="1">
      <c r="A313" s="12">
        <v>10</v>
      </c>
      <c r="B313" s="60" t="str">
        <f>+BM78&amp;BM79&amp;BM80&amp;BM81&amp;BM82&amp;BM83&amp;BM84</f>
        <v/>
      </c>
    </row>
    <row r="314" spans="1:2" hidden="1">
      <c r="A314" s="12">
        <v>11</v>
      </c>
      <c r="B314" s="60" t="str">
        <f>+BM85&amp;BM86&amp;BM87&amp;BM88&amp;BM89&amp;BM90&amp;BM91</f>
        <v/>
      </c>
    </row>
    <row r="315" spans="1:2" hidden="1">
      <c r="A315" s="12">
        <v>12</v>
      </c>
      <c r="B315" s="60" t="str">
        <f>+BM92&amp;BM93&amp;BM94&amp;BM95&amp;BM96&amp;BM97&amp;BM98</f>
        <v/>
      </c>
    </row>
    <row r="316" spans="1:2" hidden="1">
      <c r="A316" s="12">
        <v>13</v>
      </c>
      <c r="B316" s="60" t="str">
        <f>+BM99&amp;BM100&amp;BM101&amp;BM102&amp;BM103&amp;BM104&amp;BM105</f>
        <v/>
      </c>
    </row>
    <row r="317" spans="1:2" hidden="1">
      <c r="A317" s="12">
        <v>14</v>
      </c>
      <c r="B317" s="60" t="str">
        <f>+BM106&amp;BM107&amp;BM108&amp;BM109&amp;BM110&amp;BM111&amp;BM112</f>
        <v/>
      </c>
    </row>
    <row r="318" spans="1:2" ht="15" hidden="1" customHeight="1">
      <c r="A318" s="12">
        <v>15</v>
      </c>
      <c r="B318" s="60" t="str">
        <f>+BM113&amp;BM114</f>
        <v/>
      </c>
    </row>
    <row r="319" spans="1:2" ht="15" customHeight="1">
      <c r="B319" s="60" t="s">
        <v>667</v>
      </c>
    </row>
    <row r="320" spans="1:2" ht="15" hidden="1" customHeight="1">
      <c r="A320" s="12">
        <v>1</v>
      </c>
      <c r="B320" s="60" t="str">
        <f>+CP15&amp;CP16&amp;CP17&amp;CP18&amp;CP19&amp;CP20&amp;CP21</f>
        <v/>
      </c>
    </row>
    <row r="321" spans="1:2" ht="15" hidden="1" customHeight="1">
      <c r="A321" s="12">
        <v>2</v>
      </c>
      <c r="B321" s="60" t="str">
        <f>+CP22&amp;CP23&amp;CP24&amp;CP25&amp;CP26&amp;CP27&amp;CP28</f>
        <v/>
      </c>
    </row>
    <row r="322" spans="1:2" ht="15" hidden="1" customHeight="1">
      <c r="A322" s="12">
        <v>3</v>
      </c>
      <c r="B322" s="60" t="str">
        <f>+CP29&amp;CP30&amp;CP31&amp;CP32&amp;CP33&amp;CP34&amp;CP35</f>
        <v/>
      </c>
    </row>
    <row r="323" spans="1:2" ht="15" hidden="1" customHeight="1">
      <c r="A323" s="12">
        <v>4</v>
      </c>
      <c r="B323" s="60" t="str">
        <f>+CP36&amp;CP37&amp;CP38&amp;CP39&amp;CP40&amp;CP41&amp;CP42</f>
        <v/>
      </c>
    </row>
    <row r="324" spans="1:2" ht="15" hidden="1" customHeight="1">
      <c r="A324" s="12">
        <v>5</v>
      </c>
      <c r="B324" s="60" t="str">
        <f>+CP43&amp;CP44&amp;CP45&amp;CP46&amp;CP47&amp;CP48&amp;CP49</f>
        <v/>
      </c>
    </row>
    <row r="325" spans="1:2" ht="15" hidden="1" customHeight="1">
      <c r="A325" s="12">
        <v>6</v>
      </c>
      <c r="B325" s="60" t="str">
        <f>+CP50&amp;CP51&amp;CP52&amp;CP53&amp;CP54&amp;CP55&amp;CP56</f>
        <v/>
      </c>
    </row>
    <row r="326" spans="1:2" ht="15" hidden="1" customHeight="1">
      <c r="A326" s="12">
        <v>7</v>
      </c>
      <c r="B326" s="60" t="str">
        <f>+CP57&amp;CP58&amp;CP59&amp;CP60&amp;CP61&amp;CP62&amp;CP63</f>
        <v/>
      </c>
    </row>
    <row r="327" spans="1:2" ht="15" hidden="1" customHeight="1">
      <c r="A327" s="12">
        <v>8</v>
      </c>
      <c r="B327" s="60" t="str">
        <f>+CP64&amp;CP65&amp;CP66&amp;CP67&amp;CP68&amp;CP69&amp;CP70</f>
        <v/>
      </c>
    </row>
    <row r="328" spans="1:2" ht="15" hidden="1" customHeight="1">
      <c r="A328" s="12">
        <v>9</v>
      </c>
      <c r="B328" s="60" t="str">
        <f>+CP71&amp;CP72&amp;CP73&amp;CP74&amp;CP75&amp;CP76&amp;CP77</f>
        <v/>
      </c>
    </row>
    <row r="329" spans="1:2" ht="15" hidden="1" customHeight="1">
      <c r="A329" s="12">
        <v>10</v>
      </c>
      <c r="B329" s="60" t="str">
        <f>+CP78&amp;CP79&amp;CP80&amp;CP81&amp;CP82&amp;CP83&amp;CP84</f>
        <v/>
      </c>
    </row>
    <row r="330" spans="1:2" ht="15" hidden="1" customHeight="1">
      <c r="A330" s="12">
        <v>11</v>
      </c>
      <c r="B330" s="60" t="str">
        <f>+CP85&amp;CP86&amp;CP87&amp;CP88&amp;CP89&amp;CP90&amp;CP91</f>
        <v/>
      </c>
    </row>
    <row r="331" spans="1:2" ht="15" hidden="1" customHeight="1">
      <c r="A331" s="12">
        <v>12</v>
      </c>
      <c r="B331" s="60" t="str">
        <f>+CP92&amp;CP93&amp;CP94&amp;CP95&amp;CP96&amp;CP97&amp;CP98</f>
        <v/>
      </c>
    </row>
    <row r="332" spans="1:2" ht="15" hidden="1" customHeight="1">
      <c r="A332" s="12">
        <v>13</v>
      </c>
      <c r="B332" s="60" t="str">
        <f>+CP99&amp;CP100&amp;CP101&amp;CP102&amp;CP103&amp;CP104&amp;CP105</f>
        <v/>
      </c>
    </row>
    <row r="333" spans="1:2" ht="15" hidden="1" customHeight="1">
      <c r="A333" s="12">
        <v>14</v>
      </c>
      <c r="B333" s="60" t="str">
        <f>+CP106&amp;CP107&amp;CP108&amp;CP109&amp;CP110&amp;CP111&amp;CP112</f>
        <v/>
      </c>
    </row>
    <row r="334" spans="1:2" ht="15" hidden="1" customHeight="1">
      <c r="A334" s="12">
        <v>15</v>
      </c>
      <c r="B334" s="60" t="str">
        <f>+CP113&amp;CP114</f>
        <v/>
      </c>
    </row>
    <row r="335" spans="1:2">
      <c r="B335" s="62" t="str">
        <f>+B3</f>
        <v/>
      </c>
    </row>
    <row r="336" spans="1:2" ht="16.5" customHeight="1">
      <c r="A336" s="12">
        <v>1</v>
      </c>
      <c r="B336" s="62" t="str">
        <f>+AJ15&amp;AJ16&amp;AJ17&amp;AJ18&amp;AJ19&amp;AJ20&amp;AJ21</f>
        <v/>
      </c>
    </row>
    <row r="337" spans="1:2">
      <c r="A337" s="12">
        <v>2</v>
      </c>
      <c r="B337" s="62" t="str">
        <f>+AJ22&amp;AJ23&amp;AJ24&amp;AJ25&amp;AJ26&amp;AJ27&amp;AJ28</f>
        <v/>
      </c>
    </row>
    <row r="338" spans="1:2">
      <c r="A338" s="12">
        <v>3</v>
      </c>
      <c r="B338" s="62" t="str">
        <f>+AJ29&amp;AJ30&amp;AJ31&amp;AJ32&amp;AJ33&amp;AJ34&amp;AJ35</f>
        <v/>
      </c>
    </row>
    <row r="339" spans="1:2" hidden="1">
      <c r="A339" s="12">
        <v>4</v>
      </c>
      <c r="B339" s="62" t="str">
        <f>+AJ35&amp;AJ36&amp;AJ37&amp;AJ38&amp;AJ39&amp;AJ40&amp;AJ41</f>
        <v/>
      </c>
    </row>
    <row r="340" spans="1:2" hidden="1">
      <c r="A340" s="12">
        <v>5</v>
      </c>
      <c r="B340" s="62" t="str">
        <f>+AJ42&amp;AJ43&amp;AJ44&amp;AJ45&amp;AJ46&amp;AJ47&amp;AJ48</f>
        <v/>
      </c>
    </row>
    <row r="341" spans="1:2" hidden="1">
      <c r="A341" s="12">
        <v>6</v>
      </c>
      <c r="B341" s="62" t="str">
        <f>+AJ49&amp;AJ50&amp;AJ51&amp;AJ52&amp;AJ53&amp;AJ54&amp;AJ55</f>
        <v/>
      </c>
    </row>
    <row r="342" spans="1:2" hidden="1">
      <c r="A342" s="12">
        <v>7</v>
      </c>
      <c r="B342" s="62" t="str">
        <f>+AJ56&amp;AJ57&amp;AJ58&amp;AJ59&amp;AJ60&amp;AJ61&amp;AJ62</f>
        <v/>
      </c>
    </row>
    <row r="343" spans="1:2" hidden="1">
      <c r="A343" s="12">
        <v>8</v>
      </c>
      <c r="B343" s="62" t="str">
        <f>+AJ63&amp;AJ64&amp;AJ65&amp;AJ66&amp;AJ67&amp;AJ68&amp;AJ69</f>
        <v/>
      </c>
    </row>
    <row r="344" spans="1:2" hidden="1">
      <c r="A344" s="12">
        <v>9</v>
      </c>
      <c r="B344" s="62" t="str">
        <f>+AJ70&amp;AJ71&amp;AJ72&amp;AJ73&amp;AJ74&amp;AJ75&amp;AJ76</f>
        <v/>
      </c>
    </row>
    <row r="345" spans="1:2" hidden="1">
      <c r="A345" s="12">
        <v>10</v>
      </c>
      <c r="B345" s="62" t="str">
        <f>+AJ77&amp;AJ78&amp;AJ79&amp;AJ80&amp;AJ81&amp;AJ82&amp;AJ83</f>
        <v/>
      </c>
    </row>
    <row r="346" spans="1:2" hidden="1">
      <c r="A346" s="12">
        <v>11</v>
      </c>
      <c r="B346" s="62" t="str">
        <f>+AJ84&amp;AJ85&amp;AJ86&amp;AJ87&amp;AJ88&amp;AJ89&amp;AJ90</f>
        <v/>
      </c>
    </row>
    <row r="347" spans="1:2" hidden="1">
      <c r="A347" s="12">
        <v>12</v>
      </c>
      <c r="B347" s="62" t="str">
        <f>+AJ91&amp;AJ92&amp;AJ93&amp;AJ94&amp;AJ95&amp;AJ96&amp;AJ97</f>
        <v/>
      </c>
    </row>
    <row r="348" spans="1:2" hidden="1">
      <c r="A348" s="12">
        <v>13</v>
      </c>
      <c r="B348" s="62" t="str">
        <f>+AJ98&amp;AJ99&amp;AJ100&amp;AJ101&amp;AJ102&amp;AJ103&amp;AJ104</f>
        <v/>
      </c>
    </row>
    <row r="349" spans="1:2" hidden="1">
      <c r="A349" s="12">
        <v>14</v>
      </c>
      <c r="B349" s="62" t="str">
        <f>+AJ105&amp;AJ106&amp;AJ107&amp;AJ108&amp;AJ109&amp;AJ110&amp;AJ111</f>
        <v/>
      </c>
    </row>
    <row r="350" spans="1:2" hidden="1">
      <c r="A350" s="12">
        <v>15</v>
      </c>
      <c r="B350" s="62" t="str">
        <f>+AJ112&amp;AJ113&amp;AJ114</f>
        <v/>
      </c>
    </row>
    <row r="351" spans="1:2">
      <c r="B351" s="62" t="s">
        <v>669</v>
      </c>
    </row>
    <row r="352" spans="1:2" hidden="1">
      <c r="A352" s="12">
        <v>1</v>
      </c>
      <c r="B352" s="62" t="str">
        <f>+CQ15&amp;CQ16&amp;CQ17&amp;CQ18&amp;CQ19&amp;CQ20&amp;CQ21</f>
        <v/>
      </c>
    </row>
    <row r="353" spans="1:2" hidden="1">
      <c r="A353" s="12">
        <v>2</v>
      </c>
      <c r="B353" s="62" t="str">
        <f>+CQ22&amp;CQ23&amp;CQ24&amp;CQ25&amp;CQ26&amp;CQ27&amp;CQ28</f>
        <v/>
      </c>
    </row>
    <row r="354" spans="1:2" hidden="1">
      <c r="A354" s="12">
        <v>3</v>
      </c>
      <c r="B354" s="62" t="str">
        <f>+CQ29&amp;CQ30&amp;CQ31&amp;CQ32&amp;CQ33&amp;CQ34&amp;CQ35</f>
        <v/>
      </c>
    </row>
    <row r="355" spans="1:2" hidden="1">
      <c r="A355" s="12">
        <v>4</v>
      </c>
      <c r="B355" s="62" t="str">
        <f>+CQ35&amp;CQ36&amp;CQ37&amp;CQ38&amp;CQ39&amp;CQ40&amp;CQ41</f>
        <v/>
      </c>
    </row>
    <row r="356" spans="1:2" hidden="1">
      <c r="A356" s="12">
        <v>5</v>
      </c>
      <c r="B356" s="62" t="str">
        <f>+CQ42&amp;CQ43&amp;CQ44&amp;CQ45&amp;CQ46&amp;CQ47&amp;CQ48</f>
        <v/>
      </c>
    </row>
    <row r="357" spans="1:2" hidden="1">
      <c r="A357" s="12">
        <v>6</v>
      </c>
      <c r="B357" s="62" t="str">
        <f>+CQ49&amp;CQ50&amp;CQ51&amp;CQ52&amp;CQ53&amp;CQ54&amp;CQ55</f>
        <v/>
      </c>
    </row>
    <row r="358" spans="1:2" hidden="1">
      <c r="A358" s="12">
        <v>7</v>
      </c>
      <c r="B358" s="62" t="str">
        <f>+CQ56&amp;CQ57&amp;CQ58&amp;CQ59&amp;CQ60&amp;CQ61&amp;CQ62</f>
        <v/>
      </c>
    </row>
    <row r="359" spans="1:2" hidden="1">
      <c r="A359" s="12">
        <v>8</v>
      </c>
      <c r="B359" s="62" t="str">
        <f>+CQ63&amp;CQ64&amp;CQ65&amp;CQ66&amp;CQ67&amp;CQ68&amp;CQ69</f>
        <v/>
      </c>
    </row>
    <row r="360" spans="1:2" hidden="1">
      <c r="A360" s="12">
        <v>9</v>
      </c>
      <c r="B360" s="62" t="str">
        <f>+CQ70&amp;CQ71&amp;CQ72&amp;CQ73&amp;CQ74&amp;CQ75&amp;CQ76</f>
        <v/>
      </c>
    </row>
    <row r="361" spans="1:2" hidden="1">
      <c r="A361" s="12">
        <v>10</v>
      </c>
      <c r="B361" s="62" t="str">
        <f>+CQ77&amp;CQ78&amp;CQ79&amp;CQ80&amp;CQ81&amp;CQ82&amp;CQ83</f>
        <v/>
      </c>
    </row>
    <row r="362" spans="1:2" hidden="1">
      <c r="A362" s="12">
        <v>11</v>
      </c>
      <c r="B362" s="62" t="str">
        <f>+CQ84&amp;CQ85&amp;CQ86&amp;CQ87&amp;CQ88&amp;CQ89&amp;CQ90</f>
        <v/>
      </c>
    </row>
    <row r="363" spans="1:2" hidden="1">
      <c r="A363" s="12">
        <v>12</v>
      </c>
      <c r="B363" s="62" t="str">
        <f>+CQ91&amp;CQ92&amp;CQ93&amp;CQ94&amp;CQ95&amp;CQ96&amp;CQ97</f>
        <v/>
      </c>
    </row>
    <row r="364" spans="1:2" hidden="1">
      <c r="A364" s="12">
        <v>13</v>
      </c>
      <c r="B364" s="62" t="str">
        <f>+CQ98&amp;CQ99&amp;CQ100&amp;CQ101&amp;CQ102&amp;CQ103&amp;CQ104</f>
        <v/>
      </c>
    </row>
    <row r="365" spans="1:2" hidden="1">
      <c r="A365" s="12">
        <v>14</v>
      </c>
      <c r="B365" s="62" t="str">
        <f>+CQ105&amp;CQ106&amp;CQ107&amp;CQ108&amp;CQ109&amp;CQ110&amp;CQ111</f>
        <v/>
      </c>
    </row>
    <row r="366" spans="1:2" hidden="1">
      <c r="A366" s="12">
        <v>15</v>
      </c>
      <c r="B366" s="62" t="str">
        <f>+CQ112&amp;CQ113&amp;CQ114</f>
        <v/>
      </c>
    </row>
    <row r="367" spans="1:2">
      <c r="B367" s="62" t="str">
        <f>+B5&amp;B6</f>
        <v/>
      </c>
    </row>
    <row r="368" spans="1:2">
      <c r="A368" s="12">
        <v>1</v>
      </c>
      <c r="B368" s="62" t="str">
        <f>+AK15&amp;AK16&amp;AK17&amp;AK18&amp;AK19&amp;AK20&amp;AK21</f>
        <v/>
      </c>
    </row>
    <row r="369" spans="1:2">
      <c r="A369" s="12">
        <v>2</v>
      </c>
      <c r="B369" s="62" t="str">
        <f>+AK22&amp;AK23&amp;AK24&amp;AK25&amp;AK26&amp;AK27&amp;AK28</f>
        <v/>
      </c>
    </row>
    <row r="370" spans="1:2">
      <c r="A370" s="12">
        <v>3</v>
      </c>
      <c r="B370" s="62" t="str">
        <f>+AK29&amp;AK30&amp;AK31&amp;AK32&amp;AK33&amp;AK34&amp;AK35</f>
        <v/>
      </c>
    </row>
    <row r="371" spans="1:2" hidden="1">
      <c r="A371" s="12">
        <v>4</v>
      </c>
      <c r="B371" s="62" t="str">
        <f>+AK36&amp;AK37&amp;AK38&amp;AK39&amp;AK40&amp;AK41&amp;AK42</f>
        <v/>
      </c>
    </row>
    <row r="372" spans="1:2" hidden="1">
      <c r="A372" s="12">
        <v>5</v>
      </c>
      <c r="B372" s="62" t="str">
        <f>+AK43&amp;AK44&amp;AK45&amp;AK46&amp;AK47&amp;AK48&amp;AK49</f>
        <v/>
      </c>
    </row>
    <row r="373" spans="1:2" hidden="1">
      <c r="A373" s="12">
        <v>6</v>
      </c>
      <c r="B373" s="62" t="str">
        <f>+AK50&amp;AK51&amp;AK52&amp;AK53&amp;AK54&amp;AK55&amp;AK56</f>
        <v/>
      </c>
    </row>
    <row r="374" spans="1:2" hidden="1">
      <c r="A374" s="12">
        <v>7</v>
      </c>
      <c r="B374" s="62" t="str">
        <f>+AK57&amp;AK58&amp;AK59&amp;AK60&amp;AK61&amp;AK62&amp;AK63</f>
        <v/>
      </c>
    </row>
    <row r="375" spans="1:2" hidden="1">
      <c r="A375" s="12">
        <v>8</v>
      </c>
      <c r="B375" s="62" t="str">
        <f>+AK64&amp;AK65&amp;AK66&amp;AK67&amp;AK68&amp;AK69&amp;AK70</f>
        <v/>
      </c>
    </row>
    <row r="376" spans="1:2" hidden="1">
      <c r="A376" s="12">
        <v>9</v>
      </c>
      <c r="B376" s="62" t="str">
        <f>+AK71&amp;AK72&amp;AK73&amp;AK74&amp;AK75&amp;AK76&amp;AK77</f>
        <v/>
      </c>
    </row>
    <row r="377" spans="1:2" hidden="1">
      <c r="A377" s="12">
        <v>10</v>
      </c>
      <c r="B377" s="62" t="str">
        <f>+AK78&amp;AK79&amp;AK80&amp;AK81&amp;AK82&amp;AK83&amp;AK84</f>
        <v/>
      </c>
    </row>
    <row r="378" spans="1:2" hidden="1">
      <c r="A378" s="12">
        <v>11</v>
      </c>
      <c r="B378" s="62" t="str">
        <f>+AK85&amp;AK86&amp;AK87&amp;AK88&amp;AK89&amp;AK90&amp;AK91</f>
        <v/>
      </c>
    </row>
    <row r="379" spans="1:2" hidden="1">
      <c r="A379" s="12">
        <v>12</v>
      </c>
      <c r="B379" s="62" t="str">
        <f>+AK92&amp;AK93&amp;AK94&amp;AK95&amp;AK96&amp;AK97&amp;AK98</f>
        <v/>
      </c>
    </row>
    <row r="380" spans="1:2" hidden="1">
      <c r="A380" s="12">
        <v>13</v>
      </c>
      <c r="B380" s="62" t="str">
        <f>+AK99&amp;AK100&amp;AK101&amp;AK102&amp;AK103&amp;AK104&amp;AK105</f>
        <v/>
      </c>
    </row>
    <row r="381" spans="1:2" hidden="1">
      <c r="A381" s="12">
        <v>14</v>
      </c>
      <c r="B381" s="62" t="str">
        <f>+AK106&amp;AK107&amp;AK108&amp;AK109&amp;AK110&amp;AK111&amp;AK112</f>
        <v/>
      </c>
    </row>
    <row r="382" spans="1:2" hidden="1">
      <c r="A382" s="12">
        <v>15</v>
      </c>
      <c r="B382" s="62" t="str">
        <f>+AK113&amp;AK114</f>
        <v/>
      </c>
    </row>
    <row r="383" spans="1:2">
      <c r="B383" s="61" t="s">
        <v>671</v>
      </c>
    </row>
    <row r="384" spans="1:2" hidden="1">
      <c r="A384" s="12">
        <v>1</v>
      </c>
      <c r="B384" s="62" t="str">
        <f>+CR15&amp;CR16&amp;CR17&amp;CR18&amp;CR19&amp;CR20&amp;CR21</f>
        <v/>
      </c>
    </row>
    <row r="385" spans="1:2" hidden="1">
      <c r="A385" s="12">
        <v>2</v>
      </c>
      <c r="B385" s="62" t="str">
        <f>+CR22&amp;CR23&amp;CR24&amp;CR25&amp;CR26&amp;CR27&amp;CR28</f>
        <v/>
      </c>
    </row>
    <row r="386" spans="1:2" hidden="1">
      <c r="A386" s="12">
        <v>3</v>
      </c>
      <c r="B386" s="62" t="str">
        <f>+CR29&amp;CR30&amp;CR31&amp;CR32&amp;CR33&amp;CR34&amp;CR35</f>
        <v/>
      </c>
    </row>
    <row r="387" spans="1:2" hidden="1">
      <c r="A387" s="12">
        <v>4</v>
      </c>
      <c r="B387" s="62" t="str">
        <f>+CR36&amp;CR37&amp;CR38&amp;CR39&amp;CR40&amp;CR41&amp;CR42</f>
        <v/>
      </c>
    </row>
    <row r="388" spans="1:2" hidden="1">
      <c r="A388" s="12">
        <v>5</v>
      </c>
      <c r="B388" s="62" t="str">
        <f>+CR43&amp;CR44&amp;CR45&amp;CR46&amp;CR47&amp;CR48&amp;CR49</f>
        <v/>
      </c>
    </row>
    <row r="389" spans="1:2" hidden="1">
      <c r="A389" s="12">
        <v>6</v>
      </c>
      <c r="B389" s="62" t="str">
        <f>+CR50&amp;CR51&amp;CR52&amp;CR53&amp;CR54&amp;CR55&amp;CR56</f>
        <v/>
      </c>
    </row>
    <row r="390" spans="1:2" hidden="1">
      <c r="A390" s="12">
        <v>7</v>
      </c>
      <c r="B390" s="62" t="str">
        <f>+CR57&amp;CR58&amp;CR59&amp;CR60&amp;CR61&amp;CR62&amp;CR63</f>
        <v/>
      </c>
    </row>
    <row r="391" spans="1:2" hidden="1">
      <c r="A391" s="12">
        <v>8</v>
      </c>
      <c r="B391" s="62" t="str">
        <f>+CR64&amp;CR65&amp;CR66&amp;CR67&amp;CR68&amp;CR69&amp;CR70</f>
        <v/>
      </c>
    </row>
    <row r="392" spans="1:2" hidden="1">
      <c r="A392" s="12">
        <v>9</v>
      </c>
      <c r="B392" s="62" t="str">
        <f>+CR71&amp;CR72&amp;CR73&amp;CR74&amp;CR75&amp;CR76&amp;CR77</f>
        <v/>
      </c>
    </row>
    <row r="393" spans="1:2" hidden="1">
      <c r="A393" s="12">
        <v>10</v>
      </c>
      <c r="B393" s="62" t="str">
        <f>+CR78&amp;CR79&amp;CR80&amp;CR81&amp;CR82&amp;CR83&amp;CR84</f>
        <v/>
      </c>
    </row>
    <row r="394" spans="1:2" hidden="1">
      <c r="A394" s="12">
        <v>11</v>
      </c>
      <c r="B394" s="62" t="str">
        <f>+CR85&amp;CR86&amp;CR87&amp;CR88&amp;CR89&amp;CR90&amp;CR91</f>
        <v/>
      </c>
    </row>
    <row r="395" spans="1:2" hidden="1">
      <c r="A395" s="12">
        <v>12</v>
      </c>
      <c r="B395" s="62" t="str">
        <f>+CR92&amp;CR93&amp;CR94&amp;CR95&amp;CR96&amp;CR97&amp;CR98</f>
        <v/>
      </c>
    </row>
    <row r="396" spans="1:2" hidden="1">
      <c r="A396" s="12">
        <v>13</v>
      </c>
      <c r="B396" s="62" t="str">
        <f>+CR99&amp;CR100&amp;CR101&amp;CR102&amp;CR103&amp;CR104&amp;CR105</f>
        <v/>
      </c>
    </row>
    <row r="397" spans="1:2" hidden="1">
      <c r="A397" s="12">
        <v>14</v>
      </c>
      <c r="B397" s="62" t="str">
        <f>+CR106&amp;CR107&amp;CR108&amp;CR109&amp;CR110&amp;CR111&amp;CR112</f>
        <v/>
      </c>
    </row>
    <row r="398" spans="1:2" hidden="1">
      <c r="A398" s="12">
        <v>15</v>
      </c>
      <c r="B398" s="62" t="str">
        <f>+CR113&amp;CR114</f>
        <v/>
      </c>
    </row>
    <row r="399" spans="1:2">
      <c r="B399" s="61" t="s">
        <v>397</v>
      </c>
    </row>
    <row r="400" spans="1:2">
      <c r="A400" s="12">
        <v>1</v>
      </c>
      <c r="B400" s="60" t="str">
        <f>+AF15&amp;AF16&amp;AF17&amp;AF18&amp;AF19&amp;AF20&amp;AF21</f>
        <v/>
      </c>
    </row>
    <row r="401" spans="1:2" hidden="1">
      <c r="A401" s="12">
        <v>2</v>
      </c>
      <c r="B401" s="60" t="str">
        <f>+AF22&amp;AF23&amp;AF24&amp;AF25&amp;AF26&amp;AF27&amp;AF28</f>
        <v/>
      </c>
    </row>
    <row r="402" spans="1:2">
      <c r="A402" s="12">
        <v>3</v>
      </c>
      <c r="B402" s="60" t="str">
        <f>+AF29&amp;AF30&amp;AF31&amp;AF32&amp;AF33&amp;AF34&amp;AF35</f>
        <v/>
      </c>
    </row>
    <row r="403" spans="1:2" hidden="1">
      <c r="A403" s="12">
        <v>4</v>
      </c>
      <c r="B403" s="60" t="str">
        <f>+AF36&amp;AF37&amp;AF38&amp;AF39&amp;AF40&amp;AF41&amp;AF42</f>
        <v/>
      </c>
    </row>
    <row r="404" spans="1:2" hidden="1">
      <c r="A404" s="12">
        <v>5</v>
      </c>
      <c r="B404" s="60" t="str">
        <f>+AF43&amp;AF44&amp;AF45&amp;AF46&amp;AF47&amp;AF48&amp;AF49</f>
        <v/>
      </c>
    </row>
    <row r="405" spans="1:2" hidden="1">
      <c r="A405" s="12">
        <v>6</v>
      </c>
      <c r="B405" s="60" t="str">
        <f>+AF50&amp;AF51&amp;AF52&amp;AF53&amp;AF54&amp;AF55&amp;AF56</f>
        <v/>
      </c>
    </row>
    <row r="406" spans="1:2" hidden="1">
      <c r="A406" s="12">
        <v>7</v>
      </c>
      <c r="B406" s="60" t="str">
        <f>+AF57&amp;AF58&amp;AF59&amp;AF60&amp;AF61&amp;AF62&amp;AF63</f>
        <v/>
      </c>
    </row>
    <row r="407" spans="1:2" hidden="1">
      <c r="A407" s="12">
        <v>8</v>
      </c>
      <c r="B407" s="60" t="str">
        <f>+AF64&amp;AF65&amp;AF66&amp;AF67&amp;AF68&amp;AF69&amp;AF70</f>
        <v/>
      </c>
    </row>
    <row r="408" spans="1:2" hidden="1">
      <c r="A408" s="12">
        <v>9</v>
      </c>
      <c r="B408" s="60" t="str">
        <f>+AF71&amp;AF72&amp;AF73&amp;AF74&amp;AF75&amp;AF76&amp;AF77</f>
        <v/>
      </c>
    </row>
    <row r="409" spans="1:2" hidden="1">
      <c r="A409" s="12">
        <v>10</v>
      </c>
      <c r="B409" s="60" t="str">
        <f>+AF78&amp;AF79&amp;AF80&amp;AF81&amp;AF82&amp;AF83&amp;AF84</f>
        <v/>
      </c>
    </row>
    <row r="410" spans="1:2" hidden="1">
      <c r="A410" s="12">
        <v>11</v>
      </c>
      <c r="B410" s="60" t="str">
        <f>+AF85&amp;AF86&amp;AF87&amp;AF88&amp;AF89&amp;AF90&amp;AF91</f>
        <v/>
      </c>
    </row>
    <row r="411" spans="1:2" hidden="1">
      <c r="A411" s="12">
        <v>12</v>
      </c>
      <c r="B411" s="60" t="str">
        <f>+AF92&amp;AF93&amp;AF94&amp;AF95&amp;AF96&amp;AF97&amp;AF98</f>
        <v/>
      </c>
    </row>
    <row r="412" spans="1:2" hidden="1">
      <c r="A412" s="12">
        <v>13</v>
      </c>
      <c r="B412" s="60" t="str">
        <f>+AF99&amp;AF100&amp;AF101&amp;AF102&amp;AF103&amp;AF104&amp;AF105</f>
        <v/>
      </c>
    </row>
    <row r="413" spans="1:2" hidden="1">
      <c r="A413" s="12">
        <v>14</v>
      </c>
      <c r="B413" s="60" t="str">
        <f>+AF106&amp;AF107&amp;AF108&amp;AF109&amp;AF110&amp;AF111&amp;AF112</f>
        <v/>
      </c>
    </row>
    <row r="414" spans="1:2" hidden="1">
      <c r="A414" s="12">
        <v>15</v>
      </c>
      <c r="B414" s="60" t="str">
        <f>+AF113&amp;AF114</f>
        <v/>
      </c>
    </row>
    <row r="415" spans="1:2">
      <c r="B415" s="61" t="str">
        <f>+B7</f>
        <v/>
      </c>
    </row>
    <row r="416" spans="1:2">
      <c r="B416" s="60" t="str">
        <f>+A5&amp;N15&amp;A6</f>
        <v>$.get("Jesus1.php",{</v>
      </c>
    </row>
    <row r="417" spans="1:2">
      <c r="A417" s="12">
        <v>1</v>
      </c>
      <c r="B417" s="60" t="str">
        <f>+BO15&amp;BO16&amp;BO17&amp;BO18&amp;BO19&amp;BO20&amp;BO21</f>
        <v/>
      </c>
    </row>
    <row r="418" spans="1:2">
      <c r="A418" s="12">
        <v>2</v>
      </c>
      <c r="B418" s="60" t="str">
        <f>+BO22&amp;BO23&amp;BO24&amp;BO25&amp;BO26&amp;BO27&amp;BO28</f>
        <v/>
      </c>
    </row>
    <row r="419" spans="1:2">
      <c r="A419" s="12">
        <v>3</v>
      </c>
      <c r="B419" s="60" t="str">
        <f>+BO29&amp;BO30&amp;BO31&amp;BO32&amp;BO33&amp;BO34&amp;BO35</f>
        <v/>
      </c>
    </row>
    <row r="420" spans="1:2" hidden="1">
      <c r="A420" s="12">
        <v>4</v>
      </c>
      <c r="B420" s="60" t="str">
        <f>+BO36&amp;BO37&amp;BO38&amp;BO39&amp;BO40&amp;BO41&amp;BO42</f>
        <v/>
      </c>
    </row>
    <row r="421" spans="1:2" hidden="1">
      <c r="A421" s="12">
        <v>5</v>
      </c>
      <c r="B421" s="60" t="str">
        <f>+BO43&amp;BO44&amp;BO45&amp;BO46&amp;BO47&amp;BO48&amp;BO49</f>
        <v/>
      </c>
    </row>
    <row r="422" spans="1:2" hidden="1">
      <c r="A422" s="12">
        <v>6</v>
      </c>
      <c r="B422" s="60" t="str">
        <f>+BO50&amp;BO51&amp;BO52&amp;BO53&amp;BO54&amp;BO55&amp;BO56</f>
        <v/>
      </c>
    </row>
    <row r="423" spans="1:2" hidden="1">
      <c r="A423" s="12">
        <v>7</v>
      </c>
      <c r="B423" s="60" t="str">
        <f>+BO57&amp;BO58&amp;BO59&amp;BO60&amp;BO61&amp;BO62&amp;BO63</f>
        <v/>
      </c>
    </row>
    <row r="424" spans="1:2" hidden="1">
      <c r="A424" s="12">
        <v>8</v>
      </c>
      <c r="B424" s="60" t="str">
        <f>+BO64&amp;BO65&amp;BO66&amp;BO67&amp;BO68&amp;BO69&amp;BO70</f>
        <v/>
      </c>
    </row>
    <row r="425" spans="1:2" hidden="1">
      <c r="A425" s="12">
        <v>9</v>
      </c>
      <c r="B425" s="60" t="str">
        <f>+BO71&amp;BO72&amp;BO73&amp;BO74&amp;BO75&amp;BO76&amp;BO77</f>
        <v/>
      </c>
    </row>
    <row r="426" spans="1:2" hidden="1">
      <c r="A426" s="12">
        <v>10</v>
      </c>
      <c r="B426" s="60" t="str">
        <f>+BO78&amp;BO79&amp;BO80&amp;BO81&amp;BO82&amp;BO83&amp;BO84</f>
        <v/>
      </c>
    </row>
    <row r="427" spans="1:2" hidden="1">
      <c r="A427" s="12">
        <v>11</v>
      </c>
      <c r="B427" s="60" t="str">
        <f>+BO85&amp;BO86&amp;BO87&amp;BO88&amp;BO89&amp;BO90&amp;BO91</f>
        <v/>
      </c>
    </row>
    <row r="428" spans="1:2" hidden="1">
      <c r="A428" s="12">
        <v>12</v>
      </c>
      <c r="B428" s="60" t="str">
        <f>+BO92&amp;BO93&amp;BO94&amp;BO95&amp;BO96&amp;BO97&amp;BO98</f>
        <v/>
      </c>
    </row>
    <row r="429" spans="1:2" hidden="1">
      <c r="A429" s="12">
        <v>13</v>
      </c>
      <c r="B429" s="60" t="str">
        <f>+BO99&amp;BO100&amp;BO101&amp;BO102&amp;BO103&amp;BO104&amp;BO105</f>
        <v/>
      </c>
    </row>
    <row r="430" spans="1:2" hidden="1">
      <c r="A430" s="12">
        <v>14</v>
      </c>
      <c r="B430" s="60" t="str">
        <f>+BO106&amp;BO107&amp;BO108&amp;BO109&amp;BO110&amp;BO111&amp;BO112</f>
        <v/>
      </c>
    </row>
    <row r="431" spans="1:2" hidden="1">
      <c r="A431" s="12">
        <v>15</v>
      </c>
      <c r="B431" s="60" t="str">
        <f>+BO113&amp;BO114</f>
        <v/>
      </c>
    </row>
    <row r="432" spans="1:2">
      <c r="B432" s="60" t="str">
        <f>A7&amp;N19&amp;A8</f>
        <v xml:space="preserve">},function(result){$("#check1").html(result); </v>
      </c>
    </row>
    <row r="433" spans="1:2">
      <c r="A433" s="12">
        <v>1</v>
      </c>
      <c r="B433" s="60" t="str">
        <f>+CG15&amp;CG16&amp;CG17&amp;CG18&amp;CG19&amp;CG20&amp;CG21</f>
        <v/>
      </c>
    </row>
    <row r="434" spans="1:2">
      <c r="A434" s="12">
        <v>2</v>
      </c>
      <c r="B434" s="60" t="str">
        <f>+CG22&amp;CG23&amp;CG24&amp;CG25&amp;CG26&amp;CG27&amp;CG28</f>
        <v/>
      </c>
    </row>
    <row r="435" spans="1:2">
      <c r="A435" s="12">
        <v>3</v>
      </c>
      <c r="B435" s="60" t="str">
        <f>+CG29&amp;CG30&amp;CG31&amp;CG32&amp;CG33&amp;CG34&amp;CG35</f>
        <v/>
      </c>
    </row>
    <row r="436" spans="1:2" hidden="1">
      <c r="A436" s="12">
        <v>4</v>
      </c>
      <c r="B436" s="60" t="str">
        <f>+CG36&amp;CG37&amp;CG38&amp;CG39&amp;CG40&amp;CG41&amp;CG42</f>
        <v/>
      </c>
    </row>
    <row r="437" spans="1:2" hidden="1">
      <c r="A437" s="12">
        <v>5</v>
      </c>
      <c r="B437" s="60" t="str">
        <f>+CG43&amp;CG44&amp;CG45&amp;CG46&amp;CG47&amp;CG48&amp;CG49</f>
        <v/>
      </c>
    </row>
    <row r="438" spans="1:2" hidden="1">
      <c r="A438" s="12">
        <v>6</v>
      </c>
      <c r="B438" s="60" t="str">
        <f>+CG50&amp;CG51&amp;CG52&amp;CG53&amp;CG54&amp;CG55&amp;CG56</f>
        <v/>
      </c>
    </row>
    <row r="439" spans="1:2" hidden="1">
      <c r="A439" s="12">
        <v>7</v>
      </c>
      <c r="B439" s="60" t="str">
        <f>+CG57&amp;CG58&amp;CG59&amp;CG60&amp;CG61&amp;CG62&amp;CG63</f>
        <v/>
      </c>
    </row>
    <row r="440" spans="1:2" hidden="1">
      <c r="A440" s="12">
        <v>8</v>
      </c>
      <c r="B440" s="60" t="str">
        <f>+CG64&amp;CG65&amp;CG66&amp;CG67&amp;CG68&amp;CG69&amp;CG70</f>
        <v/>
      </c>
    </row>
    <row r="441" spans="1:2" hidden="1">
      <c r="A441" s="12">
        <v>9</v>
      </c>
      <c r="B441" s="60" t="str">
        <f>+CG71&amp;CG72&amp;CG73&amp;CG74&amp;CG75&amp;CG76&amp;CG77</f>
        <v/>
      </c>
    </row>
    <row r="442" spans="1:2" hidden="1">
      <c r="A442" s="12">
        <v>10</v>
      </c>
      <c r="B442" s="60" t="str">
        <f>+CG78&amp;CG79&amp;CG80&amp;CG81&amp;CG82&amp;CG83&amp;CG84</f>
        <v/>
      </c>
    </row>
    <row r="443" spans="1:2" hidden="1">
      <c r="A443" s="12">
        <v>11</v>
      </c>
      <c r="B443" s="60" t="str">
        <f>+CG85&amp;CG86&amp;CG87&amp;CG88&amp;CG89&amp;CG90&amp;CG91</f>
        <v/>
      </c>
    </row>
    <row r="444" spans="1:2" hidden="1">
      <c r="A444" s="12">
        <v>12</v>
      </c>
      <c r="B444" s="60" t="str">
        <f>+CG92&amp;CG93&amp;CG94&amp;CG95&amp;CG96&amp;CG97&amp;CG98</f>
        <v/>
      </c>
    </row>
    <row r="445" spans="1:2" hidden="1">
      <c r="A445" s="12">
        <v>13</v>
      </c>
      <c r="B445" s="60" t="str">
        <f>+CG99&amp;CG100&amp;CG101&amp;CG102&amp;CG103&amp;CG104&amp;CG105</f>
        <v/>
      </c>
    </row>
    <row r="446" spans="1:2" hidden="1">
      <c r="A446" s="12">
        <v>14</v>
      </c>
      <c r="B446" s="60" t="str">
        <f>+CG106&amp;CG107&amp;CG108&amp;CG109&amp;CG110&amp;CG111&amp;CG112</f>
        <v/>
      </c>
    </row>
    <row r="447" spans="1:2" hidden="1">
      <c r="A447" s="12">
        <v>15</v>
      </c>
      <c r="B447" s="60" t="str">
        <f>+CG113&amp;CG114</f>
        <v/>
      </c>
    </row>
    <row r="448" spans="1:2">
      <c r="B448" s="60" t="str">
        <f>+IF(L21&lt;&gt;"si",S5&amp;L15&amp;L19&amp;S6,"")</f>
        <v/>
      </c>
    </row>
    <row r="449" spans="1:2">
      <c r="B449" s="60" t="s">
        <v>677</v>
      </c>
    </row>
    <row r="450" spans="1:2" hidden="1">
      <c r="A450" s="12">
        <v>1</v>
      </c>
      <c r="B450" s="60" t="str">
        <f>+CU15&amp;CU16&amp;CU17&amp;CU18&amp;CU19&amp;CU20&amp;CU21</f>
        <v/>
      </c>
    </row>
    <row r="451" spans="1:2" hidden="1">
      <c r="A451" s="12">
        <v>2</v>
      </c>
      <c r="B451" s="60" t="str">
        <f>+CU22&amp;CU23&amp;CU24&amp;CU25&amp;CU26&amp;CU27&amp;CU28</f>
        <v/>
      </c>
    </row>
    <row r="452" spans="1:2" hidden="1">
      <c r="A452" s="12">
        <v>3</v>
      </c>
      <c r="B452" s="60" t="str">
        <f>+CU29&amp;CU30&amp;CU31&amp;CU32&amp;CU33&amp;CU34&amp;CU35</f>
        <v/>
      </c>
    </row>
    <row r="453" spans="1:2" hidden="1">
      <c r="A453" s="12">
        <v>4</v>
      </c>
      <c r="B453" s="60" t="str">
        <f>+CU36&amp;CU37&amp;CU38&amp;CU39&amp;CU40&amp;CU41&amp;CU42</f>
        <v/>
      </c>
    </row>
    <row r="454" spans="1:2" hidden="1">
      <c r="A454" s="12">
        <v>5</v>
      </c>
      <c r="B454" s="60" t="str">
        <f>+CU43&amp;CU44&amp;CU45&amp;CU46&amp;CU47&amp;CU48&amp;CU49</f>
        <v/>
      </c>
    </row>
    <row r="455" spans="1:2" hidden="1">
      <c r="A455" s="12">
        <v>6</v>
      </c>
      <c r="B455" s="60" t="str">
        <f>+CU50&amp;CU51&amp;CU52&amp;CU53&amp;CU54&amp;CU55&amp;CU56</f>
        <v/>
      </c>
    </row>
    <row r="456" spans="1:2" hidden="1">
      <c r="A456" s="12">
        <v>7</v>
      </c>
      <c r="B456" s="60" t="str">
        <f>+CU57&amp;CU58&amp;CU59&amp;CU60&amp;CU61&amp;CU62&amp;CU63</f>
        <v/>
      </c>
    </row>
    <row r="457" spans="1:2" hidden="1">
      <c r="A457" s="12">
        <v>8</v>
      </c>
      <c r="B457" s="60" t="str">
        <f>+CU64&amp;CU65&amp;CU66&amp;CU67&amp;CU68&amp;CU69&amp;CU70</f>
        <v/>
      </c>
    </row>
    <row r="458" spans="1:2" hidden="1">
      <c r="A458" s="12">
        <v>9</v>
      </c>
      <c r="B458" s="60" t="str">
        <f>+CU71&amp;CU72&amp;CU73&amp;CU74&amp;CU75&amp;CU76&amp;CU77</f>
        <v/>
      </c>
    </row>
    <row r="459" spans="1:2" hidden="1">
      <c r="A459" s="12">
        <v>10</v>
      </c>
      <c r="B459" s="60" t="str">
        <f>+CU78&amp;CU79&amp;CU80&amp;CU81&amp;CU82&amp;CU83&amp;CU84</f>
        <v/>
      </c>
    </row>
    <row r="460" spans="1:2" hidden="1">
      <c r="A460" s="12">
        <v>11</v>
      </c>
      <c r="B460" s="60" t="str">
        <f>+CU85&amp;CU86&amp;CU87&amp;CU88&amp;CU89&amp;CU90&amp;CU91</f>
        <v/>
      </c>
    </row>
    <row r="461" spans="1:2" hidden="1">
      <c r="A461" s="12">
        <v>12</v>
      </c>
      <c r="B461" s="60" t="str">
        <f>+CU92&amp;CU93&amp;CU94&amp;CU95&amp;CU96&amp;CU97&amp;CU98</f>
        <v/>
      </c>
    </row>
    <row r="462" spans="1:2" hidden="1">
      <c r="A462" s="12">
        <v>13</v>
      </c>
      <c r="B462" s="60" t="str">
        <f>+CU99&amp;CU100&amp;CU101&amp;CU102&amp;CU103&amp;CU104&amp;CU105</f>
        <v/>
      </c>
    </row>
    <row r="463" spans="1:2" hidden="1">
      <c r="A463" s="12">
        <v>14</v>
      </c>
      <c r="B463" s="60" t="str">
        <f>+CU106&amp;CU107&amp;CU108&amp;CU109&amp;CU110&amp;CU111&amp;CU112</f>
        <v/>
      </c>
    </row>
    <row r="464" spans="1:2" hidden="1">
      <c r="A464" s="12">
        <v>15</v>
      </c>
      <c r="B464" s="60" t="str">
        <f>+CU113&amp;CU114</f>
        <v/>
      </c>
    </row>
    <row r="465" spans="1:6" hidden="1">
      <c r="B465" s="60" t="str">
        <f>+H3</f>
        <v>$("#hiden1").hide("fast");</v>
      </c>
    </row>
    <row r="466" spans="1:6">
      <c r="B466" s="60" t="s">
        <v>368</v>
      </c>
    </row>
    <row r="467" spans="1:6">
      <c r="B467" s="60" t="str">
        <f>B8&amp;" "&amp;B12</f>
        <v xml:space="preserve"> }); });</v>
      </c>
    </row>
    <row r="468" spans="1:6">
      <c r="B468" s="60" t="s">
        <v>96</v>
      </c>
      <c r="E468" s="53"/>
      <c r="F468" s="53"/>
    </row>
    <row r="469" spans="1:6" hidden="1">
      <c r="B469" s="60" t="str">
        <f>+IF(SUM(CO15:CO114)&gt;=2,"&lt;script&gt;/*textfiel dependant to last radio button*/ $(document).ready(function(){","")</f>
        <v/>
      </c>
      <c r="E469" s="53"/>
      <c r="F469" s="53"/>
    </row>
    <row r="470" spans="1:6" hidden="1">
      <c r="A470" s="12">
        <v>1</v>
      </c>
      <c r="B470" s="60" t="str">
        <f t="shared" ref="B470:B501" si="268">+CY15</f>
        <v/>
      </c>
      <c r="E470" s="53"/>
      <c r="F470" s="53"/>
    </row>
    <row r="471" spans="1:6" hidden="1">
      <c r="A471" s="12">
        <v>2</v>
      </c>
      <c r="B471" s="60" t="str">
        <f t="shared" si="268"/>
        <v/>
      </c>
      <c r="E471" s="53"/>
      <c r="F471" s="53"/>
    </row>
    <row r="472" spans="1:6" hidden="1">
      <c r="A472" s="12">
        <v>3</v>
      </c>
      <c r="B472" s="60" t="str">
        <f t="shared" si="268"/>
        <v/>
      </c>
      <c r="E472" s="53"/>
      <c r="F472" s="53"/>
    </row>
    <row r="473" spans="1:6" hidden="1">
      <c r="A473" s="12">
        <v>4</v>
      </c>
      <c r="B473" s="60" t="str">
        <f t="shared" si="268"/>
        <v/>
      </c>
      <c r="E473" s="53"/>
      <c r="F473" s="53"/>
    </row>
    <row r="474" spans="1:6" hidden="1">
      <c r="A474" s="12">
        <v>5</v>
      </c>
      <c r="B474" s="60" t="str">
        <f t="shared" si="268"/>
        <v/>
      </c>
      <c r="E474" s="53"/>
      <c r="F474" s="53"/>
    </row>
    <row r="475" spans="1:6" hidden="1">
      <c r="A475" s="12">
        <v>6</v>
      </c>
      <c r="B475" s="60" t="str">
        <f t="shared" si="268"/>
        <v/>
      </c>
      <c r="E475" s="53"/>
      <c r="F475" s="53"/>
    </row>
    <row r="476" spans="1:6" hidden="1">
      <c r="A476" s="12">
        <v>7</v>
      </c>
      <c r="B476" s="60" t="str">
        <f t="shared" si="268"/>
        <v/>
      </c>
      <c r="E476" s="53"/>
      <c r="F476" s="53"/>
    </row>
    <row r="477" spans="1:6" hidden="1">
      <c r="A477" s="12">
        <v>8</v>
      </c>
      <c r="B477" s="60" t="str">
        <f t="shared" si="268"/>
        <v/>
      </c>
      <c r="E477" s="53"/>
      <c r="F477" s="53"/>
    </row>
    <row r="478" spans="1:6" hidden="1">
      <c r="A478" s="12">
        <v>9</v>
      </c>
      <c r="B478" s="60" t="str">
        <f t="shared" si="268"/>
        <v/>
      </c>
      <c r="E478" s="53"/>
      <c r="F478" s="53"/>
    </row>
    <row r="479" spans="1:6" hidden="1">
      <c r="A479" s="12">
        <v>10</v>
      </c>
      <c r="B479" s="60" t="str">
        <f t="shared" si="268"/>
        <v/>
      </c>
      <c r="E479" s="53"/>
      <c r="F479" s="53"/>
    </row>
    <row r="480" spans="1:6" hidden="1">
      <c r="A480" s="12">
        <v>11</v>
      </c>
      <c r="B480" s="60" t="str">
        <f t="shared" si="268"/>
        <v/>
      </c>
      <c r="E480" s="53"/>
      <c r="F480" s="53"/>
    </row>
    <row r="481" spans="1:6" hidden="1">
      <c r="A481" s="12">
        <v>12</v>
      </c>
      <c r="B481" s="60" t="str">
        <f t="shared" si="268"/>
        <v/>
      </c>
      <c r="E481" s="53"/>
      <c r="F481" s="53"/>
    </row>
    <row r="482" spans="1:6" hidden="1">
      <c r="A482" s="12">
        <v>13</v>
      </c>
      <c r="B482" s="60" t="str">
        <f t="shared" si="268"/>
        <v/>
      </c>
      <c r="E482" s="53"/>
      <c r="F482" s="53"/>
    </row>
    <row r="483" spans="1:6" hidden="1">
      <c r="A483" s="12">
        <v>14</v>
      </c>
      <c r="B483" s="60" t="str">
        <f t="shared" si="268"/>
        <v/>
      </c>
      <c r="E483" s="53"/>
      <c r="F483" s="53"/>
    </row>
    <row r="484" spans="1:6" hidden="1">
      <c r="A484" s="12">
        <v>15</v>
      </c>
      <c r="B484" s="60" t="str">
        <f t="shared" si="268"/>
        <v/>
      </c>
      <c r="E484" s="53"/>
      <c r="F484" s="53"/>
    </row>
    <row r="485" spans="1:6" hidden="1">
      <c r="A485" s="12">
        <v>16</v>
      </c>
      <c r="B485" s="60" t="str">
        <f t="shared" si="268"/>
        <v/>
      </c>
      <c r="E485" s="53"/>
      <c r="F485" s="53"/>
    </row>
    <row r="486" spans="1:6" hidden="1">
      <c r="A486" s="12">
        <v>17</v>
      </c>
      <c r="B486" s="60" t="str">
        <f t="shared" si="268"/>
        <v/>
      </c>
      <c r="E486" s="53"/>
      <c r="F486" s="53"/>
    </row>
    <row r="487" spans="1:6" hidden="1">
      <c r="A487" s="12">
        <v>18</v>
      </c>
      <c r="B487" s="60" t="str">
        <f t="shared" si="268"/>
        <v/>
      </c>
      <c r="E487" s="53"/>
      <c r="F487" s="53"/>
    </row>
    <row r="488" spans="1:6" hidden="1">
      <c r="A488" s="12">
        <v>19</v>
      </c>
      <c r="B488" s="60" t="str">
        <f t="shared" si="268"/>
        <v/>
      </c>
      <c r="E488" s="53"/>
      <c r="F488" s="53"/>
    </row>
    <row r="489" spans="1:6" hidden="1">
      <c r="A489" s="12">
        <v>20</v>
      </c>
      <c r="B489" s="60" t="str">
        <f t="shared" si="268"/>
        <v/>
      </c>
      <c r="E489" s="53"/>
      <c r="F489" s="53"/>
    </row>
    <row r="490" spans="1:6" hidden="1">
      <c r="A490" s="12">
        <v>21</v>
      </c>
      <c r="B490" s="60" t="str">
        <f t="shared" si="268"/>
        <v/>
      </c>
      <c r="E490" s="53"/>
      <c r="F490" s="53"/>
    </row>
    <row r="491" spans="1:6" hidden="1">
      <c r="A491" s="12">
        <v>22</v>
      </c>
      <c r="B491" s="60" t="str">
        <f t="shared" si="268"/>
        <v/>
      </c>
      <c r="E491" s="53"/>
      <c r="F491" s="53"/>
    </row>
    <row r="492" spans="1:6" hidden="1">
      <c r="A492" s="12">
        <v>23</v>
      </c>
      <c r="B492" s="60" t="str">
        <f t="shared" si="268"/>
        <v/>
      </c>
      <c r="E492" s="53"/>
      <c r="F492" s="53"/>
    </row>
    <row r="493" spans="1:6" hidden="1">
      <c r="A493" s="12">
        <v>24</v>
      </c>
      <c r="B493" s="60" t="str">
        <f t="shared" si="268"/>
        <v/>
      </c>
      <c r="E493" s="53"/>
      <c r="F493" s="53"/>
    </row>
    <row r="494" spans="1:6" hidden="1">
      <c r="A494" s="12">
        <v>25</v>
      </c>
      <c r="B494" s="60" t="str">
        <f t="shared" si="268"/>
        <v/>
      </c>
      <c r="E494" s="53"/>
      <c r="F494" s="53"/>
    </row>
    <row r="495" spans="1:6" hidden="1">
      <c r="A495" s="12">
        <v>26</v>
      </c>
      <c r="B495" s="60" t="str">
        <f t="shared" si="268"/>
        <v/>
      </c>
      <c r="E495" s="53"/>
      <c r="F495" s="53"/>
    </row>
    <row r="496" spans="1:6" hidden="1">
      <c r="A496" s="12">
        <v>27</v>
      </c>
      <c r="B496" s="60" t="str">
        <f t="shared" si="268"/>
        <v/>
      </c>
      <c r="E496" s="53"/>
      <c r="F496" s="53"/>
    </row>
    <row r="497" spans="1:6" hidden="1">
      <c r="A497" s="12">
        <v>28</v>
      </c>
      <c r="B497" s="60" t="str">
        <f t="shared" si="268"/>
        <v/>
      </c>
      <c r="E497" s="53"/>
      <c r="F497" s="53"/>
    </row>
    <row r="498" spans="1:6" hidden="1">
      <c r="A498" s="12">
        <v>29</v>
      </c>
      <c r="B498" s="60" t="str">
        <f t="shared" si="268"/>
        <v/>
      </c>
      <c r="E498" s="53"/>
      <c r="F498" s="53"/>
    </row>
    <row r="499" spans="1:6" hidden="1">
      <c r="A499" s="12">
        <v>30</v>
      </c>
      <c r="B499" s="60" t="str">
        <f t="shared" si="268"/>
        <v/>
      </c>
      <c r="E499" s="53"/>
      <c r="F499" s="53"/>
    </row>
    <row r="500" spans="1:6" hidden="1">
      <c r="A500" s="12">
        <v>31</v>
      </c>
      <c r="B500" s="60" t="str">
        <f t="shared" si="268"/>
        <v/>
      </c>
      <c r="E500" s="53"/>
      <c r="F500" s="53"/>
    </row>
    <row r="501" spans="1:6" hidden="1">
      <c r="A501" s="12">
        <v>32</v>
      </c>
      <c r="B501" s="60" t="str">
        <f t="shared" si="268"/>
        <v/>
      </c>
      <c r="E501" s="53"/>
      <c r="F501" s="53"/>
    </row>
    <row r="502" spans="1:6" hidden="1">
      <c r="A502" s="12">
        <v>33</v>
      </c>
      <c r="B502" s="60" t="str">
        <f t="shared" ref="B502:B533" si="269">+CY47</f>
        <v/>
      </c>
      <c r="E502" s="53"/>
      <c r="F502" s="53"/>
    </row>
    <row r="503" spans="1:6" hidden="1">
      <c r="A503" s="12">
        <v>34</v>
      </c>
      <c r="B503" s="60" t="str">
        <f t="shared" si="269"/>
        <v/>
      </c>
      <c r="E503" s="53"/>
      <c r="F503" s="53"/>
    </row>
    <row r="504" spans="1:6" hidden="1">
      <c r="A504" s="12">
        <v>35</v>
      </c>
      <c r="B504" s="60" t="str">
        <f t="shared" si="269"/>
        <v/>
      </c>
      <c r="E504" s="53"/>
      <c r="F504" s="53"/>
    </row>
    <row r="505" spans="1:6" hidden="1">
      <c r="A505" s="12">
        <v>36</v>
      </c>
      <c r="B505" s="60" t="str">
        <f t="shared" si="269"/>
        <v/>
      </c>
      <c r="E505" s="53"/>
      <c r="F505" s="53"/>
    </row>
    <row r="506" spans="1:6" hidden="1">
      <c r="A506" s="12">
        <v>37</v>
      </c>
      <c r="B506" s="60" t="str">
        <f t="shared" si="269"/>
        <v/>
      </c>
      <c r="E506" s="53"/>
      <c r="F506" s="53"/>
    </row>
    <row r="507" spans="1:6" hidden="1">
      <c r="A507" s="12">
        <v>38</v>
      </c>
      <c r="B507" s="60" t="str">
        <f t="shared" si="269"/>
        <v/>
      </c>
      <c r="E507" s="53"/>
      <c r="F507" s="53"/>
    </row>
    <row r="508" spans="1:6" hidden="1">
      <c r="A508" s="12">
        <v>39</v>
      </c>
      <c r="B508" s="60" t="str">
        <f t="shared" si="269"/>
        <v/>
      </c>
      <c r="E508" s="53"/>
      <c r="F508" s="53"/>
    </row>
    <row r="509" spans="1:6" hidden="1">
      <c r="A509" s="12">
        <v>40</v>
      </c>
      <c r="B509" s="60" t="str">
        <f t="shared" si="269"/>
        <v/>
      </c>
      <c r="E509" s="53"/>
      <c r="F509" s="53"/>
    </row>
    <row r="510" spans="1:6" hidden="1">
      <c r="A510" s="12">
        <v>41</v>
      </c>
      <c r="B510" s="60" t="str">
        <f t="shared" si="269"/>
        <v/>
      </c>
      <c r="E510" s="53"/>
      <c r="F510" s="53"/>
    </row>
    <row r="511" spans="1:6" hidden="1">
      <c r="A511" s="12">
        <v>42</v>
      </c>
      <c r="B511" s="60" t="str">
        <f t="shared" si="269"/>
        <v/>
      </c>
      <c r="E511" s="53"/>
      <c r="F511" s="53"/>
    </row>
    <row r="512" spans="1:6" hidden="1">
      <c r="A512" s="12">
        <v>43</v>
      </c>
      <c r="B512" s="60" t="str">
        <f t="shared" si="269"/>
        <v/>
      </c>
      <c r="E512" s="53"/>
      <c r="F512" s="53"/>
    </row>
    <row r="513" spans="1:6" hidden="1">
      <c r="A513" s="12">
        <v>44</v>
      </c>
      <c r="B513" s="60" t="str">
        <f t="shared" si="269"/>
        <v/>
      </c>
      <c r="E513" s="53"/>
      <c r="F513" s="53"/>
    </row>
    <row r="514" spans="1:6" hidden="1">
      <c r="A514" s="12">
        <v>45</v>
      </c>
      <c r="B514" s="60" t="str">
        <f t="shared" si="269"/>
        <v/>
      </c>
      <c r="E514" s="53"/>
      <c r="F514" s="53"/>
    </row>
    <row r="515" spans="1:6" hidden="1">
      <c r="A515" s="12">
        <v>46</v>
      </c>
      <c r="B515" s="60" t="str">
        <f t="shared" si="269"/>
        <v/>
      </c>
      <c r="E515" s="53"/>
      <c r="F515" s="53"/>
    </row>
    <row r="516" spans="1:6" hidden="1">
      <c r="A516" s="12">
        <v>47</v>
      </c>
      <c r="B516" s="60" t="str">
        <f t="shared" si="269"/>
        <v/>
      </c>
      <c r="E516" s="53"/>
      <c r="F516" s="53"/>
    </row>
    <row r="517" spans="1:6" hidden="1">
      <c r="A517" s="12">
        <v>48</v>
      </c>
      <c r="B517" s="60" t="str">
        <f t="shared" si="269"/>
        <v/>
      </c>
      <c r="E517" s="53"/>
      <c r="F517" s="53"/>
    </row>
    <row r="518" spans="1:6" hidden="1">
      <c r="A518" s="12">
        <v>49</v>
      </c>
      <c r="B518" s="60" t="str">
        <f t="shared" si="269"/>
        <v/>
      </c>
      <c r="E518" s="53"/>
      <c r="F518" s="53"/>
    </row>
    <row r="519" spans="1:6" hidden="1">
      <c r="A519" s="12">
        <v>50</v>
      </c>
      <c r="B519" s="60" t="str">
        <f t="shared" si="269"/>
        <v/>
      </c>
      <c r="E519" s="53"/>
      <c r="F519" s="53"/>
    </row>
    <row r="520" spans="1:6" hidden="1">
      <c r="A520" s="12">
        <v>51</v>
      </c>
      <c r="B520" s="60" t="str">
        <f t="shared" si="269"/>
        <v/>
      </c>
      <c r="E520" s="53"/>
      <c r="F520" s="53"/>
    </row>
    <row r="521" spans="1:6" hidden="1">
      <c r="A521" s="12">
        <v>52</v>
      </c>
      <c r="B521" s="60" t="str">
        <f t="shared" si="269"/>
        <v/>
      </c>
      <c r="E521" s="53"/>
      <c r="F521" s="53"/>
    </row>
    <row r="522" spans="1:6" hidden="1">
      <c r="A522" s="12">
        <v>53</v>
      </c>
      <c r="B522" s="60" t="str">
        <f t="shared" si="269"/>
        <v/>
      </c>
      <c r="E522" s="53"/>
      <c r="F522" s="53"/>
    </row>
    <row r="523" spans="1:6" hidden="1">
      <c r="A523" s="12">
        <v>54</v>
      </c>
      <c r="B523" s="60" t="str">
        <f t="shared" si="269"/>
        <v/>
      </c>
      <c r="E523" s="53"/>
      <c r="F523" s="53"/>
    </row>
    <row r="524" spans="1:6" hidden="1">
      <c r="A524" s="12">
        <v>55</v>
      </c>
      <c r="B524" s="60" t="str">
        <f t="shared" si="269"/>
        <v/>
      </c>
      <c r="E524" s="53"/>
      <c r="F524" s="53"/>
    </row>
    <row r="525" spans="1:6" hidden="1">
      <c r="A525" s="12">
        <v>56</v>
      </c>
      <c r="B525" s="60" t="str">
        <f t="shared" si="269"/>
        <v/>
      </c>
      <c r="E525" s="53"/>
      <c r="F525" s="53"/>
    </row>
    <row r="526" spans="1:6" hidden="1">
      <c r="A526" s="12">
        <v>57</v>
      </c>
      <c r="B526" s="60" t="str">
        <f t="shared" si="269"/>
        <v/>
      </c>
      <c r="E526" s="53"/>
      <c r="F526" s="53"/>
    </row>
    <row r="527" spans="1:6" hidden="1">
      <c r="A527" s="12">
        <v>58</v>
      </c>
      <c r="B527" s="60" t="str">
        <f t="shared" si="269"/>
        <v/>
      </c>
      <c r="E527" s="53"/>
      <c r="F527" s="53"/>
    </row>
    <row r="528" spans="1:6" hidden="1">
      <c r="A528" s="12">
        <v>59</v>
      </c>
      <c r="B528" s="60" t="str">
        <f t="shared" si="269"/>
        <v/>
      </c>
      <c r="E528" s="53"/>
      <c r="F528" s="53"/>
    </row>
    <row r="529" spans="1:6" hidden="1">
      <c r="A529" s="12">
        <v>60</v>
      </c>
      <c r="B529" s="60" t="str">
        <f t="shared" si="269"/>
        <v/>
      </c>
      <c r="E529" s="53"/>
      <c r="F529" s="53"/>
    </row>
    <row r="530" spans="1:6" hidden="1">
      <c r="A530" s="12">
        <v>61</v>
      </c>
      <c r="B530" s="60" t="str">
        <f t="shared" si="269"/>
        <v/>
      </c>
      <c r="E530" s="53"/>
      <c r="F530" s="53"/>
    </row>
    <row r="531" spans="1:6" hidden="1">
      <c r="A531" s="12">
        <v>62</v>
      </c>
      <c r="B531" s="60" t="str">
        <f t="shared" si="269"/>
        <v/>
      </c>
      <c r="E531" s="53"/>
      <c r="F531" s="53"/>
    </row>
    <row r="532" spans="1:6" hidden="1">
      <c r="A532" s="12">
        <v>63</v>
      </c>
      <c r="B532" s="60" t="str">
        <f t="shared" si="269"/>
        <v/>
      </c>
      <c r="E532" s="53"/>
      <c r="F532" s="53"/>
    </row>
    <row r="533" spans="1:6" hidden="1">
      <c r="A533" s="12">
        <v>64</v>
      </c>
      <c r="B533" s="60" t="str">
        <f t="shared" si="269"/>
        <v/>
      </c>
      <c r="E533" s="53"/>
      <c r="F533" s="53"/>
    </row>
    <row r="534" spans="1:6" hidden="1">
      <c r="A534" s="12">
        <v>65</v>
      </c>
      <c r="B534" s="60" t="str">
        <f t="shared" ref="B534:B565" si="270">+CY79</f>
        <v/>
      </c>
      <c r="E534" s="53"/>
      <c r="F534" s="53"/>
    </row>
    <row r="535" spans="1:6" hidden="1">
      <c r="A535" s="12">
        <v>66</v>
      </c>
      <c r="B535" s="60" t="str">
        <f t="shared" si="270"/>
        <v/>
      </c>
      <c r="E535" s="53"/>
      <c r="F535" s="53"/>
    </row>
    <row r="536" spans="1:6" hidden="1">
      <c r="A536" s="12">
        <v>67</v>
      </c>
      <c r="B536" s="60" t="str">
        <f t="shared" si="270"/>
        <v/>
      </c>
      <c r="E536" s="53"/>
      <c r="F536" s="53"/>
    </row>
    <row r="537" spans="1:6" hidden="1">
      <c r="A537" s="12">
        <v>68</v>
      </c>
      <c r="B537" s="60" t="str">
        <f t="shared" si="270"/>
        <v/>
      </c>
      <c r="E537" s="53"/>
      <c r="F537" s="53"/>
    </row>
    <row r="538" spans="1:6" hidden="1">
      <c r="A538" s="12">
        <v>69</v>
      </c>
      <c r="B538" s="60" t="str">
        <f t="shared" si="270"/>
        <v/>
      </c>
      <c r="E538" s="53"/>
      <c r="F538" s="53"/>
    </row>
    <row r="539" spans="1:6" hidden="1">
      <c r="A539" s="12">
        <v>70</v>
      </c>
      <c r="B539" s="60" t="str">
        <f t="shared" si="270"/>
        <v/>
      </c>
      <c r="E539" s="53"/>
      <c r="F539" s="53"/>
    </row>
    <row r="540" spans="1:6" hidden="1">
      <c r="A540" s="12">
        <v>71</v>
      </c>
      <c r="B540" s="60" t="str">
        <f t="shared" si="270"/>
        <v/>
      </c>
      <c r="E540" s="53"/>
      <c r="F540" s="53"/>
    </row>
    <row r="541" spans="1:6" hidden="1">
      <c r="A541" s="12">
        <v>72</v>
      </c>
      <c r="B541" s="60" t="str">
        <f t="shared" si="270"/>
        <v/>
      </c>
      <c r="E541" s="53"/>
      <c r="F541" s="53"/>
    </row>
    <row r="542" spans="1:6" hidden="1">
      <c r="A542" s="12">
        <v>73</v>
      </c>
      <c r="B542" s="60" t="str">
        <f t="shared" si="270"/>
        <v/>
      </c>
      <c r="E542" s="53"/>
      <c r="F542" s="53"/>
    </row>
    <row r="543" spans="1:6" hidden="1">
      <c r="A543" s="12">
        <v>74</v>
      </c>
      <c r="B543" s="60" t="str">
        <f t="shared" si="270"/>
        <v/>
      </c>
      <c r="E543" s="53"/>
      <c r="F543" s="53"/>
    </row>
    <row r="544" spans="1:6" hidden="1">
      <c r="A544" s="12">
        <v>75</v>
      </c>
      <c r="B544" s="60" t="str">
        <f t="shared" si="270"/>
        <v/>
      </c>
      <c r="E544" s="53"/>
      <c r="F544" s="53"/>
    </row>
    <row r="545" spans="1:6" hidden="1">
      <c r="A545" s="12">
        <v>76</v>
      </c>
      <c r="B545" s="60" t="str">
        <f t="shared" si="270"/>
        <v/>
      </c>
      <c r="E545" s="53"/>
      <c r="F545" s="53"/>
    </row>
    <row r="546" spans="1:6" hidden="1">
      <c r="A546" s="12">
        <v>77</v>
      </c>
      <c r="B546" s="60" t="str">
        <f t="shared" si="270"/>
        <v/>
      </c>
      <c r="E546" s="53"/>
      <c r="F546" s="53"/>
    </row>
    <row r="547" spans="1:6" hidden="1">
      <c r="A547" s="12">
        <v>78</v>
      </c>
      <c r="B547" s="60" t="str">
        <f t="shared" si="270"/>
        <v/>
      </c>
      <c r="E547" s="53"/>
      <c r="F547" s="53"/>
    </row>
    <row r="548" spans="1:6" hidden="1">
      <c r="A548" s="12">
        <v>79</v>
      </c>
      <c r="B548" s="60" t="str">
        <f t="shared" si="270"/>
        <v/>
      </c>
      <c r="E548" s="53"/>
      <c r="F548" s="53"/>
    </row>
    <row r="549" spans="1:6" hidden="1">
      <c r="A549" s="12">
        <v>80</v>
      </c>
      <c r="B549" s="60" t="str">
        <f t="shared" si="270"/>
        <v/>
      </c>
      <c r="E549" s="53"/>
      <c r="F549" s="53"/>
    </row>
    <row r="550" spans="1:6" hidden="1">
      <c r="A550" s="12">
        <v>81</v>
      </c>
      <c r="B550" s="60" t="str">
        <f t="shared" si="270"/>
        <v/>
      </c>
      <c r="E550" s="53"/>
      <c r="F550" s="53"/>
    </row>
    <row r="551" spans="1:6" hidden="1">
      <c r="A551" s="12">
        <v>82</v>
      </c>
      <c r="B551" s="60" t="str">
        <f t="shared" si="270"/>
        <v/>
      </c>
      <c r="E551" s="53"/>
      <c r="F551" s="53"/>
    </row>
    <row r="552" spans="1:6" hidden="1">
      <c r="A552" s="12">
        <v>83</v>
      </c>
      <c r="B552" s="60" t="str">
        <f t="shared" si="270"/>
        <v/>
      </c>
      <c r="E552" s="53"/>
      <c r="F552" s="53"/>
    </row>
    <row r="553" spans="1:6" hidden="1">
      <c r="A553" s="12">
        <v>84</v>
      </c>
      <c r="B553" s="60" t="str">
        <f t="shared" si="270"/>
        <v/>
      </c>
      <c r="E553" s="53"/>
      <c r="F553" s="53"/>
    </row>
    <row r="554" spans="1:6" hidden="1">
      <c r="A554" s="12">
        <v>85</v>
      </c>
      <c r="B554" s="60" t="str">
        <f t="shared" si="270"/>
        <v/>
      </c>
      <c r="E554" s="53"/>
      <c r="F554" s="53"/>
    </row>
    <row r="555" spans="1:6" hidden="1">
      <c r="A555" s="12">
        <v>86</v>
      </c>
      <c r="B555" s="60" t="str">
        <f t="shared" si="270"/>
        <v/>
      </c>
      <c r="E555" s="53"/>
      <c r="F555" s="53"/>
    </row>
    <row r="556" spans="1:6" hidden="1">
      <c r="A556" s="12">
        <v>87</v>
      </c>
      <c r="B556" s="60" t="str">
        <f t="shared" si="270"/>
        <v/>
      </c>
      <c r="E556" s="53"/>
      <c r="F556" s="53"/>
    </row>
    <row r="557" spans="1:6" hidden="1">
      <c r="A557" s="12">
        <v>88</v>
      </c>
      <c r="B557" s="60" t="str">
        <f t="shared" si="270"/>
        <v/>
      </c>
      <c r="E557" s="53"/>
      <c r="F557" s="53"/>
    </row>
    <row r="558" spans="1:6" hidden="1">
      <c r="A558" s="12">
        <v>89</v>
      </c>
      <c r="B558" s="60" t="str">
        <f t="shared" si="270"/>
        <v/>
      </c>
      <c r="E558" s="53"/>
      <c r="F558" s="53"/>
    </row>
    <row r="559" spans="1:6" hidden="1">
      <c r="A559" s="12">
        <v>90</v>
      </c>
      <c r="B559" s="60" t="str">
        <f t="shared" si="270"/>
        <v/>
      </c>
      <c r="E559" s="53"/>
      <c r="F559" s="53"/>
    </row>
    <row r="560" spans="1:6" hidden="1">
      <c r="A560" s="12">
        <v>91</v>
      </c>
      <c r="B560" s="60" t="str">
        <f t="shared" si="270"/>
        <v/>
      </c>
      <c r="E560" s="53"/>
      <c r="F560" s="53"/>
    </row>
    <row r="561" spans="1:6" hidden="1">
      <c r="A561" s="12">
        <v>92</v>
      </c>
      <c r="B561" s="60" t="str">
        <f t="shared" si="270"/>
        <v/>
      </c>
      <c r="E561" s="53"/>
      <c r="F561" s="53"/>
    </row>
    <row r="562" spans="1:6" hidden="1">
      <c r="A562" s="12">
        <v>93</v>
      </c>
      <c r="B562" s="60" t="str">
        <f t="shared" si="270"/>
        <v/>
      </c>
      <c r="E562" s="53"/>
      <c r="F562" s="53"/>
    </row>
    <row r="563" spans="1:6" hidden="1">
      <c r="A563" s="12">
        <v>94</v>
      </c>
      <c r="B563" s="60" t="str">
        <f t="shared" si="270"/>
        <v/>
      </c>
      <c r="E563" s="53"/>
      <c r="F563" s="53"/>
    </row>
    <row r="564" spans="1:6" hidden="1">
      <c r="A564" s="12">
        <v>95</v>
      </c>
      <c r="B564" s="60" t="str">
        <f t="shared" si="270"/>
        <v/>
      </c>
      <c r="E564" s="53"/>
      <c r="F564" s="53"/>
    </row>
    <row r="565" spans="1:6" hidden="1">
      <c r="A565" s="12">
        <v>96</v>
      </c>
      <c r="B565" s="60" t="str">
        <f t="shared" si="270"/>
        <v/>
      </c>
      <c r="E565" s="53"/>
      <c r="F565" s="53"/>
    </row>
    <row r="566" spans="1:6" hidden="1">
      <c r="A566" s="12">
        <v>97</v>
      </c>
      <c r="B566" s="60" t="str">
        <f t="shared" ref="B566:B569" si="271">+CY111</f>
        <v/>
      </c>
      <c r="E566" s="53"/>
      <c r="F566" s="53"/>
    </row>
    <row r="567" spans="1:6" hidden="1">
      <c r="A567" s="12">
        <v>98</v>
      </c>
      <c r="B567" s="60" t="str">
        <f t="shared" si="271"/>
        <v/>
      </c>
      <c r="E567" s="53"/>
      <c r="F567" s="53"/>
    </row>
    <row r="568" spans="1:6" hidden="1">
      <c r="A568" s="12">
        <v>99</v>
      </c>
      <c r="B568" s="60" t="str">
        <f t="shared" si="271"/>
        <v/>
      </c>
      <c r="E568" s="53"/>
      <c r="F568" s="53"/>
    </row>
    <row r="569" spans="1:6" hidden="1">
      <c r="A569" s="12">
        <v>100</v>
      </c>
      <c r="B569" s="60" t="str">
        <f t="shared" si="271"/>
        <v/>
      </c>
      <c r="E569" s="53"/>
      <c r="F569" s="53"/>
    </row>
    <row r="570" spans="1:6" hidden="1">
      <c r="B570" s="60" t="str">
        <f>+IF(SUM(CO15:CO114)&gt;=2,"})&lt;/script&gt;","")</f>
        <v/>
      </c>
      <c r="E570" s="53"/>
      <c r="F570" s="53"/>
    </row>
    <row r="571" spans="1:6" s="143" customFormat="1" ht="8.25">
      <c r="B571" s="144" t="s">
        <v>608</v>
      </c>
    </row>
    <row r="572" spans="1:6" s="143" customFormat="1" ht="8.25">
      <c r="B572" s="144" t="s">
        <v>609</v>
      </c>
    </row>
    <row r="573" spans="1:6" s="143" customFormat="1" ht="8.25">
      <c r="B573" s="144" t="s">
        <v>610</v>
      </c>
    </row>
    <row r="574" spans="1:6" s="143" customFormat="1" ht="8.25">
      <c r="B574" s="144" t="s">
        <v>611</v>
      </c>
    </row>
    <row r="575" spans="1:6" s="143" customFormat="1" ht="8.25">
      <c r="B575" s="144" t="s">
        <v>612</v>
      </c>
    </row>
    <row r="576" spans="1:6" s="143" customFormat="1" ht="8.25">
      <c r="B576" s="144" t="s">
        <v>613</v>
      </c>
    </row>
    <row r="577" spans="2:2" s="193" customFormat="1" ht="12.75">
      <c r="B577" s="262" t="s">
        <v>1328</v>
      </c>
    </row>
    <row r="578" spans="2:2" s="193" customFormat="1" ht="12.75">
      <c r="B578" s="262" t="s">
        <v>1329</v>
      </c>
    </row>
    <row r="579" spans="2:2" s="193" customFormat="1" ht="12.75">
      <c r="B579" s="262" t="s">
        <v>1330</v>
      </c>
    </row>
    <row r="580" spans="2:2" s="193" customFormat="1" ht="12.75">
      <c r="B580" s="262" t="s">
        <v>96</v>
      </c>
    </row>
    <row r="581" spans="2:2" s="143" customFormat="1" ht="8.25">
      <c r="B581" s="144" t="s">
        <v>614</v>
      </c>
    </row>
    <row r="582" spans="2:2" s="143" customFormat="1" ht="8.25">
      <c r="B582" s="144" t="s">
        <v>615</v>
      </c>
    </row>
    <row r="583" spans="2:2" s="143" customFormat="1" ht="8.25">
      <c r="B583" s="144" t="s">
        <v>616</v>
      </c>
    </row>
    <row r="584" spans="2:2" s="143" customFormat="1" ht="8.25">
      <c r="B584" s="144" t="s">
        <v>617</v>
      </c>
    </row>
    <row r="585" spans="2:2" s="143" customFormat="1" ht="8.25">
      <c r="B585" s="144" t="s">
        <v>618</v>
      </c>
    </row>
    <row r="586" spans="2:2" s="143" customFormat="1" ht="8.25">
      <c r="B586" s="144" t="s">
        <v>619</v>
      </c>
    </row>
    <row r="587" spans="2:2" s="143" customFormat="1" ht="8.25">
      <c r="B587" s="144" t="s">
        <v>619</v>
      </c>
    </row>
    <row r="588" spans="2:2" s="143" customFormat="1" ht="8.25">
      <c r="B588" s="144" t="s">
        <v>620</v>
      </c>
    </row>
    <row r="589" spans="2:2" s="143" customFormat="1" ht="8.25">
      <c r="B589" s="144" t="s">
        <v>621</v>
      </c>
    </row>
    <row r="590" spans="2:2" s="143" customFormat="1" ht="8.25">
      <c r="B590" s="144" t="s">
        <v>622</v>
      </c>
    </row>
    <row r="591" spans="2:2" s="143" customFormat="1" ht="8.25">
      <c r="B591" s="144" t="s">
        <v>623</v>
      </c>
    </row>
    <row r="592" spans="2:2" s="143" customFormat="1" ht="8.25">
      <c r="B592" s="144" t="s">
        <v>624</v>
      </c>
    </row>
    <row r="593" spans="2:22" s="143" customFormat="1" ht="8.25">
      <c r="B593" s="144" t="s">
        <v>625</v>
      </c>
    </row>
    <row r="594" spans="2:22" ht="15.75">
      <c r="B594" s="245" t="str">
        <f>IF(L26="si",'Membership protocol'!A48,"")</f>
        <v>Wellcome, dear</v>
      </c>
    </row>
    <row r="595" spans="2:22" ht="15.75">
      <c r="B595" s="246" t="str">
        <f ca="1">IF(L26="si",'Membership protocol'!A49,"")</f>
        <v>&lt;? $user=$_SESSION["standard141509_Virgin_Mary_user"];</v>
      </c>
      <c r="C595" s="116"/>
      <c r="D595" s="116"/>
      <c r="E595" s="116"/>
      <c r="F595" s="116"/>
      <c r="G595" s="116"/>
      <c r="H595" s="116"/>
      <c r="I595" s="116"/>
      <c r="J595" s="116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</row>
    <row r="596" spans="2:22" ht="15.75">
      <c r="B596" s="246" t="e">
        <f>+#REF!</f>
        <v>#REF!</v>
      </c>
      <c r="C596" s="116"/>
      <c r="D596" s="116"/>
      <c r="E596" s="116"/>
      <c r="F596" s="116"/>
      <c r="G596" s="116"/>
      <c r="H596" s="116"/>
      <c r="I596" s="116"/>
      <c r="J596" s="116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</row>
    <row r="597" spans="2:22" ht="15.75">
      <c r="B597" s="246" t="e">
        <f>+#REF!</f>
        <v>#REF!</v>
      </c>
      <c r="C597" s="116"/>
      <c r="D597" s="116"/>
      <c r="E597" s="116"/>
      <c r="F597" s="116"/>
      <c r="G597" s="116"/>
      <c r="H597" s="116"/>
      <c r="I597" s="116"/>
      <c r="J597" s="116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</row>
    <row r="598" spans="2:22" ht="15.75">
      <c r="B598" s="246" t="str">
        <f>IF(L26="si",'Membership protocol'!A50,"")</f>
        <v>mysql_select_db("healmy5_pray", $con);$result = mysql_query("SELECT * FROM session WHERE user='$user'");</v>
      </c>
      <c r="C598" s="116"/>
      <c r="D598" s="116"/>
      <c r="E598" s="116"/>
      <c r="F598" s="116"/>
      <c r="G598" s="116"/>
      <c r="H598" s="116"/>
      <c r="I598" s="116"/>
      <c r="J598" s="116"/>
      <c r="K598" s="116"/>
      <c r="L598" s="116"/>
      <c r="M598" s="116"/>
      <c r="N598" s="116"/>
      <c r="O598" s="116"/>
      <c r="P598" s="116"/>
      <c r="Q598" s="116"/>
      <c r="R598" s="116"/>
      <c r="S598" s="116"/>
      <c r="T598" s="116"/>
      <c r="U598" s="116"/>
      <c r="V598" s="116"/>
    </row>
    <row r="599" spans="2:22" ht="15.75">
      <c r="B599" s="246" t="str">
        <f>IF(L26="si",'Membership protocol'!A51,"")</f>
        <v>$row = mysql_fetch_array($result);</v>
      </c>
      <c r="C599" s="116"/>
      <c r="D599" s="116"/>
      <c r="E599" s="116"/>
      <c r="F599" s="116"/>
      <c r="G599" s="116"/>
      <c r="H599" s="116"/>
      <c r="I599" s="116"/>
      <c r="J599" s="116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</row>
    <row r="600" spans="2:22" ht="15.75">
      <c r="B600" s="246" t="str">
        <f>IF(L26="si",'Membership protocol'!A52,"")</f>
        <v>echo $row['name'].' '.$row['surname'];</v>
      </c>
      <c r="C600" s="116"/>
      <c r="D600" s="116"/>
      <c r="E600" s="116"/>
      <c r="F600" s="116"/>
      <c r="G600" s="116"/>
      <c r="H600" s="116"/>
      <c r="I600" s="116"/>
      <c r="J600" s="116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</row>
    <row r="601" spans="2:22" ht="15.75">
      <c r="B601" s="246" t="str">
        <f>IF(L26="si",'Membership protocol'!A53,"")</f>
        <v>?&gt;</v>
      </c>
      <c r="C601" s="116"/>
      <c r="D601" s="116"/>
      <c r="E601" s="116"/>
      <c r="F601" s="116"/>
      <c r="G601" s="116"/>
      <c r="H601" s="116"/>
      <c r="I601" s="116"/>
      <c r="J601" s="116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</row>
    <row r="602" spans="2:22">
      <c r="B602" s="63" t="str">
        <f>IF(L26="si",'Membership protocol'!A54,"")</f>
        <v>&lt;a href="Jesus_logout.php"&gt;Exit&lt;/a&gt;</v>
      </c>
    </row>
    <row r="603" spans="2:22" hidden="1">
      <c r="B603" s="63" t="str">
        <f>+IF(L29="si","Patient information","")</f>
        <v>Patient information</v>
      </c>
    </row>
    <row r="604" spans="2:22" hidden="1">
      <c r="B604" s="130" t="str">
        <f>+IF(L29="si","&lt;?","")</f>
        <v>&lt;?</v>
      </c>
    </row>
    <row r="605" spans="2:22" hidden="1">
      <c r="B605" s="169" t="str">
        <f>+IF(L29="si",unique_id!B407,"")</f>
        <v>$tipo_doc_id=$_SESSION['a01healmy5_pray_tipo_doc_id'];</v>
      </c>
      <c r="C605" s="168"/>
      <c r="D605" s="168"/>
      <c r="E605" s="168"/>
      <c r="F605" s="168"/>
      <c r="G605" s="168"/>
      <c r="H605" s="168"/>
      <c r="I605" s="168"/>
      <c r="J605" s="168"/>
    </row>
    <row r="606" spans="2:22" hidden="1">
      <c r="B606" s="169" t="str">
        <f>+IF(L29="si",unique_id!B408,"")</f>
        <v>$numd=$_SESSION['a01healmy5_pray_numd'];</v>
      </c>
      <c r="C606" s="168"/>
      <c r="D606" s="168"/>
      <c r="E606" s="168"/>
      <c r="F606" s="168"/>
      <c r="G606" s="168"/>
      <c r="H606" s="168"/>
      <c r="I606" s="168"/>
      <c r="J606" s="168"/>
    </row>
    <row r="607" spans="2:22" hidden="1">
      <c r="B607" s="169" t="str">
        <f>+IF(L29="si",unique_id!B409,"")</f>
        <v>$result = mysql_query("SELECT * FROM uniqueJesus WHERE tipo_doc_id='$tipo_doc_id' AND numd='$numd'");</v>
      </c>
      <c r="C607" s="168"/>
      <c r="D607" s="168"/>
      <c r="E607" s="168"/>
      <c r="F607" s="168"/>
      <c r="G607" s="168"/>
      <c r="H607" s="168"/>
      <c r="I607" s="168"/>
      <c r="J607" s="168"/>
    </row>
    <row r="608" spans="2:22" hidden="1">
      <c r="B608" s="169" t="str">
        <f>+IF(L29="si",unique_id!B410,"")</f>
        <v>$row = mysql_fetch_array($result);</v>
      </c>
      <c r="C608" s="168"/>
      <c r="D608" s="168"/>
      <c r="E608" s="168"/>
      <c r="F608" s="168"/>
      <c r="G608" s="168"/>
      <c r="H608" s="168"/>
      <c r="I608" s="168"/>
      <c r="J608" s="168"/>
    </row>
    <row r="609" spans="1:11" hidden="1">
      <c r="A609" s="12">
        <f>+unique_id!A411</f>
        <v>1</v>
      </c>
      <c r="B609" s="169" t="str">
        <f>+IF(L29="si",unique_id!B411,"")</f>
        <v>echo 'tipo_doc_id: '.$row['tipo_doc_id'];echo 'numd: '.$row['numd'];</v>
      </c>
      <c r="C609" s="168"/>
      <c r="D609" s="168"/>
      <c r="E609" s="168"/>
      <c r="F609" s="168"/>
      <c r="G609" s="168"/>
      <c r="H609" s="168"/>
      <c r="I609" s="168"/>
      <c r="J609" s="168"/>
      <c r="K609" s="12" t="s">
        <v>708</v>
      </c>
    </row>
    <row r="610" spans="1:11" hidden="1">
      <c r="A610" s="12">
        <f>+unique_id!A412</f>
        <v>2</v>
      </c>
      <c r="B610" s="169" t="str">
        <f>+IF(L29="si",unique_id!B412,"")</f>
        <v>echo 'nom: '.$row['nom'];echo 'apll: '.$row['apll'];echo 'Sexo: '.$row['Sexo'];echo 'bthdt: '.$row['bthdt'];echo 'eps: '.$row['eps'];</v>
      </c>
      <c r="C610" s="168"/>
      <c r="D610" s="168"/>
      <c r="E610" s="168"/>
      <c r="F610" s="168"/>
      <c r="G610" s="168"/>
      <c r="H610" s="168"/>
      <c r="I610" s="168"/>
      <c r="J610" s="168"/>
    </row>
    <row r="611" spans="1:11" hidden="1">
      <c r="A611" s="12">
        <f>+unique_id!A413</f>
        <v>3</v>
      </c>
      <c r="B611" s="169" t="str">
        <f>+IF(L29="si",unique_id!B413,"")</f>
        <v/>
      </c>
      <c r="C611" s="168"/>
      <c r="D611" s="168"/>
      <c r="E611" s="168"/>
      <c r="F611" s="168"/>
      <c r="G611" s="168"/>
      <c r="H611" s="168"/>
      <c r="I611" s="168"/>
      <c r="J611" s="168"/>
    </row>
    <row r="612" spans="1:11" hidden="1">
      <c r="A612" s="12">
        <f>+unique_id!A414</f>
        <v>4</v>
      </c>
      <c r="B612" s="169" t="str">
        <f>+IF(L29="si",unique_id!B414,"")</f>
        <v/>
      </c>
      <c r="C612" s="168"/>
      <c r="D612" s="168"/>
      <c r="E612" s="168"/>
      <c r="F612" s="168"/>
      <c r="G612" s="168"/>
      <c r="H612" s="168"/>
      <c r="I612" s="168"/>
      <c r="J612" s="168"/>
    </row>
    <row r="613" spans="1:11" hidden="1">
      <c r="A613" s="12">
        <f>+unique_id!A415</f>
        <v>5</v>
      </c>
      <c r="B613" s="169" t="str">
        <f>+IF(L29="si",unique_id!B415,"")</f>
        <v/>
      </c>
      <c r="C613" s="168"/>
      <c r="D613" s="168"/>
      <c r="E613" s="168"/>
      <c r="F613" s="168"/>
      <c r="G613" s="168"/>
      <c r="H613" s="168"/>
      <c r="I613" s="168"/>
      <c r="J613" s="168"/>
    </row>
    <row r="614" spans="1:11" hidden="1">
      <c r="A614" s="12">
        <f>+unique_id!A416</f>
        <v>6</v>
      </c>
      <c r="B614" s="169" t="str">
        <f>+IF(L29="si",unique_id!B416,"")</f>
        <v/>
      </c>
      <c r="C614" s="168"/>
      <c r="D614" s="168"/>
      <c r="E614" s="168"/>
      <c r="F614" s="168"/>
      <c r="G614" s="168"/>
      <c r="H614" s="168"/>
      <c r="I614" s="168"/>
      <c r="J614" s="168"/>
    </row>
    <row r="615" spans="1:11" hidden="1">
      <c r="A615" s="12">
        <f>+unique_id!A417</f>
        <v>7</v>
      </c>
      <c r="B615" s="169" t="str">
        <f>+IF(L29="si",unique_id!B417,"")</f>
        <v/>
      </c>
      <c r="C615" s="168"/>
      <c r="D615" s="168"/>
      <c r="E615" s="168"/>
      <c r="F615" s="168"/>
      <c r="G615" s="168"/>
      <c r="H615" s="168"/>
      <c r="I615" s="168"/>
      <c r="J615" s="168"/>
    </row>
    <row r="616" spans="1:11" hidden="1">
      <c r="A616" s="12">
        <f>+unique_id!A418</f>
        <v>8</v>
      </c>
      <c r="B616" s="169" t="str">
        <f>+IF(L29="si",unique_id!B418,"")</f>
        <v/>
      </c>
      <c r="C616" s="168"/>
      <c r="D616" s="168"/>
      <c r="E616" s="168"/>
      <c r="F616" s="168"/>
      <c r="G616" s="168"/>
      <c r="H616" s="168"/>
      <c r="I616" s="168"/>
      <c r="J616" s="168"/>
    </row>
    <row r="617" spans="1:11" hidden="1">
      <c r="A617" s="12">
        <f>+unique_id!A419</f>
        <v>9</v>
      </c>
      <c r="B617" s="169" t="str">
        <f>+IF(L29="si",unique_id!B419,"")</f>
        <v/>
      </c>
      <c r="C617" s="168"/>
      <c r="D617" s="168"/>
      <c r="E617" s="168"/>
      <c r="F617" s="168"/>
      <c r="G617" s="168"/>
      <c r="H617" s="168"/>
      <c r="I617" s="168"/>
      <c r="J617" s="168"/>
    </row>
    <row r="618" spans="1:11" hidden="1">
      <c r="A618" s="12">
        <f>+unique_id!A420</f>
        <v>10</v>
      </c>
      <c r="B618" s="169" t="str">
        <f>+IF(L29="si",unique_id!B420,"")</f>
        <v/>
      </c>
      <c r="C618" s="168"/>
      <c r="D618" s="168"/>
      <c r="E618" s="168"/>
      <c r="F618" s="168"/>
      <c r="G618" s="168"/>
      <c r="H618" s="168"/>
      <c r="I618" s="168"/>
      <c r="J618" s="168"/>
    </row>
    <row r="619" spans="1:11" hidden="1">
      <c r="A619" s="12">
        <f>+unique_id!A421</f>
        <v>11</v>
      </c>
      <c r="B619" s="169" t="str">
        <f>+IF(L29="si",unique_id!B421,"")</f>
        <v/>
      </c>
      <c r="C619" s="168"/>
      <c r="D619" s="168"/>
      <c r="E619" s="168"/>
      <c r="F619" s="168"/>
      <c r="G619" s="168"/>
      <c r="H619" s="168"/>
      <c r="I619" s="168"/>
      <c r="J619" s="168"/>
    </row>
    <row r="620" spans="1:11" hidden="1">
      <c r="A620" s="12">
        <f>+unique_id!A422</f>
        <v>12</v>
      </c>
      <c r="B620" s="169" t="str">
        <f>+IF(L29="si",unique_id!B422,"")</f>
        <v/>
      </c>
      <c r="C620" s="168"/>
      <c r="D620" s="168"/>
      <c r="E620" s="168"/>
      <c r="F620" s="168"/>
      <c r="G620" s="168"/>
      <c r="H620" s="168"/>
      <c r="I620" s="168"/>
      <c r="J620" s="168"/>
    </row>
    <row r="621" spans="1:11" hidden="1">
      <c r="A621" s="12">
        <f>+unique_id!A423</f>
        <v>13</v>
      </c>
      <c r="B621" s="169" t="str">
        <f>+IF(L29="si",unique_id!B423,"")</f>
        <v/>
      </c>
      <c r="C621" s="168"/>
      <c r="D621" s="168"/>
      <c r="E621" s="168"/>
      <c r="F621" s="168"/>
      <c r="G621" s="168"/>
      <c r="H621" s="168"/>
      <c r="I621" s="168"/>
      <c r="J621" s="168"/>
    </row>
    <row r="622" spans="1:11" hidden="1">
      <c r="A622" s="12">
        <f>+unique_id!A424</f>
        <v>14</v>
      </c>
      <c r="B622" s="169" t="str">
        <f>+IF(L29="si",unique_id!B424,"")</f>
        <v/>
      </c>
      <c r="C622" s="168"/>
      <c r="D622" s="168"/>
      <c r="E622" s="168"/>
      <c r="F622" s="168"/>
      <c r="G622" s="168"/>
      <c r="H622" s="168"/>
      <c r="I622" s="168"/>
      <c r="J622" s="168"/>
    </row>
    <row r="623" spans="1:11" hidden="1">
      <c r="A623" s="12">
        <f>+unique_id!A425</f>
        <v>15</v>
      </c>
      <c r="B623" s="169" t="str">
        <f>+IF(L29="si",unique_id!B425,"")</f>
        <v/>
      </c>
      <c r="C623" s="168"/>
      <c r="D623" s="168"/>
      <c r="E623" s="168"/>
      <c r="F623" s="168"/>
      <c r="G623" s="168"/>
      <c r="H623" s="168"/>
      <c r="I623" s="168"/>
      <c r="J623" s="168"/>
    </row>
    <row r="624" spans="1:11" ht="14.25" hidden="1" customHeight="1">
      <c r="B624" s="169" t="str">
        <f>+IF(L29="si","?&gt;","")</f>
        <v>?&gt;</v>
      </c>
      <c r="C624" s="168"/>
      <c r="D624" s="168"/>
      <c r="E624" s="168"/>
      <c r="F624" s="168"/>
      <c r="G624" s="168"/>
      <c r="H624" s="168"/>
      <c r="I624" s="168"/>
      <c r="J624" s="168"/>
    </row>
    <row r="625" spans="1:2" ht="15" hidden="1" customHeight="1">
      <c r="B625" s="116" t="str">
        <f>+IF($L$21="si","&lt;?// show if already exist and hide subform","")</f>
        <v>&lt;?// show if already exist and hide subform</v>
      </c>
    </row>
    <row r="626" spans="1:2" hidden="1">
      <c r="B626" s="116" t="str">
        <f>+IF($L$21="si",I12&amp;L15&amp;L19&amp;J4&amp;J2&amp;J3,"")</f>
        <v>$result = mysql_query("SELECT * FROM Jesus1 WHERE tipo_doc_id='$tipo_doc_id' AND numd='$numd'");</v>
      </c>
    </row>
    <row r="627" spans="1:2" hidden="1">
      <c r="B627" s="116" t="str">
        <f>+IF($L$21="si","$row = mysql_fetch_array($result);","")</f>
        <v>$row = mysql_fetch_array($result);</v>
      </c>
    </row>
    <row r="628" spans="1:2" hidden="1">
      <c r="B628" s="116" t="str">
        <f>+IF($L$21="si","if (!empty($row[0])) {","")</f>
        <v>if (!empty($row[0])) {</v>
      </c>
    </row>
    <row r="629" spans="1:2" hidden="1">
      <c r="A629" s="12">
        <v>1</v>
      </c>
      <c r="B629" s="130" t="str">
        <f>+IF($L$21="si",DF15&amp;DF16&amp;DF17&amp;DF18&amp;DF19&amp;DF20&amp;DF21,"")</f>
        <v/>
      </c>
    </row>
    <row r="630" spans="1:2" hidden="1">
      <c r="A630" s="12">
        <v>2</v>
      </c>
      <c r="B630" s="130" t="str">
        <f>+IF($L$21="si",DF22&amp;DF23&amp;DF24&amp;DF25&amp;DF26&amp;DF27&amp;DF28,"")</f>
        <v/>
      </c>
    </row>
    <row r="631" spans="1:2" hidden="1">
      <c r="A631" s="12">
        <v>3</v>
      </c>
      <c r="B631" s="130" t="str">
        <f>+IF($L$21="si",DF29&amp;DF30&amp;DF31&amp;DF32&amp;DF33&amp;DF34&amp;DF35,"")</f>
        <v/>
      </c>
    </row>
    <row r="632" spans="1:2" hidden="1">
      <c r="A632" s="12">
        <v>4</v>
      </c>
      <c r="B632" s="130" t="str">
        <f>+IF($L$21="si",DF36&amp;DF37&amp;DF38&amp;DF39&amp;DF40&amp;DF41&amp;DF42,"")</f>
        <v/>
      </c>
    </row>
    <row r="633" spans="1:2" hidden="1">
      <c r="A633" s="12">
        <v>5</v>
      </c>
      <c r="B633" s="130" t="str">
        <f>+IF($L$21="si",DF43&amp;DF44&amp;DF45&amp;DF46&amp;DF47&amp;DF48&amp;DF49,"")</f>
        <v/>
      </c>
    </row>
    <row r="634" spans="1:2" hidden="1">
      <c r="A634" s="12">
        <v>6</v>
      </c>
      <c r="B634" s="130" t="str">
        <f>+IF($L$21="si",DF50&amp;DF51&amp;DF52&amp;DF53&amp;DF54&amp;DF55&amp;DF56,"")</f>
        <v/>
      </c>
    </row>
    <row r="635" spans="1:2" hidden="1">
      <c r="A635" s="12">
        <v>7</v>
      </c>
      <c r="B635" s="130" t="str">
        <f>+IF($L$21="si",DF57&amp;DF58&amp;DF59&amp;DF60&amp;DF61&amp;DF62&amp;DF63,"")</f>
        <v/>
      </c>
    </row>
    <row r="636" spans="1:2" hidden="1">
      <c r="A636" s="12">
        <v>8</v>
      </c>
      <c r="B636" s="130" t="str">
        <f>+IF($L$21="si",DF64&amp;DF65&amp;DF66&amp;DF67&amp;DF68&amp;DF69&amp;DF70,"")</f>
        <v/>
      </c>
    </row>
    <row r="637" spans="1:2" hidden="1">
      <c r="A637" s="12">
        <v>9</v>
      </c>
      <c r="B637" s="130" t="str">
        <f>+IF($L$21="si",DF71&amp;DF72&amp;DF73&amp;DF74&amp;DF75&amp;DF76&amp;DF77,"")</f>
        <v/>
      </c>
    </row>
    <row r="638" spans="1:2" hidden="1">
      <c r="A638" s="12">
        <v>10</v>
      </c>
      <c r="B638" s="130" t="str">
        <f>+IF($L$21="si",DF78&amp;DF79&amp;DF80&amp;DF81&amp;DF82&amp;DF83&amp;DF84,"")</f>
        <v/>
      </c>
    </row>
    <row r="639" spans="1:2" hidden="1">
      <c r="A639" s="12">
        <v>11</v>
      </c>
      <c r="B639" s="130" t="str">
        <f>+IF($L$21="si",DF85&amp;DF86&amp;DF87&amp;DF88&amp;DF89&amp;DF90&amp;DF91,"")</f>
        <v/>
      </c>
    </row>
    <row r="640" spans="1:2" hidden="1">
      <c r="A640" s="12">
        <v>12</v>
      </c>
      <c r="B640" s="130" t="str">
        <f>+IF($L$21="si",DF92&amp;DF93&amp;DF94&amp;DF95&amp;DF96&amp;DF97&amp;DF98,"")</f>
        <v/>
      </c>
    </row>
    <row r="641" spans="1:2" hidden="1">
      <c r="A641" s="12">
        <v>13</v>
      </c>
      <c r="B641" s="130" t="str">
        <f>+IF($L$21="si",DF99&amp;DF100&amp;DF101&amp;DF102&amp;DF103&amp;DF104&amp;DF105,"")</f>
        <v/>
      </c>
    </row>
    <row r="642" spans="1:2" hidden="1">
      <c r="A642" s="12">
        <v>14</v>
      </c>
      <c r="B642" s="130" t="str">
        <f>+IF($L$21="si",DF106&amp;DF107&amp;DF108&amp;DF109&amp;DF110&amp;DF111&amp;DF112,"")</f>
        <v/>
      </c>
    </row>
    <row r="643" spans="1:2" hidden="1">
      <c r="A643" s="12">
        <v>15</v>
      </c>
      <c r="B643" s="130" t="str">
        <f>+IF($L$21="si",DF113&amp;DF114,"")</f>
        <v/>
      </c>
    </row>
    <row r="644" spans="1:2" hidden="1">
      <c r="B644" s="116"/>
    </row>
    <row r="645" spans="1:2" hidden="1">
      <c r="A645" s="12">
        <v>1</v>
      </c>
      <c r="B645" s="130" t="str">
        <f>+IF($L$21="si",CZ15&amp;CZ16&amp;CZ17&amp;CZ18&amp;CZ19&amp;CZ20&amp;CZ21,"")</f>
        <v>echo 'tms_1: '.$row['tms_1'];</v>
      </c>
    </row>
    <row r="646" spans="1:2" hidden="1">
      <c r="A646" s="12">
        <v>2</v>
      </c>
      <c r="B646" s="130" t="str">
        <f>+IF($L$21="si",CZ22&amp;CZ23&amp;CZ24&amp;CZ25&amp;CZ26&amp;CZ27&amp;CZ28,"")</f>
        <v/>
      </c>
    </row>
    <row r="647" spans="1:2" hidden="1">
      <c r="A647" s="12">
        <v>3</v>
      </c>
      <c r="B647" s="130" t="str">
        <f>+IF($L$21="si",CZ29&amp;CZ30&amp;CZ31&amp;CZ32&amp;CZ33&amp;CZ34&amp;CZ35,"")</f>
        <v/>
      </c>
    </row>
    <row r="648" spans="1:2" hidden="1">
      <c r="A648" s="12">
        <v>4</v>
      </c>
      <c r="B648" s="130" t="str">
        <f>+IF($L$21="si",CZ36&amp;CZ37&amp;CZ38&amp;CZ39&amp;CZ40&amp;CZ41&amp;CZ42,"")</f>
        <v/>
      </c>
    </row>
    <row r="649" spans="1:2" hidden="1">
      <c r="A649" s="12">
        <v>5</v>
      </c>
      <c r="B649" s="130" t="str">
        <f>+IF($L$21="si",CZ43&amp;CZ44&amp;CZ45&amp;CZ46&amp;CZ47&amp;CZ48&amp;CZ49,"")</f>
        <v/>
      </c>
    </row>
    <row r="650" spans="1:2" hidden="1">
      <c r="A650" s="12">
        <v>6</v>
      </c>
      <c r="B650" s="130" t="str">
        <f>+IF($L$21="si",CZ50&amp;CZ51&amp;CZ52&amp;CZ53&amp;CZ54&amp;CZ55&amp;CZ56,"")</f>
        <v/>
      </c>
    </row>
    <row r="651" spans="1:2" hidden="1">
      <c r="A651" s="12">
        <v>7</v>
      </c>
      <c r="B651" s="130" t="str">
        <f>+IF($L$21="si",CZ57&amp;CZ58&amp;CZ59&amp;CZ60&amp;CZ61&amp;CZ62&amp;CZ63,"")</f>
        <v/>
      </c>
    </row>
    <row r="652" spans="1:2" hidden="1">
      <c r="A652" s="12">
        <v>8</v>
      </c>
      <c r="B652" s="130" t="str">
        <f>+IF($L$21="si",CZ64&amp;CZ65&amp;CZ66&amp;CZ67&amp;CZ68&amp;CZ69&amp;CZ70,"")</f>
        <v/>
      </c>
    </row>
    <row r="653" spans="1:2" hidden="1">
      <c r="A653" s="12">
        <v>9</v>
      </c>
      <c r="B653" s="130" t="str">
        <f>+IF($L$21="si",CZ71&amp;CZ72&amp;CZ73&amp;CZ74&amp;CZ75&amp;CZ76&amp;CZ77,"")</f>
        <v/>
      </c>
    </row>
    <row r="654" spans="1:2" hidden="1">
      <c r="A654" s="12">
        <v>10</v>
      </c>
      <c r="B654" s="130" t="str">
        <f>+IF($L$21="si",CZ78&amp;CZ79&amp;CZ80&amp;CZ81&amp;CZ82&amp;CZ83&amp;CZ84,"")</f>
        <v/>
      </c>
    </row>
    <row r="655" spans="1:2" hidden="1">
      <c r="A655" s="12">
        <v>11</v>
      </c>
      <c r="B655" s="130" t="str">
        <f>+IF($L$21="si",CZ85&amp;CZ86&amp;CZ87&amp;CZ88&amp;CZ89&amp;CZ90&amp;CZ91,"")</f>
        <v/>
      </c>
    </row>
    <row r="656" spans="1:2" hidden="1">
      <c r="A656" s="12">
        <v>12</v>
      </c>
      <c r="B656" s="130" t="str">
        <f>+IF($L$21="si",CZ92&amp;CZ93&amp;CZ94&amp;CZ95&amp;CZ96&amp;CZ97&amp;CZ98,"")</f>
        <v/>
      </c>
    </row>
    <row r="657" spans="1:50" hidden="1">
      <c r="A657" s="12">
        <v>13</v>
      </c>
      <c r="B657" s="130" t="str">
        <f>+IF($L$21="si",CZ99&amp;CZ100&amp;CZ101&amp;CZ102&amp;CZ103&amp;CZ104&amp;CZ105,"")</f>
        <v/>
      </c>
    </row>
    <row r="658" spans="1:50" hidden="1">
      <c r="A658" s="12">
        <v>14</v>
      </c>
      <c r="B658" s="130" t="str">
        <f>+IF($L$21="si",CZ106&amp;CZ107&amp;CZ108&amp;CZ109&amp;CZ110&amp;CZ111&amp;CZ112,"")</f>
        <v/>
      </c>
    </row>
    <row r="659" spans="1:50" hidden="1">
      <c r="A659" s="12">
        <v>15</v>
      </c>
      <c r="B659" s="130" t="str">
        <f>+IF($L$21="si",CZ113&amp;CZ114,"")</f>
        <v/>
      </c>
    </row>
    <row r="660" spans="1:50" hidden="1">
      <c r="B660" s="130" t="str">
        <f>+IF(L21&lt;&gt;"si","",R1)</f>
        <v>echo '&lt;script type="text/javascript"&gt; $(document).ready(function(){</v>
      </c>
    </row>
    <row r="661" spans="1:50" hidden="1">
      <c r="B661" s="130" t="str">
        <f>+IF(L21&lt;&gt;"si","",R2&amp;"hiden"&amp;L19&amp;R3)</f>
        <v>$("#hiden1").hide();</v>
      </c>
    </row>
    <row r="662" spans="1:50" hidden="1">
      <c r="B662" s="116" t="str">
        <f>+IF(L21&lt;&gt;"si","",R4)</f>
        <v>})&lt;/script&gt;';</v>
      </c>
    </row>
    <row r="663" spans="1:50" hidden="1">
      <c r="B663" s="116" t="str">
        <f>+IF($L$21="si","}?&gt;","")</f>
        <v>}?&gt;</v>
      </c>
    </row>
    <row r="664" spans="1:50" hidden="1">
      <c r="B664" s="63" t="str">
        <f>IF(L21="si","&lt;div id='hiden"&amp;L19&amp;"'&gt;","")</f>
        <v>&lt;div id='hiden1'&gt;</v>
      </c>
    </row>
    <row r="665" spans="1:50" hidden="1">
      <c r="B665" s="63" t="str">
        <f>+BL15&amp;BQ15&amp;BL16&amp;BQ16</f>
        <v/>
      </c>
    </row>
    <row r="666" spans="1:50" hidden="1">
      <c r="B666" s="63" t="str">
        <f>+BL17&amp;BQ17&amp;BL18&amp;BQ18</f>
        <v/>
      </c>
    </row>
    <row r="667" spans="1:50">
      <c r="B667" s="63" t="str">
        <f>+BL19&amp;BQ19&amp;BL20&amp;BQ20</f>
        <v/>
      </c>
    </row>
    <row r="668" spans="1:50">
      <c r="B668" s="63" t="str">
        <f>+BL21&amp;BQ21&amp;BL22&amp;BQ22</f>
        <v/>
      </c>
      <c r="AX668" s="12" t="str">
        <f>+AX25</f>
        <v/>
      </c>
    </row>
    <row r="669" spans="1:50">
      <c r="B669" s="63" t="str">
        <f>+BL23&amp;BQ23&amp;BL24&amp;BQ24</f>
        <v/>
      </c>
    </row>
    <row r="670" spans="1:50">
      <c r="B670" s="63" t="str">
        <f>+BL25&amp;BQ25&amp;BL26&amp;BQ26</f>
        <v/>
      </c>
      <c r="AX670" s="12" t="str">
        <f>+K12</f>
        <v xml:space="preserve"> &lt;/select&gt;</v>
      </c>
    </row>
    <row r="671" spans="1:50">
      <c r="B671" s="63" t="str">
        <f>+BL27&amp;BQ27&amp;BL28&amp;BQ28</f>
        <v/>
      </c>
    </row>
    <row r="672" spans="1:50">
      <c r="B672" s="63" t="str">
        <f>+BL29&amp;BQ29&amp;BL30&amp;BQ30</f>
        <v/>
      </c>
    </row>
    <row r="673" spans="2:64">
      <c r="B673" s="63" t="str">
        <f>+BL31&amp;BQ31&amp;BL32&amp;BQ32</f>
        <v/>
      </c>
    </row>
    <row r="674" spans="2:64">
      <c r="B674" s="63" t="str">
        <f>+BL33&amp;BQ33&amp;BL34&amp;BQ34</f>
        <v/>
      </c>
      <c r="BL674" s="12" t="str">
        <f>+BL28</f>
        <v/>
      </c>
    </row>
    <row r="675" spans="2:64">
      <c r="B675" s="63" t="str">
        <f>+BL35&amp;BQ35&amp;BL36&amp;BQ36</f>
        <v/>
      </c>
      <c r="BL675" s="12" t="str">
        <f>+BL29</f>
        <v/>
      </c>
    </row>
    <row r="676" spans="2:64">
      <c r="B676" s="63" t="str">
        <f>+BL37&amp;BQ37&amp;BL38&amp;BQ38</f>
        <v/>
      </c>
    </row>
    <row r="677" spans="2:64" hidden="1">
      <c r="B677" s="63" t="str">
        <f>+BL39&amp;BQ39&amp;BL40&amp;BQ40</f>
        <v/>
      </c>
    </row>
    <row r="678" spans="2:64" hidden="1">
      <c r="B678" s="63" t="str">
        <f>+BL41&amp;BQ41&amp;BL42&amp;BQ42</f>
        <v/>
      </c>
    </row>
    <row r="679" spans="2:64" hidden="1">
      <c r="B679" s="63" t="str">
        <f>+BL43&amp;BQ43&amp;BL44&amp;BQ44</f>
        <v/>
      </c>
    </row>
    <row r="680" spans="2:64" hidden="1">
      <c r="B680" s="63" t="str">
        <f>+BL45&amp;BQ45&amp;BL46&amp;BQ46</f>
        <v/>
      </c>
    </row>
    <row r="681" spans="2:64" hidden="1">
      <c r="B681" s="63" t="str">
        <f>+BL47&amp;BQ47&amp;BL48&amp;BQ48</f>
        <v/>
      </c>
    </row>
    <row r="682" spans="2:64" hidden="1">
      <c r="B682" s="63" t="str">
        <f>+BL49&amp;BQ49&amp;BL50&amp;BQ50</f>
        <v/>
      </c>
    </row>
    <row r="683" spans="2:64" hidden="1">
      <c r="B683" s="63" t="str">
        <f>+BL51&amp;BQ51&amp;BL52&amp;BQ52</f>
        <v/>
      </c>
    </row>
    <row r="684" spans="2:64" hidden="1">
      <c r="B684" s="63" t="str">
        <f>+BL53&amp;BQ53&amp;BL54&amp;BQ54</f>
        <v/>
      </c>
    </row>
    <row r="685" spans="2:64" hidden="1">
      <c r="B685" s="63" t="str">
        <f>+BL55&amp;BQ55&amp;BL56&amp;BQ56</f>
        <v/>
      </c>
    </row>
    <row r="686" spans="2:64" hidden="1">
      <c r="B686" s="63" t="str">
        <f>+BL57&amp;BQ57&amp;BL58&amp;BQ58</f>
        <v/>
      </c>
    </row>
    <row r="687" spans="2:64" hidden="1">
      <c r="B687" s="63" t="str">
        <f>+BL59&amp;BQ59&amp;BL60&amp;BQ60</f>
        <v/>
      </c>
    </row>
    <row r="688" spans="2:64" hidden="1">
      <c r="B688" s="63" t="str">
        <f>+BL61&amp;BQ61&amp;BL62&amp;BQ62</f>
        <v/>
      </c>
    </row>
    <row r="689" spans="2:2" hidden="1">
      <c r="B689" s="63" t="str">
        <f>+BL63&amp;BQ63&amp;BL64&amp;BQ64</f>
        <v/>
      </c>
    </row>
    <row r="690" spans="2:2" hidden="1">
      <c r="B690" s="63" t="str">
        <f>+BL65&amp;BQ65&amp;BL66&amp;BQ66</f>
        <v/>
      </c>
    </row>
    <row r="691" spans="2:2" hidden="1">
      <c r="B691" s="63" t="str">
        <f>+BL67&amp;BQ67&amp;BL68&amp;BQ68</f>
        <v/>
      </c>
    </row>
    <row r="692" spans="2:2" hidden="1">
      <c r="B692" s="63" t="str">
        <f>+BL69&amp;BQ69&amp;BL70&amp;BQ70</f>
        <v/>
      </c>
    </row>
    <row r="693" spans="2:2" hidden="1">
      <c r="B693" s="63" t="str">
        <f>+BL71&amp;BQ71&amp;BL72&amp;BQ72</f>
        <v/>
      </c>
    </row>
    <row r="694" spans="2:2" hidden="1">
      <c r="B694" s="63" t="str">
        <f>+BL73&amp;BQ73&amp;BL74&amp;BQ74</f>
        <v/>
      </c>
    </row>
    <row r="695" spans="2:2" hidden="1">
      <c r="B695" s="63" t="str">
        <f>+BL75&amp;BQ75&amp;BL76&amp;BQ76</f>
        <v/>
      </c>
    </row>
    <row r="696" spans="2:2" hidden="1">
      <c r="B696" s="63" t="str">
        <f>+BL77&amp;BQ77&amp;BL78&amp;BQ78</f>
        <v/>
      </c>
    </row>
    <row r="697" spans="2:2" hidden="1">
      <c r="B697" s="63" t="str">
        <f>+BL79&amp;BQ79&amp;BL80&amp;BQ80</f>
        <v/>
      </c>
    </row>
    <row r="698" spans="2:2" hidden="1">
      <c r="B698" s="63" t="str">
        <f>+BL81&amp;BQ81&amp;BL82&amp;BQ82</f>
        <v/>
      </c>
    </row>
    <row r="699" spans="2:2" hidden="1">
      <c r="B699" s="63" t="str">
        <f>+BL83&amp;BQ83&amp;BL84&amp;BQ84</f>
        <v/>
      </c>
    </row>
    <row r="700" spans="2:2" hidden="1">
      <c r="B700" s="63" t="str">
        <f>+BL85&amp;BQ85&amp;BL86&amp;BQ86</f>
        <v/>
      </c>
    </row>
    <row r="701" spans="2:2" hidden="1">
      <c r="B701" s="63" t="str">
        <f>+BL87&amp;BQ87&amp;BL88&amp;BQ88</f>
        <v/>
      </c>
    </row>
    <row r="702" spans="2:2" hidden="1">
      <c r="B702" s="63" t="str">
        <f>+BL89&amp;BQ89&amp;BL90&amp;BQ90</f>
        <v/>
      </c>
    </row>
    <row r="703" spans="2:2" hidden="1">
      <c r="B703" s="63" t="str">
        <f>+BL91&amp;BQ91&amp;BL92&amp;BQ92</f>
        <v/>
      </c>
    </row>
    <row r="704" spans="2:2" hidden="1">
      <c r="B704" s="63" t="str">
        <f>+BL93&amp;BQ93&amp;BL94&amp;BQ94</f>
        <v/>
      </c>
    </row>
    <row r="705" spans="2:19" hidden="1">
      <c r="B705" s="63" t="str">
        <f>+BL95&amp;BQ95&amp;BL96&amp;BQ96</f>
        <v/>
      </c>
    </row>
    <row r="706" spans="2:19" hidden="1">
      <c r="B706" s="63" t="str">
        <f>+BL97&amp;BQ97&amp;BL98&amp;BQ98</f>
        <v/>
      </c>
    </row>
    <row r="707" spans="2:19" hidden="1">
      <c r="B707" s="63" t="str">
        <f>+BL99&amp;BQ99&amp;BL100&amp;BQ100</f>
        <v/>
      </c>
    </row>
    <row r="708" spans="2:19" hidden="1">
      <c r="B708" s="63" t="str">
        <f>+BL101&amp;BQ101&amp;BL102&amp;BQ102</f>
        <v/>
      </c>
    </row>
    <row r="709" spans="2:19" hidden="1">
      <c r="B709" s="63" t="str">
        <f>+BL103&amp;BQ103&amp;BL104&amp;BQ104</f>
        <v/>
      </c>
    </row>
    <row r="710" spans="2:19" hidden="1">
      <c r="B710" s="63" t="str">
        <f>+BL105&amp;BQ105&amp;BL106&amp;BQ106</f>
        <v/>
      </c>
    </row>
    <row r="711" spans="2:19" hidden="1">
      <c r="B711" s="63" t="str">
        <f>+BL107&amp;BQ107&amp;BL108&amp;BQ108</f>
        <v/>
      </c>
    </row>
    <row r="712" spans="2:19" hidden="1">
      <c r="B712" s="63" t="str">
        <f>+BL109&amp;BQ109&amp;BL110&amp;BQ110</f>
        <v/>
      </c>
    </row>
    <row r="713" spans="2:19" hidden="1">
      <c r="B713" s="63" t="str">
        <f>+BL111&amp;BQ111&amp;BL112&amp;BQ112</f>
        <v/>
      </c>
    </row>
    <row r="714" spans="2:19" hidden="1">
      <c r="B714" s="63" t="str">
        <f>+BL113&amp;BQ113&amp;BL114&amp;BQ114</f>
        <v/>
      </c>
    </row>
    <row r="715" spans="2:19">
      <c r="B715" s="63" t="str">
        <f>+G10&amp;L19&amp;G11</f>
        <v>&lt;div class="glass" id="searchbutton1" style="color:white;padding:10px;text-align:center" onmouseover="this.className='glassonmouse'" onmouseout="this.className='glass'" &gt;SAVE&lt;/div&gt;</v>
      </c>
    </row>
    <row r="716" spans="2:19" hidden="1">
      <c r="B716" s="179" t="str">
        <f>IF(AND(L19=1,L29="SI"),unique_id!B483,"")</f>
        <v>&lt;div style="width:100px"&gt;&lt;a href='searchanotheruniqueJesus.php'&gt;&lt;div class="glass" id="searchbutton_unique" style="color:white;padding:10px;text-align:center;display:none" onmouseover="this.className='glassonmouse'" onmouseout="this.className='glass'" &gt;change patient&lt;/div&gt;&lt;/a&gt;&lt;/div&gt;</v>
      </c>
      <c r="C716" s="178"/>
      <c r="D716" s="178"/>
      <c r="E716" s="178"/>
      <c r="F716" s="178"/>
      <c r="G716" s="178"/>
      <c r="H716" s="178"/>
      <c r="I716" s="178"/>
      <c r="J716" s="178"/>
      <c r="K716" s="178"/>
      <c r="L716" s="178"/>
      <c r="M716" s="178"/>
      <c r="N716" s="178"/>
      <c r="O716" s="178"/>
      <c r="P716" s="178"/>
      <c r="Q716" s="178"/>
      <c r="R716" s="178"/>
      <c r="S716" s="178"/>
    </row>
    <row r="717" spans="2:19" hidden="1">
      <c r="B717" s="63" t="str">
        <f>+IF(L21=N2,"&lt;/div&gt;","")</f>
        <v>&lt;/div&gt;</v>
      </c>
    </row>
    <row r="718" spans="2:19">
      <c r="B718" s="63" t="str">
        <f>+A9&amp;N19&amp;A10</f>
        <v>&lt;div id="check1"&gt;&lt;/div&gt;</v>
      </c>
    </row>
    <row r="719" spans="2:19">
      <c r="B719" s="63" t="str">
        <f>+IF(L21&lt;&gt;"si",A9&amp;S5&amp;L15&amp;L19&amp;A10,"")</f>
        <v/>
      </c>
    </row>
    <row r="720" spans="2:19">
      <c r="B720" s="60" t="str">
        <f>+IF(L21&lt;&gt;"si",S7&amp;S5&amp;L15&amp;L19&amp;S8&amp;L15&amp;L19&amp;S9&amp;L15&amp;L19&amp;S10&amp;S5&amp;L15&amp;L19&amp;S11,"")</f>
        <v/>
      </c>
    </row>
    <row r="721" spans="2:2">
      <c r="B721" s="63" t="str">
        <f>IF(L21&lt;&gt;"si",T10&amp;L15&amp;T11&amp;L15&amp;T12,"")</f>
        <v/>
      </c>
    </row>
    <row r="722" spans="2:2">
      <c r="B722" s="60" t="str">
        <f>IF(L21&lt;&gt;"si",U1&amp;L15&amp;U2&amp;N15&amp;U3&amp;L15&amp;L19&amp;U4,"")</f>
        <v/>
      </c>
    </row>
    <row r="723" spans="2:2">
      <c r="B723" s="60" t="str">
        <f>IF(L21&lt;&gt;"si",U5&amp;L15&amp;U6&amp;L15&amp;U7&amp;N15&amp;U8&amp;L15&amp;L19&amp;U9,"")</f>
        <v/>
      </c>
    </row>
    <row r="724" spans="2:2" s="143" customFormat="1" ht="8.25">
      <c r="B724" s="144" t="s">
        <v>626</v>
      </c>
    </row>
    <row r="725" spans="2:2" s="143" customFormat="1" ht="8.25">
      <c r="B725" s="144" t="s">
        <v>627</v>
      </c>
    </row>
    <row r="726" spans="2:2" s="143" customFormat="1" ht="8.25">
      <c r="B726" s="144" t="s">
        <v>615</v>
      </c>
    </row>
    <row r="727" spans="2:2" s="143" customFormat="1" ht="8.25">
      <c r="B727" s="144" t="s">
        <v>628</v>
      </c>
    </row>
    <row r="728" spans="2:2" s="143" customFormat="1" ht="8.25">
      <c r="B728" s="144" t="s">
        <v>629</v>
      </c>
    </row>
    <row r="729" spans="2:2" s="143" customFormat="1" ht="8.25">
      <c r="B729" s="144" t="s">
        <v>631</v>
      </c>
    </row>
    <row r="730" spans="2:2" s="193" customFormat="1" ht="12.75">
      <c r="B730" s="262" t="s">
        <v>1328</v>
      </c>
    </row>
    <row r="731" spans="2:2" s="193" customFormat="1" ht="12.75">
      <c r="B731" s="262" t="s">
        <v>1329</v>
      </c>
    </row>
    <row r="732" spans="2:2" s="193" customFormat="1" ht="12.75">
      <c r="B732" s="262" t="s">
        <v>1331</v>
      </c>
    </row>
    <row r="733" spans="2:2" s="193" customFormat="1" ht="12.75">
      <c r="B733" s="262" t="s">
        <v>96</v>
      </c>
    </row>
    <row r="734" spans="2:2" s="143" customFormat="1" ht="8.25">
      <c r="B734" s="144" t="s">
        <v>632</v>
      </c>
    </row>
    <row r="735" spans="2:2" s="143" customFormat="1" ht="8.25">
      <c r="B735" s="144" t="s">
        <v>615</v>
      </c>
    </row>
    <row r="736" spans="2:2" s="143" customFormat="1" ht="8.25">
      <c r="B736" s="144" t="s">
        <v>6</v>
      </c>
    </row>
    <row r="737" spans="1:68" s="143" customFormat="1" ht="8.25">
      <c r="B737" s="144" t="s">
        <v>633</v>
      </c>
    </row>
    <row r="738" spans="1:68" s="143" customFormat="1" ht="8.25">
      <c r="B738" s="144" t="s">
        <v>634</v>
      </c>
    </row>
    <row r="739" spans="1:68">
      <c r="B739" s="13" t="s">
        <v>719</v>
      </c>
    </row>
    <row r="740" spans="1:68">
      <c r="B740" s="13" t="str">
        <f>+ajaxinsertandclose!A271</f>
        <v>php file</v>
      </c>
    </row>
    <row r="741" spans="1:68">
      <c r="B741" s="58" t="str">
        <f>"&lt;?php //"&amp;N15</f>
        <v>&lt;?php //Jesus1.php</v>
      </c>
    </row>
    <row r="742" spans="1:68">
      <c r="B742" s="58" t="s">
        <v>101</v>
      </c>
    </row>
    <row r="743" spans="1:68">
      <c r="B743" s="58" t="s">
        <v>486</v>
      </c>
    </row>
    <row r="744" spans="1:68">
      <c r="B744" s="137" t="s">
        <v>499</v>
      </c>
      <c r="BP744" s="12" t="str">
        <f>+BP22</f>
        <v/>
      </c>
    </row>
    <row r="745" spans="1:68">
      <c r="B745" s="58" t="str">
        <f ca="1">+CF15&amp;CF16&amp;CF17&amp;CF18&amp;CF19&amp;CF20&amp;CF21&amp;CF22&amp;CF23&amp;CF24&amp;CF25&amp;CF26&amp;CF27&amp;CF28&amp;CF29&amp;CF30&amp;CF31&amp;CF32&amp;CF33&amp;CF34&amp;CF35&amp;CF36&amp;CF37&amp;CF38&amp;CF39&amp;CF40&amp;CF41&amp;CF42</f>
        <v>$user=$_SESSION["standard141509_Virgin_Mary_user"];$tipo_doc_id=$_SESSION['a01healmy5_pray_tipo_doc_id'];$numd=$_SESSION['a01healmy5_pray_numd'];</v>
      </c>
    </row>
    <row r="746" spans="1:68" hidden="1">
      <c r="B746" s="58" t="str">
        <f>+CF43&amp;CF44&amp;CF45&amp;CF46&amp;CF47&amp;CF48&amp;CF49&amp;CF50&amp;CF51&amp;CF52&amp;CF53&amp;CF54&amp;CF55&amp;CF56&amp;CF57&amp;CF58&amp;CF59&amp;CF60&amp;CF61&amp;CF62&amp;CF63&amp;CF64&amp;CF65&amp;CF66&amp;CF67&amp;CF68&amp;CF69&amp;CF70</f>
        <v/>
      </c>
    </row>
    <row r="747" spans="1:68" hidden="1">
      <c r="B747" s="58" t="str">
        <f>+CF71&amp;CF72&amp;CF73&amp;CF74&amp;CF75&amp;CF76&amp;CF77&amp;CF78&amp;CF79&amp;CF80&amp;CF81&amp;CF82&amp;CF83&amp;CF84&amp;CF85&amp;CF86&amp;CF87&amp;CF88&amp;CF89&amp;CF90&amp;CF91&amp;CF92&amp;CF93&amp;CF94&amp;CF95&amp;CF96&amp;CF97&amp;CF98</f>
        <v/>
      </c>
    </row>
    <row r="748" spans="1:68" hidden="1">
      <c r="B748" s="58" t="str">
        <f>+CF99&amp;CF100&amp;CF101&amp;CF102&amp;CF103&amp;CF104&amp;CF105&amp;CF106&amp;CF107&amp;CF108&amp;CF109&amp;CF110&amp;CF111&amp;CF112</f>
        <v/>
      </c>
    </row>
    <row r="749" spans="1:68">
      <c r="B749" s="137" t="s">
        <v>500</v>
      </c>
    </row>
    <row r="750" spans="1:68">
      <c r="A750" s="12">
        <v>1</v>
      </c>
      <c r="B750" s="58" t="str">
        <f>BP15&amp;BP16&amp;BP17&amp;BP18&amp;BP19&amp;BP20&amp;BP21</f>
        <v>$tms_1=date("Y/m/d");</v>
      </c>
    </row>
    <row r="751" spans="1:68">
      <c r="A751" s="12">
        <v>2</v>
      </c>
      <c r="B751" s="58" t="str">
        <f>BP22&amp;BP23&amp;BP24&amp;BP25&amp;BP26&amp;BP27&amp;BP28</f>
        <v/>
      </c>
    </row>
    <row r="752" spans="1:68">
      <c r="A752" s="12">
        <v>3</v>
      </c>
      <c r="B752" s="58" t="str">
        <f>BP29&amp;BP30&amp;BP31&amp;BP32&amp;BP33&amp;BP34&amp;BP35</f>
        <v/>
      </c>
    </row>
    <row r="753" spans="1:2" hidden="1">
      <c r="A753" s="12">
        <v>4</v>
      </c>
      <c r="B753" s="58" t="str">
        <f>BP36&amp;BP37&amp;BP38&amp;BP39&amp;BP40&amp;BP41&amp;BP42</f>
        <v/>
      </c>
    </row>
    <row r="754" spans="1:2" hidden="1">
      <c r="A754" s="12">
        <v>5</v>
      </c>
      <c r="B754" s="58" t="str">
        <f>BP43&amp;BP44&amp;BP45&amp;BP46&amp;BP47&amp;BP48&amp;BP49</f>
        <v/>
      </c>
    </row>
    <row r="755" spans="1:2" hidden="1">
      <c r="A755" s="12">
        <v>6</v>
      </c>
      <c r="B755" s="58" t="str">
        <f>BP50&amp;BP51&amp;BP52&amp;BP53&amp;BP54&amp;BP55&amp;BP56</f>
        <v/>
      </c>
    </row>
    <row r="756" spans="1:2" hidden="1">
      <c r="A756" s="12">
        <v>7</v>
      </c>
      <c r="B756" s="58" t="str">
        <f>BP57&amp;BP58&amp;BP59&amp;BP60&amp;BP61&amp;BP62&amp;BP63</f>
        <v/>
      </c>
    </row>
    <row r="757" spans="1:2" hidden="1">
      <c r="A757" s="12">
        <v>8</v>
      </c>
      <c r="B757" s="58" t="str">
        <f>BP64&amp;BP65&amp;BP66&amp;BP67&amp;BP68&amp;BP69&amp;BP70</f>
        <v/>
      </c>
    </row>
    <row r="758" spans="1:2" hidden="1">
      <c r="A758" s="12">
        <v>9</v>
      </c>
      <c r="B758" s="58" t="str">
        <f>BP71&amp;BP72&amp;BP73&amp;BP74&amp;BP75&amp;BP76&amp;BP77</f>
        <v/>
      </c>
    </row>
    <row r="759" spans="1:2" hidden="1">
      <c r="A759" s="12">
        <v>10</v>
      </c>
      <c r="B759" s="58" t="str">
        <f>BP78&amp;BP79&amp;BP80&amp;BP81&amp;BP82&amp;BP83&amp;BP84</f>
        <v/>
      </c>
    </row>
    <row r="760" spans="1:2" hidden="1">
      <c r="A760" s="12">
        <v>11</v>
      </c>
      <c r="B760" s="58" t="str">
        <f>BP85&amp;BP86&amp;BP87&amp;BP88&amp;BP89&amp;BP90&amp;BP91</f>
        <v/>
      </c>
    </row>
    <row r="761" spans="1:2" hidden="1">
      <c r="A761" s="12">
        <v>12</v>
      </c>
      <c r="B761" s="58" t="str">
        <f>BP92&amp;BP93&amp;BP94&amp;BP95&amp;BP96&amp;BP97&amp;BP98</f>
        <v/>
      </c>
    </row>
    <row r="762" spans="1:2" hidden="1">
      <c r="A762" s="12">
        <v>13</v>
      </c>
      <c r="B762" s="58" t="str">
        <f>BP99&amp;BP100&amp;BP101&amp;BP102&amp;BP103&amp;BP104&amp;BP105</f>
        <v/>
      </c>
    </row>
    <row r="763" spans="1:2" hidden="1">
      <c r="A763" s="12">
        <v>14</v>
      </c>
      <c r="B763" s="58" t="str">
        <f>BP106&amp;BP107&amp;BP108&amp;BP109&amp;BP110&amp;BP111&amp;BP112</f>
        <v/>
      </c>
    </row>
    <row r="764" spans="1:2" ht="13.5" hidden="1" customHeight="1">
      <c r="A764" s="12">
        <v>15</v>
      </c>
      <c r="B764" s="58" t="str">
        <f>BP113&amp;BP114</f>
        <v/>
      </c>
    </row>
    <row r="765" spans="1:2">
      <c r="B765" s="58" t="e">
        <f>+#REF!</f>
        <v>#REF!</v>
      </c>
    </row>
    <row r="766" spans="1:2">
      <c r="B766" s="58" t="e">
        <f>+#REF!</f>
        <v>#REF!</v>
      </c>
    </row>
    <row r="767" spans="1:2">
      <c r="B767" s="58" t="str">
        <f>+R7</f>
        <v xml:space="preserve"> mysql_select_db('healmy5_pray', $con);</v>
      </c>
    </row>
    <row r="768" spans="1:2">
      <c r="B768" s="58" t="s">
        <v>978</v>
      </c>
    </row>
    <row r="769" spans="2:2">
      <c r="B769" s="58" t="str">
        <f>CD15&amp;CD16&amp;CD17&amp;CD18&amp;CD19&amp;CD20&amp;CD21</f>
        <v/>
      </c>
    </row>
    <row r="770" spans="2:2" hidden="1">
      <c r="B770" s="58" t="str">
        <f>CD22&amp;CD23&amp;CD24&amp;CD25&amp;CD26&amp;CD27&amp;CD28</f>
        <v/>
      </c>
    </row>
    <row r="771" spans="2:2">
      <c r="B771" s="58" t="str">
        <f>CD29&amp;CD30&amp;CD31&amp;CD32&amp;CD33&amp;CD34&amp;CD35</f>
        <v/>
      </c>
    </row>
    <row r="772" spans="2:2" hidden="1">
      <c r="B772" s="58" t="str">
        <f>CD36&amp;CD37&amp;CD38&amp;CD39&amp;CD40&amp;CD41&amp;CD42</f>
        <v/>
      </c>
    </row>
    <row r="773" spans="2:2" hidden="1">
      <c r="B773" s="58" t="str">
        <f>CD43&amp;CD44&amp;CD45&amp;CD46&amp;CD47&amp;CD48&amp;CD49</f>
        <v/>
      </c>
    </row>
    <row r="774" spans="2:2" hidden="1">
      <c r="B774" s="58" t="str">
        <f>CD50&amp;CD51&amp;CD52&amp;CD53&amp;CD54&amp;CD55&amp;CD56</f>
        <v/>
      </c>
    </row>
    <row r="775" spans="2:2" hidden="1">
      <c r="B775" s="58" t="str">
        <f>CD57&amp;CD58&amp;CD59&amp;CD60&amp;CD61&amp;CD62&amp;CD63</f>
        <v/>
      </c>
    </row>
    <row r="776" spans="2:2" hidden="1">
      <c r="B776" s="58" t="str">
        <f>CD64&amp;CD65&amp;CD66&amp;CD67&amp;CD68&amp;CD69&amp;CD70</f>
        <v/>
      </c>
    </row>
    <row r="777" spans="2:2" hidden="1">
      <c r="B777" s="58" t="str">
        <f>CD71&amp;CD72&amp;CD73&amp;CD74&amp;CD75&amp;CD76&amp;CD77</f>
        <v/>
      </c>
    </row>
    <row r="778" spans="2:2" hidden="1">
      <c r="B778" s="58" t="str">
        <f>CD78&amp;CD79&amp;CD80&amp;CD81&amp;CD82&amp;CD83&amp;CD84</f>
        <v/>
      </c>
    </row>
    <row r="779" spans="2:2" hidden="1">
      <c r="B779" s="58" t="str">
        <f>CD85&amp;CD86&amp;CD87&amp;CD88&amp;CD89&amp;CD90&amp;CD91</f>
        <v/>
      </c>
    </row>
    <row r="780" spans="2:2" hidden="1">
      <c r="B780" s="58" t="str">
        <f>CD92&amp;CD93&amp;CD94&amp;CD95&amp;CD96&amp;CD97&amp;CD98</f>
        <v/>
      </c>
    </row>
    <row r="781" spans="2:2" hidden="1">
      <c r="B781" s="58" t="str">
        <f>CD99&amp;CD100&amp;CD101&amp;CD102&amp;CD103&amp;CD104&amp;CD105</f>
        <v/>
      </c>
    </row>
    <row r="782" spans="2:2" hidden="1">
      <c r="B782" s="58" t="str">
        <f>CD106&amp;CD107&amp;CD108&amp;CD109&amp;CD110&amp;CD111&amp;CD112</f>
        <v/>
      </c>
    </row>
    <row r="783" spans="2:2" hidden="1">
      <c r="B783" s="58" t="str">
        <f>CD113&amp;CD114</f>
        <v/>
      </c>
    </row>
    <row r="784" spans="2:2">
      <c r="B784" s="58" t="s">
        <v>977</v>
      </c>
    </row>
    <row r="785" spans="1:2" hidden="1">
      <c r="B785" s="58" t="str">
        <f>+E1</f>
        <v/>
      </c>
    </row>
    <row r="786" spans="1:2" hidden="1">
      <c r="A786" s="12">
        <v>1</v>
      </c>
      <c r="B786" s="58" t="str">
        <f>BY15&amp;BY16&amp;BY17&amp;BY18&amp;BY19&amp;BY20&amp;BY21</f>
        <v/>
      </c>
    </row>
    <row r="787" spans="1:2" hidden="1">
      <c r="A787" s="12">
        <v>2</v>
      </c>
      <c r="B787" s="58" t="str">
        <f>BY22&amp;BY23&amp;BY24&amp;BY25&amp;BY26&amp;BY27&amp;BY28</f>
        <v/>
      </c>
    </row>
    <row r="788" spans="1:2" hidden="1">
      <c r="A788" s="12">
        <v>3</v>
      </c>
      <c r="B788" s="58" t="str">
        <f>BY29&amp;BY30&amp;BY31&amp;BY32&amp;BY33&amp;BY34&amp;BY35</f>
        <v/>
      </c>
    </row>
    <row r="789" spans="1:2" hidden="1">
      <c r="A789" s="12">
        <v>4</v>
      </c>
      <c r="B789" s="58" t="str">
        <f>BY36&amp;BY37&amp;BY38&amp;BY39&amp;BY40&amp;BY41&amp;BY42</f>
        <v/>
      </c>
    </row>
    <row r="790" spans="1:2" hidden="1">
      <c r="A790" s="12">
        <v>5</v>
      </c>
      <c r="B790" s="58" t="str">
        <f>BY43&amp;BY44&amp;BY45&amp;BY46&amp;BY47&amp;BY48&amp;BY49</f>
        <v/>
      </c>
    </row>
    <row r="791" spans="1:2" hidden="1">
      <c r="A791" s="12">
        <v>6</v>
      </c>
      <c r="B791" s="58" t="str">
        <f>BY50&amp;BY51&amp;BY52&amp;BY53&amp;BY54&amp;BY55&amp;BY56</f>
        <v/>
      </c>
    </row>
    <row r="792" spans="1:2" hidden="1">
      <c r="A792" s="12">
        <v>7</v>
      </c>
      <c r="B792" s="58" t="str">
        <f>BY57&amp;BY58&amp;BY59&amp;BY60&amp;BY61&amp;BY62&amp;BY63</f>
        <v/>
      </c>
    </row>
    <row r="793" spans="1:2" hidden="1">
      <c r="A793" s="12">
        <v>8</v>
      </c>
      <c r="B793" s="58" t="str">
        <f>BY64&amp;BY65&amp;BY66&amp;BY67&amp;BY68&amp;BY69&amp;BY70</f>
        <v/>
      </c>
    </row>
    <row r="794" spans="1:2" hidden="1">
      <c r="A794" s="12">
        <v>9</v>
      </c>
      <c r="B794" s="58" t="str">
        <f>BY71&amp;BY72&amp;BY73&amp;BY74&amp;BY75&amp;BY76&amp;BY77</f>
        <v/>
      </c>
    </row>
    <row r="795" spans="1:2" hidden="1">
      <c r="A795" s="12">
        <v>10</v>
      </c>
      <c r="B795" s="58" t="str">
        <f>BY78&amp;BY79&amp;BY80&amp;BY81&amp;BY82&amp;BY83&amp;BY84</f>
        <v/>
      </c>
    </row>
    <row r="796" spans="1:2" hidden="1">
      <c r="A796" s="12">
        <v>11</v>
      </c>
      <c r="B796" s="58" t="str">
        <f>BY85&amp;BY86&amp;BY87&amp;BY88&amp;BY89&amp;BY90&amp;BY91</f>
        <v/>
      </c>
    </row>
    <row r="797" spans="1:2" hidden="1">
      <c r="A797" s="12">
        <v>12</v>
      </c>
      <c r="B797" s="58" t="str">
        <f>BY92&amp;BY93&amp;BY94&amp;BY95&amp;BY96&amp;BY97&amp;BY98</f>
        <v/>
      </c>
    </row>
    <row r="798" spans="1:2" hidden="1">
      <c r="A798" s="12">
        <v>13</v>
      </c>
      <c r="B798" s="58" t="str">
        <f>BY99&amp;BY100&amp;BY101&amp;BY102&amp;BY103&amp;BY104&amp;BY105</f>
        <v/>
      </c>
    </row>
    <row r="799" spans="1:2" hidden="1">
      <c r="A799" s="12">
        <v>14</v>
      </c>
      <c r="B799" s="58" t="str">
        <f>BY106&amp;BY107&amp;BY108&amp;BY109&amp;BY110&amp;BY111&amp;BY112</f>
        <v/>
      </c>
    </row>
    <row r="800" spans="1:2" hidden="1">
      <c r="A800" s="12">
        <v>15</v>
      </c>
      <c r="B800" s="58" t="str">
        <f>BY113&amp;BY114</f>
        <v/>
      </c>
    </row>
    <row r="801" spans="1:2" hidden="1">
      <c r="B801" s="58" t="str">
        <f>+E2</f>
        <v/>
      </c>
    </row>
    <row r="802" spans="1:2" hidden="1">
      <c r="B802" s="58" t="str">
        <f>+E3</f>
        <v/>
      </c>
    </row>
    <row r="803" spans="1:2" hidden="1">
      <c r="A803" s="12">
        <v>1</v>
      </c>
      <c r="B803" s="58" t="str">
        <f>BZ15&amp;BZ16&amp;BZ17&amp;BZ18&amp;BZ19&amp;BZ20&amp;BZ21</f>
        <v/>
      </c>
    </row>
    <row r="804" spans="1:2" hidden="1">
      <c r="A804" s="12">
        <v>2</v>
      </c>
      <c r="B804" s="58" t="str">
        <f>BZ22&amp;BZ23&amp;BZ24&amp;BZ25&amp;BZ26&amp;BZ27&amp;BZ28</f>
        <v/>
      </c>
    </row>
    <row r="805" spans="1:2" hidden="1">
      <c r="A805" s="12">
        <v>3</v>
      </c>
      <c r="B805" s="58" t="str">
        <f>BZ29&amp;BZ30&amp;BZ31&amp;BZ32&amp;BZ33&amp;BZ34&amp;BZ35</f>
        <v/>
      </c>
    </row>
    <row r="806" spans="1:2" hidden="1">
      <c r="A806" s="12">
        <v>4</v>
      </c>
      <c r="B806" s="58" t="str">
        <f>BZ36&amp;BZ37&amp;BZ38&amp;BZ39&amp;BZ40&amp;BZ41&amp;BZ42</f>
        <v/>
      </c>
    </row>
    <row r="807" spans="1:2" hidden="1">
      <c r="A807" s="12">
        <v>5</v>
      </c>
      <c r="B807" s="58" t="str">
        <f>BZ43&amp;BZ44&amp;BZ45&amp;BZ46&amp;BZ47&amp;BZ48&amp;BZ49</f>
        <v/>
      </c>
    </row>
    <row r="808" spans="1:2" hidden="1">
      <c r="A808" s="12">
        <v>6</v>
      </c>
      <c r="B808" s="58" t="str">
        <f>BZ50&amp;BZ51&amp;BZ52&amp;BZ53&amp;BZ54&amp;BZ55&amp;BZ56</f>
        <v/>
      </c>
    </row>
    <row r="809" spans="1:2" hidden="1">
      <c r="A809" s="12">
        <v>7</v>
      </c>
      <c r="B809" s="58" t="str">
        <f>BZ57&amp;BZ58&amp;BZ59&amp;BZ60&amp;BZ61&amp;BZ62&amp;BZ63</f>
        <v/>
      </c>
    </row>
    <row r="810" spans="1:2" hidden="1">
      <c r="A810" s="12">
        <v>8</v>
      </c>
      <c r="B810" s="58" t="str">
        <f>BZ64&amp;BZ65&amp;BZ66&amp;BZ67&amp;BZ68&amp;BZ69&amp;BZ70</f>
        <v/>
      </c>
    </row>
    <row r="811" spans="1:2" hidden="1">
      <c r="A811" s="12">
        <v>9</v>
      </c>
      <c r="B811" s="58" t="str">
        <f>BZ71&amp;BZ72&amp;BZ73&amp;BZ74&amp;BZ75&amp;BZ76&amp;BZ77</f>
        <v/>
      </c>
    </row>
    <row r="812" spans="1:2" hidden="1">
      <c r="A812" s="12">
        <v>10</v>
      </c>
      <c r="B812" s="58" t="str">
        <f>BZ78&amp;BZ79&amp;BZ80&amp;BZ81&amp;BZ82&amp;BZ83&amp;BZ84</f>
        <v/>
      </c>
    </row>
    <row r="813" spans="1:2" hidden="1">
      <c r="A813" s="12">
        <v>11</v>
      </c>
      <c r="B813" s="58" t="str">
        <f>BZ85&amp;BZ86&amp;BZ87&amp;BZ88&amp;BZ89&amp;BZ90&amp;BZ91</f>
        <v/>
      </c>
    </row>
    <row r="814" spans="1:2" hidden="1">
      <c r="A814" s="12">
        <v>12</v>
      </c>
      <c r="B814" s="58" t="str">
        <f>BZ92&amp;BZ93&amp;BZ94&amp;BZ95&amp;BZ96&amp;BZ97&amp;BZ98</f>
        <v/>
      </c>
    </row>
    <row r="815" spans="1:2" hidden="1">
      <c r="A815" s="12">
        <v>13</v>
      </c>
      <c r="B815" s="58" t="str">
        <f>BZ99&amp;BZ100&amp;BZ101&amp;BZ102&amp;BZ103&amp;BZ104&amp;BZ105</f>
        <v/>
      </c>
    </row>
    <row r="816" spans="1:2" hidden="1">
      <c r="A816" s="12">
        <v>14</v>
      </c>
      <c r="B816" s="58" t="str">
        <f>BZ106&amp;BZ107&amp;BZ108&amp;BZ109&amp;BZ110&amp;BZ111&amp;BZ112</f>
        <v/>
      </c>
    </row>
    <row r="817" spans="1:2" hidden="1">
      <c r="A817" s="12">
        <v>15</v>
      </c>
      <c r="B817" s="58" t="str">
        <f>BZ113&amp;BZ114</f>
        <v/>
      </c>
    </row>
    <row r="818" spans="1:2" hidden="1">
      <c r="B818" s="58" t="str">
        <f>+E4</f>
        <v/>
      </c>
    </row>
    <row r="819" spans="1:2">
      <c r="B819" s="58" t="str">
        <f>+E12&amp;L15&amp;L19&amp;"("</f>
        <v>$sql="INSERT INTO Jesus1(</v>
      </c>
    </row>
    <row r="820" spans="1:2">
      <c r="A820" s="12">
        <v>1</v>
      </c>
      <c r="B820" s="58" t="str">
        <f>CA15&amp;CA16&amp;CA17&amp;CA18&amp;CA19&amp;CA20&amp;CA21</f>
        <v>user,tipo_doc_id,numd,tms_1</v>
      </c>
    </row>
    <row r="821" spans="1:2">
      <c r="A821" s="12">
        <v>2</v>
      </c>
      <c r="B821" s="58" t="str">
        <f>CA22&amp;CA23&amp;CA24&amp;CA25&amp;CA26&amp;CA27&amp;CA28</f>
        <v/>
      </c>
    </row>
    <row r="822" spans="1:2">
      <c r="A822" s="12">
        <v>3</v>
      </c>
      <c r="B822" s="58" t="str">
        <f>CA29&amp;CA30&amp;CA31&amp;CA32&amp;CA33&amp;CA34&amp;CA35</f>
        <v/>
      </c>
    </row>
    <row r="823" spans="1:2" hidden="1">
      <c r="A823" s="12">
        <v>4</v>
      </c>
      <c r="B823" s="58" t="str">
        <f>CA36&amp;CA37&amp;CA38&amp;CA39&amp;CA40&amp;CA41&amp;CA42</f>
        <v/>
      </c>
    </row>
    <row r="824" spans="1:2" hidden="1">
      <c r="A824" s="12">
        <v>5</v>
      </c>
      <c r="B824" s="58" t="str">
        <f>CA43&amp;CA44&amp;CA45&amp;CA46&amp;CA47&amp;CA48&amp;CA49</f>
        <v/>
      </c>
    </row>
    <row r="825" spans="1:2" hidden="1">
      <c r="A825" s="12">
        <v>6</v>
      </c>
      <c r="B825" s="58" t="str">
        <f>CA50&amp;CA51&amp;CA52&amp;CA53&amp;CA54&amp;CA55&amp;CA56</f>
        <v/>
      </c>
    </row>
    <row r="826" spans="1:2" hidden="1">
      <c r="A826" s="12">
        <v>7</v>
      </c>
      <c r="B826" s="58" t="str">
        <f>CA57&amp;CA58&amp;CA59&amp;CA60&amp;CA61&amp;CA62&amp;CA63</f>
        <v/>
      </c>
    </row>
    <row r="827" spans="1:2" hidden="1">
      <c r="A827" s="12">
        <v>8</v>
      </c>
      <c r="B827" s="58" t="str">
        <f>CA64&amp;CA65&amp;CA66&amp;CA67&amp;CA68&amp;CA69&amp;CA70</f>
        <v/>
      </c>
    </row>
    <row r="828" spans="1:2" hidden="1">
      <c r="A828" s="12">
        <v>9</v>
      </c>
      <c r="B828" s="58" t="str">
        <f>CA71&amp;CA72&amp;CA73&amp;CA74&amp;CA75&amp;CA76&amp;CA77</f>
        <v/>
      </c>
    </row>
    <row r="829" spans="1:2" hidden="1">
      <c r="A829" s="12">
        <v>10</v>
      </c>
      <c r="B829" s="58" t="str">
        <f>CA78&amp;CA79&amp;CA80&amp;CA81&amp;CA82&amp;CA83&amp;CA84</f>
        <v/>
      </c>
    </row>
    <row r="830" spans="1:2" hidden="1">
      <c r="A830" s="12">
        <v>11</v>
      </c>
      <c r="B830" s="58" t="str">
        <f>CA85&amp;CA86&amp;CA87&amp;CA88&amp;CA89&amp;CA90&amp;CA91</f>
        <v/>
      </c>
    </row>
    <row r="831" spans="1:2" hidden="1">
      <c r="A831" s="12">
        <v>12</v>
      </c>
      <c r="B831" s="58" t="str">
        <f>CA92&amp;CA93&amp;CA94&amp;CA95&amp;CA96&amp;CA97&amp;CA98</f>
        <v/>
      </c>
    </row>
    <row r="832" spans="1:2" hidden="1">
      <c r="A832" s="12">
        <v>13</v>
      </c>
      <c r="B832" s="58" t="str">
        <f>CA99&amp;CA100&amp;CA101&amp;CA102&amp;CA103&amp;CA104&amp;CA105</f>
        <v/>
      </c>
    </row>
    <row r="833" spans="1:2" hidden="1">
      <c r="A833" s="12">
        <v>14</v>
      </c>
      <c r="B833" s="58" t="str">
        <f>CA106&amp;CA107&amp;CA108&amp;CA109&amp;CA110&amp;CA111&amp;CA112</f>
        <v/>
      </c>
    </row>
    <row r="834" spans="1:2" hidden="1">
      <c r="A834" s="12">
        <v>15</v>
      </c>
      <c r="B834" s="58" t="str">
        <f>CA113&amp;CA114</f>
        <v/>
      </c>
    </row>
    <row r="835" spans="1:2">
      <c r="B835" s="58" t="s">
        <v>347</v>
      </c>
    </row>
    <row r="836" spans="1:2">
      <c r="A836" s="12">
        <v>1</v>
      </c>
      <c r="B836" s="58" t="str">
        <f>CB15&amp;CB16&amp;CB17&amp;CB18&amp;CB19&amp;CB20&amp;CB21</f>
        <v>'$user','$tipo_doc_id','$numd','$tms_1'</v>
      </c>
    </row>
    <row r="837" spans="1:2">
      <c r="A837" s="12">
        <v>2</v>
      </c>
      <c r="B837" s="58" t="str">
        <f>CB22&amp;CB23&amp;CB24&amp;CB25&amp;CB26&amp;CB27&amp;CB28</f>
        <v/>
      </c>
    </row>
    <row r="838" spans="1:2">
      <c r="A838" s="12">
        <v>3</v>
      </c>
      <c r="B838" s="58" t="str">
        <f>CB29&amp;CB30&amp;CB31&amp;CB32&amp;CB33&amp;CB34&amp;CB35</f>
        <v/>
      </c>
    </row>
    <row r="839" spans="1:2" hidden="1">
      <c r="A839" s="12">
        <v>4</v>
      </c>
      <c r="B839" s="58" t="str">
        <f>CB36&amp;CB37&amp;CB38&amp;CB39&amp;CB40&amp;CB41&amp;CB42</f>
        <v/>
      </c>
    </row>
    <row r="840" spans="1:2" hidden="1">
      <c r="A840" s="12">
        <v>5</v>
      </c>
      <c r="B840" s="58" t="str">
        <f>CB43&amp;CB44&amp;CB45&amp;CB46&amp;CB47&amp;CB48&amp;CB49</f>
        <v/>
      </c>
    </row>
    <row r="841" spans="1:2" hidden="1">
      <c r="A841" s="12">
        <v>6</v>
      </c>
      <c r="B841" s="58" t="str">
        <f>CB50&amp;CB51&amp;CB52&amp;CB53&amp;CB54&amp;CB55&amp;CB56</f>
        <v/>
      </c>
    </row>
    <row r="842" spans="1:2" hidden="1">
      <c r="A842" s="12">
        <v>7</v>
      </c>
      <c r="B842" s="58" t="str">
        <f>CB57&amp;CB58&amp;CB59&amp;CB60&amp;CB61&amp;CB62&amp;CB63</f>
        <v/>
      </c>
    </row>
    <row r="843" spans="1:2" hidden="1">
      <c r="A843" s="12">
        <v>8</v>
      </c>
      <c r="B843" s="58" t="str">
        <f>CB64&amp;CB65&amp;CB66&amp;CB67&amp;CB68&amp;CB69&amp;CB70</f>
        <v/>
      </c>
    </row>
    <row r="844" spans="1:2" hidden="1">
      <c r="A844" s="12">
        <v>9</v>
      </c>
      <c r="B844" s="58" t="str">
        <f>CB71&amp;CB72&amp;CB73&amp;CB74&amp;CB75&amp;CB76&amp;CB77</f>
        <v/>
      </c>
    </row>
    <row r="845" spans="1:2" hidden="1">
      <c r="A845" s="12">
        <v>10</v>
      </c>
      <c r="B845" s="58" t="str">
        <f>CB78&amp;CB79&amp;CB80&amp;CB81&amp;CB82&amp;CB83&amp;CB84</f>
        <v/>
      </c>
    </row>
    <row r="846" spans="1:2" hidden="1">
      <c r="A846" s="12">
        <v>11</v>
      </c>
      <c r="B846" s="58" t="str">
        <f>CB85&amp;CB86&amp;CB87&amp;CB88&amp;CB89&amp;CB90&amp;CB91</f>
        <v/>
      </c>
    </row>
    <row r="847" spans="1:2" hidden="1">
      <c r="A847" s="12">
        <v>12</v>
      </c>
      <c r="B847" s="58" t="str">
        <f>CB92&amp;CB93&amp;CB94&amp;CB95&amp;CB96&amp;CB97&amp;CB98</f>
        <v/>
      </c>
    </row>
    <row r="848" spans="1:2" hidden="1">
      <c r="A848" s="12">
        <v>13</v>
      </c>
      <c r="B848" s="58" t="str">
        <f>CB99&amp;CB100&amp;CB101&amp;CB102&amp;CB103&amp;CB104&amp;CB105</f>
        <v/>
      </c>
    </row>
    <row r="849" spans="1:2" hidden="1">
      <c r="A849" s="12">
        <v>14</v>
      </c>
      <c r="B849" s="58" t="str">
        <f>CB106&amp;CB107&amp;CB108&amp;CB109&amp;CB110&amp;CB111&amp;CB112</f>
        <v/>
      </c>
    </row>
    <row r="850" spans="1:2" hidden="1">
      <c r="A850" s="12">
        <v>15</v>
      </c>
      <c r="B850" s="58" t="str">
        <f>CB113&amp;CB114</f>
        <v/>
      </c>
    </row>
    <row r="851" spans="1:2">
      <c r="B851" s="58" t="s">
        <v>22</v>
      </c>
    </row>
    <row r="852" spans="1:2">
      <c r="B852" s="58" t="str">
        <f>+ajaxinsertandclose!A338</f>
        <v>if (!mysql_query($sql,$con)) {die('Error: ' . mysql_error());} echo 'registro exitosamente grabado&lt;br/&gt;';</v>
      </c>
    </row>
    <row r="853" spans="1:2" hidden="1">
      <c r="A853" s="12">
        <v>1</v>
      </c>
      <c r="B853" s="58" t="str">
        <f>DE15&amp;DE16&amp;DE17&amp;DE18&amp;DE19&amp;DE20&amp;DE21</f>
        <v/>
      </c>
    </row>
    <row r="854" spans="1:2" hidden="1">
      <c r="A854" s="12">
        <v>2</v>
      </c>
      <c r="B854" s="58" t="str">
        <f>DE22&amp;DE23&amp;DE24&amp;DE25&amp;DE26&amp;DE27&amp;DE28</f>
        <v/>
      </c>
    </row>
    <row r="855" spans="1:2" hidden="1">
      <c r="A855" s="12">
        <v>3</v>
      </c>
      <c r="B855" s="58" t="str">
        <f>DE29&amp;DE30&amp;DE31&amp;DE32&amp;DE33&amp;DE34&amp;DE35</f>
        <v/>
      </c>
    </row>
    <row r="856" spans="1:2" hidden="1">
      <c r="A856" s="12">
        <v>4</v>
      </c>
      <c r="B856" s="58" t="str">
        <f>DE36&amp;DE37&amp;DE38&amp;DE39&amp;DE40&amp;DE41&amp;DE42</f>
        <v/>
      </c>
    </row>
    <row r="857" spans="1:2" hidden="1">
      <c r="A857" s="12">
        <v>5</v>
      </c>
      <c r="B857" s="58" t="str">
        <f>DE43&amp;DE44&amp;DE45&amp;DE46&amp;DE47&amp;DE48&amp;DE49</f>
        <v/>
      </c>
    </row>
    <row r="858" spans="1:2" hidden="1">
      <c r="A858" s="12">
        <v>6</v>
      </c>
      <c r="B858" s="58" t="str">
        <f>DE50&amp;DE51&amp;DE52&amp;DE53&amp;DE54&amp;DE55&amp;DE56</f>
        <v/>
      </c>
    </row>
    <row r="859" spans="1:2" hidden="1">
      <c r="A859" s="12">
        <v>7</v>
      </c>
      <c r="B859" s="58" t="str">
        <f>DE57&amp;DE58&amp;DE59&amp;DE60&amp;DE61&amp;DE62&amp;DE63</f>
        <v/>
      </c>
    </row>
    <row r="860" spans="1:2" hidden="1">
      <c r="A860" s="12">
        <v>8</v>
      </c>
      <c r="B860" s="58" t="str">
        <f>DE64&amp;DE65&amp;DE66&amp;DE67&amp;DE68&amp;DE69&amp;DE70</f>
        <v/>
      </c>
    </row>
    <row r="861" spans="1:2" hidden="1">
      <c r="A861" s="12">
        <v>9</v>
      </c>
      <c r="B861" s="58" t="str">
        <f>DE71&amp;DE72&amp;DE73&amp;DE74&amp;DE75&amp;DE76&amp;DE77</f>
        <v/>
      </c>
    </row>
    <row r="862" spans="1:2" hidden="1">
      <c r="A862" s="12">
        <v>10</v>
      </c>
      <c r="B862" s="58" t="str">
        <f>DE78&amp;DE79&amp;DE80&amp;DE81&amp;DE82&amp;DE83&amp;DE84</f>
        <v/>
      </c>
    </row>
    <row r="863" spans="1:2" hidden="1">
      <c r="A863" s="12">
        <v>11</v>
      </c>
      <c r="B863" s="58" t="str">
        <f>DE85&amp;DE86&amp;DE87&amp;DE88&amp;DE89&amp;DE90&amp;DE91</f>
        <v/>
      </c>
    </row>
    <row r="864" spans="1:2" hidden="1">
      <c r="A864" s="12">
        <v>12</v>
      </c>
      <c r="B864" s="58" t="str">
        <f>DE92&amp;DE93&amp;DE94&amp;DE95&amp;DE96&amp;DE97&amp;DE98</f>
        <v/>
      </c>
    </row>
    <row r="865" spans="1:2" hidden="1">
      <c r="A865" s="12">
        <v>13</v>
      </c>
      <c r="B865" s="58" t="str">
        <f>DE99&amp;DE100&amp;DE101&amp;DE102&amp;DE103&amp;DE104&amp;DE105</f>
        <v/>
      </c>
    </row>
    <row r="866" spans="1:2" hidden="1">
      <c r="A866" s="12">
        <v>14</v>
      </c>
      <c r="B866" s="58" t="str">
        <f>DE106&amp;DE107&amp;DE108&amp;DE109&amp;DE110&amp;DE111&amp;DE112</f>
        <v/>
      </c>
    </row>
    <row r="867" spans="1:2" hidden="1">
      <c r="A867" s="12">
        <v>15</v>
      </c>
      <c r="B867" s="58" t="str">
        <f>DE113&amp;DE114</f>
        <v/>
      </c>
    </row>
    <row r="868" spans="1:2">
      <c r="A868" s="12">
        <v>1</v>
      </c>
      <c r="B868" s="58" t="str">
        <f>CE15&amp;CE16&amp;CE17&amp;CE18&amp;CE19&amp;CE20&amp;CE21</f>
        <v>echo ''.$user;echo ''.$tipo_doc_id;echo ''.$numd;echo 'Timestamp (not shown)'.$tms_1;</v>
      </c>
    </row>
    <row r="869" spans="1:2">
      <c r="A869" s="12">
        <v>2</v>
      </c>
      <c r="B869" s="58" t="str">
        <f>CE22&amp;CE23&amp;CE24&amp;CE25&amp;CE26&amp;CE27&amp;CE28</f>
        <v/>
      </c>
    </row>
    <row r="870" spans="1:2">
      <c r="A870" s="12">
        <v>3</v>
      </c>
      <c r="B870" s="58" t="str">
        <f>CE29&amp;CE30&amp;CE31&amp;CE32&amp;CE33&amp;CE34&amp;CE35</f>
        <v/>
      </c>
    </row>
    <row r="871" spans="1:2" hidden="1">
      <c r="A871" s="12">
        <v>4</v>
      </c>
      <c r="B871" s="58" t="str">
        <f>CE36&amp;CE37&amp;CE38&amp;CE39&amp;CE40&amp;CE41&amp;CE42</f>
        <v/>
      </c>
    </row>
    <row r="872" spans="1:2" hidden="1">
      <c r="A872" s="12">
        <v>5</v>
      </c>
      <c r="B872" s="58" t="str">
        <f>CE43&amp;CE44&amp;CE45&amp;CE46&amp;CE47&amp;CE48&amp;CE49</f>
        <v/>
      </c>
    </row>
    <row r="873" spans="1:2" hidden="1">
      <c r="A873" s="12">
        <v>6</v>
      </c>
      <c r="B873" s="58" t="str">
        <f>CE50&amp;CE51&amp;CE52&amp;CE53&amp;CE54&amp;CE55&amp;CE56</f>
        <v/>
      </c>
    </row>
    <row r="874" spans="1:2" hidden="1">
      <c r="A874" s="12">
        <v>7</v>
      </c>
      <c r="B874" s="58" t="str">
        <f>CE57&amp;CE58&amp;CE59&amp;CE60&amp;CE61&amp;CE62&amp;CE63</f>
        <v/>
      </c>
    </row>
    <row r="875" spans="1:2" hidden="1">
      <c r="A875" s="12">
        <v>8</v>
      </c>
      <c r="B875" s="58" t="str">
        <f>CE64&amp;CE65&amp;CE66&amp;CE67&amp;CE68&amp;CE69&amp;CE70</f>
        <v/>
      </c>
    </row>
    <row r="876" spans="1:2" hidden="1">
      <c r="A876" s="12">
        <v>9</v>
      </c>
      <c r="B876" s="58" t="str">
        <f>CE71&amp;CE72&amp;CE73&amp;CE74&amp;CE75&amp;CE76&amp;CE77</f>
        <v/>
      </c>
    </row>
    <row r="877" spans="1:2" hidden="1">
      <c r="A877" s="12">
        <v>10</v>
      </c>
      <c r="B877" s="58" t="str">
        <f>CE78&amp;CE79&amp;CE80&amp;CE81&amp;CE82&amp;CE83&amp;CE84</f>
        <v/>
      </c>
    </row>
    <row r="878" spans="1:2" hidden="1">
      <c r="A878" s="12">
        <v>11</v>
      </c>
      <c r="B878" s="58" t="str">
        <f>CE85&amp;CE86&amp;CE87&amp;CE88&amp;CE89&amp;CE90&amp;CE91</f>
        <v/>
      </c>
    </row>
    <row r="879" spans="1:2" hidden="1">
      <c r="A879" s="12">
        <v>12</v>
      </c>
      <c r="B879" s="58" t="str">
        <f>CE92&amp;CE93&amp;CE94&amp;CE95&amp;CE96&amp;CE97&amp;CE98</f>
        <v/>
      </c>
    </row>
    <row r="880" spans="1:2" hidden="1">
      <c r="A880" s="12">
        <v>13</v>
      </c>
      <c r="B880" s="58" t="str">
        <f>CE99&amp;CE100&amp;CE101&amp;CE102&amp;CE103&amp;CE104&amp;CE105</f>
        <v/>
      </c>
    </row>
    <row r="881" spans="1:2" hidden="1">
      <c r="A881" s="12">
        <v>14</v>
      </c>
      <c r="B881" s="58" t="str">
        <f>CE106&amp;CE107&amp;CE108&amp;CE109&amp;CE110&amp;CE111&amp;CE112</f>
        <v/>
      </c>
    </row>
    <row r="882" spans="1:2" hidden="1">
      <c r="A882" s="12">
        <v>15</v>
      </c>
      <c r="B882" s="58" t="str">
        <f>CE113&amp;CE114</f>
        <v/>
      </c>
    </row>
    <row r="883" spans="1:2" hidden="1">
      <c r="B883" s="58" t="str">
        <f>+E9</f>
        <v/>
      </c>
    </row>
    <row r="884" spans="1:2">
      <c r="B884" s="58" t="str">
        <f>+ajaxinsertandclose!A350</f>
        <v>?&gt;</v>
      </c>
    </row>
    <row r="885" spans="1:2">
      <c r="B885" s="13" t="s">
        <v>719</v>
      </c>
    </row>
    <row r="886" spans="1:2">
      <c r="B886" s="12" t="str">
        <f>+'Membership protocol'!A63</f>
        <v>5. EXIT FILE</v>
      </c>
    </row>
    <row r="887" spans="1:2">
      <c r="B887" s="116" t="str">
        <f>+'Membership protocol'!A64</f>
        <v>&lt;?php  //Jesus_logout.php</v>
      </c>
    </row>
    <row r="888" spans="1:2">
      <c r="B888" s="116" t="str">
        <f>+'Membership protocol'!A65</f>
        <v>session_start();</v>
      </c>
    </row>
    <row r="889" spans="1:2">
      <c r="B889" s="116" t="str">
        <f ca="1">+'Membership protocol'!A66</f>
        <v>if (isset($_SESSION['standard141509_Virgin_Mary_user']))  {unset($_SESSION['standard141509_Virgin_Mary_user']);}</v>
      </c>
    </row>
    <row r="890" spans="1:2">
      <c r="B890" s="116" t="str">
        <f ca="1">+'Membership protocol'!A67</f>
        <v>if (isset($_SESSION['standard141509_Virgin_Mary_autent']))  {unset($_SESSION['standard141509_Virgin_Mary_autent']);}</v>
      </c>
    </row>
    <row r="891" spans="1:2" hidden="1">
      <c r="B891" s="116" t="str">
        <f>IF(L29="si",unique_id!B632,"")</f>
        <v>if (isset($_SESSION['a01healmy5_pray_tipo_doc_id'])) unset($_SESSION['a01healmy5_pray_tipo_doc_id']);if (isset($_SESSION['a01healmy5_pray_numd'])) unset($_SESSION['a01healmy5_pray_numd']);</v>
      </c>
    </row>
    <row r="892" spans="1:2" hidden="1">
      <c r="B892" s="116" t="str">
        <f>IF(L29="si",unique_id!B633,"")</f>
        <v/>
      </c>
    </row>
    <row r="893" spans="1:2">
      <c r="B893" s="116" t="str">
        <f>+'Membership protocol'!A68</f>
        <v>?&gt;</v>
      </c>
    </row>
    <row r="894" spans="1:2" s="143" customFormat="1" ht="8.25">
      <c r="B894" s="144" t="s">
        <v>593</v>
      </c>
    </row>
    <row r="895" spans="1:2" s="143" customFormat="1" ht="8.25">
      <c r="B895" s="144" t="s">
        <v>594</v>
      </c>
    </row>
    <row r="896" spans="1:2" s="143" customFormat="1" ht="8.25">
      <c r="B896" s="144" t="s">
        <v>595</v>
      </c>
    </row>
    <row r="897" spans="2:2" s="143" customFormat="1" ht="8.25">
      <c r="B897" s="144" t="s">
        <v>1339</v>
      </c>
    </row>
    <row r="898" spans="2:2" s="143" customFormat="1" ht="12.75">
      <c r="B898" s="194" t="str">
        <f>+R9&amp;L17&amp;"style.css"&amp;R10</f>
        <v>&lt;link rel="stylesheet" type="text/css" href="healmy5_praystyle.css" /&gt;</v>
      </c>
    </row>
    <row r="899" spans="2:2" s="143" customFormat="1" ht="8.25">
      <c r="B899" s="144" t="s">
        <v>597</v>
      </c>
    </row>
    <row r="900" spans="2:2" s="143" customFormat="1" ht="8.25">
      <c r="B900" s="144" t="s">
        <v>157</v>
      </c>
    </row>
    <row r="901" spans="2:2" s="143" customFormat="1" ht="8.25">
      <c r="B901" s="144" t="s">
        <v>607</v>
      </c>
    </row>
    <row r="902" spans="2:2" s="143" customFormat="1" ht="8.25">
      <c r="B902" s="144" t="s">
        <v>648</v>
      </c>
    </row>
    <row r="903" spans="2:2" s="143" customFormat="1" ht="8.25">
      <c r="B903" s="144" t="s">
        <v>608</v>
      </c>
    </row>
    <row r="904" spans="2:2" s="143" customFormat="1" ht="8.25">
      <c r="B904" s="144" t="s">
        <v>609</v>
      </c>
    </row>
    <row r="905" spans="2:2" s="143" customFormat="1" ht="8.25">
      <c r="B905" s="144" t="s">
        <v>610</v>
      </c>
    </row>
    <row r="906" spans="2:2" s="143" customFormat="1" ht="8.25">
      <c r="B906" s="144" t="s">
        <v>611</v>
      </c>
    </row>
    <row r="907" spans="2:2" s="143" customFormat="1" ht="8.25">
      <c r="B907" s="144" t="s">
        <v>612</v>
      </c>
    </row>
    <row r="908" spans="2:2" s="143" customFormat="1" ht="8.25">
      <c r="B908" s="144" t="s">
        <v>613</v>
      </c>
    </row>
    <row r="909" spans="2:2" s="193" customFormat="1" ht="12.75">
      <c r="B909" s="262" t="s">
        <v>1328</v>
      </c>
    </row>
    <row r="910" spans="2:2" s="193" customFormat="1" ht="12.75">
      <c r="B910" s="262" t="s">
        <v>1329</v>
      </c>
    </row>
    <row r="911" spans="2:2" s="193" customFormat="1" ht="12.75">
      <c r="B911" s="262" t="s">
        <v>1330</v>
      </c>
    </row>
    <row r="912" spans="2:2" s="193" customFormat="1" ht="12.75">
      <c r="B912" s="262" t="s">
        <v>96</v>
      </c>
    </row>
    <row r="913" spans="2:2" s="143" customFormat="1" ht="8.25" hidden="1">
      <c r="B913" s="144"/>
    </row>
    <row r="914" spans="2:2" s="143" customFormat="1" ht="8.25">
      <c r="B914" s="144" t="s">
        <v>614</v>
      </c>
    </row>
    <row r="915" spans="2:2" s="143" customFormat="1" ht="8.25">
      <c r="B915" s="144" t="s">
        <v>615</v>
      </c>
    </row>
    <row r="916" spans="2:2" s="143" customFormat="1" ht="8.25">
      <c r="B916" s="144" t="s">
        <v>616</v>
      </c>
    </row>
    <row r="917" spans="2:2" s="143" customFormat="1" ht="8.25">
      <c r="B917" s="144" t="s">
        <v>617</v>
      </c>
    </row>
    <row r="918" spans="2:2" s="143" customFormat="1" ht="8.25">
      <c r="B918" s="144" t="s">
        <v>618</v>
      </c>
    </row>
    <row r="919" spans="2:2" s="143" customFormat="1" ht="8.25">
      <c r="B919" s="144" t="s">
        <v>619</v>
      </c>
    </row>
    <row r="920" spans="2:2" s="143" customFormat="1" ht="8.25">
      <c r="B920" s="144" t="s">
        <v>619</v>
      </c>
    </row>
    <row r="921" spans="2:2" s="143" customFormat="1" ht="8.25">
      <c r="B921" s="144" t="s">
        <v>620</v>
      </c>
    </row>
    <row r="922" spans="2:2" s="143" customFormat="1" ht="8.25">
      <c r="B922" s="144" t="s">
        <v>621</v>
      </c>
    </row>
    <row r="923" spans="2:2" s="143" customFormat="1" ht="8.25">
      <c r="B923" s="144" t="s">
        <v>622</v>
      </c>
    </row>
    <row r="924" spans="2:2" s="143" customFormat="1" ht="8.25">
      <c r="B924" s="144" t="s">
        <v>623</v>
      </c>
    </row>
    <row r="925" spans="2:2" s="143" customFormat="1" ht="8.25">
      <c r="B925" s="144" t="s">
        <v>624</v>
      </c>
    </row>
    <row r="926" spans="2:2" s="143" customFormat="1" ht="8.25">
      <c r="B926" s="144" t="s">
        <v>625</v>
      </c>
    </row>
    <row r="927" spans="2:2">
      <c r="B927" s="48" t="str">
        <f>+'Membership protocol'!A71</f>
        <v>You are out &lt;br/&gt;</v>
      </c>
    </row>
    <row r="928" spans="2:2">
      <c r="B928" s="48" t="str">
        <f>+'Membership protocol'!A72</f>
        <v xml:space="preserve">Enter again: </v>
      </c>
    </row>
    <row r="929" spans="2:2">
      <c r="B929" s="48" t="str">
        <f>+'Membership protocol'!A73</f>
        <v>&lt;a href="Jesus_login.php"&gt;Log in&lt;/a&gt;</v>
      </c>
    </row>
    <row r="930" spans="2:2" s="143" customFormat="1" ht="8.25">
      <c r="B930" s="144" t="s">
        <v>626</v>
      </c>
    </row>
    <row r="931" spans="2:2" s="143" customFormat="1" ht="8.25">
      <c r="B931" s="144" t="s">
        <v>627</v>
      </c>
    </row>
    <row r="932" spans="2:2" s="143" customFormat="1" ht="8.25">
      <c r="B932" s="144" t="s">
        <v>615</v>
      </c>
    </row>
    <row r="933" spans="2:2" s="143" customFormat="1" ht="8.25">
      <c r="B933" s="144" t="s">
        <v>628</v>
      </c>
    </row>
    <row r="934" spans="2:2" s="143" customFormat="1" ht="8.25">
      <c r="B934" s="144" t="s">
        <v>629</v>
      </c>
    </row>
    <row r="935" spans="2:2" s="143" customFormat="1" ht="8.25">
      <c r="B935" s="144" t="s">
        <v>631</v>
      </c>
    </row>
    <row r="936" spans="2:2" s="193" customFormat="1" ht="12.75">
      <c r="B936" s="262" t="s">
        <v>1328</v>
      </c>
    </row>
    <row r="937" spans="2:2" s="193" customFormat="1" ht="12.75">
      <c r="B937" s="262" t="s">
        <v>1329</v>
      </c>
    </row>
    <row r="938" spans="2:2" s="193" customFormat="1" ht="12.75">
      <c r="B938" s="262" t="s">
        <v>1331</v>
      </c>
    </row>
    <row r="939" spans="2:2" s="193" customFormat="1" ht="12.75">
      <c r="B939" s="262" t="s">
        <v>96</v>
      </c>
    </row>
    <row r="940" spans="2:2" s="143" customFormat="1" ht="8.25">
      <c r="B940" s="144" t="s">
        <v>632</v>
      </c>
    </row>
    <row r="941" spans="2:2" s="143" customFormat="1" ht="8.25">
      <c r="B941" s="144" t="s">
        <v>615</v>
      </c>
    </row>
    <row r="942" spans="2:2" s="143" customFormat="1" ht="8.25">
      <c r="B942" s="144" t="s">
        <v>6</v>
      </c>
    </row>
    <row r="943" spans="2:2" s="143" customFormat="1" ht="8.25">
      <c r="B943" s="144" t="s">
        <v>633</v>
      </c>
    </row>
    <row r="944" spans="2:2" s="143" customFormat="1" ht="8.25">
      <c r="B944" s="144" t="s">
        <v>634</v>
      </c>
    </row>
    <row r="945" spans="2:2">
      <c r="B945" s="12" t="s">
        <v>719</v>
      </c>
    </row>
    <row r="946" spans="2:2">
      <c r="B946" s="12" t="s">
        <v>1065</v>
      </c>
    </row>
    <row r="947" spans="2:2">
      <c r="B947" s="55" t="s">
        <v>1283</v>
      </c>
    </row>
    <row r="948" spans="2:2" s="196" customFormat="1">
      <c r="B948" s="195" t="s">
        <v>593</v>
      </c>
    </row>
    <row r="949" spans="2:2" s="196" customFormat="1">
      <c r="B949" s="195" t="s">
        <v>594</v>
      </c>
    </row>
    <row r="950" spans="2:2" s="196" customFormat="1">
      <c r="B950" s="195" t="s">
        <v>595</v>
      </c>
    </row>
    <row r="951" spans="2:2" s="196" customFormat="1">
      <c r="B951" s="49" t="s">
        <v>1087</v>
      </c>
    </row>
    <row r="952" spans="2:2" s="196" customFormat="1">
      <c r="B952" s="195" t="str">
        <f>+B291</f>
        <v>&lt;link rel="stylesheet" type="text/css" href="healmy5_praystyle.css" /&gt;</v>
      </c>
    </row>
    <row r="953" spans="2:2" s="196" customFormat="1">
      <c r="B953" s="195" t="s">
        <v>608</v>
      </c>
    </row>
    <row r="954" spans="2:2" s="196" customFormat="1">
      <c r="B954" s="165" t="s">
        <v>609</v>
      </c>
    </row>
    <row r="955" spans="2:2" s="196" customFormat="1">
      <c r="B955" s="165" t="s">
        <v>1285</v>
      </c>
    </row>
    <row r="956" spans="2:2" s="196" customFormat="1">
      <c r="B956" s="165" t="s">
        <v>1286</v>
      </c>
    </row>
    <row r="957" spans="2:2" s="193" customFormat="1" ht="12.75">
      <c r="B957" s="262" t="s">
        <v>1328</v>
      </c>
    </row>
    <row r="958" spans="2:2" s="193" customFormat="1" ht="12.75">
      <c r="B958" s="262" t="s">
        <v>1329</v>
      </c>
    </row>
    <row r="959" spans="2:2" s="193" customFormat="1" ht="12.75">
      <c r="B959" s="262" t="s">
        <v>1330</v>
      </c>
    </row>
    <row r="960" spans="2:2" s="193" customFormat="1" ht="12.75">
      <c r="B960" s="262" t="s">
        <v>96</v>
      </c>
    </row>
    <row r="961" spans="2:2" s="196" customFormat="1">
      <c r="B961" s="165" t="s">
        <v>1274</v>
      </c>
    </row>
    <row r="962" spans="2:2" s="196" customFormat="1">
      <c r="B962" s="165" t="s">
        <v>1287</v>
      </c>
    </row>
    <row r="963" spans="2:2" s="196" customFormat="1">
      <c r="B963" s="165" t="s">
        <v>1288</v>
      </c>
    </row>
    <row r="964" spans="2:2">
      <c r="B964" s="55" t="s">
        <v>1284</v>
      </c>
    </row>
    <row r="965" spans="2:2">
      <c r="B965" s="55" t="e">
        <f>+#REF!</f>
        <v>#REF!</v>
      </c>
    </row>
    <row r="966" spans="2:2">
      <c r="B966" s="55" t="e">
        <f>+#REF!</f>
        <v>#REF!</v>
      </c>
    </row>
    <row r="967" spans="2:2">
      <c r="B967" s="55" t="e">
        <f>+#REF!</f>
        <v>#REF!</v>
      </c>
    </row>
    <row r="968" spans="2:2">
      <c r="B968" s="55" t="s">
        <v>1276</v>
      </c>
    </row>
    <row r="969" spans="2:2">
      <c r="B969" s="55" t="s">
        <v>1277</v>
      </c>
    </row>
    <row r="970" spans="2:2">
      <c r="B970" s="55" t="s">
        <v>1080</v>
      </c>
    </row>
    <row r="971" spans="2:2">
      <c r="B971" s="55" t="s">
        <v>1278</v>
      </c>
    </row>
    <row r="972" spans="2:2">
      <c r="B972" s="55" t="s">
        <v>1082</v>
      </c>
    </row>
    <row r="973" spans="2:2">
      <c r="B973" s="55" t="s">
        <v>1279</v>
      </c>
    </row>
    <row r="974" spans="2:2">
      <c r="B974" s="55" t="s">
        <v>1083</v>
      </c>
    </row>
    <row r="975" spans="2:2">
      <c r="B975" s="55" t="s">
        <v>1086</v>
      </c>
    </row>
    <row r="976" spans="2:2">
      <c r="B976" s="55" t="s">
        <v>1280</v>
      </c>
    </row>
    <row r="977" spans="2:2">
      <c r="B977" s="55" t="s">
        <v>1314</v>
      </c>
    </row>
    <row r="978" spans="2:2">
      <c r="B978" s="55" t="s">
        <v>1315</v>
      </c>
    </row>
    <row r="979" spans="2:2">
      <c r="B979" s="55" t="s">
        <v>1281</v>
      </c>
    </row>
    <row r="980" spans="2:2">
      <c r="B980" s="55" t="s">
        <v>107</v>
      </c>
    </row>
    <row r="981" spans="2:2">
      <c r="B981" s="165" t="s">
        <v>1066</v>
      </c>
    </row>
    <row r="982" spans="2:2">
      <c r="B982" s="165" t="s">
        <v>1067</v>
      </c>
    </row>
    <row r="983" spans="2:2">
      <c r="B983" s="55" t="s">
        <v>1068</v>
      </c>
    </row>
    <row r="984" spans="2:2">
      <c r="B984" s="55" t="s">
        <v>1077</v>
      </c>
    </row>
    <row r="985" spans="2:2">
      <c r="B985" s="55" t="s">
        <v>1076</v>
      </c>
    </row>
    <row r="986" spans="2:2">
      <c r="B986" s="55" t="e">
        <f>"  "&amp;#REF!</f>
        <v>#REF!</v>
      </c>
    </row>
    <row r="987" spans="2:2">
      <c r="B987" s="55" t="e">
        <f>"  "&amp;#REF!</f>
        <v>#REF!</v>
      </c>
    </row>
    <row r="988" spans="2:2">
      <c r="B988" s="55" t="str">
        <f>"  "&amp;B767</f>
        <v xml:space="preserve">   mysql_select_db('healmy5_pray', $con);</v>
      </c>
    </row>
    <row r="989" spans="2:2">
      <c r="B989" s="55" t="s">
        <v>1073</v>
      </c>
    </row>
    <row r="990" spans="2:2">
      <c r="B990" s="55" t="s">
        <v>1074</v>
      </c>
    </row>
    <row r="991" spans="2:2">
      <c r="B991" s="55" t="s">
        <v>1075</v>
      </c>
    </row>
    <row r="992" spans="2:2">
      <c r="B992" s="55" t="s">
        <v>1069</v>
      </c>
    </row>
    <row r="993" spans="2:2">
      <c r="B993" s="55" t="s">
        <v>1070</v>
      </c>
    </row>
    <row r="994" spans="2:2">
      <c r="B994" s="55" t="s">
        <v>1071</v>
      </c>
    </row>
    <row r="995" spans="2:2">
      <c r="B995" s="55" t="s">
        <v>1072</v>
      </c>
    </row>
    <row r="996" spans="2:2">
      <c r="B996" s="55" t="s">
        <v>1078</v>
      </c>
    </row>
    <row r="997" spans="2:2">
      <c r="B997" s="55" t="s">
        <v>1079</v>
      </c>
    </row>
    <row r="998" spans="2:2">
      <c r="B998" s="55" t="s">
        <v>1080</v>
      </c>
    </row>
    <row r="999" spans="2:2">
      <c r="B999" s="55" t="s">
        <v>1081</v>
      </c>
    </row>
    <row r="1000" spans="2:2">
      <c r="B1000" s="55" t="s">
        <v>1082</v>
      </c>
    </row>
    <row r="1001" spans="2:2">
      <c r="B1001" s="55" t="s">
        <v>1279</v>
      </c>
    </row>
    <row r="1002" spans="2:2">
      <c r="B1002" s="55" t="s">
        <v>1083</v>
      </c>
    </row>
    <row r="1003" spans="2:2">
      <c r="B1003" s="55" t="s">
        <v>1086</v>
      </c>
    </row>
    <row r="1004" spans="2:2">
      <c r="B1004" s="55" t="s">
        <v>1317</v>
      </c>
    </row>
    <row r="1005" spans="2:2">
      <c r="B1005" s="55" t="s">
        <v>1314</v>
      </c>
    </row>
    <row r="1006" spans="2:2">
      <c r="B1006" s="55" t="s">
        <v>1315</v>
      </c>
    </row>
    <row r="1007" spans="2:2">
      <c r="B1007" s="55" t="s">
        <v>1316</v>
      </c>
    </row>
    <row r="1008" spans="2:2">
      <c r="B1008" s="55" t="s">
        <v>1084</v>
      </c>
    </row>
    <row r="1009" spans="2:2">
      <c r="B1009" s="55" t="s">
        <v>1085</v>
      </c>
    </row>
    <row r="1010" spans="2:2">
      <c r="B1010" s="55" t="s">
        <v>1282</v>
      </c>
    </row>
    <row r="1011" spans="2:2">
      <c r="B1011" s="55" t="s">
        <v>107</v>
      </c>
    </row>
    <row r="1012" spans="2:2">
      <c r="B1012" s="165" t="s">
        <v>1274</v>
      </c>
    </row>
    <row r="1013" spans="2:2">
      <c r="B1013" s="165" t="s">
        <v>1273</v>
      </c>
    </row>
    <row r="1014" spans="2:2">
      <c r="B1014" s="165" t="s">
        <v>628</v>
      </c>
    </row>
    <row r="1015" spans="2:2" s="193" customFormat="1" ht="12.75">
      <c r="B1015" s="262" t="s">
        <v>1328</v>
      </c>
    </row>
    <row r="1016" spans="2:2" s="193" customFormat="1" ht="12.75">
      <c r="B1016" s="262" t="s">
        <v>1329</v>
      </c>
    </row>
    <row r="1017" spans="2:2" s="193" customFormat="1" ht="12.75">
      <c r="B1017" s="262" t="s">
        <v>1331</v>
      </c>
    </row>
    <row r="1018" spans="2:2" s="193" customFormat="1" ht="12.75">
      <c r="B1018" s="262" t="s">
        <v>96</v>
      </c>
    </row>
    <row r="1019" spans="2:2">
      <c r="B1019" s="165" t="s">
        <v>1274</v>
      </c>
    </row>
    <row r="1020" spans="2:2">
      <c r="B1020" s="165" t="s">
        <v>1273</v>
      </c>
    </row>
    <row r="1021" spans="2:2">
      <c r="B1021" s="165" t="s">
        <v>633</v>
      </c>
    </row>
  </sheetData>
  <sheetProtection autoFilter="0"/>
  <autoFilter ref="A117:B1021">
    <filterColumn colId="1">
      <customFilters>
        <customFilter operator="notEqual" val=" "/>
      </customFilters>
    </filterColumn>
  </autoFilter>
  <conditionalFormatting sqref="Z15:Z114 L26 L29 H15:H17 H30:H114 B28:H70 B15:G114">
    <cfRule type="expression" dxfId="28" priority="3457">
      <formula>$D$117=1</formula>
    </cfRule>
  </conditionalFormatting>
  <conditionalFormatting sqref="B266:B286 B263 B741:B884">
    <cfRule type="expression" dxfId="27" priority="3456">
      <formula>$D$117=1</formula>
    </cfRule>
  </conditionalFormatting>
  <conditionalFormatting sqref="B119:B121 B123:B142">
    <cfRule type="expression" dxfId="26" priority="3453">
      <formula>$L$19&gt;1</formula>
    </cfRule>
  </conditionalFormatting>
  <conditionalFormatting sqref="B909:B912 B936:B939 B957:B960 B1015:B1018 B250:B260 B145:B248 B577:B580 B730:B733">
    <cfRule type="expression" dxfId="25" priority="3452">
      <formula>$L$19&gt;1</formula>
    </cfRule>
  </conditionalFormatting>
  <conditionalFormatting sqref="B948:B963 B886:B944 B725:B738 B594:B624 B572:B592 B287:B299 B263:B264">
    <cfRule type="expression" dxfId="24" priority="3451">
      <formula>$L$19&gt;1</formula>
    </cfRule>
  </conditionalFormatting>
  <conditionalFormatting sqref="C605:J624 K609:L609">
    <cfRule type="expression" dxfId="23" priority="3448">
      <formula>$L$19&gt;1</formula>
    </cfRule>
  </conditionalFormatting>
  <conditionalFormatting sqref="J18:J114">
    <cfRule type="expression" dxfId="22" priority="3459">
      <formula>E18=$M$8</formula>
    </cfRule>
  </conditionalFormatting>
  <conditionalFormatting sqref="C15 C19:C114">
    <cfRule type="expression" dxfId="21" priority="3439">
      <formula>$DC15&gt;1</formula>
    </cfRule>
    <cfRule type="expression" dxfId="20" priority="3443">
      <formula>$DA15&gt;0</formula>
    </cfRule>
  </conditionalFormatting>
  <conditionalFormatting sqref="C19:C114">
    <cfRule type="expression" dxfId="19" priority="3442">
      <formula>$DA19&gt;0</formula>
    </cfRule>
  </conditionalFormatting>
  <conditionalFormatting sqref="D15:D114">
    <cfRule type="expression" dxfId="18" priority="3431">
      <formula>D15&lt;DD15</formula>
    </cfRule>
  </conditionalFormatting>
  <conditionalFormatting sqref="F21">
    <cfRule type="expression" dxfId="17" priority="3">
      <formula>$E21&lt;&gt;"radio"</formula>
    </cfRule>
  </conditionalFormatting>
  <conditionalFormatting sqref="F19:F114">
    <cfRule type="expression" dxfId="16" priority="2">
      <formula>$E19&lt;&gt;"radio"</formula>
    </cfRule>
  </conditionalFormatting>
  <conditionalFormatting sqref="F22">
    <cfRule type="expression" dxfId="15" priority="1">
      <formula>$E22&lt;&gt;"radio"</formula>
    </cfRule>
  </conditionalFormatting>
  <dataValidations count="5">
    <dataValidation type="list" allowBlank="1" showInputMessage="1" showErrorMessage="1" sqref="L29 L26 K15:K17 L21 H18:I114 G15:G114">
      <formula1>$N$2:$N$3</formula1>
    </dataValidation>
    <dataValidation type="list" allowBlank="1" showInputMessage="1" showErrorMessage="1" sqref="Z15:Z114">
      <formula1>$L$2:$L$5</formula1>
    </dataValidation>
    <dataValidation type="list" allowBlank="1" showInputMessage="1" showErrorMessage="1" sqref="E15:F18">
      <formula1>$M$2:$M$8</formula1>
    </dataValidation>
    <dataValidation type="list" allowBlank="1" showInputMessage="1" showErrorMessage="1" sqref="L23">
      <formula1>$N$5:$N$6</formula1>
    </dataValidation>
    <dataValidation type="list" allowBlank="1" showInputMessage="1" showErrorMessage="1" sqref="E19:E114">
      <formula1>$M$2:$M$9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135"/>
  <sheetViews>
    <sheetView topLeftCell="A92" workbookViewId="0">
      <selection activeCell="A113" sqref="A113"/>
    </sheetView>
  </sheetViews>
  <sheetFormatPr baseColWidth="10" defaultColWidth="0" defaultRowHeight="15" customHeight="1" zeroHeight="1"/>
  <cols>
    <col min="1" max="1" width="15.5703125" customWidth="1"/>
    <col min="2" max="2" width="13.140625" customWidth="1"/>
    <col min="3" max="3" width="8.42578125" customWidth="1"/>
    <col min="4" max="4" width="18" customWidth="1"/>
    <col min="5" max="5" width="7.42578125" customWidth="1"/>
    <col min="6" max="10" width="11.42578125" customWidth="1"/>
    <col min="11" max="11" width="5.42578125" customWidth="1"/>
    <col min="12" max="12" width="5.7109375" customWidth="1"/>
    <col min="13" max="16" width="11.42578125" customWidth="1"/>
    <col min="17" max="16384" width="11.42578125" hidden="1"/>
  </cols>
  <sheetData>
    <row r="1" spans="1:16" s="17" customFormat="1">
      <c r="G1" s="17" t="s">
        <v>108</v>
      </c>
      <c r="L1" s="17" t="s">
        <v>109</v>
      </c>
    </row>
    <row r="2" spans="1:16" s="17" customFormat="1">
      <c r="G2" s="17" t="s">
        <v>110</v>
      </c>
      <c r="L2" s="17" t="s">
        <v>111</v>
      </c>
    </row>
    <row r="3" spans="1:16" s="17" customFormat="1">
      <c r="G3" s="17" t="s">
        <v>722</v>
      </c>
      <c r="L3" s="17" t="s">
        <v>113</v>
      </c>
    </row>
    <row r="4" spans="1:16" s="17" customFormat="1">
      <c r="J4" s="18"/>
      <c r="L4" s="17" t="s">
        <v>114</v>
      </c>
    </row>
    <row r="5" spans="1:16" s="17" customFormat="1">
      <c r="L5" s="17" t="s">
        <v>115</v>
      </c>
    </row>
    <row r="6" spans="1:16">
      <c r="A6" s="12" t="s">
        <v>116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</row>
    <row r="7" spans="1:16">
      <c r="A7" s="12" t="s">
        <v>117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</row>
    <row r="8" spans="1:16">
      <c r="A8" s="12" t="str">
        <f>+G1&amp;F8&amp;G2</f>
        <v>mysql_select_db("healmy5_pray", $con);</v>
      </c>
      <c r="B8" s="12"/>
      <c r="C8" s="12"/>
      <c r="D8" s="12"/>
      <c r="E8" s="19" t="s">
        <v>118</v>
      </c>
      <c r="F8" s="20" t="str">
        <f>+fieldcreatorv2!L17</f>
        <v>healmy5_pray</v>
      </c>
      <c r="G8" s="12" t="s">
        <v>119</v>
      </c>
      <c r="H8" s="12"/>
      <c r="I8" s="12"/>
      <c r="J8" s="12"/>
      <c r="K8" s="12"/>
      <c r="L8" s="12"/>
      <c r="M8" s="12"/>
      <c r="N8" s="12"/>
      <c r="O8" s="12"/>
      <c r="P8" s="12"/>
    </row>
    <row r="9" spans="1:16">
      <c r="A9" s="12"/>
      <c r="B9" s="12"/>
      <c r="C9" s="12"/>
      <c r="D9" s="12"/>
      <c r="E9" s="19" t="s">
        <v>120</v>
      </c>
      <c r="F9" s="20" t="str">
        <f>+fieldcreatorv2!L15&amp;fieldcreatorv2!L19</f>
        <v>Jesus1</v>
      </c>
      <c r="G9" s="12" t="s">
        <v>121</v>
      </c>
      <c r="H9" s="12"/>
      <c r="I9" s="12"/>
      <c r="J9" s="12"/>
      <c r="K9" s="12"/>
      <c r="L9" s="12"/>
      <c r="M9" s="12"/>
      <c r="N9" s="12"/>
      <c r="O9" s="12"/>
      <c r="P9" s="12"/>
    </row>
    <row r="10" spans="1:16">
      <c r="A10" s="12" t="str">
        <f>+G3&amp;F9&amp;" ("</f>
        <v>$sql = "CREATE TABLE IF NOT EXISTS Jesus1 (</v>
      </c>
      <c r="B10" s="12"/>
      <c r="C10" s="12"/>
      <c r="D10" s="12"/>
      <c r="E10" s="12"/>
      <c r="F10" s="12"/>
      <c r="G10" s="12"/>
      <c r="H10" s="21" t="s">
        <v>122</v>
      </c>
      <c r="I10" s="21" t="s">
        <v>123</v>
      </c>
      <c r="J10" s="21" t="s">
        <v>124</v>
      </c>
      <c r="K10" s="12"/>
      <c r="L10" s="12"/>
      <c r="M10" s="12"/>
      <c r="N10" s="12"/>
      <c r="O10" s="12"/>
      <c r="P10" s="12"/>
    </row>
    <row r="11" spans="1:16">
      <c r="A11" s="12" t="str">
        <f>+H11&amp;" "&amp;I11&amp;"("&amp;J11&amp;")"&amp;" AUTO_INCREMENT PRIMARY KEY"</f>
        <v>id INT(10) AUTO_INCREMENT PRIMARY KEY</v>
      </c>
      <c r="B11" s="12"/>
      <c r="C11" s="12"/>
      <c r="D11" s="12"/>
      <c r="E11" s="12"/>
      <c r="F11" s="12"/>
      <c r="G11" s="12"/>
      <c r="H11" s="22" t="s">
        <v>72</v>
      </c>
      <c r="I11" s="22" t="s">
        <v>109</v>
      </c>
      <c r="J11" s="23">
        <v>10</v>
      </c>
      <c r="K11" s="12"/>
      <c r="L11" s="12"/>
      <c r="M11" s="12"/>
      <c r="N11" s="12"/>
      <c r="O11" s="12"/>
      <c r="P11" s="12"/>
    </row>
    <row r="12" spans="1:16">
      <c r="A12" s="17" t="str">
        <f>IF(fieldcreatorv2!BB15="","",IF(OR(fieldcreatorv2!E15="radio",fieldcreatorv2!E15="selectlist"),D12,B12))</f>
        <v>,user VARCHAR(50)</v>
      </c>
      <c r="B12" s="12" t="str">
        <f>IF(H12="","",","&amp;H12&amp;" "&amp;I12&amp;IF(I12="DATE","","("&amp;J12&amp;")"))</f>
        <v>,user VARCHAR(50)</v>
      </c>
      <c r="C12" s="12" t="str">
        <f>+IF(fieldcreatorv2!E15="radio","radiocondition",B12)</f>
        <v>,user VARCHAR(50)</v>
      </c>
      <c r="D12" s="12" t="str">
        <f>","&amp;fieldcreatorv2!B15&amp;" "&amp;I12&amp;"("&amp;J12&amp;")"</f>
        <v>, VARCHAR(50)</v>
      </c>
      <c r="E12" s="12"/>
      <c r="F12" s="12"/>
      <c r="G12" s="12"/>
      <c r="H12" s="23" t="str">
        <f>IF(fieldcreatorv2!C15="","",fieldcreatorv2!C15)</f>
        <v>user</v>
      </c>
      <c r="I12" s="23" t="str">
        <f>IF(fieldcreatorv2!Z15="","",fieldcreatorv2!Z15)</f>
        <v>VARCHAR</v>
      </c>
      <c r="J12" s="23">
        <f>IF(fieldcreatorv2!D15="","",fieldcreatorv2!D15)</f>
        <v>50</v>
      </c>
      <c r="K12" s="12"/>
      <c r="L12" s="12"/>
      <c r="M12" s="12"/>
      <c r="N12" s="12"/>
      <c r="O12" s="12"/>
      <c r="P12" s="12"/>
    </row>
    <row r="13" spans="1:16">
      <c r="A13" s="17" t="str">
        <f>IF(fieldcreatorv2!BB16="","",IF(OR(fieldcreatorv2!E16="radio",fieldcreatorv2!E16="selectlist"),D13,B13))</f>
        <v>,tipo_doc_id VARCHAR(10)</v>
      </c>
      <c r="B13" s="12" t="str">
        <f t="shared" ref="B13:B76" si="0">IF(H13="","",","&amp;H13&amp;" "&amp;I13&amp;IF(I13="DATE","","("&amp;J13&amp;")"))</f>
        <v>,tipo_doc_id VARCHAR(10)</v>
      </c>
      <c r="C13" s="12" t="str">
        <f>+IF(fieldcreatorv2!E16="radio","radiocondition",B13)</f>
        <v>,tipo_doc_id VARCHAR(10)</v>
      </c>
      <c r="D13" s="12" t="str">
        <f>","&amp;fieldcreatorv2!B16&amp;" "&amp;I13&amp;"("&amp;J13&amp;")"</f>
        <v>, VARCHAR(10)</v>
      </c>
      <c r="E13" s="12"/>
      <c r="F13" s="12"/>
      <c r="G13" s="12"/>
      <c r="H13" s="23" t="str">
        <f>IF(fieldcreatorv2!C16="","",fieldcreatorv2!C16)</f>
        <v>tipo_doc_id</v>
      </c>
      <c r="I13" s="23" t="str">
        <f>IF(fieldcreatorv2!Z16="","",fieldcreatorv2!Z16)</f>
        <v>VARCHAR</v>
      </c>
      <c r="J13" s="23">
        <f>IF(fieldcreatorv2!D16="","",fieldcreatorv2!D16)</f>
        <v>10</v>
      </c>
      <c r="K13" s="12"/>
      <c r="L13" s="12"/>
      <c r="M13" s="12"/>
      <c r="N13" s="12"/>
      <c r="O13" s="12"/>
      <c r="P13" s="12"/>
    </row>
    <row r="14" spans="1:16">
      <c r="A14" s="17" t="str">
        <f>IF(fieldcreatorv2!BB17="","",IF(OR(fieldcreatorv2!E17="radio",fieldcreatorv2!E17="selectlist"),D14,B14))</f>
        <v>,numd VARCHAR(50)</v>
      </c>
      <c r="B14" s="12" t="str">
        <f t="shared" si="0"/>
        <v>,numd VARCHAR(50)</v>
      </c>
      <c r="C14" s="12" t="str">
        <f>+IF(fieldcreatorv2!E17="radio","radiocondition",B14)</f>
        <v>,numd VARCHAR(50)</v>
      </c>
      <c r="D14" s="12" t="str">
        <f>","&amp;fieldcreatorv2!B17&amp;" "&amp;I14&amp;"("&amp;J14&amp;")"</f>
        <v>, VARCHAR(50)</v>
      </c>
      <c r="E14" s="12"/>
      <c r="F14" s="12"/>
      <c r="G14" s="12"/>
      <c r="H14" s="23" t="str">
        <f>IF(fieldcreatorv2!C17="","",fieldcreatorv2!C17)</f>
        <v>numd</v>
      </c>
      <c r="I14" s="23" t="str">
        <f>IF(fieldcreatorv2!Z17="","",fieldcreatorv2!Z17)</f>
        <v>VARCHAR</v>
      </c>
      <c r="J14" s="23">
        <f>IF(fieldcreatorv2!D17="","",fieldcreatorv2!D17)</f>
        <v>50</v>
      </c>
      <c r="K14" s="12"/>
      <c r="L14" s="12"/>
      <c r="M14" s="12"/>
      <c r="N14" s="12"/>
      <c r="O14" s="12"/>
      <c r="P14" s="12"/>
    </row>
    <row r="15" spans="1:16">
      <c r="A15" s="17" t="str">
        <f>IF(fieldcreatorv2!BB18="","",IF(OR(fieldcreatorv2!E18="radio",fieldcreatorv2!E18="selectlist"),D15,B15))</f>
        <v>,tms_1 DATE</v>
      </c>
      <c r="B15" s="12" t="str">
        <f t="shared" si="0"/>
        <v>,tms_1 DATE</v>
      </c>
      <c r="C15" s="12" t="str">
        <f>+IF(fieldcreatorv2!E18="radio","radiocondition",B15)</f>
        <v>,tms_1 DATE</v>
      </c>
      <c r="D15" s="12" t="str">
        <f>","&amp;fieldcreatorv2!B18&amp;" "&amp;I15&amp;"("&amp;J15&amp;")"</f>
        <v>,Timestamp (not shown) DATE()</v>
      </c>
      <c r="E15" s="12"/>
      <c r="F15" s="12"/>
      <c r="G15" s="12"/>
      <c r="H15" s="23" t="str">
        <f>IF(fieldcreatorv2!C18="","",fieldcreatorv2!C18)</f>
        <v>tms_1</v>
      </c>
      <c r="I15" s="23" t="str">
        <f>IF(fieldcreatorv2!Z18="","",fieldcreatorv2!Z18)</f>
        <v>DATE</v>
      </c>
      <c r="J15" s="23" t="str">
        <f>IF(fieldcreatorv2!D18="","",fieldcreatorv2!D18)</f>
        <v/>
      </c>
      <c r="K15" s="12"/>
      <c r="L15" s="12"/>
      <c r="M15" s="12"/>
      <c r="N15" s="12"/>
      <c r="O15" s="12"/>
      <c r="P15" s="12"/>
    </row>
    <row r="16" spans="1:16">
      <c r="A16" s="17" t="str">
        <f>IF(OR(fieldcreatorv2!BB19="",fieldcreatorv2!E19=fieldcreatorv2!$M$9),"",IF(OR(fieldcreatorv2!E19="radio",fieldcreatorv2!E19="selectlist"),D16,B16))</f>
        <v/>
      </c>
      <c r="B16" s="12" t="str">
        <f t="shared" si="0"/>
        <v/>
      </c>
      <c r="C16" s="12" t="str">
        <f>+IF(fieldcreatorv2!E19="radio","radiocondition",B16)</f>
        <v/>
      </c>
      <c r="D16" s="12" t="str">
        <f>","&amp;fieldcreatorv2!B19&amp;" "&amp;I16&amp;"("&amp;J16&amp;")"</f>
        <v>, ()</v>
      </c>
      <c r="E16" s="12"/>
      <c r="F16" s="12"/>
      <c r="G16" s="12"/>
      <c r="H16" s="23" t="str">
        <f>IF(fieldcreatorv2!C19="","",fieldcreatorv2!C19)</f>
        <v/>
      </c>
      <c r="I16" s="23" t="str">
        <f>IF(fieldcreatorv2!Z19="","",fieldcreatorv2!Z19)</f>
        <v/>
      </c>
      <c r="J16" s="23" t="str">
        <f>IF(fieldcreatorv2!D19="","",fieldcreatorv2!D19)</f>
        <v/>
      </c>
      <c r="K16" s="12"/>
      <c r="L16" s="12"/>
      <c r="M16" s="12"/>
      <c r="N16" s="12"/>
      <c r="O16" s="12"/>
      <c r="P16" s="12"/>
    </row>
    <row r="17" spans="1:16">
      <c r="A17" s="17" t="str">
        <f>IF(OR(fieldcreatorv2!BB20="",fieldcreatorv2!E20=fieldcreatorv2!$M$9),"",IF(OR(fieldcreatorv2!E20="radio",fieldcreatorv2!E20="selectlist"),D17,B17))</f>
        <v/>
      </c>
      <c r="B17" s="12" t="str">
        <f t="shared" si="0"/>
        <v/>
      </c>
      <c r="C17" s="12" t="str">
        <f>+IF(fieldcreatorv2!E20="radio","radiocondition",B17)</f>
        <v/>
      </c>
      <c r="D17" s="12" t="str">
        <f>","&amp;fieldcreatorv2!B20&amp;" "&amp;I17&amp;"("&amp;J17&amp;")"</f>
        <v>, ()</v>
      </c>
      <c r="E17" s="12"/>
      <c r="F17" s="12"/>
      <c r="G17" s="12"/>
      <c r="H17" s="23" t="str">
        <f>IF(fieldcreatorv2!C20="","",fieldcreatorv2!C20)</f>
        <v/>
      </c>
      <c r="I17" s="23" t="str">
        <f>IF(fieldcreatorv2!Z20="","",fieldcreatorv2!Z20)</f>
        <v/>
      </c>
      <c r="J17" s="23" t="str">
        <f>IF(fieldcreatorv2!D20="","",fieldcreatorv2!D20)</f>
        <v/>
      </c>
      <c r="K17" s="12"/>
      <c r="L17" s="12"/>
      <c r="M17" s="12"/>
      <c r="N17" s="12"/>
      <c r="O17" s="12"/>
      <c r="P17" s="12"/>
    </row>
    <row r="18" spans="1:16">
      <c r="A18" s="17" t="str">
        <f>IF(OR(fieldcreatorv2!BB21="",fieldcreatorv2!E21=fieldcreatorv2!$M$9),"",IF(OR(fieldcreatorv2!E21="radio",fieldcreatorv2!E21="selectlist"),D18,B18))</f>
        <v/>
      </c>
      <c r="B18" s="12" t="str">
        <f t="shared" si="0"/>
        <v/>
      </c>
      <c r="C18" s="12" t="str">
        <f>+IF(fieldcreatorv2!E21="radio","radiocondition",B18)</f>
        <v/>
      </c>
      <c r="D18" s="12" t="str">
        <f>","&amp;fieldcreatorv2!B21&amp;" "&amp;I18&amp;"("&amp;J18&amp;")"</f>
        <v>, ()</v>
      </c>
      <c r="E18" s="12"/>
      <c r="F18" s="12"/>
      <c r="G18" s="12"/>
      <c r="H18" s="23" t="str">
        <f>IF(fieldcreatorv2!C21="","",fieldcreatorv2!C21)</f>
        <v/>
      </c>
      <c r="I18" s="23" t="str">
        <f>IF(fieldcreatorv2!Z21="","",fieldcreatorv2!Z21)</f>
        <v/>
      </c>
      <c r="J18" s="23" t="str">
        <f>IF(fieldcreatorv2!D21="","",fieldcreatorv2!D21)</f>
        <v/>
      </c>
      <c r="K18" s="12"/>
      <c r="L18" s="12"/>
      <c r="M18" s="12"/>
      <c r="N18" s="12"/>
      <c r="O18" s="12"/>
      <c r="P18" s="12"/>
    </row>
    <row r="19" spans="1:16">
      <c r="A19" s="17" t="str">
        <f>IF(OR(fieldcreatorv2!BB22="",fieldcreatorv2!E22=fieldcreatorv2!$M$9),"",IF(OR(fieldcreatorv2!E22="radio",fieldcreatorv2!E22="selectlist"),D19,B19))</f>
        <v/>
      </c>
      <c r="B19" s="12" t="str">
        <f t="shared" si="0"/>
        <v/>
      </c>
      <c r="C19" s="12" t="str">
        <f>+IF(fieldcreatorv2!E22="radio","radiocondition",B19)</f>
        <v/>
      </c>
      <c r="D19" s="12" t="str">
        <f>","&amp;fieldcreatorv2!B22&amp;" "&amp;I19&amp;"("&amp;J19&amp;")"</f>
        <v>, ()</v>
      </c>
      <c r="E19" s="12"/>
      <c r="F19" s="12"/>
      <c r="G19" s="12"/>
      <c r="H19" s="23" t="str">
        <f>IF(fieldcreatorv2!C22="","",fieldcreatorv2!C22)</f>
        <v/>
      </c>
      <c r="I19" s="23" t="str">
        <f>IF(fieldcreatorv2!Z22="","",fieldcreatorv2!Z22)</f>
        <v/>
      </c>
      <c r="J19" s="23" t="str">
        <f>IF(fieldcreatorv2!D22="","",fieldcreatorv2!D22)</f>
        <v/>
      </c>
      <c r="K19" s="12"/>
      <c r="L19" s="12"/>
      <c r="M19" s="12"/>
      <c r="N19" s="12"/>
      <c r="O19" s="12"/>
      <c r="P19" s="12"/>
    </row>
    <row r="20" spans="1:16">
      <c r="A20" s="17" t="str">
        <f>IF(OR(fieldcreatorv2!BB23="",fieldcreatorv2!E23=fieldcreatorv2!$M$9),"",IF(OR(fieldcreatorv2!E23="radio",fieldcreatorv2!E23="selectlist"),D20,B20))</f>
        <v/>
      </c>
      <c r="B20" s="12" t="str">
        <f t="shared" si="0"/>
        <v/>
      </c>
      <c r="C20" s="12" t="str">
        <f>+IF(fieldcreatorv2!E23="radio","radiocondition",B20)</f>
        <v/>
      </c>
      <c r="D20" s="12" t="str">
        <f>","&amp;fieldcreatorv2!B23&amp;" "&amp;I20&amp;"("&amp;J20&amp;")"</f>
        <v>, ()</v>
      </c>
      <c r="E20" s="12"/>
      <c r="F20" s="12"/>
      <c r="G20" s="12"/>
      <c r="H20" s="23" t="str">
        <f>IF(fieldcreatorv2!C23="","",fieldcreatorv2!C23)</f>
        <v/>
      </c>
      <c r="I20" s="23" t="str">
        <f>IF(fieldcreatorv2!Z23="","",fieldcreatorv2!Z23)</f>
        <v/>
      </c>
      <c r="J20" s="23" t="str">
        <f>IF(fieldcreatorv2!D23="","",fieldcreatorv2!D23)</f>
        <v/>
      </c>
      <c r="K20" s="12"/>
      <c r="L20" s="12"/>
      <c r="M20" s="12"/>
      <c r="N20" s="12"/>
      <c r="O20" s="12"/>
      <c r="P20" s="12"/>
    </row>
    <row r="21" spans="1:16">
      <c r="A21" s="17" t="str">
        <f>IF(OR(fieldcreatorv2!BB24="",fieldcreatorv2!E24=fieldcreatorv2!$M$9),"",IF(OR(fieldcreatorv2!E24="radio",fieldcreatorv2!E24="selectlist"),D21,B21))</f>
        <v/>
      </c>
      <c r="B21" s="12" t="str">
        <f t="shared" si="0"/>
        <v/>
      </c>
      <c r="C21" s="12" t="str">
        <f>+IF(fieldcreatorv2!E24="radio","radiocondition",B21)</f>
        <v/>
      </c>
      <c r="D21" s="12" t="str">
        <f>","&amp;fieldcreatorv2!B24&amp;" "&amp;I21&amp;"("&amp;J21&amp;")"</f>
        <v>, ()</v>
      </c>
      <c r="E21" s="12"/>
      <c r="F21" s="12"/>
      <c r="G21" s="12"/>
      <c r="H21" s="23" t="str">
        <f>IF(fieldcreatorv2!C24="","",fieldcreatorv2!C24)</f>
        <v/>
      </c>
      <c r="I21" s="23" t="str">
        <f>IF(fieldcreatorv2!Z24="","",fieldcreatorv2!Z24)</f>
        <v/>
      </c>
      <c r="J21" s="23" t="str">
        <f>IF(fieldcreatorv2!D24="","",fieldcreatorv2!D24)</f>
        <v/>
      </c>
      <c r="K21" s="12"/>
      <c r="L21" s="12"/>
      <c r="M21" s="12"/>
      <c r="N21" s="12"/>
      <c r="O21" s="12"/>
      <c r="P21" s="12"/>
    </row>
    <row r="22" spans="1:16">
      <c r="A22" s="17" t="str">
        <f>IF(OR(fieldcreatorv2!BB25="",fieldcreatorv2!E25=fieldcreatorv2!$M$9),"",IF(OR(fieldcreatorv2!E25="radio",fieldcreatorv2!E25="selectlist"),D22,B22))</f>
        <v/>
      </c>
      <c r="B22" s="12" t="str">
        <f t="shared" si="0"/>
        <v/>
      </c>
      <c r="C22" s="12" t="str">
        <f>+IF(fieldcreatorv2!E25="radio","radiocondition",B22)</f>
        <v/>
      </c>
      <c r="D22" s="12" t="str">
        <f>","&amp;fieldcreatorv2!B25&amp;" "&amp;I22&amp;"("&amp;J22&amp;")"</f>
        <v>, ()</v>
      </c>
      <c r="E22" s="12"/>
      <c r="F22" s="12"/>
      <c r="G22" s="12"/>
      <c r="H22" s="23" t="str">
        <f>IF(fieldcreatorv2!C25="","",fieldcreatorv2!C25)</f>
        <v/>
      </c>
      <c r="I22" s="23" t="str">
        <f>IF(fieldcreatorv2!Z25="","",fieldcreatorv2!Z25)</f>
        <v/>
      </c>
      <c r="J22" s="23" t="str">
        <f>IF(fieldcreatorv2!D25="","",fieldcreatorv2!D25)</f>
        <v/>
      </c>
      <c r="K22" s="12"/>
      <c r="L22" s="12"/>
      <c r="M22" s="12"/>
      <c r="N22" s="12"/>
      <c r="O22" s="12"/>
      <c r="P22" s="12"/>
    </row>
    <row r="23" spans="1:16">
      <c r="A23" s="17" t="str">
        <f>IF(OR(fieldcreatorv2!BB26="",fieldcreatorv2!E26=fieldcreatorv2!$M$9),"",IF(OR(fieldcreatorv2!E26="radio",fieldcreatorv2!E26="selectlist"),D23,B23))</f>
        <v/>
      </c>
      <c r="B23" s="12" t="str">
        <f t="shared" si="0"/>
        <v/>
      </c>
      <c r="C23" s="12" t="str">
        <f>+IF(fieldcreatorv2!E26="radio","radiocondition",B23)</f>
        <v/>
      </c>
      <c r="D23" s="12" t="str">
        <f>","&amp;fieldcreatorv2!B26&amp;" "&amp;I23&amp;"("&amp;J23&amp;")"</f>
        <v>, ()</v>
      </c>
      <c r="E23" s="12"/>
      <c r="F23" s="12"/>
      <c r="G23" s="12"/>
      <c r="H23" s="23" t="str">
        <f>IF(fieldcreatorv2!C26="","",fieldcreatorv2!C26)</f>
        <v/>
      </c>
      <c r="I23" s="23" t="str">
        <f>IF(fieldcreatorv2!Z26="","",fieldcreatorv2!Z26)</f>
        <v/>
      </c>
      <c r="J23" s="23" t="str">
        <f>IF(fieldcreatorv2!D26="","",fieldcreatorv2!D26)</f>
        <v/>
      </c>
      <c r="K23" s="12"/>
      <c r="L23" s="12"/>
      <c r="M23" s="12"/>
      <c r="N23" s="12"/>
      <c r="O23" s="12"/>
      <c r="P23" s="12"/>
    </row>
    <row r="24" spans="1:16">
      <c r="A24" s="17" t="str">
        <f>IF(OR(fieldcreatorv2!BB27="",fieldcreatorv2!E27=fieldcreatorv2!$M$9),"",IF(OR(fieldcreatorv2!E27="radio",fieldcreatorv2!E27="selectlist"),D24,B24))</f>
        <v/>
      </c>
      <c r="B24" s="12" t="str">
        <f t="shared" si="0"/>
        <v/>
      </c>
      <c r="C24" s="12" t="str">
        <f>+IF(fieldcreatorv2!E27="radio","radiocondition",B24)</f>
        <v/>
      </c>
      <c r="D24" s="12" t="str">
        <f>","&amp;fieldcreatorv2!B27&amp;" "&amp;I24&amp;"("&amp;J24&amp;")"</f>
        <v>, ()</v>
      </c>
      <c r="E24" s="12"/>
      <c r="F24" s="12"/>
      <c r="G24" s="12"/>
      <c r="H24" s="23" t="str">
        <f>IF(fieldcreatorv2!C27="","",fieldcreatorv2!C27)</f>
        <v/>
      </c>
      <c r="I24" s="23" t="str">
        <f>IF(fieldcreatorv2!Z27="","",fieldcreatorv2!Z27)</f>
        <v/>
      </c>
      <c r="J24" s="23" t="str">
        <f>IF(fieldcreatorv2!D27="","",fieldcreatorv2!D27)</f>
        <v/>
      </c>
      <c r="K24" s="12"/>
      <c r="L24" s="12"/>
      <c r="M24" s="12"/>
      <c r="N24" s="12"/>
      <c r="O24" s="12"/>
      <c r="P24" s="12"/>
    </row>
    <row r="25" spans="1:16">
      <c r="A25" s="17" t="str">
        <f>IF(OR(fieldcreatorv2!BB28="",fieldcreatorv2!E28=fieldcreatorv2!$M$9),"",IF(OR(fieldcreatorv2!E28="radio",fieldcreatorv2!E28="selectlist"),D25,B25))</f>
        <v/>
      </c>
      <c r="B25" s="12" t="str">
        <f t="shared" si="0"/>
        <v/>
      </c>
      <c r="C25" s="12" t="str">
        <f>+IF(fieldcreatorv2!E28="radio","radiocondition",B25)</f>
        <v/>
      </c>
      <c r="D25" s="12" t="str">
        <f>","&amp;fieldcreatorv2!B28&amp;" "&amp;I25&amp;"("&amp;J25&amp;")"</f>
        <v>, ()</v>
      </c>
      <c r="E25" s="12"/>
      <c r="F25" s="12"/>
      <c r="G25" s="12"/>
      <c r="H25" s="23" t="str">
        <f>IF(fieldcreatorv2!C28="","",fieldcreatorv2!C28)</f>
        <v/>
      </c>
      <c r="I25" s="23" t="str">
        <f>IF(fieldcreatorv2!Z28="","",fieldcreatorv2!Z28)</f>
        <v/>
      </c>
      <c r="J25" s="23" t="str">
        <f>IF(fieldcreatorv2!D28="","",fieldcreatorv2!D28)</f>
        <v/>
      </c>
      <c r="K25" s="12"/>
      <c r="L25" s="12"/>
      <c r="M25" s="12"/>
      <c r="N25" s="12"/>
      <c r="O25" s="12"/>
      <c r="P25" s="12"/>
    </row>
    <row r="26" spans="1:16">
      <c r="A26" s="17" t="str">
        <f>IF(OR(fieldcreatorv2!BB29="",fieldcreatorv2!E29=fieldcreatorv2!$M$9),"",IF(OR(fieldcreatorv2!E29="radio",fieldcreatorv2!E29="selectlist"),D26,B26))</f>
        <v/>
      </c>
      <c r="B26" s="12" t="str">
        <f t="shared" si="0"/>
        <v/>
      </c>
      <c r="C26" s="12" t="str">
        <f>+IF(fieldcreatorv2!E29="radio","radiocondition",B26)</f>
        <v/>
      </c>
      <c r="D26" s="12" t="str">
        <f>","&amp;fieldcreatorv2!B29&amp;" "&amp;I26&amp;"("&amp;J26&amp;")"</f>
        <v>, ()</v>
      </c>
      <c r="E26" s="12"/>
      <c r="F26" s="12"/>
      <c r="G26" s="12"/>
      <c r="H26" s="23" t="str">
        <f>IF(fieldcreatorv2!C29="","",fieldcreatorv2!C29)</f>
        <v/>
      </c>
      <c r="I26" s="23" t="str">
        <f>IF(fieldcreatorv2!Z29="","",fieldcreatorv2!Z29)</f>
        <v/>
      </c>
      <c r="J26" s="23" t="str">
        <f>IF(fieldcreatorv2!D29="","",fieldcreatorv2!D29)</f>
        <v/>
      </c>
      <c r="K26" s="12"/>
      <c r="L26" s="12"/>
      <c r="M26" s="12"/>
      <c r="N26" s="12"/>
      <c r="O26" s="12"/>
      <c r="P26" s="12"/>
    </row>
    <row r="27" spans="1:16">
      <c r="A27" s="17" t="str">
        <f>IF(OR(fieldcreatorv2!BB30="",fieldcreatorv2!E30=fieldcreatorv2!$M$9),"",IF(OR(fieldcreatorv2!E30="radio",fieldcreatorv2!E30="selectlist"),D27,B27))</f>
        <v/>
      </c>
      <c r="B27" s="12" t="str">
        <f t="shared" si="0"/>
        <v/>
      </c>
      <c r="C27" s="12" t="str">
        <f>+IF(fieldcreatorv2!E30="radio","radiocondition",B27)</f>
        <v/>
      </c>
      <c r="D27" s="12" t="str">
        <f>","&amp;fieldcreatorv2!B30&amp;" "&amp;I27&amp;"("&amp;J27&amp;")"</f>
        <v>, ()</v>
      </c>
      <c r="E27" s="12"/>
      <c r="F27" s="12"/>
      <c r="G27" s="12"/>
      <c r="H27" s="23" t="str">
        <f>IF(fieldcreatorv2!C30="","",fieldcreatorv2!C30)</f>
        <v/>
      </c>
      <c r="I27" s="23" t="str">
        <f>IF(fieldcreatorv2!Z30="","",fieldcreatorv2!Z30)</f>
        <v/>
      </c>
      <c r="J27" s="23" t="str">
        <f>IF(fieldcreatorv2!D30="","",fieldcreatorv2!D30)</f>
        <v/>
      </c>
      <c r="K27" s="12"/>
      <c r="L27" s="12"/>
      <c r="M27" s="12"/>
      <c r="N27" s="12"/>
      <c r="O27" s="12"/>
      <c r="P27" s="12"/>
    </row>
    <row r="28" spans="1:16">
      <c r="A28" s="17" t="str">
        <f>IF(OR(fieldcreatorv2!BB31="",fieldcreatorv2!E31=fieldcreatorv2!$M$9),"",IF(OR(fieldcreatorv2!E31="radio",fieldcreatorv2!E31="selectlist"),D28,B28))</f>
        <v/>
      </c>
      <c r="B28" s="12" t="str">
        <f t="shared" si="0"/>
        <v/>
      </c>
      <c r="C28" s="12" t="str">
        <f>+IF(fieldcreatorv2!E31="radio","radiocondition",B28)</f>
        <v/>
      </c>
      <c r="D28" s="12" t="str">
        <f>","&amp;fieldcreatorv2!B31&amp;" "&amp;I28&amp;"("&amp;J28&amp;")"</f>
        <v>, ()</v>
      </c>
      <c r="E28" s="12"/>
      <c r="F28" s="12"/>
      <c r="G28" s="12"/>
      <c r="H28" s="23" t="str">
        <f>IF(fieldcreatorv2!C31="","",fieldcreatorv2!C31)</f>
        <v/>
      </c>
      <c r="I28" s="23" t="str">
        <f>IF(fieldcreatorv2!Z31="","",fieldcreatorv2!Z31)</f>
        <v/>
      </c>
      <c r="J28" s="23" t="str">
        <f>IF(fieldcreatorv2!D31="","",fieldcreatorv2!D31)</f>
        <v/>
      </c>
      <c r="K28" s="12"/>
      <c r="L28" s="12"/>
      <c r="M28" s="12"/>
      <c r="N28" s="12"/>
      <c r="O28" s="12"/>
      <c r="P28" s="12"/>
    </row>
    <row r="29" spans="1:16">
      <c r="A29" s="17" t="str">
        <f>IF(OR(fieldcreatorv2!BB32="",fieldcreatorv2!E32=fieldcreatorv2!$M$9),"",IF(OR(fieldcreatorv2!E32="radio",fieldcreatorv2!E32="selectlist"),D29,B29))</f>
        <v/>
      </c>
      <c r="B29" s="12" t="str">
        <f t="shared" si="0"/>
        <v/>
      </c>
      <c r="C29" s="12" t="str">
        <f>+IF(fieldcreatorv2!E32="radio","radiocondition",B29)</f>
        <v/>
      </c>
      <c r="D29" s="12" t="str">
        <f>","&amp;fieldcreatorv2!B32&amp;" "&amp;I29&amp;"("&amp;J29&amp;")"</f>
        <v>, ()</v>
      </c>
      <c r="E29" s="12"/>
      <c r="F29" s="12"/>
      <c r="G29" s="12"/>
      <c r="H29" s="23" t="str">
        <f>IF(fieldcreatorv2!C32="","",fieldcreatorv2!C32)</f>
        <v/>
      </c>
      <c r="I29" s="23" t="str">
        <f>IF(fieldcreatorv2!Z32="","",fieldcreatorv2!Z32)</f>
        <v/>
      </c>
      <c r="J29" s="23" t="str">
        <f>IF(fieldcreatorv2!D32="","",fieldcreatorv2!D32)</f>
        <v/>
      </c>
      <c r="K29" s="12"/>
      <c r="L29" s="12"/>
      <c r="M29" s="12"/>
      <c r="N29" s="12"/>
      <c r="O29" s="12"/>
      <c r="P29" s="12"/>
    </row>
    <row r="30" spans="1:16">
      <c r="A30" s="17" t="str">
        <f>IF(OR(fieldcreatorv2!BB33="",fieldcreatorv2!E33=fieldcreatorv2!$M$9),"",IF(OR(fieldcreatorv2!E33="radio",fieldcreatorv2!E33="selectlist"),D30,B30))</f>
        <v/>
      </c>
      <c r="B30" s="12" t="str">
        <f t="shared" si="0"/>
        <v/>
      </c>
      <c r="C30" s="12" t="str">
        <f>+IF(fieldcreatorv2!E33="radio","radiocondition",B30)</f>
        <v/>
      </c>
      <c r="D30" s="12" t="str">
        <f>","&amp;fieldcreatorv2!B33&amp;" "&amp;I30&amp;"("&amp;J30&amp;")"</f>
        <v>, ()</v>
      </c>
      <c r="E30" s="12"/>
      <c r="F30" s="12"/>
      <c r="G30" s="12"/>
      <c r="H30" s="23" t="str">
        <f>IF(fieldcreatorv2!C33="","",fieldcreatorv2!C33)</f>
        <v/>
      </c>
      <c r="I30" s="23" t="str">
        <f>IF(fieldcreatorv2!Z33="","",fieldcreatorv2!Z33)</f>
        <v/>
      </c>
      <c r="J30" s="23" t="str">
        <f>IF(fieldcreatorv2!D33="","",fieldcreatorv2!D33)</f>
        <v/>
      </c>
      <c r="K30" s="12"/>
      <c r="L30" s="12"/>
      <c r="M30" s="12"/>
      <c r="N30" s="12"/>
      <c r="O30" s="12"/>
      <c r="P30" s="12"/>
    </row>
    <row r="31" spans="1:16">
      <c r="A31" s="17" t="str">
        <f>IF(OR(fieldcreatorv2!BB34="",fieldcreatorv2!E34=fieldcreatorv2!$M$9),"",IF(OR(fieldcreatorv2!E34="radio",fieldcreatorv2!E34="selectlist"),D31,B31))</f>
        <v/>
      </c>
      <c r="B31" s="12" t="str">
        <f t="shared" si="0"/>
        <v/>
      </c>
      <c r="C31" s="12" t="str">
        <f>+IF(fieldcreatorv2!E34="radio","radiocondition",B31)</f>
        <v/>
      </c>
      <c r="D31" s="12" t="str">
        <f>","&amp;fieldcreatorv2!B34&amp;" "&amp;I31&amp;"("&amp;J31&amp;")"</f>
        <v>, ()</v>
      </c>
      <c r="E31" s="12"/>
      <c r="F31" s="12"/>
      <c r="G31" s="12"/>
      <c r="H31" s="23" t="str">
        <f>IF(fieldcreatorv2!C34="","",fieldcreatorv2!C34)</f>
        <v/>
      </c>
      <c r="I31" s="23" t="str">
        <f>IF(fieldcreatorv2!Z34="","",fieldcreatorv2!Z34)</f>
        <v/>
      </c>
      <c r="J31" s="23" t="str">
        <f>IF(fieldcreatorv2!D34="","",fieldcreatorv2!D34)</f>
        <v/>
      </c>
      <c r="K31" s="12"/>
      <c r="L31" s="12"/>
      <c r="M31" s="12"/>
      <c r="N31" s="12"/>
      <c r="O31" s="12"/>
      <c r="P31" s="12"/>
    </row>
    <row r="32" spans="1:16">
      <c r="A32" s="17" t="str">
        <f>IF(OR(fieldcreatorv2!BB35="",fieldcreatorv2!E35=fieldcreatorv2!$M$9),"",IF(OR(fieldcreatorv2!E35="radio",fieldcreatorv2!E35="selectlist"),D32,B32))</f>
        <v/>
      </c>
      <c r="B32" s="12" t="str">
        <f t="shared" si="0"/>
        <v/>
      </c>
      <c r="C32" s="12" t="str">
        <f>+IF(fieldcreatorv2!E35="radio","radiocondition",B32)</f>
        <v/>
      </c>
      <c r="D32" s="12" t="str">
        <f>","&amp;fieldcreatorv2!B35&amp;" "&amp;I32&amp;"("&amp;J32&amp;")"</f>
        <v>, ()</v>
      </c>
      <c r="E32" s="12"/>
      <c r="F32" s="12"/>
      <c r="G32" s="12"/>
      <c r="H32" s="23" t="str">
        <f>IF(fieldcreatorv2!C35="","",fieldcreatorv2!C35)</f>
        <v/>
      </c>
      <c r="I32" s="23" t="str">
        <f>IF(fieldcreatorv2!Z35="","",fieldcreatorv2!Z35)</f>
        <v/>
      </c>
      <c r="J32" s="23" t="str">
        <f>IF(fieldcreatorv2!D35="","",fieldcreatorv2!D35)</f>
        <v/>
      </c>
      <c r="K32" s="12"/>
      <c r="L32" s="12"/>
      <c r="M32" s="12"/>
      <c r="N32" s="12"/>
      <c r="O32" s="12"/>
      <c r="P32" s="12"/>
    </row>
    <row r="33" spans="1:16">
      <c r="A33" s="17" t="str">
        <f>IF(OR(fieldcreatorv2!BB36="",fieldcreatorv2!E36=fieldcreatorv2!$M$9),"",IF(OR(fieldcreatorv2!E36="radio",fieldcreatorv2!E36="selectlist"),D33,B33))</f>
        <v/>
      </c>
      <c r="B33" s="12" t="str">
        <f t="shared" si="0"/>
        <v/>
      </c>
      <c r="C33" s="12" t="str">
        <f>+IF(fieldcreatorv2!E36="radio","radiocondition",B33)</f>
        <v/>
      </c>
      <c r="D33" s="12" t="str">
        <f>","&amp;fieldcreatorv2!B36&amp;" "&amp;I33&amp;"("&amp;J33&amp;")"</f>
        <v>, ()</v>
      </c>
      <c r="E33" s="12"/>
      <c r="F33" s="12"/>
      <c r="G33" s="12"/>
      <c r="H33" s="23" t="str">
        <f>IF(fieldcreatorv2!C36="","",fieldcreatorv2!C36)</f>
        <v/>
      </c>
      <c r="I33" s="23" t="str">
        <f>IF(fieldcreatorv2!Z36="","",fieldcreatorv2!Z36)</f>
        <v/>
      </c>
      <c r="J33" s="23" t="str">
        <f>IF(fieldcreatorv2!D36="","",fieldcreatorv2!D36)</f>
        <v/>
      </c>
      <c r="K33" s="12"/>
      <c r="L33" s="12"/>
      <c r="M33" s="12"/>
      <c r="N33" s="12"/>
      <c r="O33" s="12"/>
      <c r="P33" s="12"/>
    </row>
    <row r="34" spans="1:16">
      <c r="A34" s="17" t="str">
        <f>IF(OR(fieldcreatorv2!BB37="",fieldcreatorv2!E37=fieldcreatorv2!$M$9),"",IF(OR(fieldcreatorv2!E37="radio",fieldcreatorv2!E37="selectlist"),D34,B34))</f>
        <v/>
      </c>
      <c r="B34" s="12" t="str">
        <f t="shared" si="0"/>
        <v/>
      </c>
      <c r="C34" s="12" t="str">
        <f>+IF(fieldcreatorv2!E37="radio","radiocondition",B34)</f>
        <v/>
      </c>
      <c r="D34" s="12" t="str">
        <f>","&amp;fieldcreatorv2!B37&amp;" "&amp;I34&amp;"("&amp;J34&amp;")"</f>
        <v>, ()</v>
      </c>
      <c r="E34" s="12"/>
      <c r="F34" s="12"/>
      <c r="G34" s="12"/>
      <c r="H34" s="23" t="str">
        <f>IF(fieldcreatorv2!C37="","",fieldcreatorv2!C37)</f>
        <v/>
      </c>
      <c r="I34" s="23" t="str">
        <f>IF(fieldcreatorv2!Z37="","",fieldcreatorv2!Z37)</f>
        <v/>
      </c>
      <c r="J34" s="23" t="str">
        <f>IF(fieldcreatorv2!D37="","",fieldcreatorv2!D37)</f>
        <v/>
      </c>
      <c r="K34" s="12"/>
      <c r="L34" s="12"/>
      <c r="M34" s="12"/>
      <c r="N34" s="12"/>
      <c r="O34" s="12"/>
      <c r="P34" s="12"/>
    </row>
    <row r="35" spans="1:16">
      <c r="A35" s="17" t="str">
        <f>IF(OR(fieldcreatorv2!BB38="",fieldcreatorv2!E38=fieldcreatorv2!$M$9),"",IF(OR(fieldcreatorv2!E38="radio",fieldcreatorv2!E38="selectlist"),D35,B35))</f>
        <v/>
      </c>
      <c r="B35" s="12" t="str">
        <f t="shared" si="0"/>
        <v/>
      </c>
      <c r="C35" s="12" t="str">
        <f>+IF(fieldcreatorv2!E38="radio","radiocondition",B35)</f>
        <v/>
      </c>
      <c r="D35" s="12" t="str">
        <f>","&amp;fieldcreatorv2!B38&amp;" "&amp;I35&amp;"("&amp;J35&amp;")"</f>
        <v>, ()</v>
      </c>
      <c r="E35" s="12"/>
      <c r="F35" s="12"/>
      <c r="G35" s="12"/>
      <c r="H35" s="23" t="str">
        <f>IF(fieldcreatorv2!C38="","",fieldcreatorv2!C38)</f>
        <v/>
      </c>
      <c r="I35" s="23" t="str">
        <f>IF(fieldcreatorv2!Z38="","",fieldcreatorv2!Z38)</f>
        <v/>
      </c>
      <c r="J35" s="23" t="str">
        <f>IF(fieldcreatorv2!D38="","",fieldcreatorv2!D38)</f>
        <v/>
      </c>
      <c r="K35" s="12"/>
      <c r="L35" s="12"/>
      <c r="M35" s="12"/>
      <c r="N35" s="12"/>
      <c r="O35" s="12"/>
      <c r="P35" s="12"/>
    </row>
    <row r="36" spans="1:16">
      <c r="A36" s="17" t="str">
        <f>IF(OR(fieldcreatorv2!BB39="",fieldcreatorv2!E39=fieldcreatorv2!$M$9),"",IF(OR(fieldcreatorv2!E39="radio",fieldcreatorv2!E39="selectlist"),D36,B36))</f>
        <v/>
      </c>
      <c r="B36" s="12" t="str">
        <f t="shared" si="0"/>
        <v/>
      </c>
      <c r="C36" s="12" t="str">
        <f>+IF(fieldcreatorv2!E39="radio","radiocondition",B36)</f>
        <v/>
      </c>
      <c r="D36" s="12" t="str">
        <f>","&amp;fieldcreatorv2!B39&amp;" "&amp;I36&amp;"("&amp;J36&amp;")"</f>
        <v>, ()</v>
      </c>
      <c r="E36" s="12"/>
      <c r="F36" s="12"/>
      <c r="G36" s="12"/>
      <c r="H36" s="23" t="str">
        <f>IF(fieldcreatorv2!C39="","",fieldcreatorv2!C39)</f>
        <v/>
      </c>
      <c r="I36" s="23" t="str">
        <f>IF(fieldcreatorv2!Z39="","",fieldcreatorv2!Z39)</f>
        <v/>
      </c>
      <c r="J36" s="23" t="str">
        <f>IF(fieldcreatorv2!D39="","",fieldcreatorv2!D39)</f>
        <v/>
      </c>
      <c r="K36" s="12"/>
      <c r="L36" s="12"/>
      <c r="M36" s="12"/>
      <c r="N36" s="12"/>
      <c r="O36" s="12"/>
      <c r="P36" s="12"/>
    </row>
    <row r="37" spans="1:16">
      <c r="A37" s="17" t="str">
        <f>IF(OR(fieldcreatorv2!BB40="",fieldcreatorv2!E40=fieldcreatorv2!$M$9),"",IF(OR(fieldcreatorv2!E40="radio",fieldcreatorv2!E40="selectlist"),D37,B37))</f>
        <v/>
      </c>
      <c r="B37" s="12" t="str">
        <f t="shared" si="0"/>
        <v/>
      </c>
      <c r="C37" s="12" t="str">
        <f>+IF(fieldcreatorv2!E40="radio","radiocondition",B37)</f>
        <v/>
      </c>
      <c r="D37" s="12" t="str">
        <f>","&amp;fieldcreatorv2!B40&amp;" "&amp;I37&amp;"("&amp;J37&amp;")"</f>
        <v>, ()</v>
      </c>
      <c r="E37" s="12"/>
      <c r="F37" s="12"/>
      <c r="G37" s="12"/>
      <c r="H37" s="23" t="str">
        <f>IF(fieldcreatorv2!C40="","",fieldcreatorv2!C40)</f>
        <v/>
      </c>
      <c r="I37" s="23" t="str">
        <f>IF(fieldcreatorv2!Z40="","",fieldcreatorv2!Z40)</f>
        <v/>
      </c>
      <c r="J37" s="23" t="str">
        <f>IF(fieldcreatorv2!D40="","",fieldcreatorv2!D40)</f>
        <v/>
      </c>
      <c r="K37" s="12"/>
      <c r="L37" s="12"/>
      <c r="M37" s="12"/>
      <c r="N37" s="12"/>
      <c r="O37" s="12"/>
      <c r="P37" s="12"/>
    </row>
    <row r="38" spans="1:16">
      <c r="A38" s="17" t="str">
        <f>IF(OR(fieldcreatorv2!BB41="",fieldcreatorv2!E41=fieldcreatorv2!$M$9),"",IF(OR(fieldcreatorv2!E41="radio",fieldcreatorv2!E41="selectlist"),D38,B38))</f>
        <v/>
      </c>
      <c r="B38" s="12" t="str">
        <f t="shared" si="0"/>
        <v/>
      </c>
      <c r="C38" s="12" t="str">
        <f>+IF(fieldcreatorv2!E41="radio","radiocondition",B38)</f>
        <v/>
      </c>
      <c r="D38" s="12" t="str">
        <f>","&amp;fieldcreatorv2!B41&amp;" "&amp;I38&amp;"("&amp;J38&amp;")"</f>
        <v>, ()</v>
      </c>
      <c r="E38" s="12"/>
      <c r="F38" s="12"/>
      <c r="G38" s="12"/>
      <c r="H38" s="23" t="str">
        <f>IF(fieldcreatorv2!C41="","",fieldcreatorv2!C41)</f>
        <v/>
      </c>
      <c r="I38" s="23" t="str">
        <f>IF(fieldcreatorv2!Z41="","",fieldcreatorv2!Z41)</f>
        <v/>
      </c>
      <c r="J38" s="23" t="str">
        <f>IF(fieldcreatorv2!D41="","",fieldcreatorv2!D41)</f>
        <v/>
      </c>
      <c r="K38" s="12"/>
      <c r="L38" s="12"/>
      <c r="M38" s="12"/>
      <c r="N38" s="12"/>
      <c r="O38" s="12"/>
      <c r="P38" s="12"/>
    </row>
    <row r="39" spans="1:16">
      <c r="A39" s="17" t="str">
        <f>IF(OR(fieldcreatorv2!BB42="",fieldcreatorv2!E42=fieldcreatorv2!$M$9),"",IF(OR(fieldcreatorv2!E42="radio",fieldcreatorv2!E42="selectlist"),D39,B39))</f>
        <v/>
      </c>
      <c r="B39" s="12" t="str">
        <f t="shared" si="0"/>
        <v/>
      </c>
      <c r="C39" s="12" t="str">
        <f>+IF(fieldcreatorv2!E42="radio","radiocondition",B39)</f>
        <v/>
      </c>
      <c r="D39" s="12" t="str">
        <f>","&amp;fieldcreatorv2!B42&amp;" "&amp;I39&amp;"("&amp;J39&amp;")"</f>
        <v>, ()</v>
      </c>
      <c r="E39" s="12"/>
      <c r="F39" s="12"/>
      <c r="G39" s="12"/>
      <c r="H39" s="23" t="str">
        <f>IF(fieldcreatorv2!C42="","",fieldcreatorv2!C42)</f>
        <v/>
      </c>
      <c r="I39" s="23" t="str">
        <f>IF(fieldcreatorv2!Z42="","",fieldcreatorv2!Z42)</f>
        <v/>
      </c>
      <c r="J39" s="23" t="str">
        <f>IF(fieldcreatorv2!D42="","",fieldcreatorv2!D42)</f>
        <v/>
      </c>
      <c r="K39" s="12"/>
      <c r="L39" s="12"/>
      <c r="M39" s="12"/>
      <c r="N39" s="12"/>
      <c r="O39" s="12"/>
      <c r="P39" s="12"/>
    </row>
    <row r="40" spans="1:16">
      <c r="A40" s="17" t="str">
        <f>IF(OR(fieldcreatorv2!BB43="",fieldcreatorv2!E43=fieldcreatorv2!$M$9),"",IF(OR(fieldcreatorv2!E43="radio",fieldcreatorv2!E43="selectlist"),D40,B40))</f>
        <v/>
      </c>
      <c r="B40" s="12" t="str">
        <f t="shared" si="0"/>
        <v/>
      </c>
      <c r="C40" s="12" t="str">
        <f>+IF(fieldcreatorv2!E43="radio","radiocondition",B40)</f>
        <v/>
      </c>
      <c r="D40" s="12" t="str">
        <f>","&amp;fieldcreatorv2!B43&amp;" "&amp;I40&amp;"("&amp;J40&amp;")"</f>
        <v>, ()</v>
      </c>
      <c r="E40" s="12"/>
      <c r="F40" s="12"/>
      <c r="G40" s="12"/>
      <c r="H40" s="23" t="str">
        <f>IF(fieldcreatorv2!C43="","",fieldcreatorv2!C43)</f>
        <v/>
      </c>
      <c r="I40" s="23" t="str">
        <f>IF(fieldcreatorv2!Z43="","",fieldcreatorv2!Z43)</f>
        <v/>
      </c>
      <c r="J40" s="23" t="str">
        <f>IF(fieldcreatorv2!D43="","",fieldcreatorv2!D43)</f>
        <v/>
      </c>
      <c r="K40" s="12"/>
      <c r="L40" s="12"/>
      <c r="M40" s="12"/>
      <c r="N40" s="12"/>
      <c r="O40" s="12"/>
      <c r="P40" s="12"/>
    </row>
    <row r="41" spans="1:16">
      <c r="A41" s="17" t="str">
        <f>IF(OR(fieldcreatorv2!BB44="",fieldcreatorv2!E44=fieldcreatorv2!$M$9),"",IF(OR(fieldcreatorv2!E44="radio",fieldcreatorv2!E44="selectlist"),D41,B41))</f>
        <v/>
      </c>
      <c r="B41" s="12" t="str">
        <f t="shared" si="0"/>
        <v/>
      </c>
      <c r="C41" s="12" t="str">
        <f>+IF(fieldcreatorv2!E44="radio","radiocondition",B41)</f>
        <v/>
      </c>
      <c r="D41" s="12" t="str">
        <f>","&amp;fieldcreatorv2!B44&amp;" "&amp;I41&amp;"("&amp;J41&amp;")"</f>
        <v>, ()</v>
      </c>
      <c r="E41" s="12"/>
      <c r="F41" s="12"/>
      <c r="G41" s="12"/>
      <c r="H41" s="23" t="str">
        <f>IF(fieldcreatorv2!C44="","",fieldcreatorv2!C44)</f>
        <v/>
      </c>
      <c r="I41" s="23" t="str">
        <f>IF(fieldcreatorv2!Z44="","",fieldcreatorv2!Z44)</f>
        <v/>
      </c>
      <c r="J41" s="23" t="str">
        <f>IF(fieldcreatorv2!D44="","",fieldcreatorv2!D44)</f>
        <v/>
      </c>
      <c r="K41" s="12"/>
      <c r="L41" s="12"/>
      <c r="M41" s="12"/>
      <c r="N41" s="12"/>
      <c r="O41" s="12"/>
      <c r="P41" s="12"/>
    </row>
    <row r="42" spans="1:16">
      <c r="A42" s="17" t="str">
        <f>IF(OR(fieldcreatorv2!BB45="",fieldcreatorv2!E45=fieldcreatorv2!$M$9),"",IF(OR(fieldcreatorv2!E45="radio",fieldcreatorv2!E45="selectlist"),D42,B42))</f>
        <v/>
      </c>
      <c r="B42" s="12" t="str">
        <f t="shared" si="0"/>
        <v/>
      </c>
      <c r="C42" s="12" t="str">
        <f>+IF(fieldcreatorv2!E45="radio","radiocondition",B42)</f>
        <v/>
      </c>
      <c r="D42" s="12" t="str">
        <f>","&amp;fieldcreatorv2!B45&amp;" "&amp;I42&amp;"("&amp;J42&amp;")"</f>
        <v>, ()</v>
      </c>
      <c r="E42" s="12"/>
      <c r="F42" s="12"/>
      <c r="G42" s="12"/>
      <c r="H42" s="23" t="str">
        <f>IF(fieldcreatorv2!C45="","",fieldcreatorv2!C45)</f>
        <v/>
      </c>
      <c r="I42" s="23" t="str">
        <f>IF(fieldcreatorv2!Z45="","",fieldcreatorv2!Z45)</f>
        <v/>
      </c>
      <c r="J42" s="23" t="str">
        <f>IF(fieldcreatorv2!D45="","",fieldcreatorv2!D45)</f>
        <v/>
      </c>
      <c r="K42" s="12"/>
      <c r="L42" s="12"/>
      <c r="M42" s="12"/>
      <c r="N42" s="12"/>
      <c r="O42" s="12"/>
      <c r="P42" s="12"/>
    </row>
    <row r="43" spans="1:16">
      <c r="A43" s="17" t="str">
        <f>IF(OR(fieldcreatorv2!BB46="",fieldcreatorv2!E46=fieldcreatorv2!$M$9),"",IF(OR(fieldcreatorv2!E46="radio",fieldcreatorv2!E46="selectlist"),D43,B43))</f>
        <v/>
      </c>
      <c r="B43" s="12" t="str">
        <f t="shared" si="0"/>
        <v/>
      </c>
      <c r="C43" s="12" t="str">
        <f>+IF(fieldcreatorv2!E46="radio","radiocondition",B43)</f>
        <v/>
      </c>
      <c r="D43" s="12" t="str">
        <f>","&amp;fieldcreatorv2!B46&amp;" "&amp;I43&amp;"("&amp;J43&amp;")"</f>
        <v>, ()</v>
      </c>
      <c r="E43" s="12"/>
      <c r="F43" s="12"/>
      <c r="G43" s="12"/>
      <c r="H43" s="23" t="str">
        <f>IF(fieldcreatorv2!C46="","",fieldcreatorv2!C46)</f>
        <v/>
      </c>
      <c r="I43" s="23" t="str">
        <f>IF(fieldcreatorv2!Z46="","",fieldcreatorv2!Z46)</f>
        <v/>
      </c>
      <c r="J43" s="23" t="str">
        <f>IF(fieldcreatorv2!D46="","",fieldcreatorv2!D46)</f>
        <v/>
      </c>
      <c r="K43" s="12"/>
      <c r="L43" s="12"/>
      <c r="M43" s="12"/>
      <c r="N43" s="12"/>
      <c r="O43" s="12"/>
      <c r="P43" s="12"/>
    </row>
    <row r="44" spans="1:16">
      <c r="A44" s="17" t="str">
        <f>IF(OR(fieldcreatorv2!BB47="",fieldcreatorv2!E47=fieldcreatorv2!$M$9),"",IF(OR(fieldcreatorv2!E47="radio",fieldcreatorv2!E47="selectlist"),D44,B44))</f>
        <v/>
      </c>
      <c r="B44" s="12" t="str">
        <f t="shared" si="0"/>
        <v/>
      </c>
      <c r="C44" s="12" t="str">
        <f>+IF(fieldcreatorv2!E47="radio","radiocondition",B44)</f>
        <v/>
      </c>
      <c r="D44" s="12" t="str">
        <f>","&amp;fieldcreatorv2!B47&amp;" "&amp;I44&amp;"("&amp;J44&amp;")"</f>
        <v>, ()</v>
      </c>
      <c r="E44" s="12"/>
      <c r="F44" s="12"/>
      <c r="G44" s="12"/>
      <c r="H44" s="23" t="str">
        <f>IF(fieldcreatorv2!C47="","",fieldcreatorv2!C47)</f>
        <v/>
      </c>
      <c r="I44" s="23" t="str">
        <f>IF(fieldcreatorv2!Z47="","",fieldcreatorv2!Z47)</f>
        <v/>
      </c>
      <c r="J44" s="23" t="str">
        <f>IF(fieldcreatorv2!D47="","",fieldcreatorv2!D47)</f>
        <v/>
      </c>
      <c r="K44" s="12"/>
      <c r="L44" s="12"/>
      <c r="M44" s="12"/>
      <c r="N44" s="12"/>
      <c r="O44" s="12"/>
      <c r="P44" s="12"/>
    </row>
    <row r="45" spans="1:16">
      <c r="A45" s="17" t="str">
        <f>IF(OR(fieldcreatorv2!BB48="",fieldcreatorv2!E48=fieldcreatorv2!$M$9),"",IF(OR(fieldcreatorv2!E48="radio",fieldcreatorv2!E48="selectlist"),D45,B45))</f>
        <v/>
      </c>
      <c r="B45" s="12" t="str">
        <f t="shared" si="0"/>
        <v/>
      </c>
      <c r="C45" s="12" t="str">
        <f>+IF(fieldcreatorv2!E48="radio","radiocondition",B45)</f>
        <v/>
      </c>
      <c r="D45" s="12" t="str">
        <f>","&amp;fieldcreatorv2!B48&amp;" "&amp;I45&amp;"("&amp;J45&amp;")"</f>
        <v>, ()</v>
      </c>
      <c r="E45" s="12"/>
      <c r="F45" s="12"/>
      <c r="G45" s="12"/>
      <c r="H45" s="23" t="str">
        <f>IF(fieldcreatorv2!C48="","",fieldcreatorv2!C48)</f>
        <v/>
      </c>
      <c r="I45" s="23" t="str">
        <f>IF(fieldcreatorv2!Z48="","",fieldcreatorv2!Z48)</f>
        <v/>
      </c>
      <c r="J45" s="23" t="str">
        <f>IF(fieldcreatorv2!D48="","",fieldcreatorv2!D48)</f>
        <v/>
      </c>
      <c r="K45" s="12"/>
      <c r="L45" s="12"/>
      <c r="M45" s="12"/>
      <c r="N45" s="12"/>
      <c r="O45" s="12"/>
      <c r="P45" s="12"/>
    </row>
    <row r="46" spans="1:16">
      <c r="A46" s="17" t="str">
        <f>IF(OR(fieldcreatorv2!BB49="",fieldcreatorv2!E49=fieldcreatorv2!$M$9),"",IF(OR(fieldcreatorv2!E49="radio",fieldcreatorv2!E49="selectlist"),D46,B46))</f>
        <v/>
      </c>
      <c r="B46" s="12" t="str">
        <f t="shared" si="0"/>
        <v/>
      </c>
      <c r="C46" s="12" t="str">
        <f>+IF(fieldcreatorv2!E49="radio","radiocondition",B46)</f>
        <v/>
      </c>
      <c r="D46" s="12" t="str">
        <f>","&amp;fieldcreatorv2!B49&amp;" "&amp;I46&amp;"("&amp;J46&amp;")"</f>
        <v>, ()</v>
      </c>
      <c r="E46" s="12"/>
      <c r="F46" s="12"/>
      <c r="G46" s="12"/>
      <c r="H46" s="23" t="str">
        <f>IF(fieldcreatorv2!C49="","",fieldcreatorv2!C49)</f>
        <v/>
      </c>
      <c r="I46" s="23" t="str">
        <f>IF(fieldcreatorv2!Z49="","",fieldcreatorv2!Z49)</f>
        <v/>
      </c>
      <c r="J46" s="23" t="str">
        <f>IF(fieldcreatorv2!D49="","",fieldcreatorv2!D49)</f>
        <v/>
      </c>
      <c r="K46" s="12"/>
      <c r="L46" s="12"/>
      <c r="M46" s="12"/>
      <c r="N46" s="12"/>
      <c r="O46" s="12"/>
      <c r="P46" s="12"/>
    </row>
    <row r="47" spans="1:16">
      <c r="A47" s="17" t="str">
        <f>IF(OR(fieldcreatorv2!BB50="",fieldcreatorv2!E50=fieldcreatorv2!$M$9),"",IF(OR(fieldcreatorv2!E50="radio",fieldcreatorv2!E50="selectlist"),D47,B47))</f>
        <v/>
      </c>
      <c r="B47" s="12" t="str">
        <f t="shared" si="0"/>
        <v/>
      </c>
      <c r="C47" s="12" t="str">
        <f>+IF(fieldcreatorv2!E50="radio","radiocondition",B47)</f>
        <v/>
      </c>
      <c r="D47" s="12" t="str">
        <f>","&amp;fieldcreatorv2!B50&amp;" "&amp;I47&amp;"("&amp;J47&amp;")"</f>
        <v>, ()</v>
      </c>
      <c r="E47" s="12"/>
      <c r="F47" s="12"/>
      <c r="G47" s="12"/>
      <c r="H47" s="23" t="str">
        <f>IF(fieldcreatorv2!C50="","",fieldcreatorv2!C50)</f>
        <v/>
      </c>
      <c r="I47" s="23" t="str">
        <f>IF(fieldcreatorv2!Z50="","",fieldcreatorv2!Z50)</f>
        <v/>
      </c>
      <c r="J47" s="23" t="str">
        <f>IF(fieldcreatorv2!D50="","",fieldcreatorv2!D50)</f>
        <v/>
      </c>
      <c r="K47" s="12"/>
      <c r="L47" s="12"/>
      <c r="M47" s="12"/>
      <c r="N47" s="12"/>
      <c r="O47" s="12"/>
      <c r="P47" s="12"/>
    </row>
    <row r="48" spans="1:16">
      <c r="A48" s="17" t="str">
        <f>IF(OR(fieldcreatorv2!BB51="",fieldcreatorv2!E51=fieldcreatorv2!$M$9),"",IF(OR(fieldcreatorv2!E51="radio",fieldcreatorv2!E51="selectlist"),D48,B48))</f>
        <v/>
      </c>
      <c r="B48" s="12" t="str">
        <f t="shared" si="0"/>
        <v/>
      </c>
      <c r="C48" s="12" t="str">
        <f>+IF(fieldcreatorv2!E51="radio","radiocondition",B48)</f>
        <v/>
      </c>
      <c r="D48" s="12" t="str">
        <f>","&amp;fieldcreatorv2!B51&amp;" "&amp;I48&amp;"("&amp;J48&amp;")"</f>
        <v>, ()</v>
      </c>
      <c r="E48" s="12"/>
      <c r="F48" s="12"/>
      <c r="G48" s="12"/>
      <c r="H48" s="23" t="str">
        <f>IF(fieldcreatorv2!C51="","",fieldcreatorv2!C51)</f>
        <v/>
      </c>
      <c r="I48" s="23" t="str">
        <f>IF(fieldcreatorv2!Z51="","",fieldcreatorv2!Z51)</f>
        <v/>
      </c>
      <c r="J48" s="23" t="str">
        <f>IF(fieldcreatorv2!D51="","",fieldcreatorv2!D51)</f>
        <v/>
      </c>
      <c r="K48" s="12"/>
      <c r="L48" s="12"/>
      <c r="M48" s="12"/>
      <c r="N48" s="12"/>
      <c r="O48" s="12"/>
      <c r="P48" s="12"/>
    </row>
    <row r="49" spans="1:16">
      <c r="A49" s="17" t="str">
        <f>IF(OR(fieldcreatorv2!BB52="",fieldcreatorv2!E52=fieldcreatorv2!$M$9),"",IF(OR(fieldcreatorv2!E52="radio",fieldcreatorv2!E52="selectlist"),D49,B49))</f>
        <v/>
      </c>
      <c r="B49" s="12" t="str">
        <f t="shared" si="0"/>
        <v/>
      </c>
      <c r="C49" s="12" t="str">
        <f>+IF(fieldcreatorv2!E52="radio","radiocondition",B49)</f>
        <v/>
      </c>
      <c r="D49" s="12" t="str">
        <f>","&amp;fieldcreatorv2!B52&amp;" "&amp;I49&amp;"("&amp;J49&amp;")"</f>
        <v>, ()</v>
      </c>
      <c r="E49" s="12"/>
      <c r="F49" s="12"/>
      <c r="G49" s="12"/>
      <c r="H49" s="23" t="str">
        <f>IF(fieldcreatorv2!C52="","",fieldcreatorv2!C52)</f>
        <v/>
      </c>
      <c r="I49" s="23" t="str">
        <f>IF(fieldcreatorv2!Z52="","",fieldcreatorv2!Z52)</f>
        <v/>
      </c>
      <c r="J49" s="23" t="str">
        <f>IF(fieldcreatorv2!D52="","",fieldcreatorv2!D52)</f>
        <v/>
      </c>
      <c r="K49" s="12"/>
      <c r="L49" s="12"/>
      <c r="M49" s="12"/>
      <c r="N49" s="12"/>
      <c r="O49" s="12"/>
      <c r="P49" s="12"/>
    </row>
    <row r="50" spans="1:16">
      <c r="A50" s="17" t="str">
        <f>IF(OR(fieldcreatorv2!BB53="",fieldcreatorv2!E53=fieldcreatorv2!$M$9),"",IF(OR(fieldcreatorv2!E53="radio",fieldcreatorv2!E53="selectlist"),D50,B50))</f>
        <v/>
      </c>
      <c r="B50" s="12" t="str">
        <f t="shared" si="0"/>
        <v/>
      </c>
      <c r="C50" s="12" t="str">
        <f>+IF(fieldcreatorv2!E53="radio","radiocondition",B50)</f>
        <v/>
      </c>
      <c r="D50" s="12" t="str">
        <f>","&amp;fieldcreatorv2!B53&amp;" "&amp;I50&amp;"("&amp;J50&amp;")"</f>
        <v>, ()</v>
      </c>
      <c r="E50" s="12"/>
      <c r="F50" s="12"/>
      <c r="G50" s="12"/>
      <c r="H50" s="23" t="str">
        <f>IF(fieldcreatorv2!C53="","",fieldcreatorv2!C53)</f>
        <v/>
      </c>
      <c r="I50" s="23" t="str">
        <f>IF(fieldcreatorv2!Z53="","",fieldcreatorv2!Z53)</f>
        <v/>
      </c>
      <c r="J50" s="23" t="str">
        <f>IF(fieldcreatorv2!D53="","",fieldcreatorv2!D53)</f>
        <v/>
      </c>
      <c r="K50" s="12"/>
      <c r="L50" s="12"/>
      <c r="M50" s="12"/>
      <c r="N50" s="12"/>
      <c r="O50" s="12"/>
      <c r="P50" s="12"/>
    </row>
    <row r="51" spans="1:16">
      <c r="A51" s="17" t="str">
        <f>IF(OR(fieldcreatorv2!BB54="",fieldcreatorv2!E54=fieldcreatorv2!$M$9),"",IF(OR(fieldcreatorv2!E54="radio",fieldcreatorv2!E54="selectlist"),D51,B51))</f>
        <v/>
      </c>
      <c r="B51" s="12" t="str">
        <f t="shared" si="0"/>
        <v/>
      </c>
      <c r="C51" s="12" t="str">
        <f>+IF(fieldcreatorv2!E54="radio","radiocondition",B51)</f>
        <v/>
      </c>
      <c r="D51" s="12" t="str">
        <f>","&amp;fieldcreatorv2!B54&amp;" "&amp;I51&amp;"("&amp;J51&amp;")"</f>
        <v>, ()</v>
      </c>
      <c r="E51" s="12"/>
      <c r="F51" s="12"/>
      <c r="G51" s="12"/>
      <c r="H51" s="23" t="str">
        <f>IF(fieldcreatorv2!C54="","",fieldcreatorv2!C54)</f>
        <v/>
      </c>
      <c r="I51" s="23" t="str">
        <f>IF(fieldcreatorv2!Z54="","",fieldcreatorv2!Z54)</f>
        <v/>
      </c>
      <c r="J51" s="23" t="str">
        <f>IF(fieldcreatorv2!D54="","",fieldcreatorv2!D54)</f>
        <v/>
      </c>
      <c r="K51" s="12"/>
      <c r="L51" s="12"/>
      <c r="M51" s="12"/>
      <c r="N51" s="12"/>
      <c r="O51" s="12"/>
      <c r="P51" s="12"/>
    </row>
    <row r="52" spans="1:16">
      <c r="A52" s="17" t="str">
        <f>IF(OR(fieldcreatorv2!BB55="",fieldcreatorv2!E55=fieldcreatorv2!$M$9),"",IF(OR(fieldcreatorv2!E55="radio",fieldcreatorv2!E55="selectlist"),D52,B52))</f>
        <v/>
      </c>
      <c r="B52" s="12" t="str">
        <f t="shared" si="0"/>
        <v/>
      </c>
      <c r="C52" s="12" t="str">
        <f>+IF(fieldcreatorv2!E55="radio","radiocondition",B52)</f>
        <v/>
      </c>
      <c r="D52" s="12" t="str">
        <f>","&amp;fieldcreatorv2!B55&amp;" "&amp;I52&amp;"("&amp;J52&amp;")"</f>
        <v>, ()</v>
      </c>
      <c r="E52" s="12"/>
      <c r="F52" s="12"/>
      <c r="G52" s="12"/>
      <c r="H52" s="23" t="str">
        <f>IF(fieldcreatorv2!C55="","",fieldcreatorv2!C55)</f>
        <v/>
      </c>
      <c r="I52" s="23" t="str">
        <f>IF(fieldcreatorv2!Z55="","",fieldcreatorv2!Z55)</f>
        <v/>
      </c>
      <c r="J52" s="23" t="str">
        <f>IF(fieldcreatorv2!D55="","",fieldcreatorv2!D55)</f>
        <v/>
      </c>
      <c r="K52" s="12"/>
      <c r="L52" s="12"/>
      <c r="M52" s="12"/>
      <c r="N52" s="12"/>
      <c r="O52" s="12"/>
      <c r="P52" s="12"/>
    </row>
    <row r="53" spans="1:16">
      <c r="A53" s="17" t="str">
        <f>IF(OR(fieldcreatorv2!BB56="",fieldcreatorv2!E56=fieldcreatorv2!$M$9),"",IF(OR(fieldcreatorv2!E56="radio",fieldcreatorv2!E56="selectlist"),D53,B53))</f>
        <v/>
      </c>
      <c r="B53" s="12" t="str">
        <f t="shared" si="0"/>
        <v/>
      </c>
      <c r="C53" s="12" t="str">
        <f>+IF(fieldcreatorv2!E56="radio","radiocondition",B53)</f>
        <v/>
      </c>
      <c r="D53" s="12" t="str">
        <f>","&amp;fieldcreatorv2!B56&amp;" "&amp;I53&amp;"("&amp;J53&amp;")"</f>
        <v>, ()</v>
      </c>
      <c r="E53" s="12"/>
      <c r="F53" s="12"/>
      <c r="G53" s="12"/>
      <c r="H53" s="23" t="str">
        <f>IF(fieldcreatorv2!C56="","",fieldcreatorv2!C56)</f>
        <v/>
      </c>
      <c r="I53" s="23" t="str">
        <f>IF(fieldcreatorv2!Z56="","",fieldcreatorv2!Z56)</f>
        <v/>
      </c>
      <c r="J53" s="23" t="str">
        <f>IF(fieldcreatorv2!D56="","",fieldcreatorv2!D56)</f>
        <v/>
      </c>
      <c r="K53" s="12"/>
      <c r="L53" s="12"/>
      <c r="M53" s="12"/>
      <c r="N53" s="12"/>
      <c r="O53" s="12"/>
      <c r="P53" s="12"/>
    </row>
    <row r="54" spans="1:16">
      <c r="A54" s="17" t="str">
        <f>IF(OR(fieldcreatorv2!BB57="",fieldcreatorv2!E57=fieldcreatorv2!$M$9),"",IF(OR(fieldcreatorv2!E57="radio",fieldcreatorv2!E57="selectlist"),D54,B54))</f>
        <v/>
      </c>
      <c r="B54" s="12" t="str">
        <f t="shared" si="0"/>
        <v/>
      </c>
      <c r="C54" s="12" t="str">
        <f>+IF(fieldcreatorv2!E57="radio","radiocondition",B54)</f>
        <v/>
      </c>
      <c r="D54" s="12" t="str">
        <f>","&amp;fieldcreatorv2!B57&amp;" "&amp;I54&amp;"("&amp;J54&amp;")"</f>
        <v>, ()</v>
      </c>
      <c r="E54" s="12"/>
      <c r="F54" s="12"/>
      <c r="G54" s="12"/>
      <c r="H54" s="23" t="str">
        <f>IF(fieldcreatorv2!C57="","",fieldcreatorv2!C57)</f>
        <v/>
      </c>
      <c r="I54" s="23" t="str">
        <f>IF(fieldcreatorv2!Z57="","",fieldcreatorv2!Z57)</f>
        <v/>
      </c>
      <c r="J54" s="23" t="str">
        <f>IF(fieldcreatorv2!D57="","",fieldcreatorv2!D57)</f>
        <v/>
      </c>
      <c r="K54" s="12"/>
      <c r="L54" s="12"/>
      <c r="M54" s="12"/>
      <c r="N54" s="12"/>
      <c r="O54" s="12"/>
      <c r="P54" s="12"/>
    </row>
    <row r="55" spans="1:16">
      <c r="A55" s="17" t="str">
        <f>IF(OR(fieldcreatorv2!BB58="",fieldcreatorv2!E58=fieldcreatorv2!$M$9),"",IF(OR(fieldcreatorv2!E58="radio",fieldcreatorv2!E58="selectlist"),D55,B55))</f>
        <v/>
      </c>
      <c r="B55" s="12" t="str">
        <f t="shared" si="0"/>
        <v/>
      </c>
      <c r="C55" s="12" t="str">
        <f>+IF(fieldcreatorv2!E58="radio","radiocondition",B55)</f>
        <v/>
      </c>
      <c r="D55" s="12" t="str">
        <f>","&amp;fieldcreatorv2!B58&amp;" "&amp;I55&amp;"("&amp;J55&amp;")"</f>
        <v>, ()</v>
      </c>
      <c r="E55" s="12"/>
      <c r="F55" s="12"/>
      <c r="G55" s="12"/>
      <c r="H55" s="23" t="str">
        <f>IF(fieldcreatorv2!C58="","",fieldcreatorv2!C58)</f>
        <v/>
      </c>
      <c r="I55" s="23" t="str">
        <f>IF(fieldcreatorv2!Z58="","",fieldcreatorv2!Z58)</f>
        <v/>
      </c>
      <c r="J55" s="23" t="str">
        <f>IF(fieldcreatorv2!D58="","",fieldcreatorv2!D58)</f>
        <v/>
      </c>
      <c r="K55" s="12"/>
      <c r="L55" s="12"/>
      <c r="M55" s="12"/>
      <c r="N55" s="12"/>
      <c r="O55" s="12"/>
      <c r="P55" s="12"/>
    </row>
    <row r="56" spans="1:16">
      <c r="A56" s="17" t="str">
        <f>IF(OR(fieldcreatorv2!BB59="",fieldcreatorv2!E59=fieldcreatorv2!$M$9),"",IF(OR(fieldcreatorv2!E59="radio",fieldcreatorv2!E59="selectlist"),D56,B56))</f>
        <v/>
      </c>
      <c r="B56" s="12" t="str">
        <f t="shared" si="0"/>
        <v/>
      </c>
      <c r="C56" s="12" t="str">
        <f>+IF(fieldcreatorv2!E59="radio","radiocondition",B56)</f>
        <v/>
      </c>
      <c r="D56" s="12" t="str">
        <f>","&amp;fieldcreatorv2!B59&amp;" "&amp;I56&amp;"("&amp;J56&amp;")"</f>
        <v>, ()</v>
      </c>
      <c r="E56" s="12"/>
      <c r="F56" s="12"/>
      <c r="G56" s="12"/>
      <c r="H56" s="23" t="str">
        <f>IF(fieldcreatorv2!C59="","",fieldcreatorv2!C59)</f>
        <v/>
      </c>
      <c r="I56" s="23" t="str">
        <f>IF(fieldcreatorv2!Z59="","",fieldcreatorv2!Z59)</f>
        <v/>
      </c>
      <c r="J56" s="23" t="str">
        <f>IF(fieldcreatorv2!D59="","",fieldcreatorv2!D59)</f>
        <v/>
      </c>
      <c r="K56" s="12"/>
      <c r="L56" s="12"/>
      <c r="M56" s="12"/>
      <c r="N56" s="12"/>
      <c r="O56" s="12"/>
      <c r="P56" s="12"/>
    </row>
    <row r="57" spans="1:16">
      <c r="A57" s="17" t="str">
        <f>IF(OR(fieldcreatorv2!BB60="",fieldcreatorv2!E60=fieldcreatorv2!$M$9),"",IF(OR(fieldcreatorv2!E60="radio",fieldcreatorv2!E60="selectlist"),D57,B57))</f>
        <v/>
      </c>
      <c r="B57" s="12" t="str">
        <f t="shared" si="0"/>
        <v/>
      </c>
      <c r="C57" s="12" t="str">
        <f>+IF(fieldcreatorv2!E60="radio","radiocondition",B57)</f>
        <v/>
      </c>
      <c r="D57" s="12" t="str">
        <f>","&amp;fieldcreatorv2!B60&amp;" "&amp;I57&amp;"("&amp;J57&amp;")"</f>
        <v>, ()</v>
      </c>
      <c r="E57" s="12"/>
      <c r="F57" s="12"/>
      <c r="G57" s="12"/>
      <c r="H57" s="23" t="str">
        <f>IF(fieldcreatorv2!C60="","",fieldcreatorv2!C60)</f>
        <v/>
      </c>
      <c r="I57" s="23" t="str">
        <f>IF(fieldcreatorv2!Z60="","",fieldcreatorv2!Z60)</f>
        <v/>
      </c>
      <c r="J57" s="23" t="str">
        <f>IF(fieldcreatorv2!D60="","",fieldcreatorv2!D60)</f>
        <v/>
      </c>
      <c r="K57" s="12"/>
      <c r="L57" s="12"/>
      <c r="M57" s="12"/>
      <c r="N57" s="12"/>
      <c r="O57" s="12"/>
      <c r="P57" s="12"/>
    </row>
    <row r="58" spans="1:16">
      <c r="A58" s="17" t="str">
        <f>IF(OR(fieldcreatorv2!BB61="",fieldcreatorv2!E61=fieldcreatorv2!$M$9),"",IF(OR(fieldcreatorv2!E61="radio",fieldcreatorv2!E61="selectlist"),D58,B58))</f>
        <v/>
      </c>
      <c r="B58" s="12" t="str">
        <f t="shared" si="0"/>
        <v/>
      </c>
      <c r="C58" s="12" t="str">
        <f>+IF(fieldcreatorv2!E61="radio","radiocondition",B58)</f>
        <v/>
      </c>
      <c r="D58" s="12" t="str">
        <f>","&amp;fieldcreatorv2!B61&amp;" "&amp;I58&amp;"("&amp;J58&amp;")"</f>
        <v>, ()</v>
      </c>
      <c r="E58" s="12"/>
      <c r="F58" s="12"/>
      <c r="G58" s="12"/>
      <c r="H58" s="23" t="str">
        <f>IF(fieldcreatorv2!C61="","",fieldcreatorv2!C61)</f>
        <v/>
      </c>
      <c r="I58" s="23" t="str">
        <f>IF(fieldcreatorv2!Z61="","",fieldcreatorv2!Z61)</f>
        <v/>
      </c>
      <c r="J58" s="23" t="str">
        <f>IF(fieldcreatorv2!D61="","",fieldcreatorv2!D61)</f>
        <v/>
      </c>
      <c r="K58" s="12"/>
      <c r="L58" s="12"/>
      <c r="M58" s="12"/>
      <c r="N58" s="12"/>
      <c r="O58" s="12"/>
      <c r="P58" s="12"/>
    </row>
    <row r="59" spans="1:16">
      <c r="A59" s="17" t="str">
        <f>IF(OR(fieldcreatorv2!BB62="",fieldcreatorv2!E62=fieldcreatorv2!$M$9),"",IF(OR(fieldcreatorv2!E62="radio",fieldcreatorv2!E62="selectlist"),D59,B59))</f>
        <v/>
      </c>
      <c r="B59" s="12" t="str">
        <f t="shared" si="0"/>
        <v/>
      </c>
      <c r="C59" s="12" t="str">
        <f>+IF(fieldcreatorv2!E62="radio","radiocondition",B59)</f>
        <v/>
      </c>
      <c r="D59" s="12" t="str">
        <f>","&amp;fieldcreatorv2!B62&amp;" "&amp;I59&amp;"("&amp;J59&amp;")"</f>
        <v>, ()</v>
      </c>
      <c r="E59" s="12"/>
      <c r="F59" s="12"/>
      <c r="G59" s="12"/>
      <c r="H59" s="23" t="str">
        <f>IF(fieldcreatorv2!C62="","",fieldcreatorv2!C62)</f>
        <v/>
      </c>
      <c r="I59" s="23" t="str">
        <f>IF(fieldcreatorv2!Z62="","",fieldcreatorv2!Z62)</f>
        <v/>
      </c>
      <c r="J59" s="23" t="str">
        <f>IF(fieldcreatorv2!D62="","",fieldcreatorv2!D62)</f>
        <v/>
      </c>
      <c r="K59" s="12"/>
      <c r="L59" s="12"/>
      <c r="M59" s="12"/>
      <c r="N59" s="12"/>
      <c r="O59" s="12"/>
      <c r="P59" s="12"/>
    </row>
    <row r="60" spans="1:16">
      <c r="A60" s="17" t="str">
        <f>IF(OR(fieldcreatorv2!BB63="",fieldcreatorv2!E63=fieldcreatorv2!$M$9),"",IF(OR(fieldcreatorv2!E63="radio",fieldcreatorv2!E63="selectlist"),D60,B60))</f>
        <v/>
      </c>
      <c r="B60" s="12" t="str">
        <f t="shared" si="0"/>
        <v/>
      </c>
      <c r="C60" s="12" t="str">
        <f>+IF(fieldcreatorv2!E63="radio","radiocondition",B60)</f>
        <v/>
      </c>
      <c r="D60" s="12" t="str">
        <f>","&amp;fieldcreatorv2!B63&amp;" "&amp;I60&amp;"("&amp;J60&amp;")"</f>
        <v>, ()</v>
      </c>
      <c r="E60" s="12"/>
      <c r="F60" s="12"/>
      <c r="G60" s="12"/>
      <c r="H60" s="23" t="str">
        <f>IF(fieldcreatorv2!C63="","",fieldcreatorv2!C63)</f>
        <v/>
      </c>
      <c r="I60" s="23" t="str">
        <f>IF(fieldcreatorv2!Z63="","",fieldcreatorv2!Z63)</f>
        <v/>
      </c>
      <c r="J60" s="23" t="str">
        <f>IF(fieldcreatorv2!D63="","",fieldcreatorv2!D63)</f>
        <v/>
      </c>
      <c r="K60" s="12"/>
      <c r="L60" s="12"/>
      <c r="M60" s="12"/>
      <c r="N60" s="12"/>
      <c r="O60" s="12"/>
      <c r="P60" s="12"/>
    </row>
    <row r="61" spans="1:16">
      <c r="A61" s="17" t="str">
        <f>IF(OR(fieldcreatorv2!BB64="",fieldcreatorv2!E64=fieldcreatorv2!$M$9),"",IF(OR(fieldcreatorv2!E64="radio",fieldcreatorv2!E64="selectlist"),D61,B61))</f>
        <v/>
      </c>
      <c r="B61" s="12" t="str">
        <f t="shared" si="0"/>
        <v/>
      </c>
      <c r="C61" s="12" t="str">
        <f>+IF(fieldcreatorv2!E64="radio","radiocondition",B61)</f>
        <v/>
      </c>
      <c r="D61" s="12" t="str">
        <f>","&amp;fieldcreatorv2!B64&amp;" "&amp;I61&amp;"("&amp;J61&amp;")"</f>
        <v>, ()</v>
      </c>
      <c r="E61" s="12"/>
      <c r="F61" s="12"/>
      <c r="G61" s="12"/>
      <c r="H61" s="23" t="str">
        <f>IF(fieldcreatorv2!C64="","",fieldcreatorv2!C64)</f>
        <v/>
      </c>
      <c r="I61" s="23" t="str">
        <f>IF(fieldcreatorv2!Z64="","",fieldcreatorv2!Z64)</f>
        <v/>
      </c>
      <c r="J61" s="23" t="str">
        <f>IF(fieldcreatorv2!D64="","",fieldcreatorv2!D64)</f>
        <v/>
      </c>
      <c r="K61" s="12"/>
      <c r="L61" s="12"/>
      <c r="M61" s="12"/>
      <c r="N61" s="12"/>
      <c r="O61" s="12"/>
      <c r="P61" s="12"/>
    </row>
    <row r="62" spans="1:16">
      <c r="A62" s="17" t="str">
        <f>IF(OR(fieldcreatorv2!BB65="",fieldcreatorv2!E65=fieldcreatorv2!$M$9),"",IF(OR(fieldcreatorv2!E65="radio",fieldcreatorv2!E65="selectlist"),D62,B62))</f>
        <v/>
      </c>
      <c r="B62" s="12" t="str">
        <f t="shared" si="0"/>
        <v/>
      </c>
      <c r="C62" s="12" t="str">
        <f>+IF(fieldcreatorv2!E65="radio","radiocondition",B62)</f>
        <v/>
      </c>
      <c r="D62" s="12" t="str">
        <f>","&amp;fieldcreatorv2!B65&amp;" "&amp;I62&amp;"("&amp;J62&amp;")"</f>
        <v>, ()</v>
      </c>
      <c r="E62" s="12"/>
      <c r="F62" s="12"/>
      <c r="G62" s="12"/>
      <c r="H62" s="23" t="str">
        <f>IF(fieldcreatorv2!C65="","",fieldcreatorv2!C65)</f>
        <v/>
      </c>
      <c r="I62" s="23" t="str">
        <f>IF(fieldcreatorv2!Z65="","",fieldcreatorv2!Z65)</f>
        <v/>
      </c>
      <c r="J62" s="23" t="str">
        <f>IF(fieldcreatorv2!D65="","",fieldcreatorv2!D65)</f>
        <v/>
      </c>
      <c r="K62" s="12"/>
      <c r="L62" s="12"/>
      <c r="M62" s="12"/>
      <c r="N62" s="12"/>
      <c r="O62" s="12"/>
      <c r="P62" s="12"/>
    </row>
    <row r="63" spans="1:16">
      <c r="A63" s="17" t="str">
        <f>IF(OR(fieldcreatorv2!BB66="",fieldcreatorv2!E66=fieldcreatorv2!$M$9),"",IF(OR(fieldcreatorv2!E66="radio",fieldcreatorv2!E66="selectlist"),D63,B63))</f>
        <v/>
      </c>
      <c r="B63" s="12" t="str">
        <f t="shared" si="0"/>
        <v/>
      </c>
      <c r="C63" s="12" t="str">
        <f>+IF(fieldcreatorv2!E66="radio","radiocondition",B63)</f>
        <v/>
      </c>
      <c r="D63" s="12" t="str">
        <f>","&amp;fieldcreatorv2!B66&amp;" "&amp;I63&amp;"("&amp;J63&amp;")"</f>
        <v>, ()</v>
      </c>
      <c r="E63" s="12"/>
      <c r="F63" s="12"/>
      <c r="G63" s="12"/>
      <c r="H63" s="23" t="str">
        <f>IF(fieldcreatorv2!C66="","",fieldcreatorv2!C66)</f>
        <v/>
      </c>
      <c r="I63" s="23" t="str">
        <f>IF(fieldcreatorv2!Z66="","",fieldcreatorv2!Z66)</f>
        <v/>
      </c>
      <c r="J63" s="23" t="str">
        <f>IF(fieldcreatorv2!D66="","",fieldcreatorv2!D66)</f>
        <v/>
      </c>
      <c r="K63" s="12"/>
      <c r="L63" s="12"/>
      <c r="M63" s="12"/>
      <c r="N63" s="12"/>
      <c r="O63" s="12"/>
      <c r="P63" s="12"/>
    </row>
    <row r="64" spans="1:16">
      <c r="A64" s="17" t="str">
        <f>IF(OR(fieldcreatorv2!BB67="",fieldcreatorv2!E67=fieldcreatorv2!$M$9),"",IF(OR(fieldcreatorv2!E67="radio",fieldcreatorv2!E67="selectlist"),D64,B64))</f>
        <v/>
      </c>
      <c r="B64" s="12" t="str">
        <f t="shared" si="0"/>
        <v/>
      </c>
      <c r="C64" s="12" t="str">
        <f>+IF(fieldcreatorv2!E67="radio","radiocondition",B64)</f>
        <v/>
      </c>
      <c r="D64" s="12" t="str">
        <f>","&amp;fieldcreatorv2!B67&amp;" "&amp;I64&amp;"("&amp;J64&amp;")"</f>
        <v>, ()</v>
      </c>
      <c r="E64" s="12"/>
      <c r="F64" s="12"/>
      <c r="G64" s="12"/>
      <c r="H64" s="23" t="str">
        <f>IF(fieldcreatorv2!C67="","",fieldcreatorv2!C67)</f>
        <v/>
      </c>
      <c r="I64" s="23" t="str">
        <f>IF(fieldcreatorv2!Z67="","",fieldcreatorv2!Z67)</f>
        <v/>
      </c>
      <c r="J64" s="23" t="str">
        <f>IF(fieldcreatorv2!D67="","",fieldcreatorv2!D67)</f>
        <v/>
      </c>
      <c r="K64" s="12"/>
      <c r="L64" s="12"/>
      <c r="M64" s="12"/>
      <c r="N64" s="12"/>
      <c r="O64" s="12"/>
      <c r="P64" s="12"/>
    </row>
    <row r="65" spans="1:16">
      <c r="A65" s="17" t="str">
        <f>IF(OR(fieldcreatorv2!BB68="",fieldcreatorv2!E68=fieldcreatorv2!$M$9),"",IF(OR(fieldcreatorv2!E68="radio",fieldcreatorv2!E68="selectlist"),D65,B65))</f>
        <v/>
      </c>
      <c r="B65" s="12" t="str">
        <f t="shared" si="0"/>
        <v/>
      </c>
      <c r="C65" s="12" t="str">
        <f>+IF(fieldcreatorv2!E68="radio","radiocondition",B65)</f>
        <v/>
      </c>
      <c r="D65" s="12" t="str">
        <f>","&amp;fieldcreatorv2!B68&amp;" "&amp;I65&amp;"("&amp;J65&amp;")"</f>
        <v>, ()</v>
      </c>
      <c r="E65" s="12"/>
      <c r="F65" s="12"/>
      <c r="G65" s="12"/>
      <c r="H65" s="23" t="str">
        <f>IF(fieldcreatorv2!C68="","",fieldcreatorv2!C68)</f>
        <v/>
      </c>
      <c r="I65" s="23" t="str">
        <f>IF(fieldcreatorv2!Z68="","",fieldcreatorv2!Z68)</f>
        <v/>
      </c>
      <c r="J65" s="23" t="str">
        <f>IF(fieldcreatorv2!D68="","",fieldcreatorv2!D68)</f>
        <v/>
      </c>
      <c r="K65" s="12"/>
      <c r="L65" s="12"/>
      <c r="M65" s="12"/>
      <c r="N65" s="12"/>
      <c r="O65" s="12"/>
      <c r="P65" s="12"/>
    </row>
    <row r="66" spans="1:16">
      <c r="A66" s="17" t="str">
        <f>IF(OR(fieldcreatorv2!BB69="",fieldcreatorv2!E69=fieldcreatorv2!$M$9),"",IF(OR(fieldcreatorv2!E69="radio",fieldcreatorv2!E69="selectlist"),D66,B66))</f>
        <v/>
      </c>
      <c r="B66" s="12" t="str">
        <f t="shared" si="0"/>
        <v/>
      </c>
      <c r="C66" s="12" t="str">
        <f>+IF(fieldcreatorv2!E69="radio","radiocondition",B66)</f>
        <v/>
      </c>
      <c r="D66" s="12" t="str">
        <f>","&amp;fieldcreatorv2!B69&amp;" "&amp;I66&amp;"("&amp;J66&amp;")"</f>
        <v>, ()</v>
      </c>
      <c r="E66" s="12"/>
      <c r="F66" s="12"/>
      <c r="G66" s="12"/>
      <c r="H66" s="23" t="str">
        <f>IF(fieldcreatorv2!C69="","",fieldcreatorv2!C69)</f>
        <v/>
      </c>
      <c r="I66" s="23" t="str">
        <f>IF(fieldcreatorv2!Z69="","",fieldcreatorv2!Z69)</f>
        <v/>
      </c>
      <c r="J66" s="23" t="str">
        <f>IF(fieldcreatorv2!D69="","",fieldcreatorv2!D69)</f>
        <v/>
      </c>
      <c r="K66" s="12"/>
      <c r="L66" s="12"/>
      <c r="M66" s="12"/>
      <c r="N66" s="12"/>
      <c r="O66" s="12"/>
      <c r="P66" s="12"/>
    </row>
    <row r="67" spans="1:16">
      <c r="A67" s="17" t="str">
        <f>IF(OR(fieldcreatorv2!BB70="",fieldcreatorv2!E70=fieldcreatorv2!$M$9),"",IF(OR(fieldcreatorv2!E70="radio",fieldcreatorv2!E70="selectlist"),D67,B67))</f>
        <v/>
      </c>
      <c r="B67" s="12" t="str">
        <f t="shared" si="0"/>
        <v/>
      </c>
      <c r="C67" s="12" t="str">
        <f>+IF(fieldcreatorv2!E70="radio","radiocondition",B67)</f>
        <v/>
      </c>
      <c r="D67" s="12" t="str">
        <f>","&amp;fieldcreatorv2!B70&amp;" "&amp;I67&amp;"("&amp;J67&amp;")"</f>
        <v>, ()</v>
      </c>
      <c r="E67" s="12"/>
      <c r="F67" s="12"/>
      <c r="G67" s="12"/>
      <c r="H67" s="23" t="str">
        <f>IF(fieldcreatorv2!C70="","",fieldcreatorv2!C70)</f>
        <v/>
      </c>
      <c r="I67" s="23" t="str">
        <f>IF(fieldcreatorv2!Z70="","",fieldcreatorv2!Z70)</f>
        <v/>
      </c>
      <c r="J67" s="23" t="str">
        <f>IF(fieldcreatorv2!D70="","",fieldcreatorv2!D70)</f>
        <v/>
      </c>
      <c r="K67" s="12"/>
      <c r="L67" s="12"/>
      <c r="M67" s="12"/>
      <c r="N67" s="12"/>
      <c r="O67" s="12"/>
      <c r="P67" s="12"/>
    </row>
    <row r="68" spans="1:16">
      <c r="A68" s="17" t="str">
        <f>IF(OR(fieldcreatorv2!BB71="",fieldcreatorv2!E71=fieldcreatorv2!$M$9),"",IF(OR(fieldcreatorv2!E71="radio",fieldcreatorv2!E71="selectlist"),D68,B68))</f>
        <v/>
      </c>
      <c r="B68" s="12" t="str">
        <f t="shared" si="0"/>
        <v/>
      </c>
      <c r="C68" s="12" t="str">
        <f>+IF(fieldcreatorv2!E71="radio","radiocondition",B68)</f>
        <v/>
      </c>
      <c r="D68" s="12" t="str">
        <f>","&amp;fieldcreatorv2!B71&amp;" "&amp;I68&amp;"("&amp;J68&amp;")"</f>
        <v>, ()</v>
      </c>
      <c r="E68" s="12"/>
      <c r="F68" s="12"/>
      <c r="G68" s="12"/>
      <c r="H68" s="23" t="str">
        <f>IF(fieldcreatorv2!C71="","",fieldcreatorv2!C71)</f>
        <v/>
      </c>
      <c r="I68" s="23" t="str">
        <f>IF(fieldcreatorv2!Z71="","",fieldcreatorv2!Z71)</f>
        <v/>
      </c>
      <c r="J68" s="23" t="str">
        <f>IF(fieldcreatorv2!D71="","",fieldcreatorv2!D71)</f>
        <v/>
      </c>
      <c r="K68" s="12"/>
      <c r="L68" s="12"/>
      <c r="M68" s="12"/>
      <c r="N68" s="12"/>
      <c r="O68" s="12"/>
      <c r="P68" s="12"/>
    </row>
    <row r="69" spans="1:16">
      <c r="A69" s="17" t="str">
        <f>IF(OR(fieldcreatorv2!BB72="",fieldcreatorv2!E72=fieldcreatorv2!$M$9),"",IF(OR(fieldcreatorv2!E72="radio",fieldcreatorv2!E72="selectlist"),D69,B69))</f>
        <v/>
      </c>
      <c r="B69" s="12" t="str">
        <f t="shared" si="0"/>
        <v/>
      </c>
      <c r="C69" s="12" t="str">
        <f>+IF(fieldcreatorv2!E72="radio","radiocondition",B69)</f>
        <v/>
      </c>
      <c r="D69" s="12" t="str">
        <f>","&amp;fieldcreatorv2!B72&amp;" "&amp;I69&amp;"("&amp;J69&amp;")"</f>
        <v>, ()</v>
      </c>
      <c r="E69" s="12"/>
      <c r="F69" s="12"/>
      <c r="G69" s="12"/>
      <c r="H69" s="23" t="str">
        <f>IF(fieldcreatorv2!C72="","",fieldcreatorv2!C72)</f>
        <v/>
      </c>
      <c r="I69" s="23" t="str">
        <f>IF(fieldcreatorv2!Z72="","",fieldcreatorv2!Z72)</f>
        <v/>
      </c>
      <c r="J69" s="23" t="str">
        <f>IF(fieldcreatorv2!D72="","",fieldcreatorv2!D72)</f>
        <v/>
      </c>
      <c r="K69" s="12"/>
      <c r="L69" s="12"/>
      <c r="M69" s="12"/>
      <c r="N69" s="12"/>
      <c r="O69" s="12"/>
      <c r="P69" s="12"/>
    </row>
    <row r="70" spans="1:16">
      <c r="A70" s="17" t="str">
        <f>IF(OR(fieldcreatorv2!BB73="",fieldcreatorv2!E73=fieldcreatorv2!$M$9),"",IF(OR(fieldcreatorv2!E73="radio",fieldcreatorv2!E73="selectlist"),D70,B70))</f>
        <v/>
      </c>
      <c r="B70" s="12" t="str">
        <f t="shared" si="0"/>
        <v/>
      </c>
      <c r="C70" s="12" t="str">
        <f>+IF(fieldcreatorv2!E73="radio","radiocondition",B70)</f>
        <v/>
      </c>
      <c r="D70" s="12" t="str">
        <f>","&amp;fieldcreatorv2!B73&amp;" "&amp;I70&amp;"("&amp;J70&amp;")"</f>
        <v>, ()</v>
      </c>
      <c r="E70" s="12"/>
      <c r="F70" s="12"/>
      <c r="G70" s="12"/>
      <c r="H70" s="23" t="str">
        <f>IF(fieldcreatorv2!C73="","",fieldcreatorv2!C73)</f>
        <v/>
      </c>
      <c r="I70" s="23" t="str">
        <f>IF(fieldcreatorv2!Z73="","",fieldcreatorv2!Z73)</f>
        <v/>
      </c>
      <c r="J70" s="23" t="str">
        <f>IF(fieldcreatorv2!D73="","",fieldcreatorv2!D73)</f>
        <v/>
      </c>
      <c r="K70" s="12"/>
      <c r="L70" s="12"/>
      <c r="M70" s="12"/>
      <c r="N70" s="12"/>
      <c r="O70" s="12"/>
      <c r="P70" s="12"/>
    </row>
    <row r="71" spans="1:16">
      <c r="A71" s="17" t="str">
        <f>IF(OR(fieldcreatorv2!BB74="",fieldcreatorv2!E74=fieldcreatorv2!$M$9),"",IF(OR(fieldcreatorv2!E74="radio",fieldcreatorv2!E74="selectlist"),D71,B71))</f>
        <v/>
      </c>
      <c r="B71" s="12" t="str">
        <f t="shared" si="0"/>
        <v/>
      </c>
      <c r="C71" s="12" t="str">
        <f>+IF(fieldcreatorv2!E74="radio","radiocondition",B71)</f>
        <v/>
      </c>
      <c r="D71" s="12" t="str">
        <f>","&amp;fieldcreatorv2!B74&amp;" "&amp;I71&amp;"("&amp;J71&amp;")"</f>
        <v>, ()</v>
      </c>
      <c r="E71" s="12"/>
      <c r="F71" s="12"/>
      <c r="G71" s="12"/>
      <c r="H71" s="23" t="str">
        <f>IF(fieldcreatorv2!C74="","",fieldcreatorv2!C74)</f>
        <v/>
      </c>
      <c r="I71" s="23" t="str">
        <f>IF(fieldcreatorv2!Z74="","",fieldcreatorv2!Z74)</f>
        <v/>
      </c>
      <c r="J71" s="23" t="str">
        <f>IF(fieldcreatorv2!D74="","",fieldcreatorv2!D74)</f>
        <v/>
      </c>
      <c r="K71" s="12"/>
      <c r="L71" s="12"/>
      <c r="M71" s="12"/>
      <c r="N71" s="12"/>
      <c r="O71" s="12"/>
      <c r="P71" s="12"/>
    </row>
    <row r="72" spans="1:16">
      <c r="A72" s="17" t="str">
        <f>IF(OR(fieldcreatorv2!BB75="",fieldcreatorv2!E75=fieldcreatorv2!$M$9),"",IF(OR(fieldcreatorv2!E75="radio",fieldcreatorv2!E75="selectlist"),D72,B72))</f>
        <v/>
      </c>
      <c r="B72" s="12" t="str">
        <f t="shared" si="0"/>
        <v/>
      </c>
      <c r="C72" s="12" t="str">
        <f>+IF(fieldcreatorv2!E75="radio","radiocondition",B72)</f>
        <v/>
      </c>
      <c r="D72" s="12" t="str">
        <f>","&amp;fieldcreatorv2!B75&amp;" "&amp;I72&amp;"("&amp;J72&amp;")"</f>
        <v>, ()</v>
      </c>
      <c r="E72" s="12"/>
      <c r="F72" s="12"/>
      <c r="G72" s="12"/>
      <c r="H72" s="23" t="str">
        <f>IF(fieldcreatorv2!C75="","",fieldcreatorv2!C75)</f>
        <v/>
      </c>
      <c r="I72" s="23" t="str">
        <f>IF(fieldcreatorv2!Z75="","",fieldcreatorv2!Z75)</f>
        <v/>
      </c>
      <c r="J72" s="23" t="str">
        <f>IF(fieldcreatorv2!D75="","",fieldcreatorv2!D75)</f>
        <v/>
      </c>
      <c r="K72" s="12"/>
      <c r="L72" s="12"/>
      <c r="M72" s="12"/>
      <c r="N72" s="12"/>
      <c r="O72" s="12"/>
      <c r="P72" s="12"/>
    </row>
    <row r="73" spans="1:16">
      <c r="A73" s="17" t="str">
        <f>IF(OR(fieldcreatorv2!BB76="",fieldcreatorv2!E76=fieldcreatorv2!$M$9),"",IF(OR(fieldcreatorv2!E76="radio",fieldcreatorv2!E76="selectlist"),D73,B73))</f>
        <v/>
      </c>
      <c r="B73" s="12" t="str">
        <f t="shared" si="0"/>
        <v/>
      </c>
      <c r="C73" s="12" t="str">
        <f>+IF(fieldcreatorv2!E76="radio","radiocondition",B73)</f>
        <v/>
      </c>
      <c r="D73" s="12" t="str">
        <f>","&amp;fieldcreatorv2!B76&amp;" "&amp;I73&amp;"("&amp;J73&amp;")"</f>
        <v>, ()</v>
      </c>
      <c r="E73" s="12"/>
      <c r="F73" s="12"/>
      <c r="G73" s="12"/>
      <c r="H73" s="23" t="str">
        <f>IF(fieldcreatorv2!C76="","",fieldcreatorv2!C76)</f>
        <v/>
      </c>
      <c r="I73" s="23" t="str">
        <f>IF(fieldcreatorv2!Z76="","",fieldcreatorv2!Z76)</f>
        <v/>
      </c>
      <c r="J73" s="23" t="str">
        <f>IF(fieldcreatorv2!D76="","",fieldcreatorv2!D76)</f>
        <v/>
      </c>
      <c r="K73" s="12"/>
      <c r="L73" s="12"/>
      <c r="M73" s="12"/>
      <c r="N73" s="12"/>
      <c r="O73" s="12"/>
      <c r="P73" s="12"/>
    </row>
    <row r="74" spans="1:16">
      <c r="A74" s="17" t="str">
        <f>IF(OR(fieldcreatorv2!BB77="",fieldcreatorv2!E77=fieldcreatorv2!$M$9),"",IF(OR(fieldcreatorv2!E77="radio",fieldcreatorv2!E77="selectlist"),D74,B74))</f>
        <v/>
      </c>
      <c r="B74" s="12" t="str">
        <f t="shared" si="0"/>
        <v/>
      </c>
      <c r="C74" s="12" t="str">
        <f>+IF(fieldcreatorv2!E77="radio","radiocondition",B74)</f>
        <v/>
      </c>
      <c r="D74" s="12" t="str">
        <f>","&amp;fieldcreatorv2!B77&amp;" "&amp;I74&amp;"("&amp;J74&amp;")"</f>
        <v>, ()</v>
      </c>
      <c r="E74" s="12"/>
      <c r="F74" s="12"/>
      <c r="G74" s="12"/>
      <c r="H74" s="23" t="str">
        <f>IF(fieldcreatorv2!C77="","",fieldcreatorv2!C77)</f>
        <v/>
      </c>
      <c r="I74" s="23" t="str">
        <f>IF(fieldcreatorv2!Z77="","",fieldcreatorv2!Z77)</f>
        <v/>
      </c>
      <c r="J74" s="23" t="str">
        <f>IF(fieldcreatorv2!D77="","",fieldcreatorv2!D77)</f>
        <v/>
      </c>
      <c r="K74" s="12"/>
      <c r="L74" s="12"/>
      <c r="M74" s="12"/>
      <c r="N74" s="12"/>
      <c r="O74" s="12"/>
      <c r="P74" s="12"/>
    </row>
    <row r="75" spans="1:16">
      <c r="A75" s="17" t="str">
        <f>IF(OR(fieldcreatorv2!BB78="",fieldcreatorv2!E78=fieldcreatorv2!$M$9),"",IF(OR(fieldcreatorv2!E78="radio",fieldcreatorv2!E78="selectlist"),D75,B75))</f>
        <v/>
      </c>
      <c r="B75" s="12" t="str">
        <f t="shared" si="0"/>
        <v/>
      </c>
      <c r="C75" s="12" t="str">
        <f>+IF(fieldcreatorv2!E78="radio","radiocondition",B75)</f>
        <v/>
      </c>
      <c r="D75" s="12" t="str">
        <f>","&amp;fieldcreatorv2!B78&amp;" "&amp;I75&amp;"("&amp;J75&amp;")"</f>
        <v>, ()</v>
      </c>
      <c r="E75" s="12"/>
      <c r="F75" s="12"/>
      <c r="G75" s="12"/>
      <c r="H75" s="23" t="str">
        <f>IF(fieldcreatorv2!C78="","",fieldcreatorv2!C78)</f>
        <v/>
      </c>
      <c r="I75" s="23" t="str">
        <f>IF(fieldcreatorv2!Z78="","",fieldcreatorv2!Z78)</f>
        <v/>
      </c>
      <c r="J75" s="23" t="str">
        <f>IF(fieldcreatorv2!D78="","",fieldcreatorv2!D78)</f>
        <v/>
      </c>
      <c r="K75" s="12"/>
      <c r="L75" s="12"/>
      <c r="M75" s="12"/>
      <c r="N75" s="12"/>
      <c r="O75" s="12"/>
      <c r="P75" s="12"/>
    </row>
    <row r="76" spans="1:16">
      <c r="A76" s="17" t="str">
        <f>IF(OR(fieldcreatorv2!BB79="",fieldcreatorv2!E79=fieldcreatorv2!$M$9),"",IF(OR(fieldcreatorv2!E79="radio",fieldcreatorv2!E79="selectlist"),D76,B76))</f>
        <v/>
      </c>
      <c r="B76" s="12" t="str">
        <f t="shared" si="0"/>
        <v/>
      </c>
      <c r="C76" s="12" t="str">
        <f>+IF(fieldcreatorv2!E79="radio","radiocondition",B76)</f>
        <v/>
      </c>
      <c r="D76" s="12" t="str">
        <f>","&amp;fieldcreatorv2!B79&amp;" "&amp;I76&amp;"("&amp;J76&amp;")"</f>
        <v>, ()</v>
      </c>
      <c r="E76" s="12"/>
      <c r="F76" s="12"/>
      <c r="G76" s="12"/>
      <c r="H76" s="23" t="str">
        <f>IF(fieldcreatorv2!C79="","",fieldcreatorv2!C79)</f>
        <v/>
      </c>
      <c r="I76" s="23" t="str">
        <f>IF(fieldcreatorv2!Z79="","",fieldcreatorv2!Z79)</f>
        <v/>
      </c>
      <c r="J76" s="23" t="str">
        <f>IF(fieldcreatorv2!D79="","",fieldcreatorv2!D79)</f>
        <v/>
      </c>
      <c r="K76" s="12"/>
      <c r="L76" s="12"/>
      <c r="M76" s="12"/>
      <c r="N76" s="12"/>
      <c r="O76" s="12"/>
      <c r="P76" s="12"/>
    </row>
    <row r="77" spans="1:16">
      <c r="A77" s="17" t="str">
        <f>IF(OR(fieldcreatorv2!BB80="",fieldcreatorv2!E80=fieldcreatorv2!$M$9),"",IF(OR(fieldcreatorv2!E80="radio",fieldcreatorv2!E80="selectlist"),D77,B77))</f>
        <v/>
      </c>
      <c r="B77" s="12" t="str">
        <f t="shared" ref="B77:B111" si="1">IF(H77="","",","&amp;H77&amp;" "&amp;I77&amp;IF(I77="DATE","","("&amp;J77&amp;")"))</f>
        <v/>
      </c>
      <c r="C77" s="12" t="str">
        <f>+IF(fieldcreatorv2!E80="radio","radiocondition",B77)</f>
        <v/>
      </c>
      <c r="D77" s="12" t="str">
        <f>","&amp;fieldcreatorv2!B80&amp;" "&amp;I77&amp;"("&amp;J77&amp;")"</f>
        <v>, ()</v>
      </c>
      <c r="E77" s="12"/>
      <c r="F77" s="12"/>
      <c r="G77" s="12"/>
      <c r="H77" s="23" t="str">
        <f>IF(fieldcreatorv2!C80="","",fieldcreatorv2!C80)</f>
        <v/>
      </c>
      <c r="I77" s="23" t="str">
        <f>IF(fieldcreatorv2!Z80="","",fieldcreatorv2!Z80)</f>
        <v/>
      </c>
      <c r="J77" s="23" t="str">
        <f>IF(fieldcreatorv2!D80="","",fieldcreatorv2!D80)</f>
        <v/>
      </c>
      <c r="K77" s="12"/>
      <c r="L77" s="12"/>
      <c r="M77" s="12"/>
      <c r="N77" s="12"/>
      <c r="O77" s="12"/>
      <c r="P77" s="12"/>
    </row>
    <row r="78" spans="1:16">
      <c r="A78" s="17" t="str">
        <f>IF(OR(fieldcreatorv2!BB81="",fieldcreatorv2!E81=fieldcreatorv2!$M$9),"",IF(OR(fieldcreatorv2!E81="radio",fieldcreatorv2!E81="selectlist"),D78,B78))</f>
        <v/>
      </c>
      <c r="B78" s="12" t="str">
        <f t="shared" si="1"/>
        <v/>
      </c>
      <c r="C78" s="12" t="str">
        <f>+IF(fieldcreatorv2!E81="radio","radiocondition",B78)</f>
        <v/>
      </c>
      <c r="D78" s="12" t="str">
        <f>","&amp;fieldcreatorv2!B81&amp;" "&amp;I78&amp;"("&amp;J78&amp;")"</f>
        <v>, ()</v>
      </c>
      <c r="E78" s="12"/>
      <c r="F78" s="12"/>
      <c r="G78" s="12"/>
      <c r="H78" s="23" t="str">
        <f>IF(fieldcreatorv2!C81="","",fieldcreatorv2!C81)</f>
        <v/>
      </c>
      <c r="I78" s="23" t="str">
        <f>IF(fieldcreatorv2!Z81="","",fieldcreatorv2!Z81)</f>
        <v/>
      </c>
      <c r="J78" s="23" t="str">
        <f>IF(fieldcreatorv2!D81="","",fieldcreatorv2!D81)</f>
        <v/>
      </c>
      <c r="K78" s="12"/>
      <c r="L78" s="12"/>
      <c r="M78" s="12"/>
      <c r="N78" s="12"/>
      <c r="O78" s="12"/>
      <c r="P78" s="12"/>
    </row>
    <row r="79" spans="1:16">
      <c r="A79" s="17" t="str">
        <f>IF(OR(fieldcreatorv2!BB82="",fieldcreatorv2!E82=fieldcreatorv2!$M$9),"",IF(OR(fieldcreatorv2!E82="radio",fieldcreatorv2!E82="selectlist"),D79,B79))</f>
        <v/>
      </c>
      <c r="B79" s="12" t="str">
        <f t="shared" si="1"/>
        <v/>
      </c>
      <c r="C79" s="12" t="str">
        <f>+IF(fieldcreatorv2!E82="radio","radiocondition",B79)</f>
        <v/>
      </c>
      <c r="D79" s="12" t="str">
        <f>","&amp;fieldcreatorv2!B82&amp;" "&amp;I79&amp;"("&amp;J79&amp;")"</f>
        <v>, ()</v>
      </c>
      <c r="E79" s="12"/>
      <c r="F79" s="12"/>
      <c r="G79" s="12"/>
      <c r="H79" s="23" t="str">
        <f>IF(fieldcreatorv2!C82="","",fieldcreatorv2!C82)</f>
        <v/>
      </c>
      <c r="I79" s="23" t="str">
        <f>IF(fieldcreatorv2!Z82="","",fieldcreatorv2!Z82)</f>
        <v/>
      </c>
      <c r="J79" s="23" t="str">
        <f>IF(fieldcreatorv2!D82="","",fieldcreatorv2!D82)</f>
        <v/>
      </c>
      <c r="K79" s="12"/>
      <c r="L79" s="12"/>
      <c r="M79" s="12"/>
      <c r="N79" s="12"/>
      <c r="O79" s="12"/>
      <c r="P79" s="12"/>
    </row>
    <row r="80" spans="1:16">
      <c r="A80" s="17" t="str">
        <f>IF(OR(fieldcreatorv2!BB83="",fieldcreatorv2!E83=fieldcreatorv2!$M$9),"",IF(OR(fieldcreatorv2!E83="radio",fieldcreatorv2!E83="selectlist"),D80,B80))</f>
        <v/>
      </c>
      <c r="B80" s="12" t="str">
        <f t="shared" si="1"/>
        <v/>
      </c>
      <c r="C80" s="12" t="str">
        <f>+IF(fieldcreatorv2!E83="radio","radiocondition",B80)</f>
        <v/>
      </c>
      <c r="D80" s="12" t="str">
        <f>","&amp;fieldcreatorv2!B83&amp;" "&amp;I80&amp;"("&amp;J80&amp;")"</f>
        <v>, ()</v>
      </c>
      <c r="E80" s="12"/>
      <c r="F80" s="12"/>
      <c r="G80" s="12"/>
      <c r="H80" s="23" t="str">
        <f>IF(fieldcreatorv2!C83="","",fieldcreatorv2!C83)</f>
        <v/>
      </c>
      <c r="I80" s="23" t="str">
        <f>IF(fieldcreatorv2!Z83="","",fieldcreatorv2!Z83)</f>
        <v/>
      </c>
      <c r="J80" s="23" t="str">
        <f>IF(fieldcreatorv2!D83="","",fieldcreatorv2!D83)</f>
        <v/>
      </c>
      <c r="K80" s="12"/>
      <c r="L80" s="12"/>
      <c r="M80" s="12"/>
      <c r="N80" s="12"/>
      <c r="O80" s="12"/>
      <c r="P80" s="12"/>
    </row>
    <row r="81" spans="1:16">
      <c r="A81" s="17" t="str">
        <f>IF(OR(fieldcreatorv2!BB84="",fieldcreatorv2!E84=fieldcreatorv2!$M$9),"",IF(OR(fieldcreatorv2!E84="radio",fieldcreatorv2!E84="selectlist"),D81,B81))</f>
        <v/>
      </c>
      <c r="B81" s="12" t="str">
        <f t="shared" si="1"/>
        <v/>
      </c>
      <c r="C81" s="12" t="str">
        <f>+IF(fieldcreatorv2!E84="radio","radiocondition",B81)</f>
        <v/>
      </c>
      <c r="D81" s="12" t="str">
        <f>","&amp;fieldcreatorv2!B84&amp;" "&amp;I81&amp;"("&amp;J81&amp;")"</f>
        <v>, ()</v>
      </c>
      <c r="E81" s="12"/>
      <c r="F81" s="12"/>
      <c r="G81" s="12"/>
      <c r="H81" s="23" t="str">
        <f>IF(fieldcreatorv2!C84="","",fieldcreatorv2!C84)</f>
        <v/>
      </c>
      <c r="I81" s="23" t="str">
        <f>IF(fieldcreatorv2!Z84="","",fieldcreatorv2!Z84)</f>
        <v/>
      </c>
      <c r="J81" s="23" t="str">
        <f>IF(fieldcreatorv2!D84="","",fieldcreatorv2!D84)</f>
        <v/>
      </c>
      <c r="K81" s="12"/>
      <c r="L81" s="12"/>
      <c r="M81" s="12"/>
      <c r="N81" s="12"/>
      <c r="O81" s="12"/>
      <c r="P81" s="12"/>
    </row>
    <row r="82" spans="1:16">
      <c r="A82" s="17" t="str">
        <f>IF(OR(fieldcreatorv2!BB85="",fieldcreatorv2!E85=fieldcreatorv2!$M$9),"",IF(OR(fieldcreatorv2!E85="radio",fieldcreatorv2!E85="selectlist"),D82,B82))</f>
        <v/>
      </c>
      <c r="B82" s="12" t="str">
        <f t="shared" si="1"/>
        <v/>
      </c>
      <c r="C82" s="12" t="str">
        <f>+IF(fieldcreatorv2!E85="radio","radiocondition",B82)</f>
        <v/>
      </c>
      <c r="D82" s="12" t="str">
        <f>","&amp;fieldcreatorv2!B85&amp;" "&amp;I82&amp;"("&amp;J82&amp;")"</f>
        <v>, ()</v>
      </c>
      <c r="E82" s="12"/>
      <c r="F82" s="12"/>
      <c r="G82" s="12"/>
      <c r="H82" s="23" t="str">
        <f>IF(fieldcreatorv2!C85="","",fieldcreatorv2!C85)</f>
        <v/>
      </c>
      <c r="I82" s="23" t="str">
        <f>IF(fieldcreatorv2!Z85="","",fieldcreatorv2!Z85)</f>
        <v/>
      </c>
      <c r="J82" s="23" t="str">
        <f>IF(fieldcreatorv2!D85="","",fieldcreatorv2!D85)</f>
        <v/>
      </c>
      <c r="K82" s="12"/>
      <c r="L82" s="12"/>
      <c r="M82" s="12"/>
      <c r="N82" s="12"/>
      <c r="O82" s="12"/>
      <c r="P82" s="12"/>
    </row>
    <row r="83" spans="1:16">
      <c r="A83" s="17" t="str">
        <f>IF(OR(fieldcreatorv2!BB86="",fieldcreatorv2!E86=fieldcreatorv2!$M$9),"",IF(OR(fieldcreatorv2!E86="radio",fieldcreatorv2!E86="selectlist"),D83,B83))</f>
        <v/>
      </c>
      <c r="B83" s="12" t="str">
        <f t="shared" si="1"/>
        <v/>
      </c>
      <c r="C83" s="12" t="str">
        <f>+IF(fieldcreatorv2!E86="radio","radiocondition",B83)</f>
        <v/>
      </c>
      <c r="D83" s="12" t="str">
        <f>","&amp;fieldcreatorv2!B86&amp;" "&amp;I83&amp;"("&amp;J83&amp;")"</f>
        <v>, ()</v>
      </c>
      <c r="E83" s="12"/>
      <c r="F83" s="12"/>
      <c r="G83" s="12"/>
      <c r="H83" s="23" t="str">
        <f>IF(fieldcreatorv2!C86="","",fieldcreatorv2!C86)</f>
        <v/>
      </c>
      <c r="I83" s="23" t="str">
        <f>IF(fieldcreatorv2!Z86="","",fieldcreatorv2!Z86)</f>
        <v/>
      </c>
      <c r="J83" s="23" t="str">
        <f>IF(fieldcreatorv2!D86="","",fieldcreatorv2!D86)</f>
        <v/>
      </c>
      <c r="K83" s="12"/>
      <c r="L83" s="12"/>
      <c r="M83" s="12"/>
      <c r="N83" s="12"/>
      <c r="O83" s="12"/>
      <c r="P83" s="12"/>
    </row>
    <row r="84" spans="1:16">
      <c r="A84" s="17" t="str">
        <f>IF(OR(fieldcreatorv2!BB87="",fieldcreatorv2!E87=fieldcreatorv2!$M$9),"",IF(OR(fieldcreatorv2!E87="radio",fieldcreatorv2!E87="selectlist"),D84,B84))</f>
        <v/>
      </c>
      <c r="B84" s="12" t="str">
        <f t="shared" si="1"/>
        <v/>
      </c>
      <c r="C84" s="12" t="str">
        <f>+IF(fieldcreatorv2!E87="radio","radiocondition",B84)</f>
        <v/>
      </c>
      <c r="D84" s="12" t="str">
        <f>","&amp;fieldcreatorv2!B87&amp;" "&amp;I84&amp;"("&amp;J84&amp;")"</f>
        <v>, ()</v>
      </c>
      <c r="E84" s="12"/>
      <c r="F84" s="12"/>
      <c r="G84" s="12"/>
      <c r="H84" s="23" t="str">
        <f>IF(fieldcreatorv2!C87="","",fieldcreatorv2!C87)</f>
        <v/>
      </c>
      <c r="I84" s="23" t="str">
        <f>IF(fieldcreatorv2!Z87="","",fieldcreatorv2!Z87)</f>
        <v/>
      </c>
      <c r="J84" s="23" t="str">
        <f>IF(fieldcreatorv2!D87="","",fieldcreatorv2!D87)</f>
        <v/>
      </c>
      <c r="K84" s="12"/>
      <c r="L84" s="12"/>
      <c r="M84" s="12"/>
      <c r="N84" s="12"/>
      <c r="O84" s="12"/>
      <c r="P84" s="12"/>
    </row>
    <row r="85" spans="1:16">
      <c r="A85" s="17" t="str">
        <f>IF(OR(fieldcreatorv2!BB88="",fieldcreatorv2!E88=fieldcreatorv2!$M$9),"",IF(OR(fieldcreatorv2!E88="radio",fieldcreatorv2!E88="selectlist"),D85,B85))</f>
        <v/>
      </c>
      <c r="B85" s="12" t="str">
        <f t="shared" si="1"/>
        <v/>
      </c>
      <c r="C85" s="12" t="str">
        <f>+IF(fieldcreatorv2!E88="radio","radiocondition",B85)</f>
        <v/>
      </c>
      <c r="D85" s="12" t="str">
        <f>","&amp;fieldcreatorv2!B88&amp;" "&amp;I85&amp;"("&amp;J85&amp;")"</f>
        <v>, ()</v>
      </c>
      <c r="E85" s="12"/>
      <c r="F85" s="12"/>
      <c r="G85" s="12"/>
      <c r="H85" s="23" t="str">
        <f>IF(fieldcreatorv2!C88="","",fieldcreatorv2!C88)</f>
        <v/>
      </c>
      <c r="I85" s="23" t="str">
        <f>IF(fieldcreatorv2!Z88="","",fieldcreatorv2!Z88)</f>
        <v/>
      </c>
      <c r="J85" s="23" t="str">
        <f>IF(fieldcreatorv2!D88="","",fieldcreatorv2!D88)</f>
        <v/>
      </c>
      <c r="K85" s="12"/>
      <c r="L85" s="12"/>
      <c r="M85" s="12"/>
      <c r="N85" s="12"/>
      <c r="O85" s="12"/>
      <c r="P85" s="12"/>
    </row>
    <row r="86" spans="1:16">
      <c r="A86" s="17" t="str">
        <f>IF(OR(fieldcreatorv2!BB89="",fieldcreatorv2!E89=fieldcreatorv2!$M$9),"",IF(OR(fieldcreatorv2!E89="radio",fieldcreatorv2!E89="selectlist"),D86,B86))</f>
        <v/>
      </c>
      <c r="B86" s="12" t="str">
        <f t="shared" si="1"/>
        <v/>
      </c>
      <c r="C86" s="12" t="str">
        <f>+IF(fieldcreatorv2!E89="radio","radiocondition",B86)</f>
        <v/>
      </c>
      <c r="D86" s="12" t="str">
        <f>","&amp;fieldcreatorv2!B89&amp;" "&amp;I86&amp;"("&amp;J86&amp;")"</f>
        <v>, ()</v>
      </c>
      <c r="E86" s="12"/>
      <c r="F86" s="12"/>
      <c r="G86" s="12"/>
      <c r="H86" s="23" t="str">
        <f>IF(fieldcreatorv2!C89="","",fieldcreatorv2!C89)</f>
        <v/>
      </c>
      <c r="I86" s="23" t="str">
        <f>IF(fieldcreatorv2!Z89="","",fieldcreatorv2!Z89)</f>
        <v/>
      </c>
      <c r="J86" s="23" t="str">
        <f>IF(fieldcreatorv2!D89="","",fieldcreatorv2!D89)</f>
        <v/>
      </c>
      <c r="K86" s="12"/>
      <c r="L86" s="12"/>
      <c r="M86" s="12"/>
      <c r="N86" s="12"/>
      <c r="O86" s="12"/>
      <c r="P86" s="12"/>
    </row>
    <row r="87" spans="1:16">
      <c r="A87" s="17" t="str">
        <f>IF(OR(fieldcreatorv2!BB90="",fieldcreatorv2!E90=fieldcreatorv2!$M$9),"",IF(OR(fieldcreatorv2!E90="radio",fieldcreatorv2!E90="selectlist"),D87,B87))</f>
        <v/>
      </c>
      <c r="B87" s="12" t="str">
        <f t="shared" si="1"/>
        <v/>
      </c>
      <c r="C87" s="12" t="str">
        <f>+IF(fieldcreatorv2!E90="radio","radiocondition",B87)</f>
        <v/>
      </c>
      <c r="D87" s="12" t="str">
        <f>","&amp;fieldcreatorv2!B90&amp;" "&amp;I87&amp;"("&amp;J87&amp;")"</f>
        <v>, ()</v>
      </c>
      <c r="E87" s="12"/>
      <c r="F87" s="12"/>
      <c r="G87" s="12"/>
      <c r="H87" s="23" t="str">
        <f>IF(fieldcreatorv2!C90="","",fieldcreatorv2!C90)</f>
        <v/>
      </c>
      <c r="I87" s="23" t="str">
        <f>IF(fieldcreatorv2!Z90="","",fieldcreatorv2!Z90)</f>
        <v/>
      </c>
      <c r="J87" s="23" t="str">
        <f>IF(fieldcreatorv2!D90="","",fieldcreatorv2!D90)</f>
        <v/>
      </c>
      <c r="K87" s="12"/>
      <c r="L87" s="12"/>
      <c r="M87" s="12"/>
      <c r="N87" s="12"/>
      <c r="O87" s="12"/>
      <c r="P87" s="12"/>
    </row>
    <row r="88" spans="1:16">
      <c r="A88" s="17" t="str">
        <f>IF(OR(fieldcreatorv2!BB91="",fieldcreatorv2!E91=fieldcreatorv2!$M$9),"",IF(OR(fieldcreatorv2!E91="radio",fieldcreatorv2!E91="selectlist"),D88,B88))</f>
        <v/>
      </c>
      <c r="B88" s="12" t="str">
        <f t="shared" si="1"/>
        <v/>
      </c>
      <c r="C88" s="12" t="str">
        <f>+IF(fieldcreatorv2!E91="radio","radiocondition",B88)</f>
        <v/>
      </c>
      <c r="D88" s="12" t="str">
        <f>","&amp;fieldcreatorv2!B91&amp;" "&amp;I88&amp;"("&amp;J88&amp;")"</f>
        <v>, ()</v>
      </c>
      <c r="E88" s="12"/>
      <c r="F88" s="12"/>
      <c r="G88" s="12"/>
      <c r="H88" s="23" t="str">
        <f>IF(fieldcreatorv2!C91="","",fieldcreatorv2!C91)</f>
        <v/>
      </c>
      <c r="I88" s="23" t="str">
        <f>IF(fieldcreatorv2!Z91="","",fieldcreatorv2!Z91)</f>
        <v/>
      </c>
      <c r="J88" s="23" t="str">
        <f>IF(fieldcreatorv2!D91="","",fieldcreatorv2!D91)</f>
        <v/>
      </c>
      <c r="K88" s="12"/>
      <c r="L88" s="12"/>
      <c r="M88" s="12"/>
      <c r="N88" s="12"/>
      <c r="O88" s="12"/>
      <c r="P88" s="12"/>
    </row>
    <row r="89" spans="1:16">
      <c r="A89" s="17" t="str">
        <f>IF(OR(fieldcreatorv2!BB92="",fieldcreatorv2!E92=fieldcreatorv2!$M$9),"",IF(OR(fieldcreatorv2!E92="radio",fieldcreatorv2!E92="selectlist"),D89,B89))</f>
        <v/>
      </c>
      <c r="B89" s="12" t="str">
        <f t="shared" si="1"/>
        <v/>
      </c>
      <c r="C89" s="12" t="str">
        <f>+IF(fieldcreatorv2!E92="radio","radiocondition",B89)</f>
        <v/>
      </c>
      <c r="D89" s="12" t="str">
        <f>","&amp;fieldcreatorv2!B92&amp;" "&amp;I89&amp;"("&amp;J89&amp;")"</f>
        <v>, ()</v>
      </c>
      <c r="E89" s="12"/>
      <c r="F89" s="12"/>
      <c r="G89" s="12"/>
      <c r="H89" s="23" t="str">
        <f>IF(fieldcreatorv2!C92="","",fieldcreatorv2!C92)</f>
        <v/>
      </c>
      <c r="I89" s="23" t="str">
        <f>IF(fieldcreatorv2!Z92="","",fieldcreatorv2!Z92)</f>
        <v/>
      </c>
      <c r="J89" s="23" t="str">
        <f>IF(fieldcreatorv2!D92="","",fieldcreatorv2!D92)</f>
        <v/>
      </c>
      <c r="K89" s="12"/>
      <c r="L89" s="12"/>
      <c r="M89" s="12"/>
      <c r="N89" s="12"/>
      <c r="O89" s="12"/>
      <c r="P89" s="12"/>
    </row>
    <row r="90" spans="1:16">
      <c r="A90" s="17" t="str">
        <f>IF(OR(fieldcreatorv2!BB93="",fieldcreatorv2!E93=fieldcreatorv2!$M$9),"",IF(OR(fieldcreatorv2!E93="radio",fieldcreatorv2!E93="selectlist"),D90,B90))</f>
        <v/>
      </c>
      <c r="B90" s="12" t="str">
        <f t="shared" si="1"/>
        <v/>
      </c>
      <c r="C90" s="12" t="str">
        <f>+IF(fieldcreatorv2!E93="radio","radiocondition",B90)</f>
        <v/>
      </c>
      <c r="D90" s="12" t="str">
        <f>","&amp;fieldcreatorv2!B93&amp;" "&amp;I90&amp;"("&amp;J90&amp;")"</f>
        <v>, ()</v>
      </c>
      <c r="E90" s="12"/>
      <c r="F90" s="12"/>
      <c r="G90" s="12"/>
      <c r="H90" s="23" t="str">
        <f>IF(fieldcreatorv2!C93="","",fieldcreatorv2!C93)</f>
        <v/>
      </c>
      <c r="I90" s="23" t="str">
        <f>IF(fieldcreatorv2!Z93="","",fieldcreatorv2!Z93)</f>
        <v/>
      </c>
      <c r="J90" s="23" t="str">
        <f>IF(fieldcreatorv2!D93="","",fieldcreatorv2!D93)</f>
        <v/>
      </c>
      <c r="K90" s="12"/>
      <c r="L90" s="12"/>
      <c r="M90" s="12"/>
      <c r="N90" s="12"/>
      <c r="O90" s="12"/>
      <c r="P90" s="12"/>
    </row>
    <row r="91" spans="1:16">
      <c r="A91" s="17" t="str">
        <f>IF(OR(fieldcreatorv2!BB94="",fieldcreatorv2!E94=fieldcreatorv2!$M$9),"",IF(OR(fieldcreatorv2!E94="radio",fieldcreatorv2!E94="selectlist"),D91,B91))</f>
        <v/>
      </c>
      <c r="B91" s="12" t="str">
        <f t="shared" si="1"/>
        <v/>
      </c>
      <c r="C91" s="12" t="str">
        <f>+IF(fieldcreatorv2!E94="radio","radiocondition",B91)</f>
        <v/>
      </c>
      <c r="D91" s="12" t="str">
        <f>","&amp;fieldcreatorv2!B94&amp;" "&amp;I91&amp;"("&amp;J91&amp;")"</f>
        <v>, ()</v>
      </c>
      <c r="E91" s="12"/>
      <c r="F91" s="12"/>
      <c r="G91" s="12"/>
      <c r="H91" s="23" t="str">
        <f>IF(fieldcreatorv2!C94="","",fieldcreatorv2!C94)</f>
        <v/>
      </c>
      <c r="I91" s="23" t="str">
        <f>IF(fieldcreatorv2!Z94="","",fieldcreatorv2!Z94)</f>
        <v/>
      </c>
      <c r="J91" s="23" t="str">
        <f>IF(fieldcreatorv2!D94="","",fieldcreatorv2!D94)</f>
        <v/>
      </c>
      <c r="K91" s="12"/>
      <c r="L91" s="12"/>
      <c r="M91" s="12"/>
      <c r="N91" s="12"/>
      <c r="O91" s="12"/>
      <c r="P91" s="12"/>
    </row>
    <row r="92" spans="1:16">
      <c r="A92" s="17" t="str">
        <f>IF(OR(fieldcreatorv2!BB95="",fieldcreatorv2!E95=fieldcreatorv2!$M$9),"",IF(OR(fieldcreatorv2!E95="radio",fieldcreatorv2!E95="selectlist"),D92,B92))</f>
        <v/>
      </c>
      <c r="B92" s="12" t="str">
        <f t="shared" si="1"/>
        <v/>
      </c>
      <c r="C92" s="12" t="str">
        <f>+IF(fieldcreatorv2!E95="radio","radiocondition",B92)</f>
        <v/>
      </c>
      <c r="D92" s="12" t="str">
        <f>","&amp;fieldcreatorv2!B95&amp;" "&amp;I92&amp;"("&amp;J92&amp;")"</f>
        <v>, ()</v>
      </c>
      <c r="E92" s="12"/>
      <c r="F92" s="12"/>
      <c r="G92" s="12"/>
      <c r="H92" s="23" t="str">
        <f>IF(fieldcreatorv2!C95="","",fieldcreatorv2!C95)</f>
        <v/>
      </c>
      <c r="I92" s="23" t="str">
        <f>IF(fieldcreatorv2!Z95="","",fieldcreatorv2!Z95)</f>
        <v/>
      </c>
      <c r="J92" s="23" t="str">
        <f>IF(fieldcreatorv2!D95="","",fieldcreatorv2!D95)</f>
        <v/>
      </c>
      <c r="K92" s="12"/>
      <c r="L92" s="12"/>
      <c r="M92" s="12"/>
      <c r="N92" s="12"/>
      <c r="O92" s="12"/>
      <c r="P92" s="12"/>
    </row>
    <row r="93" spans="1:16">
      <c r="A93" s="17" t="str">
        <f>IF(OR(fieldcreatorv2!BB96="",fieldcreatorv2!E96=fieldcreatorv2!$M$9),"",IF(OR(fieldcreatorv2!E96="radio",fieldcreatorv2!E96="selectlist"),D93,B93))</f>
        <v/>
      </c>
      <c r="B93" s="12" t="str">
        <f t="shared" si="1"/>
        <v/>
      </c>
      <c r="C93" s="12" t="str">
        <f>+IF(fieldcreatorv2!E96="radio","radiocondition",B93)</f>
        <v/>
      </c>
      <c r="D93" s="12" t="str">
        <f>","&amp;fieldcreatorv2!B96&amp;" "&amp;I93&amp;"("&amp;J93&amp;")"</f>
        <v>, ()</v>
      </c>
      <c r="E93" s="12"/>
      <c r="F93" s="12"/>
      <c r="G93" s="12"/>
      <c r="H93" s="23" t="str">
        <f>IF(fieldcreatorv2!C96="","",fieldcreatorv2!C96)</f>
        <v/>
      </c>
      <c r="I93" s="23" t="str">
        <f>IF(fieldcreatorv2!Z96="","",fieldcreatorv2!Z96)</f>
        <v/>
      </c>
      <c r="J93" s="23" t="str">
        <f>IF(fieldcreatorv2!D96="","",fieldcreatorv2!D96)</f>
        <v/>
      </c>
      <c r="K93" s="12"/>
      <c r="L93" s="12"/>
      <c r="M93" s="12"/>
      <c r="N93" s="12"/>
      <c r="O93" s="12"/>
      <c r="P93" s="12"/>
    </row>
    <row r="94" spans="1:16">
      <c r="A94" s="17" t="str">
        <f>IF(OR(fieldcreatorv2!BB97="",fieldcreatorv2!E97=fieldcreatorv2!$M$9),"",IF(OR(fieldcreatorv2!E97="radio",fieldcreatorv2!E97="selectlist"),D94,B94))</f>
        <v/>
      </c>
      <c r="B94" s="12" t="str">
        <f t="shared" si="1"/>
        <v/>
      </c>
      <c r="C94" s="12" t="str">
        <f>+IF(fieldcreatorv2!E97="radio","radiocondition",B94)</f>
        <v/>
      </c>
      <c r="D94" s="12" t="str">
        <f>","&amp;fieldcreatorv2!B97&amp;" "&amp;I94&amp;"("&amp;J94&amp;")"</f>
        <v>, ()</v>
      </c>
      <c r="E94" s="12"/>
      <c r="F94" s="12"/>
      <c r="G94" s="12"/>
      <c r="H94" s="23" t="str">
        <f>IF(fieldcreatorv2!C97="","",fieldcreatorv2!C97)</f>
        <v/>
      </c>
      <c r="I94" s="23" t="str">
        <f>IF(fieldcreatorv2!Z97="","",fieldcreatorv2!Z97)</f>
        <v/>
      </c>
      <c r="J94" s="23" t="str">
        <f>IF(fieldcreatorv2!D97="","",fieldcreatorv2!D97)</f>
        <v/>
      </c>
      <c r="K94" s="12"/>
      <c r="L94" s="12"/>
      <c r="M94" s="12"/>
      <c r="N94" s="12"/>
      <c r="O94" s="12"/>
      <c r="P94" s="12"/>
    </row>
    <row r="95" spans="1:16">
      <c r="A95" s="17" t="str">
        <f>IF(OR(fieldcreatorv2!BB98="",fieldcreatorv2!E98=fieldcreatorv2!$M$9),"",IF(OR(fieldcreatorv2!E98="radio",fieldcreatorv2!E98="selectlist"),D95,B95))</f>
        <v/>
      </c>
      <c r="B95" s="12" t="str">
        <f t="shared" si="1"/>
        <v/>
      </c>
      <c r="C95" s="12" t="str">
        <f>+IF(fieldcreatorv2!E98="radio","radiocondition",B95)</f>
        <v/>
      </c>
      <c r="D95" s="12" t="str">
        <f>","&amp;fieldcreatorv2!B98&amp;" "&amp;I95&amp;"("&amp;J95&amp;")"</f>
        <v>, ()</v>
      </c>
      <c r="E95" s="12"/>
      <c r="F95" s="12"/>
      <c r="G95" s="12"/>
      <c r="H95" s="23" t="str">
        <f>IF(fieldcreatorv2!C98="","",fieldcreatorv2!C98)</f>
        <v/>
      </c>
      <c r="I95" s="23" t="str">
        <f>IF(fieldcreatorv2!Z98="","",fieldcreatorv2!Z98)</f>
        <v/>
      </c>
      <c r="J95" s="23" t="str">
        <f>IF(fieldcreatorv2!D98="","",fieldcreatorv2!D98)</f>
        <v/>
      </c>
      <c r="K95" s="12"/>
      <c r="L95" s="12"/>
      <c r="M95" s="12"/>
      <c r="N95" s="12"/>
      <c r="O95" s="12"/>
      <c r="P95" s="12"/>
    </row>
    <row r="96" spans="1:16">
      <c r="A96" s="17" t="str">
        <f>IF(OR(fieldcreatorv2!BB99="",fieldcreatorv2!E99=fieldcreatorv2!$M$9),"",IF(OR(fieldcreatorv2!E99="radio",fieldcreatorv2!E99="selectlist"),D96,B96))</f>
        <v/>
      </c>
      <c r="B96" s="12" t="str">
        <f t="shared" si="1"/>
        <v/>
      </c>
      <c r="C96" s="12" t="str">
        <f>+IF(fieldcreatorv2!E99="radio","radiocondition",B96)</f>
        <v/>
      </c>
      <c r="D96" s="12" t="str">
        <f>","&amp;fieldcreatorv2!B99&amp;" "&amp;I96&amp;"("&amp;J96&amp;")"</f>
        <v>, ()</v>
      </c>
      <c r="E96" s="12"/>
      <c r="F96" s="12"/>
      <c r="G96" s="12"/>
      <c r="H96" s="23" t="str">
        <f>IF(fieldcreatorv2!C99="","",fieldcreatorv2!C99)</f>
        <v/>
      </c>
      <c r="I96" s="23" t="str">
        <f>IF(fieldcreatorv2!Z99="","",fieldcreatorv2!Z99)</f>
        <v/>
      </c>
      <c r="J96" s="23" t="str">
        <f>IF(fieldcreatorv2!D99="","",fieldcreatorv2!D99)</f>
        <v/>
      </c>
      <c r="K96" s="12"/>
      <c r="L96" s="12"/>
      <c r="M96" s="12"/>
      <c r="N96" s="12"/>
      <c r="O96" s="12"/>
      <c r="P96" s="12"/>
    </row>
    <row r="97" spans="1:16">
      <c r="A97" s="17" t="str">
        <f>IF(OR(fieldcreatorv2!BB100="",fieldcreatorv2!E100=fieldcreatorv2!$M$9),"",IF(OR(fieldcreatorv2!E100="radio",fieldcreatorv2!E100="selectlist"),D97,B97))</f>
        <v/>
      </c>
      <c r="B97" s="12" t="str">
        <f t="shared" si="1"/>
        <v/>
      </c>
      <c r="C97" s="12" t="str">
        <f>+IF(fieldcreatorv2!E100="radio","radiocondition",B97)</f>
        <v/>
      </c>
      <c r="D97" s="12" t="str">
        <f>","&amp;fieldcreatorv2!B100&amp;" "&amp;I97&amp;"("&amp;J97&amp;")"</f>
        <v>, ()</v>
      </c>
      <c r="E97" s="12"/>
      <c r="F97" s="12"/>
      <c r="G97" s="12"/>
      <c r="H97" s="23" t="str">
        <f>IF(fieldcreatorv2!C100="","",fieldcreatorv2!C100)</f>
        <v/>
      </c>
      <c r="I97" s="23" t="str">
        <f>IF(fieldcreatorv2!Z100="","",fieldcreatorv2!Z100)</f>
        <v/>
      </c>
      <c r="J97" s="23" t="str">
        <f>IF(fieldcreatorv2!D100="","",fieldcreatorv2!D100)</f>
        <v/>
      </c>
      <c r="K97" s="12"/>
      <c r="L97" s="12"/>
      <c r="M97" s="12"/>
      <c r="N97" s="12"/>
      <c r="O97" s="12"/>
      <c r="P97" s="12"/>
    </row>
    <row r="98" spans="1:16">
      <c r="A98" s="17" t="str">
        <f>IF(OR(fieldcreatorv2!BB101="",fieldcreatorv2!E101=fieldcreatorv2!$M$9),"",IF(OR(fieldcreatorv2!E101="radio",fieldcreatorv2!E101="selectlist"),D98,B98))</f>
        <v/>
      </c>
      <c r="B98" s="12" t="str">
        <f t="shared" si="1"/>
        <v/>
      </c>
      <c r="C98" s="12" t="str">
        <f>+IF(fieldcreatorv2!E101="radio","radiocondition",B98)</f>
        <v/>
      </c>
      <c r="D98" s="12" t="str">
        <f>","&amp;fieldcreatorv2!B101&amp;" "&amp;I98&amp;"("&amp;J98&amp;")"</f>
        <v>, ()</v>
      </c>
      <c r="E98" s="12"/>
      <c r="F98" s="12"/>
      <c r="G98" s="12"/>
      <c r="H98" s="23" t="str">
        <f>IF(fieldcreatorv2!C101="","",fieldcreatorv2!C101)</f>
        <v/>
      </c>
      <c r="I98" s="23" t="str">
        <f>IF(fieldcreatorv2!Z101="","",fieldcreatorv2!Z101)</f>
        <v/>
      </c>
      <c r="J98" s="23" t="str">
        <f>IF(fieldcreatorv2!D101="","",fieldcreatorv2!D101)</f>
        <v/>
      </c>
      <c r="K98" s="12"/>
      <c r="L98" s="12"/>
      <c r="M98" s="12"/>
      <c r="N98" s="12"/>
      <c r="O98" s="12"/>
      <c r="P98" s="12"/>
    </row>
    <row r="99" spans="1:16">
      <c r="A99" s="17" t="str">
        <f>IF(OR(fieldcreatorv2!BB102="",fieldcreatorv2!E102=fieldcreatorv2!$M$9),"",IF(OR(fieldcreatorv2!E102="radio",fieldcreatorv2!E102="selectlist"),D99,B99))</f>
        <v/>
      </c>
      <c r="B99" s="12" t="str">
        <f t="shared" si="1"/>
        <v/>
      </c>
      <c r="C99" s="12" t="str">
        <f>+IF(fieldcreatorv2!E102="radio","radiocondition",B99)</f>
        <v/>
      </c>
      <c r="D99" s="12" t="str">
        <f>","&amp;fieldcreatorv2!B102&amp;" "&amp;I99&amp;"("&amp;J99&amp;")"</f>
        <v>, ()</v>
      </c>
      <c r="E99" s="12"/>
      <c r="F99" s="12"/>
      <c r="G99" s="12"/>
      <c r="H99" s="23" t="str">
        <f>IF(fieldcreatorv2!C102="","",fieldcreatorv2!C102)</f>
        <v/>
      </c>
      <c r="I99" s="23" t="str">
        <f>IF(fieldcreatorv2!Z102="","",fieldcreatorv2!Z102)</f>
        <v/>
      </c>
      <c r="J99" s="23" t="str">
        <f>IF(fieldcreatorv2!D102="","",fieldcreatorv2!D102)</f>
        <v/>
      </c>
      <c r="K99" s="12"/>
      <c r="L99" s="12"/>
      <c r="M99" s="12"/>
      <c r="N99" s="12"/>
      <c r="O99" s="12"/>
      <c r="P99" s="12"/>
    </row>
    <row r="100" spans="1:16">
      <c r="A100" s="17" t="str">
        <f>IF(OR(fieldcreatorv2!BB103="",fieldcreatorv2!E103=fieldcreatorv2!$M$9),"",IF(OR(fieldcreatorv2!E103="radio",fieldcreatorv2!E103="selectlist"),D100,B100))</f>
        <v/>
      </c>
      <c r="B100" s="12" t="str">
        <f t="shared" si="1"/>
        <v/>
      </c>
      <c r="C100" s="12" t="str">
        <f>+IF(fieldcreatorv2!E103="radio","radiocondition",B100)</f>
        <v/>
      </c>
      <c r="D100" s="12" t="str">
        <f>","&amp;fieldcreatorv2!B103&amp;" "&amp;I100&amp;"("&amp;J100&amp;")"</f>
        <v>, ()</v>
      </c>
      <c r="E100" s="12"/>
      <c r="F100" s="12"/>
      <c r="G100" s="12"/>
      <c r="H100" s="23" t="str">
        <f>IF(fieldcreatorv2!C103="","",fieldcreatorv2!C103)</f>
        <v/>
      </c>
      <c r="I100" s="23" t="str">
        <f>IF(fieldcreatorv2!Z103="","",fieldcreatorv2!Z103)</f>
        <v/>
      </c>
      <c r="J100" s="23" t="str">
        <f>IF(fieldcreatorv2!D103="","",fieldcreatorv2!D103)</f>
        <v/>
      </c>
      <c r="K100" s="12"/>
      <c r="L100" s="12"/>
      <c r="M100" s="12"/>
      <c r="N100" s="12"/>
      <c r="O100" s="12"/>
      <c r="P100" s="12"/>
    </row>
    <row r="101" spans="1:16">
      <c r="A101" s="17" t="str">
        <f>IF(OR(fieldcreatorv2!BB104="",fieldcreatorv2!E104=fieldcreatorv2!$M$9),"",IF(OR(fieldcreatorv2!E104="radio",fieldcreatorv2!E104="selectlist"),D101,B101))</f>
        <v/>
      </c>
      <c r="B101" s="12" t="str">
        <f t="shared" si="1"/>
        <v/>
      </c>
      <c r="C101" s="12" t="str">
        <f>+IF(fieldcreatorv2!E104="radio","radiocondition",B101)</f>
        <v/>
      </c>
      <c r="D101" s="12" t="str">
        <f>","&amp;fieldcreatorv2!B104&amp;" "&amp;I101&amp;"("&amp;J101&amp;")"</f>
        <v>, ()</v>
      </c>
      <c r="E101" s="12"/>
      <c r="F101" s="12"/>
      <c r="G101" s="12"/>
      <c r="H101" s="23" t="str">
        <f>IF(fieldcreatorv2!C104="","",fieldcreatorv2!C104)</f>
        <v/>
      </c>
      <c r="I101" s="23" t="str">
        <f>IF(fieldcreatorv2!Z104="","",fieldcreatorv2!Z104)</f>
        <v/>
      </c>
      <c r="J101" s="23" t="str">
        <f>IF(fieldcreatorv2!D104="","",fieldcreatorv2!D104)</f>
        <v/>
      </c>
      <c r="K101" s="12"/>
      <c r="L101" s="12"/>
      <c r="M101" s="12"/>
      <c r="N101" s="12"/>
      <c r="O101" s="12"/>
      <c r="P101" s="12"/>
    </row>
    <row r="102" spans="1:16">
      <c r="A102" s="17" t="str">
        <f>IF(OR(fieldcreatorv2!BB105="",fieldcreatorv2!E105=fieldcreatorv2!$M$9),"",IF(OR(fieldcreatorv2!E105="radio",fieldcreatorv2!E105="selectlist"),D102,B102))</f>
        <v/>
      </c>
      <c r="B102" s="12" t="str">
        <f t="shared" si="1"/>
        <v/>
      </c>
      <c r="C102" s="12" t="str">
        <f>+IF(fieldcreatorv2!E105="radio","radiocondition",B102)</f>
        <v/>
      </c>
      <c r="D102" s="12" t="str">
        <f>","&amp;fieldcreatorv2!B105&amp;" "&amp;I102&amp;"("&amp;J102&amp;")"</f>
        <v>, ()</v>
      </c>
      <c r="E102" s="12"/>
      <c r="F102" s="12"/>
      <c r="G102" s="12"/>
      <c r="H102" s="23" t="str">
        <f>IF(fieldcreatorv2!C105="","",fieldcreatorv2!C105)</f>
        <v/>
      </c>
      <c r="I102" s="23" t="str">
        <f>IF(fieldcreatorv2!Z105="","",fieldcreatorv2!Z105)</f>
        <v/>
      </c>
      <c r="J102" s="23" t="str">
        <f>IF(fieldcreatorv2!D105="","",fieldcreatorv2!D105)</f>
        <v/>
      </c>
      <c r="K102" s="12"/>
      <c r="L102" s="12"/>
      <c r="M102" s="12"/>
      <c r="N102" s="12"/>
      <c r="O102" s="12"/>
      <c r="P102" s="12"/>
    </row>
    <row r="103" spans="1:16">
      <c r="A103" s="17" t="str">
        <f>IF(OR(fieldcreatorv2!BB106="",fieldcreatorv2!E106=fieldcreatorv2!$M$9),"",IF(OR(fieldcreatorv2!E106="radio",fieldcreatorv2!E106="selectlist"),D103,B103))</f>
        <v/>
      </c>
      <c r="B103" s="12" t="str">
        <f t="shared" si="1"/>
        <v/>
      </c>
      <c r="C103" s="12" t="str">
        <f>+IF(fieldcreatorv2!E106="radio","radiocondition",B103)</f>
        <v/>
      </c>
      <c r="D103" s="12" t="str">
        <f>","&amp;fieldcreatorv2!B106&amp;" "&amp;I103&amp;"("&amp;J103&amp;")"</f>
        <v>, ()</v>
      </c>
      <c r="E103" s="12"/>
      <c r="F103" s="12"/>
      <c r="G103" s="12"/>
      <c r="H103" s="23" t="str">
        <f>IF(fieldcreatorv2!C106="","",fieldcreatorv2!C106)</f>
        <v/>
      </c>
      <c r="I103" s="23" t="str">
        <f>IF(fieldcreatorv2!Z106="","",fieldcreatorv2!Z106)</f>
        <v/>
      </c>
      <c r="J103" s="23" t="str">
        <f>IF(fieldcreatorv2!D106="","",fieldcreatorv2!D106)</f>
        <v/>
      </c>
      <c r="K103" s="12"/>
      <c r="L103" s="12"/>
      <c r="M103" s="12"/>
      <c r="N103" s="12"/>
      <c r="O103" s="12"/>
      <c r="P103" s="12"/>
    </row>
    <row r="104" spans="1:16">
      <c r="A104" s="17" t="str">
        <f>IF(OR(fieldcreatorv2!BB107="",fieldcreatorv2!E107=fieldcreatorv2!$M$9),"",IF(OR(fieldcreatorv2!E107="radio",fieldcreatorv2!E107="selectlist"),D104,B104))</f>
        <v/>
      </c>
      <c r="B104" s="12" t="str">
        <f t="shared" si="1"/>
        <v/>
      </c>
      <c r="C104" s="12" t="str">
        <f>+IF(fieldcreatorv2!E107="radio","radiocondition",B104)</f>
        <v/>
      </c>
      <c r="D104" s="12" t="str">
        <f>","&amp;fieldcreatorv2!B107&amp;" "&amp;I104&amp;"("&amp;J104&amp;")"</f>
        <v>, ()</v>
      </c>
      <c r="E104" s="12"/>
      <c r="F104" s="12"/>
      <c r="G104" s="12"/>
      <c r="H104" s="23" t="str">
        <f>IF(fieldcreatorv2!C107="","",fieldcreatorv2!C107)</f>
        <v/>
      </c>
      <c r="I104" s="23" t="str">
        <f>IF(fieldcreatorv2!Z107="","",fieldcreatorv2!Z107)</f>
        <v/>
      </c>
      <c r="J104" s="23" t="str">
        <f>IF(fieldcreatorv2!D107="","",fieldcreatorv2!D107)</f>
        <v/>
      </c>
      <c r="K104" s="12"/>
      <c r="L104" s="12"/>
      <c r="M104" s="12"/>
      <c r="N104" s="12"/>
      <c r="O104" s="12"/>
      <c r="P104" s="12"/>
    </row>
    <row r="105" spans="1:16">
      <c r="A105" s="17" t="str">
        <f>IF(OR(fieldcreatorv2!BB108="",fieldcreatorv2!E108=fieldcreatorv2!$M$9),"",IF(OR(fieldcreatorv2!E108="radio",fieldcreatorv2!E108="selectlist"),D105,B105))</f>
        <v/>
      </c>
      <c r="B105" s="12" t="str">
        <f t="shared" si="1"/>
        <v/>
      </c>
      <c r="C105" s="12" t="str">
        <f>+IF(fieldcreatorv2!E108="radio","radiocondition",B105)</f>
        <v/>
      </c>
      <c r="D105" s="12" t="str">
        <f>","&amp;fieldcreatorv2!B108&amp;" "&amp;I105&amp;"("&amp;J105&amp;")"</f>
        <v>, ()</v>
      </c>
      <c r="E105" s="12"/>
      <c r="F105" s="12"/>
      <c r="G105" s="12"/>
      <c r="H105" s="23" t="str">
        <f>IF(fieldcreatorv2!C108="","",fieldcreatorv2!C108)</f>
        <v/>
      </c>
      <c r="I105" s="23" t="str">
        <f>IF(fieldcreatorv2!Z108="","",fieldcreatorv2!Z108)</f>
        <v/>
      </c>
      <c r="J105" s="23" t="str">
        <f>IF(fieldcreatorv2!D108="","",fieldcreatorv2!D108)</f>
        <v/>
      </c>
      <c r="K105" s="12"/>
      <c r="L105" s="12"/>
      <c r="M105" s="12"/>
      <c r="N105" s="12"/>
      <c r="O105" s="12"/>
      <c r="P105" s="12"/>
    </row>
    <row r="106" spans="1:16">
      <c r="A106" s="17" t="str">
        <f>IF(OR(fieldcreatorv2!BB109="",fieldcreatorv2!E109=fieldcreatorv2!$M$9),"",IF(OR(fieldcreatorv2!E109="radio",fieldcreatorv2!E109="selectlist"),D106,B106))</f>
        <v/>
      </c>
      <c r="B106" s="12" t="str">
        <f t="shared" si="1"/>
        <v/>
      </c>
      <c r="C106" s="12" t="str">
        <f>+IF(fieldcreatorv2!E109="radio","radiocondition",B106)</f>
        <v/>
      </c>
      <c r="D106" s="12" t="str">
        <f>","&amp;fieldcreatorv2!B109&amp;" "&amp;I106&amp;"("&amp;J106&amp;")"</f>
        <v>, ()</v>
      </c>
      <c r="E106" s="12"/>
      <c r="F106" s="12"/>
      <c r="G106" s="12"/>
      <c r="H106" s="23" t="str">
        <f>IF(fieldcreatorv2!C109="","",fieldcreatorv2!C109)</f>
        <v/>
      </c>
      <c r="I106" s="23" t="str">
        <f>IF(fieldcreatorv2!Z109="","",fieldcreatorv2!Z109)</f>
        <v/>
      </c>
      <c r="J106" s="23" t="str">
        <f>IF(fieldcreatorv2!D109="","",fieldcreatorv2!D109)</f>
        <v/>
      </c>
      <c r="K106" s="12"/>
      <c r="L106" s="12"/>
      <c r="M106" s="12"/>
      <c r="N106" s="12"/>
      <c r="O106" s="12"/>
      <c r="P106" s="12"/>
    </row>
    <row r="107" spans="1:16">
      <c r="A107" s="17" t="str">
        <f>IF(OR(fieldcreatorv2!BB110="",fieldcreatorv2!E110=fieldcreatorv2!$M$9),"",IF(OR(fieldcreatorv2!E110="radio",fieldcreatorv2!E110="selectlist"),D107,B107))</f>
        <v/>
      </c>
      <c r="B107" s="12" t="str">
        <f t="shared" si="1"/>
        <v/>
      </c>
      <c r="C107" s="12" t="str">
        <f>+IF(fieldcreatorv2!E110="radio","radiocondition",B107)</f>
        <v/>
      </c>
      <c r="D107" s="12" t="str">
        <f>","&amp;fieldcreatorv2!B110&amp;" "&amp;I107&amp;"("&amp;J107&amp;")"</f>
        <v>, ()</v>
      </c>
      <c r="E107" s="12"/>
      <c r="F107" s="12"/>
      <c r="G107" s="12"/>
      <c r="H107" s="23" t="str">
        <f>IF(fieldcreatorv2!C110="","",fieldcreatorv2!C110)</f>
        <v/>
      </c>
      <c r="I107" s="23" t="str">
        <f>IF(fieldcreatorv2!Z110="","",fieldcreatorv2!Z110)</f>
        <v/>
      </c>
      <c r="J107" s="23" t="str">
        <f>IF(fieldcreatorv2!D110="","",fieldcreatorv2!D110)</f>
        <v/>
      </c>
      <c r="K107" s="12"/>
      <c r="L107" s="12"/>
      <c r="M107" s="12"/>
      <c r="N107" s="12"/>
      <c r="O107" s="12"/>
      <c r="P107" s="12"/>
    </row>
    <row r="108" spans="1:16">
      <c r="A108" s="17" t="str">
        <f>IF(OR(fieldcreatorv2!BB111="",fieldcreatorv2!E111=fieldcreatorv2!$M$9),"",IF(OR(fieldcreatorv2!E111="radio",fieldcreatorv2!E111="selectlist"),D108,B108))</f>
        <v/>
      </c>
      <c r="B108" s="12" t="str">
        <f t="shared" si="1"/>
        <v/>
      </c>
      <c r="C108" s="12" t="str">
        <f>+IF(fieldcreatorv2!E111="radio","radiocondition",B108)</f>
        <v/>
      </c>
      <c r="D108" s="12" t="str">
        <f>","&amp;fieldcreatorv2!B111&amp;" "&amp;I108&amp;"("&amp;J108&amp;")"</f>
        <v>, ()</v>
      </c>
      <c r="E108" s="12"/>
      <c r="F108" s="12"/>
      <c r="G108" s="12"/>
      <c r="H108" s="23" t="str">
        <f>IF(fieldcreatorv2!C111="","",fieldcreatorv2!C111)</f>
        <v/>
      </c>
      <c r="I108" s="23" t="str">
        <f>IF(fieldcreatorv2!Z111="","",fieldcreatorv2!Z111)</f>
        <v/>
      </c>
      <c r="J108" s="23" t="str">
        <f>IF(fieldcreatorv2!D111="","",fieldcreatorv2!D111)</f>
        <v/>
      </c>
      <c r="K108" s="12"/>
      <c r="L108" s="12"/>
      <c r="M108" s="12"/>
      <c r="N108" s="12"/>
      <c r="O108" s="12"/>
      <c r="P108" s="12"/>
    </row>
    <row r="109" spans="1:16">
      <c r="A109" s="17" t="str">
        <f>IF(OR(fieldcreatorv2!BB112="",fieldcreatorv2!E112=fieldcreatorv2!$M$9),"",IF(OR(fieldcreatorv2!E112="radio",fieldcreatorv2!E112="selectlist"),D109,B109))</f>
        <v/>
      </c>
      <c r="B109" s="12" t="str">
        <f t="shared" si="1"/>
        <v/>
      </c>
      <c r="C109" s="12" t="str">
        <f>+IF(fieldcreatorv2!E112="radio","radiocondition",B109)</f>
        <v/>
      </c>
      <c r="D109" s="12" t="str">
        <f>","&amp;fieldcreatorv2!B112&amp;" "&amp;I109&amp;"("&amp;J109&amp;")"</f>
        <v>, ()</v>
      </c>
      <c r="E109" s="12"/>
      <c r="F109" s="12"/>
      <c r="G109" s="12"/>
      <c r="H109" s="23" t="str">
        <f>IF(fieldcreatorv2!C112="","",fieldcreatorv2!C112)</f>
        <v/>
      </c>
      <c r="I109" s="23" t="str">
        <f>IF(fieldcreatorv2!Z112="","",fieldcreatorv2!Z112)</f>
        <v/>
      </c>
      <c r="J109" s="23" t="str">
        <f>IF(fieldcreatorv2!D112="","",fieldcreatorv2!D112)</f>
        <v/>
      </c>
      <c r="K109" s="12"/>
      <c r="L109" s="12"/>
      <c r="M109" s="12"/>
      <c r="N109" s="12"/>
      <c r="O109" s="12"/>
      <c r="P109" s="12"/>
    </row>
    <row r="110" spans="1:16">
      <c r="A110" s="17" t="str">
        <f>IF(OR(fieldcreatorv2!BB113="",fieldcreatorv2!E113=fieldcreatorv2!$M$9),"",IF(OR(fieldcreatorv2!E113="radio",fieldcreatorv2!E113="selectlist"),D110,B110))</f>
        <v/>
      </c>
      <c r="B110" s="12" t="str">
        <f t="shared" si="1"/>
        <v/>
      </c>
      <c r="C110" s="12" t="str">
        <f>+IF(fieldcreatorv2!E113="radio","radiocondition",B110)</f>
        <v/>
      </c>
      <c r="D110" s="12" t="str">
        <f>","&amp;fieldcreatorv2!B113&amp;" "&amp;I110&amp;"("&amp;J110&amp;")"</f>
        <v>, ()</v>
      </c>
      <c r="E110" s="12"/>
      <c r="F110" s="12"/>
      <c r="G110" s="12"/>
      <c r="H110" s="23" t="str">
        <f>IF(fieldcreatorv2!C113="","",fieldcreatorv2!C113)</f>
        <v/>
      </c>
      <c r="I110" s="23" t="str">
        <f>IF(fieldcreatorv2!Z113="","",fieldcreatorv2!Z113)</f>
        <v/>
      </c>
      <c r="J110" s="23" t="str">
        <f>IF(fieldcreatorv2!D113="","",fieldcreatorv2!D113)</f>
        <v/>
      </c>
      <c r="K110" s="12"/>
      <c r="L110" s="12"/>
      <c r="M110" s="12"/>
      <c r="N110" s="12"/>
      <c r="O110" s="12"/>
      <c r="P110" s="12"/>
    </row>
    <row r="111" spans="1:16">
      <c r="A111" s="17" t="str">
        <f>IF(OR(fieldcreatorv2!BB114="",fieldcreatorv2!E114=fieldcreatorv2!$M$9),"",IF(OR(fieldcreatorv2!E114="radio",fieldcreatorv2!E114="selectlist"),D111,B111))</f>
        <v/>
      </c>
      <c r="B111" s="12" t="str">
        <f t="shared" si="1"/>
        <v/>
      </c>
      <c r="C111" s="12" t="str">
        <f>+IF(fieldcreatorv2!E114="radio","radiocondition",B111)</f>
        <v/>
      </c>
      <c r="D111" s="12" t="str">
        <f>","&amp;fieldcreatorv2!B114&amp;" "&amp;I111&amp;"("&amp;J111&amp;")"</f>
        <v>, ()</v>
      </c>
      <c r="E111" s="12"/>
      <c r="F111" s="12"/>
      <c r="G111" s="12"/>
      <c r="H111" s="23" t="str">
        <f>IF(fieldcreatorv2!C114="","",fieldcreatorv2!C114)</f>
        <v/>
      </c>
      <c r="I111" s="23" t="str">
        <f>IF(fieldcreatorv2!Z114="","",fieldcreatorv2!Z114)</f>
        <v/>
      </c>
      <c r="J111" s="23" t="str">
        <f>IF(fieldcreatorv2!D114="","",fieldcreatorv2!D114)</f>
        <v/>
      </c>
      <c r="K111" s="12"/>
      <c r="L111" s="12"/>
      <c r="M111" s="12"/>
      <c r="N111" s="12"/>
      <c r="O111" s="12"/>
      <c r="P111" s="12"/>
    </row>
    <row r="112" spans="1:16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</row>
    <row r="113" spans="1:16">
      <c r="A113" s="12" t="s">
        <v>1250</v>
      </c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</row>
    <row r="114" spans="1:16">
      <c r="A114" s="12" t="s">
        <v>125</v>
      </c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</row>
    <row r="115" spans="1:16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</row>
    <row r="116" spans="1:16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</row>
    <row r="117" spans="1:16">
      <c r="A117" s="12" t="s">
        <v>126</v>
      </c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</row>
    <row r="118" spans="1:16">
      <c r="A118" s="12" t="s">
        <v>107</v>
      </c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</row>
    <row r="119" spans="1:16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</row>
    <row r="120" spans="1:16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</row>
    <row r="121" spans="1:16" hidden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</row>
    <row r="122" spans="1:16" ht="15" hidden="1" customHeight="1"/>
    <row r="123" spans="1:16" ht="15" hidden="1" customHeight="1"/>
    <row r="124" spans="1:16" ht="15" hidden="1" customHeight="1"/>
    <row r="125" spans="1:16" ht="15" hidden="1" customHeight="1"/>
    <row r="126" spans="1:16" ht="15" hidden="1" customHeight="1"/>
    <row r="127" spans="1:16" ht="15" hidden="1" customHeight="1"/>
    <row r="128" spans="1:16" ht="15" hidden="1" customHeight="1"/>
    <row r="129" ht="15" hidden="1" customHeight="1"/>
    <row r="130" ht="15" hidden="1" customHeight="1"/>
    <row r="131" ht="15" hidden="1" customHeight="1"/>
    <row r="132" ht="15" hidden="1" customHeight="1"/>
    <row r="133" ht="15" hidden="1" customHeight="1"/>
    <row r="134" ht="15" hidden="1" customHeight="1"/>
    <row r="135" ht="15" hidden="1" customHeight="1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/>
  <dimension ref="A1:DH799"/>
  <sheetViews>
    <sheetView topLeftCell="A13" zoomScale="80" zoomScaleNormal="80" workbookViewId="0">
      <selection activeCell="M30" sqref="M30"/>
    </sheetView>
  </sheetViews>
  <sheetFormatPr baseColWidth="10" defaultRowHeight="15"/>
  <cols>
    <col min="1" max="1" width="3.7109375" style="12" customWidth="1"/>
    <col min="2" max="2" width="32.42578125" style="12" customWidth="1"/>
    <col min="3" max="3" width="8.140625" style="12" customWidth="1"/>
    <col min="4" max="4" width="6.5703125" style="12" customWidth="1"/>
    <col min="5" max="5" width="4.7109375" style="12" customWidth="1"/>
    <col min="6" max="8" width="11.42578125" style="12"/>
    <col min="9" max="9" width="14.85546875" style="12" customWidth="1"/>
    <col min="10" max="10" width="10" style="12" customWidth="1"/>
    <col min="11" max="11" width="23.7109375" style="12" customWidth="1"/>
    <col min="12" max="12" width="8" style="12" customWidth="1"/>
    <col min="13" max="28" width="11.42578125" style="12"/>
    <col min="29" max="29" width="7" style="12" bestFit="1" customWidth="1"/>
    <col min="30" max="32" width="0.140625" style="12" customWidth="1"/>
    <col min="33" max="33" width="15.28515625" style="12" bestFit="1" customWidth="1"/>
    <col min="34" max="37" width="0.28515625" style="12" customWidth="1"/>
    <col min="38" max="38" width="13.42578125" style="12" customWidth="1"/>
    <col min="39" max="40" width="3.28515625" style="12" customWidth="1"/>
    <col min="41" max="41" width="10.7109375" style="12" customWidth="1"/>
    <col min="42" max="42" width="11.5703125" style="12" customWidth="1"/>
    <col min="43" max="43" width="10.140625" style="12" customWidth="1"/>
    <col min="44" max="44" width="10.28515625" style="12" customWidth="1"/>
    <col min="45" max="45" width="11" style="12" customWidth="1"/>
    <col min="46" max="47" width="1" style="12" customWidth="1"/>
    <col min="48" max="48" width="19.140625" style="12" customWidth="1"/>
    <col min="49" max="49" width="12.85546875" style="12" customWidth="1"/>
    <col min="50" max="50" width="11.42578125" style="12" customWidth="1"/>
    <col min="51" max="51" width="25.42578125" style="12" customWidth="1"/>
    <col min="52" max="52" width="10.28515625" style="12" customWidth="1"/>
    <col min="53" max="53" width="16.28515625" style="12" customWidth="1"/>
    <col min="54" max="54" width="25.7109375" style="12" customWidth="1"/>
    <col min="55" max="55" width="10.5703125" style="12" customWidth="1"/>
    <col min="56" max="56" width="19" style="12" customWidth="1"/>
    <col min="57" max="57" width="17.140625" style="12" customWidth="1"/>
    <col min="58" max="58" width="2.140625" style="12" customWidth="1"/>
    <col min="59" max="59" width="18.28515625" style="12" customWidth="1"/>
    <col min="60" max="60" width="30" style="12" customWidth="1"/>
    <col min="61" max="61" width="19.140625" style="12" customWidth="1"/>
    <col min="62" max="62" width="0.140625" style="12" customWidth="1"/>
    <col min="63" max="63" width="5.85546875" style="12" customWidth="1"/>
    <col min="64" max="66" width="0.140625" style="12" customWidth="1"/>
    <col min="67" max="67" width="2.85546875" style="12" customWidth="1"/>
    <col min="68" max="68" width="12.42578125" style="12" customWidth="1"/>
    <col min="69" max="70" width="0.140625" style="12" customWidth="1"/>
    <col min="71" max="71" width="9.140625" style="12" customWidth="1"/>
    <col min="72" max="72" width="4.42578125" style="12" customWidth="1"/>
    <col min="73" max="73" width="5.140625" style="12" customWidth="1"/>
    <col min="74" max="74" width="11.5703125" style="12" bestFit="1" customWidth="1"/>
    <col min="75" max="75" width="11.42578125" style="12"/>
    <col min="76" max="76" width="13.28515625" style="12" customWidth="1"/>
    <col min="77" max="81" width="0.85546875" style="12" customWidth="1"/>
    <col min="82" max="82" width="11.85546875" style="12" customWidth="1"/>
    <col min="83" max="84" width="11.42578125" style="12"/>
    <col min="85" max="85" width="11.85546875" style="12" bestFit="1" customWidth="1"/>
    <col min="86" max="86" width="7.28515625" style="12" customWidth="1"/>
    <col min="87" max="87" width="17.85546875" style="12" customWidth="1"/>
    <col min="88" max="88" width="6.85546875" style="12" customWidth="1"/>
    <col min="89" max="89" width="9.140625" style="12" customWidth="1"/>
    <col min="90" max="90" width="8.140625" style="12" customWidth="1"/>
    <col min="91" max="91" width="7.140625" style="12" customWidth="1"/>
    <col min="92" max="92" width="10.5703125" style="12" customWidth="1"/>
    <col min="93" max="98" width="11.42578125" style="12"/>
    <col min="99" max="99" width="4.85546875" style="12" customWidth="1"/>
    <col min="100" max="101" width="11.42578125" style="12"/>
    <col min="102" max="103" width="7.140625" style="12" customWidth="1"/>
    <col min="104" max="104" width="19.140625" style="12" customWidth="1"/>
    <col min="105" max="106" width="11.42578125" style="12"/>
    <col min="107" max="107" width="10.5703125" style="12" customWidth="1"/>
    <col min="108" max="16384" width="11.42578125" style="12"/>
  </cols>
  <sheetData>
    <row r="1" spans="1:112" s="196" customFormat="1" hidden="1">
      <c r="A1" s="198" t="s">
        <v>164</v>
      </c>
      <c r="B1" s="148" t="s">
        <v>192</v>
      </c>
      <c r="C1" s="199" t="s">
        <v>43</v>
      </c>
      <c r="D1" s="199" t="s">
        <v>312</v>
      </c>
      <c r="E1" s="200" t="str">
        <f>+IF(SUM(BK15:BK114)&gt;0,E5&amp;M15&amp;E6,"")</f>
        <v xml:space="preserve">$already_exist_result = mysql_query("SELECT * FROM uniqueJesus WHERE </v>
      </c>
      <c r="F1" s="148" t="s">
        <v>348</v>
      </c>
      <c r="G1" s="200" t="str">
        <f>+IF(F12="session_true","session_start();","")</f>
        <v>session_start();</v>
      </c>
      <c r="H1" s="198" t="s">
        <v>562</v>
      </c>
      <c r="I1" s="198" t="s">
        <v>385</v>
      </c>
      <c r="J1" s="201"/>
      <c r="K1" s="148" t="s">
        <v>503</v>
      </c>
      <c r="L1" s="199" t="s">
        <v>527</v>
      </c>
      <c r="M1" s="148" t="s">
        <v>589</v>
      </c>
      <c r="N1" s="148" t="s">
        <v>703</v>
      </c>
      <c r="O1" s="196" t="str">
        <f>""</f>
        <v/>
      </c>
      <c r="P1" s="196" t="str">
        <f>""</f>
        <v/>
      </c>
      <c r="Q1" s="196" t="str">
        <f>""</f>
        <v/>
      </c>
      <c r="R1" s="31" t="s">
        <v>132</v>
      </c>
      <c r="S1" s="32" t="s">
        <v>133</v>
      </c>
      <c r="T1" s="33" t="s">
        <v>139</v>
      </c>
    </row>
    <row r="2" spans="1:112" s="196" customFormat="1" hidden="1">
      <c r="A2" s="198" t="s">
        <v>165</v>
      </c>
      <c r="B2" s="148" t="s">
        <v>193</v>
      </c>
      <c r="C2" s="199" t="s">
        <v>54</v>
      </c>
      <c r="D2" s="198" t="s">
        <v>314</v>
      </c>
      <c r="E2" s="200" t="str">
        <f>+IF(SUM(BK15:BK114)&gt;0,E7,"")</f>
        <v xml:space="preserve"> "); $row_ae = mysql_fetch_array($already_exist_result);</v>
      </c>
      <c r="F2" s="148" t="str">
        <f>"'."</f>
        <v>'.</v>
      </c>
      <c r="G2" s="198" t="s">
        <v>560</v>
      </c>
      <c r="H2" s="148" t="s">
        <v>564</v>
      </c>
      <c r="I2" s="198" t="s">
        <v>387</v>
      </c>
      <c r="J2" s="201"/>
      <c r="K2" s="13" t="str">
        <f>"'"</f>
        <v>'</v>
      </c>
      <c r="L2" s="199" t="s">
        <v>532</v>
      </c>
      <c r="M2" s="148" t="str">
        <f>"'])) { header('Location:a01"</f>
        <v>'])) { header('Location:a01</v>
      </c>
      <c r="N2" s="148" t="s">
        <v>704</v>
      </c>
      <c r="O2" s="196" t="str">
        <f>""</f>
        <v/>
      </c>
      <c r="P2" s="196" t="str">
        <f>""</f>
        <v/>
      </c>
      <c r="Q2" s="196" t="str">
        <f>""</f>
        <v/>
      </c>
      <c r="R2" s="202" t="s">
        <v>111</v>
      </c>
      <c r="S2" s="203" t="s">
        <v>135</v>
      </c>
      <c r="T2" s="204" t="s">
        <v>24</v>
      </c>
    </row>
    <row r="3" spans="1:112" s="196" customFormat="1" hidden="1">
      <c r="A3" s="205" t="s">
        <v>166</v>
      </c>
      <c r="B3" s="200" t="str">
        <f>+IF(AND(COUNTIF(G15:G114,"si")=0,G10=0),"","if (")</f>
        <v>if (</v>
      </c>
      <c r="C3" s="199" t="s">
        <v>305</v>
      </c>
      <c r="D3" s="198" t="s">
        <v>315</v>
      </c>
      <c r="E3" s="200" t="str">
        <f>+IF(SUM(BK15:BK114)&gt;0,E8,"")</f>
        <v>if (!empty($row_ae[0])) {echo "Ya existe un registro con los datos "</v>
      </c>
      <c r="F3" s="199" t="s">
        <v>352</v>
      </c>
      <c r="G3" s="200" t="str">
        <f>+IF(M21=T2,C5&amp;"hiden"&amp;M19&amp;G4,"")</f>
        <v>$("#hiden1").hide();</v>
      </c>
      <c r="H3" s="198"/>
      <c r="I3" s="198" t="s">
        <v>390</v>
      </c>
      <c r="J3" s="201"/>
      <c r="K3" s="148" t="s">
        <v>504</v>
      </c>
      <c r="L3" s="199" t="s">
        <v>727</v>
      </c>
      <c r="M3" s="148" t="str">
        <f>"');}"</f>
        <v>');}</v>
      </c>
      <c r="N3" s="148" t="str">
        <f>"'];"</f>
        <v>'];</v>
      </c>
      <c r="O3" s="196" t="str">
        <f>""</f>
        <v/>
      </c>
      <c r="P3" s="196" t="str">
        <f>""</f>
        <v/>
      </c>
      <c r="Q3" s="196" t="str">
        <f>""</f>
        <v/>
      </c>
      <c r="R3" s="202" t="s">
        <v>113</v>
      </c>
      <c r="S3" s="203" t="s">
        <v>9</v>
      </c>
      <c r="T3" s="204" t="s">
        <v>48</v>
      </c>
    </row>
    <row r="4" spans="1:112" s="196" customFormat="1" hidden="1">
      <c r="A4" s="198" t="s">
        <v>167</v>
      </c>
      <c r="B4" s="196" t="s">
        <v>75</v>
      </c>
      <c r="C4" s="199" t="s">
        <v>306</v>
      </c>
      <c r="D4" s="117" t="s">
        <v>65</v>
      </c>
      <c r="E4" s="200" t="str">
        <f>+IF(SUM(BK15:BK114)&gt;0,E11&amp;" else {","")</f>
        <v>."&lt;br/&gt;";} else {</v>
      </c>
      <c r="F4" s="199" t="s">
        <v>353</v>
      </c>
      <c r="G4" s="198" t="s">
        <v>369</v>
      </c>
      <c r="H4" s="198" t="str">
        <f>"']);"</f>
        <v>']);</v>
      </c>
      <c r="I4" s="196" t="s">
        <v>65</v>
      </c>
      <c r="J4" s="201"/>
      <c r="K4" s="148" t="s">
        <v>407</v>
      </c>
      <c r="L4" s="148" t="s">
        <v>534</v>
      </c>
      <c r="M4" s="148" t="s">
        <v>650</v>
      </c>
      <c r="N4" s="148" t="s">
        <v>506</v>
      </c>
      <c r="O4" s="196" t="str">
        <f>""</f>
        <v/>
      </c>
      <c r="P4" s="196" t="str">
        <f>""</f>
        <v/>
      </c>
      <c r="Q4" s="196" t="str">
        <f>""</f>
        <v/>
      </c>
      <c r="R4" s="202" t="s">
        <v>114</v>
      </c>
      <c r="S4" s="203" t="s">
        <v>136</v>
      </c>
      <c r="T4" s="80" t="s">
        <v>37</v>
      </c>
    </row>
    <row r="5" spans="1:112" s="196" customFormat="1" hidden="1">
      <c r="A5" s="198" t="s">
        <v>187</v>
      </c>
      <c r="B5" s="200" t="str">
        <f>+IF(AND(COUNTIF(G15:G114,"si")=0,G10=0),"",") {")</f>
        <v>) {</v>
      </c>
      <c r="C5" s="206" t="s">
        <v>301</v>
      </c>
      <c r="D5" s="196" t="s">
        <v>316</v>
      </c>
      <c r="E5" s="148" t="s">
        <v>68</v>
      </c>
      <c r="F5" s="199" t="s">
        <v>355</v>
      </c>
      <c r="G5" s="198" t="s">
        <v>376</v>
      </c>
      <c r="H5" s="201"/>
      <c r="I5" s="205" t="s">
        <v>395</v>
      </c>
      <c r="J5" s="201"/>
      <c r="K5" s="148" t="s">
        <v>506</v>
      </c>
      <c r="L5" s="148" t="str">
        <f>+IF(SUM(CU15:CU114)&gt;0,L4,"")</f>
        <v>if (!empty($row_ae[0])) {</v>
      </c>
      <c r="M5" s="148" t="s">
        <v>651</v>
      </c>
      <c r="N5" s="148" t="str">
        <f>"mysql_select_db('"&amp;M17&amp;"', $con);"</f>
        <v>mysql_select_db('healmy5_pray', $con);</v>
      </c>
      <c r="O5" s="196" t="str">
        <f>""</f>
        <v/>
      </c>
      <c r="P5" s="196" t="str">
        <f>""</f>
        <v/>
      </c>
      <c r="Q5" s="196" t="str">
        <f>""</f>
        <v/>
      </c>
      <c r="R5" s="202" t="s">
        <v>109</v>
      </c>
      <c r="S5" s="203" t="s">
        <v>137</v>
      </c>
      <c r="T5" s="204" t="s">
        <v>38</v>
      </c>
    </row>
    <row r="6" spans="1:112" s="196" customFormat="1" hidden="1">
      <c r="A6" s="198" t="s">
        <v>188</v>
      </c>
      <c r="B6" s="200" t="str">
        <f>+IF(AND(COUNTIF(G15:G114,"si")=0,COUNTIF(F15:F114,"radio")=0),"",C5&amp;O19&amp;B10&amp;"NO PUEDE DEJAR CAMPOS VACIOS"&amp;B11&amp;";")</f>
        <v>$("#check1").html("NO PUEDE DEJAR CAMPOS VACIOS");</v>
      </c>
      <c r="C6" s="196" t="s">
        <v>303</v>
      </c>
      <c r="D6" s="76" t="s">
        <v>313</v>
      </c>
      <c r="E6" s="148" t="s">
        <v>21</v>
      </c>
      <c r="F6" s="199" t="s">
        <v>356</v>
      </c>
      <c r="G6" s="198" t="s">
        <v>371</v>
      </c>
      <c r="H6" s="201"/>
      <c r="I6" s="198" t="s">
        <v>396</v>
      </c>
      <c r="J6" s="201"/>
      <c r="K6" s="207" t="s">
        <v>507</v>
      </c>
      <c r="L6" s="148" t="str">
        <f>"$_SESSION['"&amp;O22</f>
        <v>$_SESSION['a01healmy5_pray_</v>
      </c>
      <c r="M6" s="148" t="str">
        <f>"'])&amp;&amp;"</f>
        <v>'])&amp;&amp;</v>
      </c>
      <c r="N6" s="12" t="s">
        <v>878</v>
      </c>
      <c r="O6" s="196" t="str">
        <f>""</f>
        <v/>
      </c>
      <c r="P6" s="196" t="str">
        <f>""</f>
        <v/>
      </c>
      <c r="Q6" s="196" t="str">
        <f>""</f>
        <v/>
      </c>
      <c r="R6" s="202"/>
      <c r="S6" s="203" t="s">
        <v>138</v>
      </c>
      <c r="T6" s="204" t="s">
        <v>398</v>
      </c>
    </row>
    <row r="7" spans="1:112" s="196" customFormat="1" hidden="1">
      <c r="A7" s="198" t="s">
        <v>189</v>
      </c>
      <c r="B7" s="200" t="str">
        <f>+IF(AND(COUNTIF(G15:G114,"si")=0,G10=0),"","} else {")</f>
        <v>} else {</v>
      </c>
      <c r="C7" s="199" t="s">
        <v>304</v>
      </c>
      <c r="D7" s="198" t="s">
        <v>318</v>
      </c>
      <c r="E7" s="148" t="s">
        <v>338</v>
      </c>
      <c r="F7" s="196" t="s">
        <v>29</v>
      </c>
      <c r="G7" s="198" t="s">
        <v>377</v>
      </c>
      <c r="H7" s="201"/>
      <c r="I7" s="148" t="s">
        <v>20</v>
      </c>
      <c r="J7" s="201"/>
      <c r="K7" s="148" t="str">
        <f>"';}"</f>
        <v>';}</v>
      </c>
      <c r="L7" s="148" t="str">
        <f>"']=$"</f>
        <v>']=$</v>
      </c>
      <c r="M7" s="148" t="s">
        <v>699</v>
      </c>
      <c r="N7" s="196" t="str">
        <f>""</f>
        <v/>
      </c>
      <c r="O7" s="196" t="str">
        <f>""</f>
        <v/>
      </c>
      <c r="P7" s="196" t="str">
        <f>""</f>
        <v/>
      </c>
      <c r="Q7" s="196" t="str">
        <f>""</f>
        <v/>
      </c>
      <c r="R7" s="202"/>
      <c r="S7" s="203" t="s">
        <v>131</v>
      </c>
      <c r="T7" s="204"/>
    </row>
    <row r="8" spans="1:112" s="196" customFormat="1" hidden="1">
      <c r="A8" s="198" t="s">
        <v>367</v>
      </c>
      <c r="B8" s="200" t="str">
        <f>+IF(AND(COUNTIF(G15:G114,"si")=0,G10=0),"","}")</f>
        <v>}</v>
      </c>
      <c r="C8" s="198" t="s">
        <v>371</v>
      </c>
      <c r="D8" s="148" t="s">
        <v>19</v>
      </c>
      <c r="E8" s="148" t="s">
        <v>342</v>
      </c>
      <c r="F8" s="198" t="s">
        <v>359</v>
      </c>
      <c r="G8" s="198" t="s">
        <v>378</v>
      </c>
      <c r="H8" s="201"/>
      <c r="I8" s="148" t="s">
        <v>399</v>
      </c>
      <c r="J8" s="148" t="s">
        <v>404</v>
      </c>
      <c r="K8" s="148" t="s">
        <v>724</v>
      </c>
      <c r="L8" s="148" t="s">
        <v>544</v>
      </c>
      <c r="M8" s="148" t="s">
        <v>700</v>
      </c>
      <c r="N8" s="196" t="str">
        <f>""</f>
        <v/>
      </c>
      <c r="O8" s="196" t="str">
        <f>""</f>
        <v/>
      </c>
      <c r="P8" s="196" t="str">
        <f>""</f>
        <v/>
      </c>
      <c r="Q8" s="196" t="str">
        <f>""</f>
        <v/>
      </c>
      <c r="R8" s="208" t="s">
        <v>509</v>
      </c>
      <c r="S8" s="209" t="s">
        <v>361</v>
      </c>
      <c r="T8" s="210"/>
    </row>
    <row r="9" spans="1:112" s="196" customFormat="1" hidden="1">
      <c r="A9" s="199" t="s">
        <v>86</v>
      </c>
      <c r="B9" s="200" t="str">
        <f>+IF(COUNTIF(G15:G114,"si")=0,"","set if code and proper brackets")</f>
        <v>set if code and proper brackets</v>
      </c>
      <c r="C9" s="199" t="s">
        <v>308</v>
      </c>
      <c r="D9" s="148" t="str">
        <f>"'])) {$"</f>
        <v>'])) {$</v>
      </c>
      <c r="E9" s="200" t="str">
        <f>+IF(SUM(BK15:BK114)&gt;0,"}","")</f>
        <v>}</v>
      </c>
      <c r="F9" s="198" t="s">
        <v>375</v>
      </c>
      <c r="G9" s="196" t="s">
        <v>379</v>
      </c>
      <c r="H9" s="148" t="s">
        <v>412</v>
      </c>
      <c r="I9" s="148" t="s">
        <v>858</v>
      </c>
      <c r="J9" s="207" t="s">
        <v>405</v>
      </c>
      <c r="K9" s="148" t="s">
        <v>510</v>
      </c>
      <c r="L9" s="148" t="str">
        <f>"'];"</f>
        <v>'];</v>
      </c>
      <c r="M9" s="196" t="s">
        <v>549</v>
      </c>
      <c r="N9" s="196" t="str">
        <f>""</f>
        <v/>
      </c>
      <c r="O9" s="196" t="str">
        <f>""</f>
        <v/>
      </c>
      <c r="P9" s="196" t="str">
        <f>""</f>
        <v/>
      </c>
      <c r="Q9" s="196" t="str">
        <f>""</f>
        <v/>
      </c>
    </row>
    <row r="10" spans="1:112" s="196" customFormat="1" hidden="1">
      <c r="A10" s="199" t="s">
        <v>16</v>
      </c>
      <c r="B10" s="198" t="s">
        <v>297</v>
      </c>
      <c r="C10" s="199" t="s">
        <v>307</v>
      </c>
      <c r="D10" s="207" t="s">
        <v>44</v>
      </c>
      <c r="E10" s="148" t="s">
        <v>341</v>
      </c>
      <c r="F10" s="199" t="s">
        <v>161</v>
      </c>
      <c r="G10" s="196">
        <f>+COUNTIF(F15:F114,"radio")</f>
        <v>7</v>
      </c>
      <c r="H10" s="148" t="str">
        <f>"'])) "</f>
        <v xml:space="preserve">'])) </v>
      </c>
      <c r="I10" s="148" t="str">
        <f>"); if (!$con)  {die('Could not connect: ' . mysql_error());}  "</f>
        <v xml:space="preserve">); if (!$con)  {die('Could not connect: ' . mysql_error());}  </v>
      </c>
      <c r="J10" s="148" t="str">
        <f>"'];"</f>
        <v>'];</v>
      </c>
      <c r="K10" s="198" t="s">
        <v>514</v>
      </c>
      <c r="L10" s="148" t="s">
        <v>547</v>
      </c>
      <c r="M10" s="148" t="str">
        <f>"'])))"</f>
        <v>'])))</v>
      </c>
      <c r="N10" s="196" t="str">
        <f>""</f>
        <v/>
      </c>
      <c r="O10" s="196" t="str">
        <f>""</f>
        <v/>
      </c>
      <c r="P10" s="196" t="str">
        <f>""</f>
        <v/>
      </c>
      <c r="Q10" s="196" t="str">
        <f>""</f>
        <v/>
      </c>
    </row>
    <row r="11" spans="1:112" s="196" customFormat="1" hidden="1">
      <c r="A11" s="148" t="s">
        <v>857</v>
      </c>
      <c r="B11" s="198" t="s">
        <v>298</v>
      </c>
      <c r="C11" s="199" t="s">
        <v>310</v>
      </c>
      <c r="D11" s="148" t="str">
        <f>"']);}else $"</f>
        <v>']);}else $</v>
      </c>
      <c r="E11" s="148" t="s">
        <v>80</v>
      </c>
      <c r="F11" s="199" t="s">
        <v>357</v>
      </c>
      <c r="G11" s="198" t="s">
        <v>381</v>
      </c>
      <c r="H11" s="201"/>
      <c r="I11" s="148" t="str">
        <f>I7&amp;IF(M23=T5,I9,I8)&amp;I10</f>
        <v xml:space="preserve">$con=mysql_connect('localhost','root','jatter'); if (!$con)  {die('Could not connect: ' . mysql_error());}  </v>
      </c>
      <c r="J11" s="148" t="s">
        <v>407</v>
      </c>
      <c r="K11" s="198" t="str">
        <f>"').val();"</f>
        <v>').val();</v>
      </c>
      <c r="L11" s="196" t="s">
        <v>548</v>
      </c>
      <c r="M11" s="199" t="s">
        <v>550</v>
      </c>
      <c r="N11" s="196" t="str">
        <f>""</f>
        <v/>
      </c>
      <c r="O11" s="196" t="str">
        <f>""</f>
        <v/>
      </c>
      <c r="P11" s="196" t="str">
        <f>""</f>
        <v/>
      </c>
      <c r="Q11" s="196" t="str">
        <f>""</f>
        <v/>
      </c>
      <c r="CO11" s="196" t="str">
        <f>+CO20</f>
        <v/>
      </c>
    </row>
    <row r="12" spans="1:112" s="196" customFormat="1" hidden="1">
      <c r="A12" s="148" t="s">
        <v>110</v>
      </c>
      <c r="B12" s="198" t="s">
        <v>300</v>
      </c>
      <c r="C12" s="199" t="s">
        <v>311</v>
      </c>
      <c r="D12" s="211" t="s">
        <v>67</v>
      </c>
      <c r="E12" s="148" t="s">
        <v>81</v>
      </c>
      <c r="F12" s="200" t="str">
        <f>IF(COUNTIF(F15:F114,S8)&gt;0,"session_true","")</f>
        <v>session_true</v>
      </c>
      <c r="G12" s="198" t="s">
        <v>382</v>
      </c>
      <c r="H12" s="201"/>
      <c r="I12" s="148" t="s">
        <v>192</v>
      </c>
      <c r="J12" s="199" t="s">
        <v>565</v>
      </c>
      <c r="K12" s="199" t="s">
        <v>526</v>
      </c>
      <c r="L12" s="199" t="s">
        <v>546</v>
      </c>
      <c r="M12" s="148" t="s">
        <v>702</v>
      </c>
      <c r="N12" s="196" t="str">
        <f>""</f>
        <v/>
      </c>
      <c r="O12" s="196" t="str">
        <f>""</f>
        <v/>
      </c>
      <c r="P12" s="196" t="str">
        <f>""</f>
        <v/>
      </c>
      <c r="Q12" s="196" t="str">
        <f>""</f>
        <v/>
      </c>
    </row>
    <row r="13" spans="1:112" s="17" customFormat="1">
      <c r="AH13" s="17" t="s">
        <v>322</v>
      </c>
      <c r="AO13" s="17" t="s">
        <v>323</v>
      </c>
      <c r="BL13" s="17">
        <v>1</v>
      </c>
      <c r="BP13" s="42" t="s">
        <v>335</v>
      </c>
    </row>
    <row r="14" spans="1:112" s="17" customFormat="1" ht="60">
      <c r="B14" s="34" t="s">
        <v>127</v>
      </c>
      <c r="C14" s="34" t="s">
        <v>72</v>
      </c>
      <c r="D14" s="34" t="s">
        <v>128</v>
      </c>
      <c r="E14" s="34" t="s">
        <v>132</v>
      </c>
      <c r="F14" s="34" t="s">
        <v>133</v>
      </c>
      <c r="G14" s="34" t="s">
        <v>134</v>
      </c>
      <c r="H14" s="119" t="s">
        <v>541</v>
      </c>
      <c r="I14" s="119" t="s">
        <v>333</v>
      </c>
      <c r="J14" s="120" t="s">
        <v>508</v>
      </c>
      <c r="K14" s="42" t="str">
        <f>+IF(F12="session_true","VARIABLE SESSION","")</f>
        <v>VARIABLE SESSION</v>
      </c>
      <c r="M14" s="17" t="s">
        <v>145</v>
      </c>
      <c r="AC14" s="47" t="s">
        <v>294</v>
      </c>
      <c r="AD14" s="52" t="s">
        <v>501</v>
      </c>
      <c r="AE14" s="97" t="s">
        <v>392</v>
      </c>
      <c r="AF14" s="71" t="s">
        <v>393</v>
      </c>
      <c r="AG14" s="91" t="s">
        <v>394</v>
      </c>
      <c r="AH14" s="71" t="s">
        <v>296</v>
      </c>
      <c r="AI14" s="71">
        <v>0</v>
      </c>
      <c r="AJ14" s="71" t="s">
        <v>358</v>
      </c>
      <c r="AK14" s="93" t="s">
        <v>295</v>
      </c>
      <c r="AL14" s="77" t="s">
        <v>374</v>
      </c>
      <c r="AM14" s="94" t="s">
        <v>372</v>
      </c>
      <c r="AN14" s="92" t="s">
        <v>373</v>
      </c>
      <c r="AO14" s="98" t="s">
        <v>325</v>
      </c>
      <c r="AP14" s="99" t="s">
        <v>328</v>
      </c>
      <c r="AQ14" s="100" t="s">
        <v>370</v>
      </c>
      <c r="AR14" s="91" t="s">
        <v>327</v>
      </c>
      <c r="AS14" s="101" t="s">
        <v>324</v>
      </c>
      <c r="AT14" s="71" t="s">
        <v>309</v>
      </c>
      <c r="AU14" s="71" t="s">
        <v>360</v>
      </c>
      <c r="AV14" s="91" t="s">
        <v>329</v>
      </c>
      <c r="AW14" s="91" t="s">
        <v>364</v>
      </c>
      <c r="AX14" s="101" t="s">
        <v>330</v>
      </c>
      <c r="AY14" s="71" t="s">
        <v>317</v>
      </c>
      <c r="AZ14" s="68" t="s">
        <v>326</v>
      </c>
      <c r="BA14" s="104" t="s">
        <v>354</v>
      </c>
      <c r="BB14" s="68" t="s">
        <v>319</v>
      </c>
      <c r="BC14" s="106" t="s">
        <v>351</v>
      </c>
      <c r="BD14" s="108" t="s">
        <v>320</v>
      </c>
      <c r="BE14" s="91" t="s">
        <v>321</v>
      </c>
      <c r="BF14" s="71" t="s">
        <v>363</v>
      </c>
      <c r="BG14" s="91" t="s">
        <v>331</v>
      </c>
      <c r="BH14" s="111" t="s">
        <v>332</v>
      </c>
      <c r="BI14" s="104" t="s">
        <v>302</v>
      </c>
      <c r="BJ14" s="71" t="s">
        <v>299</v>
      </c>
      <c r="BK14" s="71" t="s">
        <v>334</v>
      </c>
      <c r="BL14" s="71">
        <v>0</v>
      </c>
      <c r="BM14" s="71" t="s">
        <v>502</v>
      </c>
      <c r="BN14" s="71" t="s">
        <v>340</v>
      </c>
      <c r="BO14" s="71" t="s">
        <v>343</v>
      </c>
      <c r="BP14" s="112" t="s">
        <v>337</v>
      </c>
      <c r="BQ14" s="71" t="s">
        <v>336</v>
      </c>
      <c r="BR14" s="71" t="s">
        <v>339</v>
      </c>
      <c r="BS14" s="71" t="s">
        <v>345</v>
      </c>
      <c r="BT14" s="71" t="s">
        <v>346</v>
      </c>
      <c r="BU14" s="71" t="s">
        <v>349</v>
      </c>
      <c r="BV14" s="101" t="s">
        <v>350</v>
      </c>
      <c r="BW14" s="115" t="s">
        <v>362</v>
      </c>
      <c r="BX14" s="77" t="s">
        <v>383</v>
      </c>
      <c r="BY14" s="97" t="s">
        <v>386</v>
      </c>
      <c r="BZ14" s="97" t="s">
        <v>384</v>
      </c>
      <c r="CA14" s="97" t="s">
        <v>391</v>
      </c>
      <c r="CB14" s="97" t="s">
        <v>380</v>
      </c>
      <c r="CC14" s="97" t="s">
        <v>388</v>
      </c>
      <c r="CD14" s="114" t="s">
        <v>402</v>
      </c>
      <c r="CE14" s="118" t="s">
        <v>505</v>
      </c>
      <c r="CF14" s="118" t="s">
        <v>511</v>
      </c>
      <c r="CG14" s="77" t="s">
        <v>513</v>
      </c>
      <c r="CH14" s="124">
        <v>0</v>
      </c>
      <c r="CI14" s="77" t="s">
        <v>515</v>
      </c>
      <c r="CJ14" s="77" t="s">
        <v>516</v>
      </c>
      <c r="CK14" s="77" t="s">
        <v>517</v>
      </c>
      <c r="CL14" s="77" t="s">
        <v>519</v>
      </c>
      <c r="CM14" s="77" t="s">
        <v>520</v>
      </c>
      <c r="CN14" s="133" t="s">
        <v>523</v>
      </c>
      <c r="CO14" s="132" t="s">
        <v>524</v>
      </c>
      <c r="CP14" s="132" t="s">
        <v>525</v>
      </c>
      <c r="CQ14" s="132" t="s">
        <v>528</v>
      </c>
      <c r="CR14" s="118" t="s">
        <v>505</v>
      </c>
      <c r="CS14" s="118" t="s">
        <v>536</v>
      </c>
      <c r="CT14" s="118" t="s">
        <v>537</v>
      </c>
      <c r="CU14" s="71" t="s">
        <v>538</v>
      </c>
      <c r="CV14" s="118" t="s">
        <v>540</v>
      </c>
      <c r="CW14" s="118" t="s">
        <v>543</v>
      </c>
      <c r="CX14" s="99" t="s">
        <v>552</v>
      </c>
      <c r="CY14" s="99" t="s">
        <v>553</v>
      </c>
      <c r="CZ14" s="99" t="s">
        <v>554</v>
      </c>
      <c r="DA14" s="118" t="s">
        <v>563</v>
      </c>
      <c r="DB14" s="142" t="s">
        <v>566</v>
      </c>
      <c r="DC14" s="99" t="s">
        <v>567</v>
      </c>
      <c r="DD14" s="132" t="s">
        <v>568</v>
      </c>
      <c r="DE14" s="132" t="s">
        <v>569</v>
      </c>
      <c r="DF14" s="99" t="s">
        <v>570</v>
      </c>
      <c r="DG14" s="118" t="s">
        <v>588</v>
      </c>
      <c r="DH14" s="118" t="s">
        <v>706</v>
      </c>
    </row>
    <row r="15" spans="1:112" s="17" customFormat="1">
      <c r="B15" s="172"/>
      <c r="C15" s="172" t="str">
        <f>+sessioncreator!C15</f>
        <v>user</v>
      </c>
      <c r="D15" s="175">
        <v>50</v>
      </c>
      <c r="E15" s="172" t="str">
        <f t="shared" ref="E15:E24" si="0">+IF(OR(F15="radio",F15="texto",F15="check",F15="selectlist",F15="bigtext",F15="session"),"VARCHAR",IF(F15="date","DATE",""))</f>
        <v>VARCHAR</v>
      </c>
      <c r="F15" s="172" t="s">
        <v>361</v>
      </c>
      <c r="G15" s="172"/>
      <c r="H15" s="172"/>
      <c r="I15" s="172"/>
      <c r="J15" s="176"/>
      <c r="K15" s="177" t="str">
        <f ca="1">+sessioncreator!B440</f>
        <v>$_SESSION["standard141509_Virgin_Mary_user"]</v>
      </c>
      <c r="M15" s="89" t="str">
        <f>"unique"&amp;fieldcreatorv2!L15</f>
        <v>uniqueJesus</v>
      </c>
      <c r="N15" s="44" t="s">
        <v>518</v>
      </c>
      <c r="O15" s="45" t="str">
        <f>+M15&amp;".php"</f>
        <v>uniqueJesus.php</v>
      </c>
      <c r="AC15" s="47" t="s">
        <v>194</v>
      </c>
      <c r="AD15" s="52" t="str">
        <f t="shared" ref="AD15:AD46" si="1">+IF(G15="si",C15&amp;"=="&amp;$B$4,IF(AND(F15="radio",AY15&lt;&gt;""),B15&amp;"=="&amp;$B$4,""))</f>
        <v/>
      </c>
      <c r="AE15" s="52">
        <f t="shared" ref="AE15:AE46" si="2">+IF(OR(F15=$S$2,F15=$S$6,F15=$S$7),1,0)</f>
        <v>0</v>
      </c>
      <c r="AF15" s="48">
        <f>+AE15</f>
        <v>0</v>
      </c>
      <c r="AG15" s="61" t="str">
        <f t="shared" ref="AG15:AG78" si="3">+IF(AE15=0,"",IF(AF15=1,"if (","else if (")&amp;C15&amp;$I$5&amp;C15&amp;$I$6)</f>
        <v/>
      </c>
      <c r="AH15" s="52">
        <f t="shared" ref="AH15:AH46" si="4">+IF(G15="si",1,IF(AND(F15="radio",AY15&lt;&gt;""),1,0))</f>
        <v>0</v>
      </c>
      <c r="AI15" s="52">
        <f>+AH15+AI14</f>
        <v>0</v>
      </c>
      <c r="AJ15" s="52" t="str">
        <f>IF(AI14=0,"",IF(AI15=AI14,"","||"))</f>
        <v/>
      </c>
      <c r="AK15" s="61" t="str">
        <f t="shared" ref="AK15:AK78" si="5">IF($B$3&lt;&gt;"",AJ15&amp;AD15,"")</f>
        <v/>
      </c>
      <c r="AL15" s="95" t="str">
        <f t="shared" ref="AL15:AL46" si="6">IF(G15="si",AM15,IF(AND(F15="radio",AY15&lt;&gt;""),AN15,""))</f>
        <v/>
      </c>
      <c r="AM15" s="61" t="str">
        <f t="shared" ref="AM15:AM78" si="7">+$F$7&amp;AD15&amp;$F$8&amp;C15&amp;$F$9&amp;$C$5&amp;C15&amp;$G$6&amp;$G$5&amp;C15&amp;$G$7&amp;C15&amp;$G$8</f>
        <v>if () {$("#adv_user").html("Requierd");$("#user").css({"background":"yellow"});} else {$("#adv_user").html("");$("#user").css({"background":"white"});}</v>
      </c>
      <c r="AN15" s="61" t="str">
        <f t="shared" ref="AN15:AN78" si="8">$F$7&amp;B15&amp;"=="&amp;$B$4&amp;$F$8&amp;B15&amp;$F$9&amp;$G$5&amp;B15&amp;$B$10&amp;$B$11&amp;$G$9</f>
        <v>if (=="") {$("#adv_").html("Requierd");} else {$("#adv_").html("");}</v>
      </c>
      <c r="AO15" s="50" t="str">
        <f t="shared" ref="AO15:AO46" si="9">IF(C15="","",AY15&amp;$C$1&amp;C15&amp;$C$2&amp;C15&amp;$C$3)</f>
        <v>&lt;input type="text" id="user" name="user" size="15" /&gt;</v>
      </c>
      <c r="AP15" s="61" t="str">
        <f t="shared" ref="AP15:AP78" si="10">+C15&amp;$A$3&amp;C15&amp;$A$4</f>
        <v>user=$("#user").val();</v>
      </c>
      <c r="AQ15" s="61" t="str">
        <f>+IF(F15="texto",$C$5&amp;C15&amp;C8,"")</f>
        <v/>
      </c>
      <c r="AR15" s="61" t="str">
        <f t="shared" ref="AR15:AR78" si="11">+C15&amp;"="&amp;$D$6&amp;C15&amp;$D$7</f>
        <v>user=document.getElementById("user").checked;</v>
      </c>
      <c r="AS15" s="102" t="str">
        <f t="shared" ref="AS15:AS78" si="12">+$D$8&amp;C15&amp;$D$9&amp;C15&amp;$D$10&amp;C15&amp;$D$11&amp;C15&amp;$D$12</f>
        <v>if (isset($_GET['user'])) {$user=($_GET['user']);}else $user='';</v>
      </c>
      <c r="AT15" s="52" t="str">
        <f t="shared" ref="AT15:AT46" si="13">+IF(B15="",AT14,B15)</f>
        <v>radioname</v>
      </c>
      <c r="AU15" s="52" t="str">
        <f t="shared" ref="AU15:AU78" si="14">IF(AT15&lt;&gt;AT14,$D$2,"else "&amp;$D$2)</f>
        <v>else if (document.getElementById("</v>
      </c>
      <c r="AV15" s="61" t="str">
        <f t="shared" ref="AV15:AV46" si="15">AU15&amp;C15&amp;$D$3&amp;AT15&amp;"="&amp;$D$4&amp;C15&amp;$D$5&amp;IF(AND(AY15="",AY16&lt;&gt;""),"else "&amp;AT15&amp;"="&amp;$B$4&amp;";","")</f>
        <v>else if (document.getElementById("user").checked==true) {radioname="user";}else radioname="";</v>
      </c>
      <c r="AW15" s="61" t="str">
        <f>IF(AY15="","",IF(BF15&lt;2,"",",")&amp;AY15&amp;LEFT(AY15,LEN(AY15)-1))</f>
        <v/>
      </c>
      <c r="AX15" s="102" t="str">
        <f t="shared" ref="AX15:AX46" si="16">IF(AY15="","",$D$8&amp;AT15&amp;$D$9&amp;AT15&amp;$D$10&amp;AT15&amp;$D$11&amp;AT15&amp;$D$12)</f>
        <v/>
      </c>
      <c r="AY15" s="135" t="str">
        <f>IF(AT15=AT14,"",AT15&amp;":")</f>
        <v/>
      </c>
      <c r="AZ15" s="50" t="str">
        <f t="shared" ref="AZ15:AZ46" si="17">AY15&amp;$C$4&amp;C15&amp;$C$2&amp;C15&amp;$C$10</f>
        <v>&lt;input type="checkbox" id="user" name="user" value="1" /&gt;</v>
      </c>
      <c r="BA15" s="105" t="str">
        <f t="shared" ref="BA15:BA46" si="18">+AY15&amp;$F$5&amp;C15&amp;$F$6</f>
        <v>&lt;br/&gt;&lt;textarea rows="2" cols="80" id="user"&gt;&lt;/textarea&gt;&lt;br/&gt;</v>
      </c>
      <c r="BB15" s="50" t="str">
        <f t="shared" ref="BB15:BB46" si="19">AY15&amp;IF(AY15="","",$C$6&amp;AT15&amp;$C$7&amp;"&lt;br/&gt;")&amp;C15&amp;$C$9&amp;AT15&amp;$C$11&amp;C15&amp;$C$12&amp;C15&amp;$D$1</f>
        <v>user&lt;input type="radio" name="radioname" id="user" value="user" /&gt;</v>
      </c>
      <c r="BC15" s="107" t="str">
        <f t="shared" ref="BC15:BC46" si="20">+AY15&amp;$F$3&amp;C15&amp;$F$4</f>
        <v>&lt;input type="text"  size="7"  id="user" class="datepicker"/&gt;</v>
      </c>
      <c r="BD15" s="109" t="str">
        <f>DD15&amp;IF(C15="","",IF(F15="check",AZ15,IF(F15="texto",AO15,IF(F15="radio",BB15,IF(F15="date",BC15,IF(F15="bigtext",BA15,IF(F15=$S$8,"","pending select")))))))&amp;DE15</f>
        <v/>
      </c>
      <c r="BE15" s="61" t="str">
        <f t="shared" ref="BE15:BE46" si="21">IF(C15="","",IF(F15="texto",AP15,IF(F15="check",AR15,IF(F15="radio",AV15,IF(F15="date",AP15,IF(F15="bigtext",AP15,IF(F15=$S$8,"","pending selectlist")))))))</f>
        <v/>
      </c>
      <c r="BF15" s="110">
        <f>+IF(BE15="",0,1)</f>
        <v>0</v>
      </c>
      <c r="BG15" s="67" t="str">
        <f>IF(F15=$S$8,"",IF(F15="radio",AW15,C15&amp;":"&amp;C15))</f>
        <v/>
      </c>
      <c r="BH15" s="102" t="str">
        <f t="shared" ref="BH15:BH46" si="22">IF(F15=$S$8,"",IF(C15="","",IF(OR(F15="radio",F15="selectlist"),AX15,AS15)))</f>
        <v/>
      </c>
      <c r="BI15" s="105" t="str">
        <f t="shared" ref="BI15:BI20" si="23">IF(BD15="","",IF(G15="si",$C$6&amp;C15&amp;$C$7,"")&amp;"&lt;br/&gt;")&amp;CO15</f>
        <v/>
      </c>
      <c r="BJ15" s="52" t="str">
        <f>+IF(G15="si","required advise","")</f>
        <v/>
      </c>
      <c r="BK15" s="52">
        <f>+IF(I15="si",1,0)</f>
        <v>0</v>
      </c>
      <c r="BL15" s="52">
        <f>+BK15</f>
        <v>0</v>
      </c>
      <c r="BM15" s="52" t="str">
        <f>IF(BL14=0,"",IF(BL15=BL14,""," AND "))</f>
        <v/>
      </c>
      <c r="BN15" s="52" t="str">
        <f t="shared" ref="BN15:BN78" si="24">+IF(BM15=" AND ",$E$10,"")</f>
        <v/>
      </c>
      <c r="BO15" s="52" t="str">
        <f>IF(BO14="comma","",IF(BP15="","",","))</f>
        <v/>
      </c>
      <c r="BP15" s="113" t="str">
        <f>IF(B15="","",IF(OR(F15="radio",F15="selectlilst"),B15,C15))</f>
        <v/>
      </c>
      <c r="BQ15" s="52" t="str">
        <f>IF(BK15=0,"",IF(BP15="","",BM15&amp;BP15&amp;"='$"&amp;BP15&amp;"'"))</f>
        <v/>
      </c>
      <c r="BR15" s="52" t="str">
        <f>+IF(BK15=0,"",BN15&amp;".$"&amp;BP15)</f>
        <v/>
      </c>
      <c r="BS15" s="52" t="str">
        <f>+BO15&amp;BP15</f>
        <v/>
      </c>
      <c r="BT15" s="52" t="str">
        <f>IF(BP15="","",BO15&amp;"'$"&amp;BP15&amp;"'")</f>
        <v/>
      </c>
      <c r="BU15" s="52" t="str">
        <f>IF(BP15="","","$"&amp;BP15)</f>
        <v/>
      </c>
      <c r="BV15" s="102" t="str">
        <f t="shared" ref="BV15:BV46" si="25">IF(BP15="","",IF(F15="check",$F$7&amp;"$"&amp;C15&amp;$K$6&amp;B15&amp;$K$7,$F$1&amp;B15&amp;$F$2&amp;BU15&amp;";"))</f>
        <v/>
      </c>
      <c r="BW15" s="116" t="str">
        <f t="shared" ref="BW15:BW46" ca="1" si="26">IF(F15=$S$8,"$"&amp;C15&amp;"="&amp;K15&amp;";","")</f>
        <v>$user=$_SESSION["standard141509_Virgin_Mary_user"];</v>
      </c>
      <c r="BX15" s="61" t="str">
        <f t="shared" ref="BX15:BX46" si="27">+IF(OR(F15="texto",F15="bigtext",F15="selectlist",F15="date"),CA15,IF(F15="check",CC15,CB15))</f>
        <v/>
      </c>
      <c r="BY15" s="52" t="str">
        <f t="shared" ref="BY15:BY78" si="28">IF(C15="","",$C$5&amp;C15&amp;$I$2)</f>
        <v>$("#user").val("");</v>
      </c>
      <c r="BZ15" s="52" t="str">
        <f t="shared" ref="BZ15:BZ78" si="29">IF(AND(G15="si",C15&lt;&gt;""),$G$11&amp;C15&amp;$G$12&amp;$C$5&amp;C15&amp;$I$1,"")</f>
        <v/>
      </c>
      <c r="CA15" s="52" t="str">
        <f>+BY15&amp;BZ15</f>
        <v>$("#user").val("");</v>
      </c>
      <c r="CB15" s="52" t="str">
        <f t="shared" ref="CB15:CB78" si="30">IF(F15="radio",$D$6&amp;C15&amp;$I$3&amp;IF(B15="","",$G$11&amp;B15&amp;$G$12),"")</f>
        <v/>
      </c>
      <c r="CC15" s="52" t="str">
        <f t="shared" ref="CC15:CC78" si="31">IF(F15="check",$D$6&amp;C15&amp;$I$3,"")</f>
        <v/>
      </c>
      <c r="CD15" s="102" t="str">
        <f t="shared" ref="CD15:CD46" si="32">IF(OR(C15="",B15=""),"",$J$8&amp;BP15&amp;$J$9&amp;BP15&amp;$J$10)</f>
        <v/>
      </c>
      <c r="CE15" s="116" t="str">
        <f t="shared" ref="CE15:CE46" si="33">IF(B15="","",IF(F15="check",$K$1&amp;BP15&amp;$K$2&amp;$K$3&amp;" "&amp;$D$4&amp;B15&amp;$D$4&amp;$G$9,$K$4&amp;$D$4&amp;B15&amp;":"&amp;$D$4&amp;"."&amp;$K$5&amp;BP15&amp;$K$2&amp;"];"))</f>
        <v/>
      </c>
      <c r="CF15" s="116" t="str">
        <f t="shared" ref="CF15:CF25" si="34">IF(BP15="","",IF(E15="date",","&amp;C15&amp;" "&amp;E15,","&amp;BP15&amp;" "&amp;E15&amp;"("&amp;D15&amp;")"))</f>
        <v/>
      </c>
      <c r="CG15" s="61" t="str">
        <f t="shared" ref="CG15:CG46" si="35">+IF(J15="si",BP15&amp;"="&amp;$K$10&amp;BP15&amp;$K$11,"")</f>
        <v/>
      </c>
      <c r="CH15" s="52">
        <f>+IF(CG15&lt;&gt;"",1,0)+CH14</f>
        <v>0</v>
      </c>
      <c r="CI15" s="61" t="str">
        <f>+IF(AND(CH15=1,CH14=0),BP15&amp;"=="&amp;$B$4,IF(CH15&lt;&gt;CH14,"||"&amp;BP15&amp;"=="&amp;$B$4,""))</f>
        <v/>
      </c>
      <c r="CJ15" s="61" t="str">
        <f>+IF(J15="si",AL15,"")</f>
        <v/>
      </c>
      <c r="CK15" s="61" t="str">
        <f>+IF(J15="si",AG15,"")</f>
        <v/>
      </c>
      <c r="CL15" s="61" t="str">
        <f t="shared" ref="CL15:CL46" si="36">IF(AND(CH15&gt;1,CH15&lt;&gt;CH14),",","")&amp;IF(J15="si",BP15&amp;":"&amp;BP15,"")</f>
        <v/>
      </c>
      <c r="CM15" s="61" t="str">
        <f t="shared" ref="CM15:CM46" si="37">IF(J15="si",BZ15,"")</f>
        <v/>
      </c>
      <c r="CN15" s="134" t="str">
        <f t="shared" ref="CN15:CN20" si="38">+IF(F15="radio",IF(AND(B15&lt;&gt;"",B15&lt;&gt;B14),IF(J15="si","u_id",""),IF(CN14="u_id","u_id","")),IF(J15="si","u_id",""))</f>
        <v/>
      </c>
      <c r="CO15" s="131" t="str">
        <f t="shared" ref="CO15:CO20" si="39">IF(CN15="","",IF(AND(CN15="u_id",CN16=""),$A$9&amp;"hiden"&amp;$M$19&amp;$J$12,""))</f>
        <v/>
      </c>
      <c r="CP15" s="131" t="str">
        <f>+IF(CL15="","",$K$12&amp;BP15&amp;$L$1)</f>
        <v/>
      </c>
      <c r="CQ15" s="131" t="str">
        <f>+IF(CL15="","","&lt;/span&gt;")</f>
        <v/>
      </c>
      <c r="CR15" s="116" t="str">
        <f>+IF(J15="si",BH15,"")</f>
        <v/>
      </c>
      <c r="CS15" s="116" t="str">
        <f>+IF(J15="si",BQ15,"")</f>
        <v/>
      </c>
      <c r="CT15" s="116" t="str">
        <f>+IF(J15="si",BR15,"")</f>
        <v/>
      </c>
      <c r="CU15" s="52">
        <f>+IF(J15="si",1,0)</f>
        <v>0</v>
      </c>
      <c r="CV15" s="116" t="str">
        <f>IF(CU15=1,$L$6&amp;BP15&amp;$L$7&amp;BP15&amp;";","")</f>
        <v/>
      </c>
      <c r="CW15" s="116" t="str">
        <f>IF(BP15="","",IF(H15="si",$F$1&amp;" "&amp;BP15&amp;$L$8&amp;BP15&amp;$L$9,""))</f>
        <v/>
      </c>
      <c r="CX15" s="61" t="str">
        <f>+IF(J15="si",$C$5&amp;"pre_"&amp;BP15&amp;$G$4,"")</f>
        <v/>
      </c>
      <c r="CY15" s="61" t="str">
        <f>+IF(J15="si",$C$5&amp;BP15&amp;$G$4,"")</f>
        <v/>
      </c>
      <c r="CZ15" s="61" t="str">
        <f>+CX15&amp;CY15&amp;DF15</f>
        <v/>
      </c>
      <c r="DA15" s="116" t="str">
        <f>IF(J15="si",$H$9&amp;$O$22&amp;BP15&amp;$H$10&amp;$H$2&amp;$O$22&amp;BP15&amp;$H$4,"")</f>
        <v/>
      </c>
      <c r="DB15" s="6" t="str">
        <f>+IF(AND(F15="radio",J15="si"),J15,IF(AND(F15="radio",F14="radio",J15=""),DB14,IF(J15="si",J15,"")))</f>
        <v/>
      </c>
      <c r="DC15" s="61" t="str">
        <f>+IF(DB15="si",BE15,"")</f>
        <v/>
      </c>
      <c r="DD15" s="131" t="str">
        <f t="shared" ref="DD15:DD20" si="40">IF(AND(F15="texto",J15="si"),"&lt;div id='uniq_"&amp;C15&amp;"'&gt;",IF(AND(B15&lt;&gt;"",F15="radio",J15="si"),"&lt;div id='uniq_"&amp;B15&amp;"'&gt;",""))</f>
        <v/>
      </c>
      <c r="DE15" s="131" t="str">
        <f t="shared" ref="DE15:DE20" si="41">IF(AND(F15="texto",J15="si"),"&lt;/div&gt;",IF(AND(F15="radio",B16&lt;&gt;"",DB15="si"),"&lt;/div&gt;",""))</f>
        <v/>
      </c>
      <c r="DF15" s="61" t="str">
        <f t="shared" ref="DF15:DF20" si="42">+IF(DD15&lt;&gt;"",IF(F15="texto",$C$5&amp;"uniq_"&amp;C15&amp;$G$4,$C$5&amp;"uniq_"&amp;B15&amp;$G$4),"")</f>
        <v/>
      </c>
      <c r="DG15" s="116" t="str">
        <f>+IF(J15="si",$M$1&amp;$L$6&amp;BP15&amp;$M$2&amp;$O$15&amp;$M$3,"")</f>
        <v/>
      </c>
      <c r="DH15" s="116" t="str">
        <f>IF(BP15="","",$F$1&amp;BP15&amp;": '."&amp;$N$4&amp;BP15&amp;$N$3)</f>
        <v/>
      </c>
    </row>
    <row r="16" spans="1:112" s="17" customFormat="1">
      <c r="B16" s="89" t="s">
        <v>572</v>
      </c>
      <c r="C16" s="128" t="s">
        <v>573</v>
      </c>
      <c r="D16" s="129">
        <v>10</v>
      </c>
      <c r="E16" s="89" t="str">
        <f t="shared" si="0"/>
        <v>VARCHAR</v>
      </c>
      <c r="F16" s="128" t="s">
        <v>136</v>
      </c>
      <c r="G16" s="128"/>
      <c r="H16" s="128" t="s">
        <v>24</v>
      </c>
      <c r="I16" s="128" t="s">
        <v>24</v>
      </c>
      <c r="J16" s="121" t="s">
        <v>24</v>
      </c>
      <c r="K16" s="59"/>
      <c r="M16" s="17" t="s">
        <v>146</v>
      </c>
      <c r="O16" s="42" t="str">
        <f>"save"&amp;fieldcreatorv2!L15&amp;".php"</f>
        <v>saveJesus.php</v>
      </c>
      <c r="AC16" s="47" t="s">
        <v>195</v>
      </c>
      <c r="AD16" s="52" t="str">
        <f t="shared" si="1"/>
        <v>tipo_doc_id==""</v>
      </c>
      <c r="AE16" s="52">
        <f t="shared" si="2"/>
        <v>0</v>
      </c>
      <c r="AF16" s="52">
        <f>+AF15+AE16</f>
        <v>0</v>
      </c>
      <c r="AG16" s="61" t="str">
        <f t="shared" si="3"/>
        <v/>
      </c>
      <c r="AH16" s="52">
        <f t="shared" si="4"/>
        <v>1</v>
      </c>
      <c r="AI16" s="52">
        <f t="shared" ref="AI16:AI79" si="43">+AH16+AI15</f>
        <v>1</v>
      </c>
      <c r="AJ16" s="52" t="str">
        <f t="shared" ref="AJ16:AJ79" si="44">IF(AI15=0,"",IF(AI16=AI15,"","||"))</f>
        <v/>
      </c>
      <c r="AK16" s="61" t="str">
        <f t="shared" si="5"/>
        <v>tipo_doc_id==""</v>
      </c>
      <c r="AL16" s="95" t="str">
        <f t="shared" si="6"/>
        <v>if (tipo_doc_id=="") {$("#adv_tipo_doc_id").html("Requierd");} else {$("#adv_tipo_doc_id").html("");}</v>
      </c>
      <c r="AM16" s="61" t="str">
        <f t="shared" si="7"/>
        <v>if (tipo_doc_id=="") {$("#adv_cc").html("Requierd");$("#cc").css({"background":"yellow"});} else {$("#adv_cc").html("");$("#cc").css({"background":"white"});}</v>
      </c>
      <c r="AN16" s="61" t="str">
        <f t="shared" si="8"/>
        <v>if (tipo_doc_id=="") {$("#adv_tipo_doc_id").html("Requierd");} else {$("#adv_tipo_doc_id").html("");}</v>
      </c>
      <c r="AO16" s="50" t="str">
        <f t="shared" si="9"/>
        <v>tipo_doc_id:&lt;input type="text" id="cc" name="cc" size="15" /&gt;</v>
      </c>
      <c r="AP16" s="61" t="str">
        <f t="shared" si="10"/>
        <v>cc=$("#cc").val();</v>
      </c>
      <c r="AQ16" s="61" t="str">
        <f t="shared" ref="AQ16:AQ79" si="45">+IF(F16="texto","highlight script","")</f>
        <v/>
      </c>
      <c r="AR16" s="61" t="str">
        <f t="shared" si="11"/>
        <v>cc=document.getElementById("cc").checked;</v>
      </c>
      <c r="AS16" s="102" t="str">
        <f t="shared" si="12"/>
        <v>if (isset($_GET['cc'])) {$cc=($_GET['cc']);}else $cc='';</v>
      </c>
      <c r="AT16" s="52" t="str">
        <f t="shared" si="13"/>
        <v>tipo_doc_id</v>
      </c>
      <c r="AU16" s="52" t="str">
        <f t="shared" si="14"/>
        <v>if (document.getElementById("</v>
      </c>
      <c r="AV16" s="61" t="str">
        <f t="shared" si="15"/>
        <v>if (document.getElementById("cc").checked==true) {tipo_doc_id="cc";}</v>
      </c>
      <c r="AW16" s="61" t="str">
        <f>IF(AY16="","",IF(BF16&lt;2,"",",")&amp;AY16&amp;LEFT(AY16,LEN(AY16)-1))</f>
        <v>tipo_doc_id:tipo_doc_id</v>
      </c>
      <c r="AX16" s="102" t="str">
        <f t="shared" si="16"/>
        <v>if (isset($_GET['tipo_doc_id'])) {$tipo_doc_id=($_GET['tipo_doc_id']);}else $tipo_doc_id='';</v>
      </c>
      <c r="AY16" s="135" t="str">
        <f t="shared" ref="AY16:AY79" si="46">IF(AT16=AT15,"",AT16&amp;":")</f>
        <v>tipo_doc_id:</v>
      </c>
      <c r="AZ16" s="50" t="str">
        <f t="shared" si="17"/>
        <v>tipo_doc_id:&lt;input type="checkbox" id="cc" name="cc" value="1" /&gt;</v>
      </c>
      <c r="BA16" s="105" t="str">
        <f t="shared" si="18"/>
        <v>tipo_doc_id:&lt;br/&gt;&lt;textarea rows="2" cols="80" id="cc"&gt;&lt;/textarea&gt;&lt;br/&gt;</v>
      </c>
      <c r="BB16" s="50" t="str">
        <f t="shared" si="19"/>
        <v>tipo_doc_id:&lt;span id="adv_tipo_doc_id"&gt;&lt;/span&gt;&lt;br/&gt;cc&lt;input type="radio" name="tipo_doc_id" id="cc" value="cc" /&gt;</v>
      </c>
      <c r="BC16" s="107" t="str">
        <f t="shared" si="20"/>
        <v>tipo_doc_id:&lt;input type="text"  size="7"  id="cc" class="datepicker"/&gt;</v>
      </c>
      <c r="BD16" s="109" t="str">
        <f t="shared" ref="BD16:BD79" si="47">DD16&amp;IF(C16="","",IF(F16="check",AZ16,IF(F16="texto",AO16,IF(F16="radio",BB16,IF(F16="date",BC16,IF(F16="bigtext",BA16,IF(F16=$S$8,"","pending select")))))))&amp;DE16</f>
        <v>&lt;div id='uniq_tipo_doc_id'&gt;tipo_doc_id:&lt;span id="adv_tipo_doc_id"&gt;&lt;/span&gt;&lt;br/&gt;cc&lt;input type="radio" name="tipo_doc_id" id="cc" value="cc" /&gt;</v>
      </c>
      <c r="BE16" s="61" t="str">
        <f t="shared" si="21"/>
        <v>if (document.getElementById("cc").checked==true) {tipo_doc_id="cc";}</v>
      </c>
      <c r="BF16" s="52">
        <f>+IF(BE16="",0,1)+BF15</f>
        <v>1</v>
      </c>
      <c r="BG16" s="61" t="str">
        <f t="shared" ref="BG16:BG47" si="48">IF(F16=$S$8,"",IF(C16="","",IF(F16="radio",AW16,IF(BF16=1,"",",")&amp;C16&amp;":"&amp;C16)))</f>
        <v>tipo_doc_id:tipo_doc_id</v>
      </c>
      <c r="BH16" s="102" t="str">
        <f t="shared" si="22"/>
        <v>if (isset($_GET['tipo_doc_id'])) {$tipo_doc_id=($_GET['tipo_doc_id']);}else $tipo_doc_id='';</v>
      </c>
      <c r="BI16" s="105" t="str">
        <f t="shared" si="23"/>
        <v>&lt;br/&gt;</v>
      </c>
      <c r="BJ16" s="52" t="str">
        <f t="shared" ref="BJ16:BJ79" si="49">+IF(G16="si","required advise","")</f>
        <v/>
      </c>
      <c r="BK16" s="52">
        <f t="shared" ref="BK16:BK79" si="50">+IF(I16="si",1,0)</f>
        <v>1</v>
      </c>
      <c r="BL16" s="52">
        <f t="shared" ref="BL16:BL79" si="51">+BK16+BL15</f>
        <v>1</v>
      </c>
      <c r="BM16" s="52" t="str">
        <f>IF(BL15=0,"",IF(BL16=BL15,""," AND "))</f>
        <v/>
      </c>
      <c r="BN16" s="52" t="str">
        <f t="shared" si="24"/>
        <v/>
      </c>
      <c r="BO16" s="52" t="str">
        <f>+IF(BP16="","",IF(BF16&lt;2,"",","))</f>
        <v/>
      </c>
      <c r="BP16" s="113" t="str">
        <f t="shared" ref="BP16:BP79" si="52">IF(B16="","",IF(OR(F16="radio",F16="selectlilst"),B16,C16))</f>
        <v>tipo_doc_id</v>
      </c>
      <c r="BQ16" s="52" t="str">
        <f>IF(BK16=0,"",IF(BP16="","",BM16&amp;BP16&amp;"='$"&amp;BP16&amp;"'"))</f>
        <v>tipo_doc_id='$tipo_doc_id'</v>
      </c>
      <c r="BR16" s="52" t="str">
        <f t="shared" ref="BR16:BR79" si="53">+IF(BK16=0,"",BN16&amp;".$"&amp;BP16)</f>
        <v>.$tipo_doc_id</v>
      </c>
      <c r="BS16" s="52" t="str">
        <f t="shared" ref="BS16:BS79" si="54">+BO16&amp;BP16</f>
        <v>tipo_doc_id</v>
      </c>
      <c r="BT16" s="52" t="str">
        <f t="shared" ref="BT16:BT79" si="55">IF(BP16="","",BO16&amp;"'$"&amp;BP16&amp;"'")</f>
        <v>'$tipo_doc_id'</v>
      </c>
      <c r="BU16" s="52" t="str">
        <f t="shared" ref="BU16:BU79" si="56">IF(BP16="","","$"&amp;BP16)</f>
        <v>$tipo_doc_id</v>
      </c>
      <c r="BV16" s="102" t="str">
        <f t="shared" si="25"/>
        <v>echo 'tipo_doc_id'.$tipo_doc_id;</v>
      </c>
      <c r="BW16" s="116" t="str">
        <f t="shared" si="26"/>
        <v/>
      </c>
      <c r="BX16" s="61" t="str">
        <f t="shared" si="27"/>
        <v>document.getElementById("cc").checked=false;$("#adv_tipo_doc_id").html("");</v>
      </c>
      <c r="BY16" s="52" t="str">
        <f t="shared" si="28"/>
        <v>$("#cc").val("");</v>
      </c>
      <c r="BZ16" s="52" t="str">
        <f t="shared" si="29"/>
        <v/>
      </c>
      <c r="CA16" s="52" t="str">
        <f t="shared" ref="CA16:CA79" si="57">+BY16&amp;BZ16</f>
        <v>$("#cc").val("");</v>
      </c>
      <c r="CB16" s="52" t="str">
        <f t="shared" si="30"/>
        <v>document.getElementById("cc").checked=false;$("#adv_tipo_doc_id").html("");</v>
      </c>
      <c r="CC16" s="52" t="str">
        <f t="shared" si="31"/>
        <v/>
      </c>
      <c r="CD16" s="102" t="str">
        <f t="shared" si="32"/>
        <v>$call_tipo_doc_id=$row['tipo_doc_id'];</v>
      </c>
      <c r="CE16" s="116" t="str">
        <f t="shared" si="33"/>
        <v>echo "tipo_doc_id:".$row['tipo_doc_id'];</v>
      </c>
      <c r="CF16" s="116" t="str">
        <f t="shared" si="34"/>
        <v>,tipo_doc_id VARCHAR(10)</v>
      </c>
      <c r="CG16" s="61" t="str">
        <f t="shared" si="35"/>
        <v>tipo_doc_id=$('#tipo_doc_id').val();</v>
      </c>
      <c r="CH16" s="52">
        <f>+IF(CG16&lt;&gt;"",1,0)+CH15</f>
        <v>1</v>
      </c>
      <c r="CI16" s="61" t="str">
        <f t="shared" ref="CI16:CI79" si="58">+IF(AND(CH16=1,CH15=0),BP16&amp;"=="&amp;$B$4,IF(CH16&lt;&gt;CH15,"||"&amp;BP16&amp;"=="&amp;$B$4,""))</f>
        <v>tipo_doc_id==""</v>
      </c>
      <c r="CJ16" s="61" t="str">
        <f t="shared" ref="CJ16:CJ79" si="59">+IF(J16="si",AL16,"")</f>
        <v>if (tipo_doc_id=="") {$("#adv_tipo_doc_id").html("Requierd");} else {$("#adv_tipo_doc_id").html("");}</v>
      </c>
      <c r="CK16" s="61" t="str">
        <f t="shared" ref="CK16:CK79" si="60">+IF(J16="si",AG16,"")</f>
        <v/>
      </c>
      <c r="CL16" s="61" t="str">
        <f t="shared" si="36"/>
        <v>tipo_doc_id:tipo_doc_id</v>
      </c>
      <c r="CM16" s="61" t="str">
        <f t="shared" si="37"/>
        <v/>
      </c>
      <c r="CN16" s="134" t="str">
        <f t="shared" si="38"/>
        <v>u_id</v>
      </c>
      <c r="CO16" s="131" t="str">
        <f t="shared" si="39"/>
        <v/>
      </c>
      <c r="CP16" s="131" t="str">
        <f t="shared" ref="CP16:CP79" si="61">+IF(CL16="","",$K$12&amp;BP16&amp;$L$1)</f>
        <v>&lt;span id="pre_tipo_doc_id"&gt;</v>
      </c>
      <c r="CQ16" s="131" t="str">
        <f t="shared" ref="CQ16:CQ79" si="62">+IF(CL16="","","&lt;/span&gt;")</f>
        <v>&lt;/span&gt;</v>
      </c>
      <c r="CR16" s="116" t="str">
        <f t="shared" ref="CR16:CR79" si="63">+IF(J16="si",BH16,"")</f>
        <v>if (isset($_GET['tipo_doc_id'])) {$tipo_doc_id=($_GET['tipo_doc_id']);}else $tipo_doc_id='';</v>
      </c>
      <c r="CS16" s="116" t="str">
        <f t="shared" ref="CS16:CS79" si="64">+IF(J16="si",BQ16,"")</f>
        <v>tipo_doc_id='$tipo_doc_id'</v>
      </c>
      <c r="CT16" s="116" t="str">
        <f t="shared" ref="CT16:CT79" si="65">+IF(J16="si",BR16,"")</f>
        <v>.$tipo_doc_id</v>
      </c>
      <c r="CU16" s="52">
        <f t="shared" ref="CU16:CU79" si="66">+IF(J16="si",1,0)</f>
        <v>1</v>
      </c>
      <c r="CV16" s="116" t="str">
        <f t="shared" ref="CV16:CV79" si="67">IF(CU16=1,$L$6&amp;BP16&amp;$L$7&amp;BP16&amp;";","")</f>
        <v>$_SESSION['a01healmy5_pray_tipo_doc_id']=$tipo_doc_id;</v>
      </c>
      <c r="CW16" s="116" t="str">
        <f t="shared" ref="CW16:CW79" si="68">IF(BP16="","",IF(H16="si",$F$1&amp;" "&amp;BP16&amp;$L$8&amp;BP16&amp;$L$9,""))</f>
        <v>echo ' tipo_doc_id:'.$row_ae['tipo_doc_id'];</v>
      </c>
      <c r="CX16" s="61" t="str">
        <f t="shared" ref="CX16:CX79" si="69">+IF(J16="si",$C$5&amp;"pre_"&amp;BP16&amp;$G$4,"")</f>
        <v>$("#pre_tipo_doc_id").hide();</v>
      </c>
      <c r="CY16" s="61" t="str">
        <f t="shared" ref="CY16:CY79" si="70">+IF(J16="si",$C$5&amp;BP16&amp;$G$4,"")</f>
        <v>$("#tipo_doc_id").hide();</v>
      </c>
      <c r="CZ16" s="61" t="str">
        <f t="shared" ref="CZ16:CZ79" si="71">+CX16&amp;CY16&amp;DF16</f>
        <v>$("#pre_tipo_doc_id").hide();$("#tipo_doc_id").hide();$("#uniq_tipo_doc_id").hide();</v>
      </c>
      <c r="DA16" s="116" t="str">
        <f>IF(J16="si",$H$9&amp;$O$22&amp;BP16&amp;$H$10&amp;$H$2&amp;$O$22&amp;BP16&amp;$H$4,"")</f>
        <v>if (isset($_SESSION['a01healmy5_pray_tipo_doc_id'])) unset($_SESSION['a01healmy5_pray_tipo_doc_id']);</v>
      </c>
      <c r="DB16" s="6" t="str">
        <f>+IF(AND(F16="radio",J16="si"),J16,IF(AND(F16="radio",F15="radio",J16=""),DB15,IF(J16="si",J16,"")))</f>
        <v>si</v>
      </c>
      <c r="DC16" s="61" t="str">
        <f t="shared" ref="DC16:DC79" si="72">+IF(DB16="si",BE16,"")</f>
        <v>if (document.getElementById("cc").checked==true) {tipo_doc_id="cc";}</v>
      </c>
      <c r="DD16" s="131" t="str">
        <f t="shared" si="40"/>
        <v>&lt;div id='uniq_tipo_doc_id'&gt;</v>
      </c>
      <c r="DE16" s="131" t="str">
        <f t="shared" si="41"/>
        <v/>
      </c>
      <c r="DF16" s="61" t="str">
        <f t="shared" si="42"/>
        <v>$("#uniq_tipo_doc_id").hide();</v>
      </c>
      <c r="DG16" s="116" t="str">
        <f t="shared" ref="DG16:DG79" si="73">+IF(J16="si",$M$1&amp;$L$6&amp;BP16&amp;$M$2&amp;$O$15&amp;$M$3,"")</f>
        <v>if (!isset($_SESSION['a01healmy5_pray_tipo_doc_id'])) { header('Location:a01uniqueJesus.php');}</v>
      </c>
      <c r="DH16" s="116" t="str">
        <f t="shared" ref="DH16:DH79" si="74">IF(BP16="","",$F$1&amp;BP16&amp;": '."&amp;$N$4&amp;BP16&amp;$N$3)</f>
        <v>echo 'tipo_doc_id: '.$row['tipo_doc_id'];</v>
      </c>
    </row>
    <row r="17" spans="2:112" s="17" customFormat="1">
      <c r="B17" s="128"/>
      <c r="C17" s="128" t="s">
        <v>574</v>
      </c>
      <c r="D17" s="129">
        <v>10</v>
      </c>
      <c r="E17" s="89" t="str">
        <f t="shared" si="0"/>
        <v>VARCHAR</v>
      </c>
      <c r="F17" s="128" t="s">
        <v>136</v>
      </c>
      <c r="G17" s="128"/>
      <c r="H17" s="128"/>
      <c r="I17" s="128"/>
      <c r="J17" s="121"/>
      <c r="K17" s="59"/>
      <c r="M17" s="89" t="str">
        <f>+fieldcreatorv2!L17</f>
        <v>healmy5_pray</v>
      </c>
      <c r="AC17" s="47" t="s">
        <v>196</v>
      </c>
      <c r="AD17" s="52" t="str">
        <f t="shared" si="1"/>
        <v/>
      </c>
      <c r="AE17" s="52">
        <f t="shared" si="2"/>
        <v>0</v>
      </c>
      <c r="AF17" s="52">
        <f t="shared" ref="AF17:AF80" si="75">+AF16+AE17</f>
        <v>0</v>
      </c>
      <c r="AG17" s="61" t="str">
        <f t="shared" si="3"/>
        <v/>
      </c>
      <c r="AH17" s="52">
        <f t="shared" si="4"/>
        <v>0</v>
      </c>
      <c r="AI17" s="52">
        <f t="shared" si="43"/>
        <v>1</v>
      </c>
      <c r="AJ17" s="52" t="str">
        <f t="shared" si="44"/>
        <v/>
      </c>
      <c r="AK17" s="61" t="str">
        <f t="shared" si="5"/>
        <v/>
      </c>
      <c r="AL17" s="95" t="str">
        <f t="shared" si="6"/>
        <v/>
      </c>
      <c r="AM17" s="61" t="str">
        <f t="shared" si="7"/>
        <v>if () {$("#adv_ti").html("Requierd");$("#ti").css({"background":"yellow"});} else {$("#adv_ti").html("");$("#ti").css({"background":"white"});}</v>
      </c>
      <c r="AN17" s="61" t="str">
        <f t="shared" si="8"/>
        <v>if (=="") {$("#adv_").html("Requierd");} else {$("#adv_").html("");}</v>
      </c>
      <c r="AO17" s="50" t="str">
        <f t="shared" si="9"/>
        <v>&lt;input type="text" id="ti" name="ti" size="15" /&gt;</v>
      </c>
      <c r="AP17" s="61" t="str">
        <f t="shared" si="10"/>
        <v>ti=$("#ti").val();</v>
      </c>
      <c r="AQ17" s="61" t="str">
        <f t="shared" si="45"/>
        <v/>
      </c>
      <c r="AR17" s="61" t="str">
        <f t="shared" si="11"/>
        <v>ti=document.getElementById("ti").checked;</v>
      </c>
      <c r="AS17" s="102" t="str">
        <f t="shared" si="12"/>
        <v>if (isset($_GET['ti'])) {$ti=($_GET['ti']);}else $ti='';</v>
      </c>
      <c r="AT17" s="52" t="str">
        <f t="shared" si="13"/>
        <v>tipo_doc_id</v>
      </c>
      <c r="AU17" s="52" t="str">
        <f t="shared" si="14"/>
        <v>else if (document.getElementById("</v>
      </c>
      <c r="AV17" s="61" t="str">
        <f t="shared" si="15"/>
        <v>else if (document.getElementById("ti").checked==true) {tipo_doc_id="ti";}</v>
      </c>
      <c r="AW17" s="61" t="str">
        <f t="shared" ref="AW17:AW35" si="76">IF(AY17="","",IF(BF17&lt;2,"",",")&amp;AY17&amp;LEFT(AY17,LEN(AY17)-1))</f>
        <v/>
      </c>
      <c r="AX17" s="102" t="str">
        <f t="shared" si="16"/>
        <v/>
      </c>
      <c r="AY17" s="135" t="str">
        <f t="shared" si="46"/>
        <v/>
      </c>
      <c r="AZ17" s="50" t="str">
        <f t="shared" si="17"/>
        <v>&lt;input type="checkbox" id="ti" name="ti" value="1" /&gt;</v>
      </c>
      <c r="BA17" s="105" t="str">
        <f t="shared" si="18"/>
        <v>&lt;br/&gt;&lt;textarea rows="2" cols="80" id="ti"&gt;&lt;/textarea&gt;&lt;br/&gt;</v>
      </c>
      <c r="BB17" s="50" t="str">
        <f t="shared" si="19"/>
        <v>ti&lt;input type="radio" name="tipo_doc_id" id="ti" value="ti" /&gt;</v>
      </c>
      <c r="BC17" s="107" t="str">
        <f t="shared" si="20"/>
        <v>&lt;input type="text"  size="7"  id="ti" class="datepicker"/&gt;</v>
      </c>
      <c r="BD17" s="109" t="str">
        <f t="shared" si="47"/>
        <v>ti&lt;input type="radio" name="tipo_doc_id" id="ti" value="ti" /&gt;</v>
      </c>
      <c r="BE17" s="61" t="str">
        <f t="shared" si="21"/>
        <v>else if (document.getElementById("ti").checked==true) {tipo_doc_id="ti";}</v>
      </c>
      <c r="BF17" s="52">
        <f>+IF(BE17="",0,1)+BF16</f>
        <v>2</v>
      </c>
      <c r="BG17" s="61" t="str">
        <f t="shared" si="48"/>
        <v/>
      </c>
      <c r="BH17" s="102" t="str">
        <f t="shared" si="22"/>
        <v/>
      </c>
      <c r="BI17" s="105" t="str">
        <f t="shared" si="23"/>
        <v>&lt;br/&gt;</v>
      </c>
      <c r="BJ17" s="52" t="str">
        <f t="shared" si="49"/>
        <v/>
      </c>
      <c r="BK17" s="52">
        <f t="shared" si="50"/>
        <v>0</v>
      </c>
      <c r="BL17" s="52">
        <f t="shared" si="51"/>
        <v>1</v>
      </c>
      <c r="BM17" s="52" t="str">
        <f t="shared" ref="BM17:BM80" si="77">IF(BL16=0,"",IF(BL17=BL16,""," AND "))</f>
        <v/>
      </c>
      <c r="BN17" s="52" t="str">
        <f t="shared" si="24"/>
        <v/>
      </c>
      <c r="BO17" s="52" t="str">
        <f t="shared" ref="BO17:BO35" si="78">+IF(BP17="","",IF(BF17&lt;2,"",","))</f>
        <v/>
      </c>
      <c r="BP17" s="113" t="str">
        <f t="shared" si="52"/>
        <v/>
      </c>
      <c r="BQ17" s="52" t="str">
        <f t="shared" ref="BQ17:BQ80" si="79">IF(BK17=0,"",IF(BP17="","",BM17&amp;BP17&amp;"='$"&amp;BP17&amp;"'"))</f>
        <v/>
      </c>
      <c r="BR17" s="52" t="str">
        <f t="shared" si="53"/>
        <v/>
      </c>
      <c r="BS17" s="52" t="str">
        <f t="shared" si="54"/>
        <v/>
      </c>
      <c r="BT17" s="52" t="str">
        <f t="shared" si="55"/>
        <v/>
      </c>
      <c r="BU17" s="52" t="str">
        <f t="shared" si="56"/>
        <v/>
      </c>
      <c r="BV17" s="102" t="str">
        <f t="shared" si="25"/>
        <v/>
      </c>
      <c r="BW17" s="116" t="str">
        <f t="shared" si="26"/>
        <v/>
      </c>
      <c r="BX17" s="61" t="str">
        <f t="shared" si="27"/>
        <v>document.getElementById("ti").checked=false;</v>
      </c>
      <c r="BY17" s="52" t="str">
        <f t="shared" si="28"/>
        <v>$("#ti").val("");</v>
      </c>
      <c r="BZ17" s="52" t="str">
        <f t="shared" si="29"/>
        <v/>
      </c>
      <c r="CA17" s="52" t="str">
        <f t="shared" si="57"/>
        <v>$("#ti").val("");</v>
      </c>
      <c r="CB17" s="52" t="str">
        <f t="shared" si="30"/>
        <v>document.getElementById("ti").checked=false;</v>
      </c>
      <c r="CC17" s="52" t="str">
        <f t="shared" si="31"/>
        <v/>
      </c>
      <c r="CD17" s="102" t="str">
        <f t="shared" si="32"/>
        <v/>
      </c>
      <c r="CE17" s="116" t="str">
        <f t="shared" si="33"/>
        <v/>
      </c>
      <c r="CF17" s="116" t="str">
        <f t="shared" si="34"/>
        <v/>
      </c>
      <c r="CG17" s="61" t="str">
        <f t="shared" si="35"/>
        <v/>
      </c>
      <c r="CH17" s="52">
        <f t="shared" ref="CH17:CH80" si="80">+IF(CG17&lt;&gt;"",1,0)+CH16</f>
        <v>1</v>
      </c>
      <c r="CI17" s="61" t="str">
        <f t="shared" si="58"/>
        <v/>
      </c>
      <c r="CJ17" s="61" t="str">
        <f t="shared" si="59"/>
        <v/>
      </c>
      <c r="CK17" s="61" t="str">
        <f t="shared" si="60"/>
        <v/>
      </c>
      <c r="CL17" s="61" t="str">
        <f t="shared" si="36"/>
        <v/>
      </c>
      <c r="CM17" s="61" t="str">
        <f t="shared" si="37"/>
        <v/>
      </c>
      <c r="CN17" s="134" t="str">
        <f t="shared" si="38"/>
        <v>u_id</v>
      </c>
      <c r="CO17" s="131" t="str">
        <f t="shared" si="39"/>
        <v/>
      </c>
      <c r="CP17" s="131" t="str">
        <f t="shared" si="61"/>
        <v/>
      </c>
      <c r="CQ17" s="131" t="str">
        <f t="shared" si="62"/>
        <v/>
      </c>
      <c r="CR17" s="116" t="str">
        <f t="shared" si="63"/>
        <v/>
      </c>
      <c r="CS17" s="116" t="str">
        <f t="shared" si="64"/>
        <v/>
      </c>
      <c r="CT17" s="116" t="str">
        <f t="shared" si="65"/>
        <v/>
      </c>
      <c r="CU17" s="52">
        <f t="shared" si="66"/>
        <v>0</v>
      </c>
      <c r="CV17" s="116" t="str">
        <f t="shared" si="67"/>
        <v/>
      </c>
      <c r="CW17" s="116" t="str">
        <f t="shared" si="68"/>
        <v/>
      </c>
      <c r="CX17" s="61" t="str">
        <f t="shared" si="69"/>
        <v/>
      </c>
      <c r="CY17" s="61" t="str">
        <f t="shared" si="70"/>
        <v/>
      </c>
      <c r="CZ17" s="61" t="str">
        <f t="shared" si="71"/>
        <v/>
      </c>
      <c r="DA17" s="116" t="str">
        <f t="shared" ref="DA17:DA35" si="81">IF(J17="si",$H$9&amp;$O$22&amp;BP17&amp;$H$10&amp;$H$2&amp;$O$22&amp;BP17&amp;$H$4,"")</f>
        <v/>
      </c>
      <c r="DB17" s="6" t="str">
        <f t="shared" ref="DB17:DB80" si="82">+IF(AND(F17="radio",J17="si"),J17,IF(AND(F17="radio",F16="radio",J17=""),DB16,IF(J17="si",J17,"")))</f>
        <v>si</v>
      </c>
      <c r="DC17" s="61" t="str">
        <f t="shared" si="72"/>
        <v>else if (document.getElementById("ti").checked==true) {tipo_doc_id="ti";}</v>
      </c>
      <c r="DD17" s="131" t="str">
        <f t="shared" si="40"/>
        <v/>
      </c>
      <c r="DE17" s="131" t="str">
        <f t="shared" si="41"/>
        <v/>
      </c>
      <c r="DF17" s="61" t="str">
        <f t="shared" si="42"/>
        <v/>
      </c>
      <c r="DG17" s="116" t="str">
        <f t="shared" si="73"/>
        <v/>
      </c>
      <c r="DH17" s="116" t="str">
        <f t="shared" si="74"/>
        <v/>
      </c>
    </row>
    <row r="18" spans="2:112" s="17" customFormat="1">
      <c r="B18" s="128"/>
      <c r="C18" s="128" t="s">
        <v>575</v>
      </c>
      <c r="D18" s="129">
        <v>10</v>
      </c>
      <c r="E18" s="89" t="str">
        <f t="shared" si="0"/>
        <v>VARCHAR</v>
      </c>
      <c r="F18" s="128" t="s">
        <v>136</v>
      </c>
      <c r="G18" s="128"/>
      <c r="H18" s="128"/>
      <c r="I18" s="128"/>
      <c r="J18" s="121"/>
      <c r="K18" s="59"/>
      <c r="M18" s="17" t="s">
        <v>147</v>
      </c>
      <c r="AC18" s="47" t="s">
        <v>197</v>
      </c>
      <c r="AD18" s="52" t="str">
        <f t="shared" si="1"/>
        <v/>
      </c>
      <c r="AE18" s="52">
        <f t="shared" si="2"/>
        <v>0</v>
      </c>
      <c r="AF18" s="52">
        <f t="shared" si="75"/>
        <v>0</v>
      </c>
      <c r="AG18" s="61" t="str">
        <f t="shared" si="3"/>
        <v/>
      </c>
      <c r="AH18" s="52">
        <f t="shared" si="4"/>
        <v>0</v>
      </c>
      <c r="AI18" s="52">
        <f t="shared" si="43"/>
        <v>1</v>
      </c>
      <c r="AJ18" s="52" t="str">
        <f t="shared" si="44"/>
        <v/>
      </c>
      <c r="AK18" s="61" t="str">
        <f t="shared" si="5"/>
        <v/>
      </c>
      <c r="AL18" s="95" t="str">
        <f t="shared" si="6"/>
        <v/>
      </c>
      <c r="AM18" s="61" t="str">
        <f t="shared" si="7"/>
        <v>if () {$("#adv_rc").html("Requierd");$("#rc").css({"background":"yellow"});} else {$("#adv_rc").html("");$("#rc").css({"background":"white"});}</v>
      </c>
      <c r="AN18" s="61" t="str">
        <f t="shared" si="8"/>
        <v>if (=="") {$("#adv_").html("Requierd");} else {$("#adv_").html("");}</v>
      </c>
      <c r="AO18" s="50" t="str">
        <f t="shared" si="9"/>
        <v>&lt;input type="text" id="rc" name="rc" size="15" /&gt;</v>
      </c>
      <c r="AP18" s="61" t="str">
        <f t="shared" si="10"/>
        <v>rc=$("#rc").val();</v>
      </c>
      <c r="AQ18" s="61" t="str">
        <f t="shared" si="45"/>
        <v/>
      </c>
      <c r="AR18" s="61" t="str">
        <f t="shared" si="11"/>
        <v>rc=document.getElementById("rc").checked;</v>
      </c>
      <c r="AS18" s="102" t="str">
        <f t="shared" si="12"/>
        <v>if (isset($_GET['rc'])) {$rc=($_GET['rc']);}else $rc='';</v>
      </c>
      <c r="AT18" s="52" t="str">
        <f t="shared" si="13"/>
        <v>tipo_doc_id</v>
      </c>
      <c r="AU18" s="52" t="str">
        <f t="shared" si="14"/>
        <v>else if (document.getElementById("</v>
      </c>
      <c r="AV18" s="61" t="str">
        <f t="shared" si="15"/>
        <v>else if (document.getElementById("rc").checked==true) {tipo_doc_id="rc";}</v>
      </c>
      <c r="AW18" s="61" t="str">
        <f t="shared" si="76"/>
        <v/>
      </c>
      <c r="AX18" s="102" t="str">
        <f t="shared" si="16"/>
        <v/>
      </c>
      <c r="AY18" s="135" t="str">
        <f t="shared" si="46"/>
        <v/>
      </c>
      <c r="AZ18" s="50" t="str">
        <f t="shared" si="17"/>
        <v>&lt;input type="checkbox" id="rc" name="rc" value="1" /&gt;</v>
      </c>
      <c r="BA18" s="105" t="str">
        <f t="shared" si="18"/>
        <v>&lt;br/&gt;&lt;textarea rows="2" cols="80" id="rc"&gt;&lt;/textarea&gt;&lt;br/&gt;</v>
      </c>
      <c r="BB18" s="50" t="str">
        <f t="shared" si="19"/>
        <v>rc&lt;input type="radio" name="tipo_doc_id" id="rc" value="rc" /&gt;</v>
      </c>
      <c r="BC18" s="107" t="str">
        <f t="shared" si="20"/>
        <v>&lt;input type="text"  size="7"  id="rc" class="datepicker"/&gt;</v>
      </c>
      <c r="BD18" s="109" t="str">
        <f t="shared" si="47"/>
        <v>rc&lt;input type="radio" name="tipo_doc_id" id="rc" value="rc" /&gt;</v>
      </c>
      <c r="BE18" s="61" t="str">
        <f t="shared" si="21"/>
        <v>else if (document.getElementById("rc").checked==true) {tipo_doc_id="rc";}</v>
      </c>
      <c r="BF18" s="52">
        <f>+IF(BE18="",0,1)+BF17</f>
        <v>3</v>
      </c>
      <c r="BG18" s="61" t="str">
        <f t="shared" si="48"/>
        <v/>
      </c>
      <c r="BH18" s="102" t="str">
        <f t="shared" si="22"/>
        <v/>
      </c>
      <c r="BI18" s="105" t="str">
        <f t="shared" si="23"/>
        <v>&lt;br/&gt;</v>
      </c>
      <c r="BJ18" s="52" t="str">
        <f t="shared" si="49"/>
        <v/>
      </c>
      <c r="BK18" s="52">
        <f t="shared" si="50"/>
        <v>0</v>
      </c>
      <c r="BL18" s="52">
        <f t="shared" si="51"/>
        <v>1</v>
      </c>
      <c r="BM18" s="52" t="str">
        <f t="shared" si="77"/>
        <v/>
      </c>
      <c r="BN18" s="52" t="str">
        <f t="shared" si="24"/>
        <v/>
      </c>
      <c r="BO18" s="52" t="str">
        <f t="shared" si="78"/>
        <v/>
      </c>
      <c r="BP18" s="113" t="str">
        <f t="shared" si="52"/>
        <v/>
      </c>
      <c r="BQ18" s="52" t="str">
        <f t="shared" si="79"/>
        <v/>
      </c>
      <c r="BR18" s="52" t="str">
        <f t="shared" si="53"/>
        <v/>
      </c>
      <c r="BS18" s="52" t="str">
        <f t="shared" si="54"/>
        <v/>
      </c>
      <c r="BT18" s="52" t="str">
        <f t="shared" si="55"/>
        <v/>
      </c>
      <c r="BU18" s="52" t="str">
        <f t="shared" si="56"/>
        <v/>
      </c>
      <c r="BV18" s="102" t="str">
        <f t="shared" si="25"/>
        <v/>
      </c>
      <c r="BW18" s="116" t="str">
        <f t="shared" si="26"/>
        <v/>
      </c>
      <c r="BX18" s="61" t="str">
        <f t="shared" si="27"/>
        <v>document.getElementById("rc").checked=false;</v>
      </c>
      <c r="BY18" s="52" t="str">
        <f t="shared" si="28"/>
        <v>$("#rc").val("");</v>
      </c>
      <c r="BZ18" s="52" t="str">
        <f t="shared" si="29"/>
        <v/>
      </c>
      <c r="CA18" s="52" t="str">
        <f t="shared" si="57"/>
        <v>$("#rc").val("");</v>
      </c>
      <c r="CB18" s="52" t="str">
        <f t="shared" si="30"/>
        <v>document.getElementById("rc").checked=false;</v>
      </c>
      <c r="CC18" s="52" t="str">
        <f t="shared" si="31"/>
        <v/>
      </c>
      <c r="CD18" s="102" t="str">
        <f t="shared" si="32"/>
        <v/>
      </c>
      <c r="CE18" s="116" t="str">
        <f t="shared" si="33"/>
        <v/>
      </c>
      <c r="CF18" s="116" t="str">
        <f t="shared" si="34"/>
        <v/>
      </c>
      <c r="CG18" s="61" t="str">
        <f t="shared" si="35"/>
        <v/>
      </c>
      <c r="CH18" s="52">
        <f t="shared" si="80"/>
        <v>1</v>
      </c>
      <c r="CI18" s="61" t="str">
        <f t="shared" si="58"/>
        <v/>
      </c>
      <c r="CJ18" s="61" t="str">
        <f t="shared" si="59"/>
        <v/>
      </c>
      <c r="CK18" s="61" t="str">
        <f t="shared" si="60"/>
        <v/>
      </c>
      <c r="CL18" s="61" t="str">
        <f t="shared" si="36"/>
        <v/>
      </c>
      <c r="CM18" s="61" t="str">
        <f t="shared" si="37"/>
        <v/>
      </c>
      <c r="CN18" s="134" t="str">
        <f t="shared" si="38"/>
        <v>u_id</v>
      </c>
      <c r="CO18" s="131" t="str">
        <f t="shared" si="39"/>
        <v/>
      </c>
      <c r="CP18" s="131" t="str">
        <f t="shared" si="61"/>
        <v/>
      </c>
      <c r="CQ18" s="131" t="str">
        <f t="shared" si="62"/>
        <v/>
      </c>
      <c r="CR18" s="116" t="str">
        <f t="shared" si="63"/>
        <v/>
      </c>
      <c r="CS18" s="116" t="str">
        <f t="shared" si="64"/>
        <v/>
      </c>
      <c r="CT18" s="116" t="str">
        <f t="shared" si="65"/>
        <v/>
      </c>
      <c r="CU18" s="52">
        <f t="shared" si="66"/>
        <v>0</v>
      </c>
      <c r="CV18" s="116" t="str">
        <f t="shared" si="67"/>
        <v/>
      </c>
      <c r="CW18" s="116" t="str">
        <f t="shared" si="68"/>
        <v/>
      </c>
      <c r="CX18" s="61" t="str">
        <f t="shared" si="69"/>
        <v/>
      </c>
      <c r="CY18" s="61" t="str">
        <f t="shared" si="70"/>
        <v/>
      </c>
      <c r="CZ18" s="61" t="str">
        <f t="shared" si="71"/>
        <v/>
      </c>
      <c r="DA18" s="116" t="str">
        <f t="shared" si="81"/>
        <v/>
      </c>
      <c r="DB18" s="6" t="str">
        <f t="shared" si="82"/>
        <v>si</v>
      </c>
      <c r="DC18" s="61" t="str">
        <f t="shared" si="72"/>
        <v>else if (document.getElementById("rc").checked==true) {tipo_doc_id="rc";}</v>
      </c>
      <c r="DD18" s="131" t="str">
        <f t="shared" si="40"/>
        <v/>
      </c>
      <c r="DE18" s="131" t="str">
        <f t="shared" si="41"/>
        <v/>
      </c>
      <c r="DF18" s="61" t="str">
        <f t="shared" si="42"/>
        <v/>
      </c>
      <c r="DG18" s="116" t="str">
        <f t="shared" si="73"/>
        <v/>
      </c>
      <c r="DH18" s="116" t="str">
        <f t="shared" si="74"/>
        <v/>
      </c>
    </row>
    <row r="19" spans="2:112" s="17" customFormat="1">
      <c r="B19" s="128"/>
      <c r="C19" s="128" t="s">
        <v>576</v>
      </c>
      <c r="D19" s="129">
        <v>10</v>
      </c>
      <c r="E19" s="89" t="str">
        <f t="shared" si="0"/>
        <v>VARCHAR</v>
      </c>
      <c r="F19" s="128" t="s">
        <v>136</v>
      </c>
      <c r="G19" s="128"/>
      <c r="H19" s="128"/>
      <c r="I19" s="128"/>
      <c r="J19" s="121"/>
      <c r="K19" s="59"/>
      <c r="M19" s="35">
        <v>1</v>
      </c>
      <c r="N19" s="43" t="s">
        <v>190</v>
      </c>
      <c r="O19" s="42" t="str">
        <f>+"check"&amp;M19</f>
        <v>check1</v>
      </c>
      <c r="AC19" s="47" t="s">
        <v>198</v>
      </c>
      <c r="AD19" s="52" t="str">
        <f t="shared" si="1"/>
        <v/>
      </c>
      <c r="AE19" s="52">
        <f t="shared" si="2"/>
        <v>0</v>
      </c>
      <c r="AF19" s="52">
        <f t="shared" si="75"/>
        <v>0</v>
      </c>
      <c r="AG19" s="61" t="str">
        <f t="shared" si="3"/>
        <v/>
      </c>
      <c r="AH19" s="52">
        <f t="shared" si="4"/>
        <v>0</v>
      </c>
      <c r="AI19" s="52">
        <f t="shared" si="43"/>
        <v>1</v>
      </c>
      <c r="AJ19" s="52" t="str">
        <f t="shared" si="44"/>
        <v/>
      </c>
      <c r="AK19" s="61" t="str">
        <f t="shared" si="5"/>
        <v/>
      </c>
      <c r="AL19" s="95" t="str">
        <f t="shared" si="6"/>
        <v/>
      </c>
      <c r="AM19" s="61" t="str">
        <f t="shared" si="7"/>
        <v>if () {$("#adv_ce").html("Requierd");$("#ce").css({"background":"yellow"});} else {$("#adv_ce").html("");$("#ce").css({"background":"white"});}</v>
      </c>
      <c r="AN19" s="61" t="str">
        <f t="shared" si="8"/>
        <v>if (=="") {$("#adv_").html("Requierd");} else {$("#adv_").html("");}</v>
      </c>
      <c r="AO19" s="50" t="str">
        <f t="shared" si="9"/>
        <v>&lt;input type="text" id="ce" name="ce" size="15" /&gt;</v>
      </c>
      <c r="AP19" s="61" t="str">
        <f t="shared" si="10"/>
        <v>ce=$("#ce").val();</v>
      </c>
      <c r="AQ19" s="61" t="str">
        <f t="shared" si="45"/>
        <v/>
      </c>
      <c r="AR19" s="61" t="str">
        <f t="shared" si="11"/>
        <v>ce=document.getElementById("ce").checked;</v>
      </c>
      <c r="AS19" s="102" t="str">
        <f t="shared" si="12"/>
        <v>if (isset($_GET['ce'])) {$ce=($_GET['ce']);}else $ce='';</v>
      </c>
      <c r="AT19" s="52" t="str">
        <f t="shared" si="13"/>
        <v>tipo_doc_id</v>
      </c>
      <c r="AU19" s="52" t="str">
        <f t="shared" si="14"/>
        <v>else if (document.getElementById("</v>
      </c>
      <c r="AV19" s="61" t="str">
        <f t="shared" si="15"/>
        <v>else if (document.getElementById("ce").checked==true) {tipo_doc_id="ce";}</v>
      </c>
      <c r="AW19" s="61" t="str">
        <f t="shared" si="76"/>
        <v/>
      </c>
      <c r="AX19" s="102" t="str">
        <f t="shared" si="16"/>
        <v/>
      </c>
      <c r="AY19" s="135" t="str">
        <f t="shared" si="46"/>
        <v/>
      </c>
      <c r="AZ19" s="50" t="str">
        <f t="shared" si="17"/>
        <v>&lt;input type="checkbox" id="ce" name="ce" value="1" /&gt;</v>
      </c>
      <c r="BA19" s="105" t="str">
        <f t="shared" si="18"/>
        <v>&lt;br/&gt;&lt;textarea rows="2" cols="80" id="ce"&gt;&lt;/textarea&gt;&lt;br/&gt;</v>
      </c>
      <c r="BB19" s="50" t="str">
        <f t="shared" si="19"/>
        <v>ce&lt;input type="radio" name="tipo_doc_id" id="ce" value="ce" /&gt;</v>
      </c>
      <c r="BC19" s="107" t="str">
        <f t="shared" si="20"/>
        <v>&lt;input type="text"  size="7"  id="ce" class="datepicker"/&gt;</v>
      </c>
      <c r="BD19" s="109" t="str">
        <f t="shared" si="47"/>
        <v>ce&lt;input type="radio" name="tipo_doc_id" id="ce" value="ce" /&gt;</v>
      </c>
      <c r="BE19" s="61" t="str">
        <f t="shared" si="21"/>
        <v>else if (document.getElementById("ce").checked==true) {tipo_doc_id="ce";}</v>
      </c>
      <c r="BF19" s="52">
        <f t="shared" ref="BF19:BF82" si="83">+IF(BE19="",0,1)+BF18</f>
        <v>4</v>
      </c>
      <c r="BG19" s="61" t="str">
        <f t="shared" si="48"/>
        <v/>
      </c>
      <c r="BH19" s="102" t="str">
        <f t="shared" si="22"/>
        <v/>
      </c>
      <c r="BI19" s="105" t="str">
        <f t="shared" si="23"/>
        <v>&lt;br/&gt;</v>
      </c>
      <c r="BJ19" s="52" t="str">
        <f t="shared" si="49"/>
        <v/>
      </c>
      <c r="BK19" s="52">
        <f t="shared" si="50"/>
        <v>0</v>
      </c>
      <c r="BL19" s="52">
        <f t="shared" si="51"/>
        <v>1</v>
      </c>
      <c r="BM19" s="52" t="str">
        <f t="shared" si="77"/>
        <v/>
      </c>
      <c r="BN19" s="52" t="str">
        <f t="shared" si="24"/>
        <v/>
      </c>
      <c r="BO19" s="52" t="str">
        <f t="shared" si="78"/>
        <v/>
      </c>
      <c r="BP19" s="113" t="str">
        <f t="shared" si="52"/>
        <v/>
      </c>
      <c r="BQ19" s="52" t="str">
        <f t="shared" si="79"/>
        <v/>
      </c>
      <c r="BR19" s="52" t="str">
        <f t="shared" si="53"/>
        <v/>
      </c>
      <c r="BS19" s="52" t="str">
        <f t="shared" si="54"/>
        <v/>
      </c>
      <c r="BT19" s="52" t="str">
        <f t="shared" si="55"/>
        <v/>
      </c>
      <c r="BU19" s="52" t="str">
        <f t="shared" si="56"/>
        <v/>
      </c>
      <c r="BV19" s="102" t="str">
        <f t="shared" si="25"/>
        <v/>
      </c>
      <c r="BW19" s="116" t="str">
        <f t="shared" si="26"/>
        <v/>
      </c>
      <c r="BX19" s="61" t="str">
        <f t="shared" si="27"/>
        <v>document.getElementById("ce").checked=false;</v>
      </c>
      <c r="BY19" s="52" t="str">
        <f t="shared" si="28"/>
        <v>$("#ce").val("");</v>
      </c>
      <c r="BZ19" s="52" t="str">
        <f t="shared" si="29"/>
        <v/>
      </c>
      <c r="CA19" s="52" t="str">
        <f t="shared" si="57"/>
        <v>$("#ce").val("");</v>
      </c>
      <c r="CB19" s="52" t="str">
        <f t="shared" si="30"/>
        <v>document.getElementById("ce").checked=false;</v>
      </c>
      <c r="CC19" s="52" t="str">
        <f t="shared" si="31"/>
        <v/>
      </c>
      <c r="CD19" s="102" t="str">
        <f t="shared" si="32"/>
        <v/>
      </c>
      <c r="CE19" s="116" t="str">
        <f t="shared" si="33"/>
        <v/>
      </c>
      <c r="CF19" s="116" t="str">
        <f t="shared" si="34"/>
        <v/>
      </c>
      <c r="CG19" s="61" t="str">
        <f t="shared" si="35"/>
        <v/>
      </c>
      <c r="CH19" s="52">
        <f t="shared" si="80"/>
        <v>1</v>
      </c>
      <c r="CI19" s="61" t="str">
        <f t="shared" si="58"/>
        <v/>
      </c>
      <c r="CJ19" s="61" t="str">
        <f t="shared" si="59"/>
        <v/>
      </c>
      <c r="CK19" s="61" t="str">
        <f t="shared" si="60"/>
        <v/>
      </c>
      <c r="CL19" s="61" t="str">
        <f t="shared" si="36"/>
        <v/>
      </c>
      <c r="CM19" s="61" t="str">
        <f t="shared" si="37"/>
        <v/>
      </c>
      <c r="CN19" s="134" t="str">
        <f t="shared" si="38"/>
        <v>u_id</v>
      </c>
      <c r="CO19" s="131" t="str">
        <f t="shared" si="39"/>
        <v/>
      </c>
      <c r="CP19" s="131" t="str">
        <f t="shared" si="61"/>
        <v/>
      </c>
      <c r="CQ19" s="131" t="str">
        <f t="shared" si="62"/>
        <v/>
      </c>
      <c r="CR19" s="116" t="str">
        <f t="shared" si="63"/>
        <v/>
      </c>
      <c r="CS19" s="116" t="str">
        <f t="shared" si="64"/>
        <v/>
      </c>
      <c r="CT19" s="116" t="str">
        <f t="shared" si="65"/>
        <v/>
      </c>
      <c r="CU19" s="52">
        <f t="shared" si="66"/>
        <v>0</v>
      </c>
      <c r="CV19" s="116" t="str">
        <f t="shared" si="67"/>
        <v/>
      </c>
      <c r="CW19" s="116" t="str">
        <f t="shared" si="68"/>
        <v/>
      </c>
      <c r="CX19" s="61" t="str">
        <f t="shared" si="69"/>
        <v/>
      </c>
      <c r="CY19" s="61" t="str">
        <f t="shared" si="70"/>
        <v/>
      </c>
      <c r="CZ19" s="61" t="str">
        <f t="shared" si="71"/>
        <v/>
      </c>
      <c r="DA19" s="116" t="str">
        <f t="shared" si="81"/>
        <v/>
      </c>
      <c r="DB19" s="6" t="str">
        <f t="shared" si="82"/>
        <v>si</v>
      </c>
      <c r="DC19" s="61" t="str">
        <f t="shared" si="72"/>
        <v>else if (document.getElementById("ce").checked==true) {tipo_doc_id="ce";}</v>
      </c>
      <c r="DD19" s="131" t="str">
        <f t="shared" si="40"/>
        <v/>
      </c>
      <c r="DE19" s="131" t="str">
        <f t="shared" si="41"/>
        <v/>
      </c>
      <c r="DF19" s="61" t="str">
        <f t="shared" si="42"/>
        <v/>
      </c>
      <c r="DG19" s="116" t="str">
        <f t="shared" si="73"/>
        <v/>
      </c>
      <c r="DH19" s="116" t="str">
        <f t="shared" si="74"/>
        <v/>
      </c>
    </row>
    <row r="20" spans="2:112" s="17" customFormat="1">
      <c r="B20" s="128"/>
      <c r="C20" s="128" t="s">
        <v>577</v>
      </c>
      <c r="D20" s="129">
        <v>10</v>
      </c>
      <c r="E20" s="89" t="str">
        <f t="shared" si="0"/>
        <v>VARCHAR</v>
      </c>
      <c r="F20" s="128" t="s">
        <v>136</v>
      </c>
      <c r="G20" s="128"/>
      <c r="H20" s="128"/>
      <c r="I20" s="128"/>
      <c r="J20" s="121"/>
      <c r="K20" s="59"/>
      <c r="M20" s="17" t="s">
        <v>366</v>
      </c>
      <c r="AC20" s="47" t="s">
        <v>199</v>
      </c>
      <c r="AD20" s="52" t="str">
        <f t="shared" si="1"/>
        <v/>
      </c>
      <c r="AE20" s="52">
        <f t="shared" si="2"/>
        <v>0</v>
      </c>
      <c r="AF20" s="52">
        <f t="shared" si="75"/>
        <v>0</v>
      </c>
      <c r="AG20" s="61" t="str">
        <f t="shared" si="3"/>
        <v/>
      </c>
      <c r="AH20" s="52">
        <f t="shared" si="4"/>
        <v>0</v>
      </c>
      <c r="AI20" s="52">
        <f t="shared" si="43"/>
        <v>1</v>
      </c>
      <c r="AJ20" s="52" t="str">
        <f t="shared" si="44"/>
        <v/>
      </c>
      <c r="AK20" s="61" t="str">
        <f t="shared" si="5"/>
        <v/>
      </c>
      <c r="AL20" s="95" t="str">
        <f t="shared" si="6"/>
        <v/>
      </c>
      <c r="AM20" s="61" t="str">
        <f t="shared" si="7"/>
        <v>if () {$("#adv_ni").html("Requierd");$("#ni").css({"background":"yellow"});} else {$("#adv_ni").html("");$("#ni").css({"background":"white"});}</v>
      </c>
      <c r="AN20" s="61" t="str">
        <f t="shared" si="8"/>
        <v>if (=="") {$("#adv_").html("Requierd");} else {$("#adv_").html("");}</v>
      </c>
      <c r="AO20" s="50" t="str">
        <f t="shared" si="9"/>
        <v>&lt;input type="text" id="ni" name="ni" size="15" /&gt;</v>
      </c>
      <c r="AP20" s="61" t="str">
        <f t="shared" si="10"/>
        <v>ni=$("#ni").val();</v>
      </c>
      <c r="AQ20" s="61" t="str">
        <f t="shared" si="45"/>
        <v/>
      </c>
      <c r="AR20" s="61" t="str">
        <f t="shared" si="11"/>
        <v>ni=document.getElementById("ni").checked;</v>
      </c>
      <c r="AS20" s="102" t="str">
        <f t="shared" si="12"/>
        <v>if (isset($_GET['ni'])) {$ni=($_GET['ni']);}else $ni='';</v>
      </c>
      <c r="AT20" s="52" t="str">
        <f t="shared" si="13"/>
        <v>tipo_doc_id</v>
      </c>
      <c r="AU20" s="52" t="str">
        <f t="shared" si="14"/>
        <v>else if (document.getElementById("</v>
      </c>
      <c r="AV20" s="61" t="str">
        <f t="shared" si="15"/>
        <v>else if (document.getElementById("ni").checked==true) {tipo_doc_id="ni";}else tipo_doc_id="";</v>
      </c>
      <c r="AW20" s="61" t="str">
        <f t="shared" si="76"/>
        <v/>
      </c>
      <c r="AX20" s="102" t="str">
        <f t="shared" si="16"/>
        <v/>
      </c>
      <c r="AY20" s="135" t="str">
        <f t="shared" si="46"/>
        <v/>
      </c>
      <c r="AZ20" s="50" t="str">
        <f t="shared" si="17"/>
        <v>&lt;input type="checkbox" id="ni" name="ni" value="1" /&gt;</v>
      </c>
      <c r="BA20" s="105" t="str">
        <f t="shared" si="18"/>
        <v>&lt;br/&gt;&lt;textarea rows="2" cols="80" id="ni"&gt;&lt;/textarea&gt;&lt;br/&gt;</v>
      </c>
      <c r="BB20" s="50" t="str">
        <f t="shared" si="19"/>
        <v>ni&lt;input type="radio" name="tipo_doc_id" id="ni" value="ni" /&gt;</v>
      </c>
      <c r="BC20" s="107" t="str">
        <f t="shared" si="20"/>
        <v>&lt;input type="text"  size="7"  id="ni" class="datepicker"/&gt;</v>
      </c>
      <c r="BD20" s="109" t="str">
        <f t="shared" si="47"/>
        <v>ni&lt;input type="radio" name="tipo_doc_id" id="ni" value="ni" /&gt;&lt;/div&gt;</v>
      </c>
      <c r="BE20" s="61" t="str">
        <f t="shared" si="21"/>
        <v>else if (document.getElementById("ni").checked==true) {tipo_doc_id="ni";}else tipo_doc_id="";</v>
      </c>
      <c r="BF20" s="52">
        <f t="shared" si="83"/>
        <v>5</v>
      </c>
      <c r="BG20" s="61" t="str">
        <f t="shared" si="48"/>
        <v/>
      </c>
      <c r="BH20" s="102" t="str">
        <f t="shared" si="22"/>
        <v/>
      </c>
      <c r="BI20" s="105" t="str">
        <f t="shared" si="23"/>
        <v>&lt;br/&gt;</v>
      </c>
      <c r="BJ20" s="52" t="str">
        <f t="shared" si="49"/>
        <v/>
      </c>
      <c r="BK20" s="52">
        <f t="shared" si="50"/>
        <v>0</v>
      </c>
      <c r="BL20" s="52">
        <f t="shared" si="51"/>
        <v>1</v>
      </c>
      <c r="BM20" s="52" t="str">
        <f t="shared" si="77"/>
        <v/>
      </c>
      <c r="BN20" s="52" t="str">
        <f t="shared" si="24"/>
        <v/>
      </c>
      <c r="BO20" s="52" t="str">
        <f t="shared" si="78"/>
        <v/>
      </c>
      <c r="BP20" s="113" t="str">
        <f t="shared" si="52"/>
        <v/>
      </c>
      <c r="BQ20" s="52" t="str">
        <f t="shared" si="79"/>
        <v/>
      </c>
      <c r="BR20" s="52" t="str">
        <f t="shared" si="53"/>
        <v/>
      </c>
      <c r="BS20" s="52" t="str">
        <f t="shared" si="54"/>
        <v/>
      </c>
      <c r="BT20" s="52" t="str">
        <f t="shared" si="55"/>
        <v/>
      </c>
      <c r="BU20" s="52" t="str">
        <f t="shared" si="56"/>
        <v/>
      </c>
      <c r="BV20" s="102" t="str">
        <f t="shared" si="25"/>
        <v/>
      </c>
      <c r="BW20" s="116" t="str">
        <f t="shared" si="26"/>
        <v/>
      </c>
      <c r="BX20" s="61" t="str">
        <f t="shared" si="27"/>
        <v>document.getElementById("ni").checked=false;</v>
      </c>
      <c r="BY20" s="52" t="str">
        <f t="shared" si="28"/>
        <v>$("#ni").val("");</v>
      </c>
      <c r="BZ20" s="52" t="str">
        <f t="shared" si="29"/>
        <v/>
      </c>
      <c r="CA20" s="52" t="str">
        <f t="shared" si="57"/>
        <v>$("#ni").val("");</v>
      </c>
      <c r="CB20" s="52" t="str">
        <f t="shared" si="30"/>
        <v>document.getElementById("ni").checked=false;</v>
      </c>
      <c r="CC20" s="52" t="str">
        <f t="shared" si="31"/>
        <v/>
      </c>
      <c r="CD20" s="102" t="str">
        <f t="shared" si="32"/>
        <v/>
      </c>
      <c r="CE20" s="116" t="str">
        <f t="shared" si="33"/>
        <v/>
      </c>
      <c r="CF20" s="116" t="str">
        <f t="shared" si="34"/>
        <v/>
      </c>
      <c r="CG20" s="61" t="str">
        <f t="shared" si="35"/>
        <v/>
      </c>
      <c r="CH20" s="52">
        <f t="shared" si="80"/>
        <v>1</v>
      </c>
      <c r="CI20" s="61" t="str">
        <f t="shared" si="58"/>
        <v/>
      </c>
      <c r="CJ20" s="61" t="str">
        <f t="shared" si="59"/>
        <v/>
      </c>
      <c r="CK20" s="61" t="str">
        <f t="shared" si="60"/>
        <v/>
      </c>
      <c r="CL20" s="61" t="str">
        <f t="shared" si="36"/>
        <v/>
      </c>
      <c r="CM20" s="61" t="str">
        <f t="shared" si="37"/>
        <v/>
      </c>
      <c r="CN20" s="134" t="str">
        <f t="shared" si="38"/>
        <v>u_id</v>
      </c>
      <c r="CO20" s="131" t="str">
        <f t="shared" si="39"/>
        <v/>
      </c>
      <c r="CP20" s="131" t="str">
        <f t="shared" si="61"/>
        <v/>
      </c>
      <c r="CQ20" s="131" t="str">
        <f t="shared" si="62"/>
        <v/>
      </c>
      <c r="CR20" s="116" t="str">
        <f t="shared" si="63"/>
        <v/>
      </c>
      <c r="CS20" s="116" t="str">
        <f t="shared" si="64"/>
        <v/>
      </c>
      <c r="CT20" s="116" t="str">
        <f t="shared" si="65"/>
        <v/>
      </c>
      <c r="CU20" s="52">
        <f t="shared" si="66"/>
        <v>0</v>
      </c>
      <c r="CV20" s="116" t="str">
        <f t="shared" si="67"/>
        <v/>
      </c>
      <c r="CW20" s="116" t="str">
        <f t="shared" si="68"/>
        <v/>
      </c>
      <c r="CX20" s="61" t="str">
        <f t="shared" si="69"/>
        <v/>
      </c>
      <c r="CY20" s="61" t="str">
        <f t="shared" si="70"/>
        <v/>
      </c>
      <c r="CZ20" s="61" t="str">
        <f t="shared" si="71"/>
        <v/>
      </c>
      <c r="DA20" s="116" t="str">
        <f t="shared" si="81"/>
        <v/>
      </c>
      <c r="DB20" s="6" t="str">
        <f t="shared" si="82"/>
        <v>si</v>
      </c>
      <c r="DC20" s="61" t="str">
        <f t="shared" si="72"/>
        <v>else if (document.getElementById("ni").checked==true) {tipo_doc_id="ni";}else tipo_doc_id="";</v>
      </c>
      <c r="DD20" s="131" t="str">
        <f t="shared" si="40"/>
        <v/>
      </c>
      <c r="DE20" s="131" t="str">
        <f t="shared" si="41"/>
        <v>&lt;/div&gt;</v>
      </c>
      <c r="DF20" s="61" t="str">
        <f t="shared" si="42"/>
        <v/>
      </c>
      <c r="DG20" s="116" t="str">
        <f t="shared" si="73"/>
        <v/>
      </c>
      <c r="DH20" s="116" t="str">
        <f t="shared" si="74"/>
        <v/>
      </c>
    </row>
    <row r="21" spans="2:112" s="17" customFormat="1">
      <c r="B21" s="128" t="s">
        <v>578</v>
      </c>
      <c r="C21" s="89" t="s">
        <v>579</v>
      </c>
      <c r="D21" s="129">
        <v>50</v>
      </c>
      <c r="E21" s="89" t="str">
        <f t="shared" si="0"/>
        <v>VARCHAR</v>
      </c>
      <c r="F21" s="128" t="s">
        <v>135</v>
      </c>
      <c r="G21" s="128" t="s">
        <v>24</v>
      </c>
      <c r="H21" s="128" t="s">
        <v>24</v>
      </c>
      <c r="I21" s="128" t="s">
        <v>24</v>
      </c>
      <c r="J21" s="121" t="s">
        <v>24</v>
      </c>
      <c r="K21" s="59"/>
      <c r="M21" s="35" t="s">
        <v>24</v>
      </c>
      <c r="O21" s="138" t="s">
        <v>539</v>
      </c>
      <c r="P21" s="139"/>
      <c r="Q21" s="140"/>
      <c r="AC21" s="47" t="s">
        <v>200</v>
      </c>
      <c r="AD21" s="52" t="str">
        <f t="shared" si="1"/>
        <v>numd==""</v>
      </c>
      <c r="AE21" s="52">
        <f t="shared" si="2"/>
        <v>1</v>
      </c>
      <c r="AF21" s="52">
        <f t="shared" si="75"/>
        <v>1</v>
      </c>
      <c r="AG21" s="61" t="str">
        <f t="shared" si="3"/>
        <v>if (numd=="") {document.getElementById("numd").focus();}</v>
      </c>
      <c r="AH21" s="52">
        <f t="shared" si="4"/>
        <v>1</v>
      </c>
      <c r="AI21" s="52">
        <f t="shared" si="43"/>
        <v>2</v>
      </c>
      <c r="AJ21" s="52" t="str">
        <f t="shared" si="44"/>
        <v>||</v>
      </c>
      <c r="AK21" s="61" t="str">
        <f t="shared" si="5"/>
        <v>||numd==""</v>
      </c>
      <c r="AL21" s="95" t="str">
        <f t="shared" si="6"/>
        <v>if (numd=="") {$("#adv_numd").html("Requierd");$("#numd").css({"background":"yellow"});} else {$("#adv_numd").html("");$("#numd").css({"background":"white"});}</v>
      </c>
      <c r="AM21" s="61" t="str">
        <f t="shared" si="7"/>
        <v>if (numd=="") {$("#adv_numd").html("Requierd");$("#numd").css({"background":"yellow"});} else {$("#adv_numd").html("");$("#numd").css({"background":"white"});}</v>
      </c>
      <c r="AN21" s="61" t="str">
        <f t="shared" si="8"/>
        <v>if (num doc=="") {$("#adv_num doc").html("Requierd");} else {$("#adv_num doc").html("");}</v>
      </c>
      <c r="AO21" s="50" t="str">
        <f t="shared" si="9"/>
        <v>num doc:&lt;input type="text" id="numd" name="numd" size="15" /&gt;</v>
      </c>
      <c r="AP21" s="61" t="str">
        <f t="shared" si="10"/>
        <v>numd=$("#numd").val();</v>
      </c>
      <c r="AQ21" s="61" t="str">
        <f t="shared" si="45"/>
        <v>highlight script</v>
      </c>
      <c r="AR21" s="61" t="str">
        <f t="shared" si="11"/>
        <v>numd=document.getElementById("numd").checked;</v>
      </c>
      <c r="AS21" s="102" t="str">
        <f t="shared" si="12"/>
        <v>if (isset($_GET['numd'])) {$numd=($_GET['numd']);}else $numd='';</v>
      </c>
      <c r="AT21" s="52" t="str">
        <f t="shared" si="13"/>
        <v>num doc</v>
      </c>
      <c r="AU21" s="52" t="str">
        <f t="shared" si="14"/>
        <v>if (document.getElementById("</v>
      </c>
      <c r="AV21" s="61" t="str">
        <f t="shared" si="15"/>
        <v>if (document.getElementById("numd").checked==true) {num doc="numd";}</v>
      </c>
      <c r="AW21" s="61" t="str">
        <f t="shared" si="76"/>
        <v>,num doc:num doc</v>
      </c>
      <c r="AX21" s="102" t="str">
        <f t="shared" si="16"/>
        <v>if (isset($_GET['num doc'])) {$num doc=($_GET['num doc']);}else $num doc='';</v>
      </c>
      <c r="AY21" s="135" t="str">
        <f t="shared" si="46"/>
        <v>num doc:</v>
      </c>
      <c r="AZ21" s="50" t="str">
        <f t="shared" si="17"/>
        <v>num doc:&lt;input type="checkbox" id="numd" name="numd" value="1" /&gt;</v>
      </c>
      <c r="BA21" s="105" t="str">
        <f t="shared" si="18"/>
        <v>num doc:&lt;br/&gt;&lt;textarea rows="2" cols="80" id="numd"&gt;&lt;/textarea&gt;&lt;br/&gt;</v>
      </c>
      <c r="BB21" s="50" t="str">
        <f t="shared" si="19"/>
        <v>num doc:&lt;span id="adv_num doc"&gt;&lt;/span&gt;&lt;br/&gt;numd&lt;input type="radio" name="num doc" id="numd" value="numd" /&gt;</v>
      </c>
      <c r="BC21" s="107" t="str">
        <f t="shared" si="20"/>
        <v>num doc:&lt;input type="text"  size="7"  id="numd" class="datepicker"/&gt;</v>
      </c>
      <c r="BD21" s="109" t="str">
        <f t="shared" si="47"/>
        <v>&lt;div id='uniq_numd'&gt;num doc:&lt;input type="text" id="numd" name="numd" size="15" /&gt;&lt;/div&gt;</v>
      </c>
      <c r="BE21" s="61" t="str">
        <f t="shared" si="21"/>
        <v>numd=$("#numd").val();</v>
      </c>
      <c r="BF21" s="52">
        <f t="shared" si="83"/>
        <v>6</v>
      </c>
      <c r="BG21" s="61" t="str">
        <f t="shared" si="48"/>
        <v>,numd:numd</v>
      </c>
      <c r="BH21" s="102" t="str">
        <f t="shared" si="22"/>
        <v>if (isset($_GET['numd'])) {$numd=($_GET['numd']);}else $numd='';</v>
      </c>
      <c r="BI21" s="105" t="str">
        <f>IF(BD21="","",IF(G21="si",$C$6&amp;C21&amp;$C$7,"")&amp;"&lt;br/&gt;")&amp;CO21</f>
        <v>&lt;span id="adv_numd"&gt;&lt;/span&gt;&lt;br/&gt;&lt;div id="hiden1_1" style="display:none"&gt;</v>
      </c>
      <c r="BJ21" s="52" t="str">
        <f t="shared" si="49"/>
        <v>required advise</v>
      </c>
      <c r="BK21" s="52">
        <f t="shared" si="50"/>
        <v>1</v>
      </c>
      <c r="BL21" s="52">
        <f t="shared" si="51"/>
        <v>2</v>
      </c>
      <c r="BM21" s="52" t="str">
        <f t="shared" si="77"/>
        <v xml:space="preserve"> AND </v>
      </c>
      <c r="BN21" s="52" t="str">
        <f t="shared" si="24"/>
        <v>." "</v>
      </c>
      <c r="BO21" s="52" t="str">
        <f t="shared" si="78"/>
        <v>,</v>
      </c>
      <c r="BP21" s="113" t="str">
        <f t="shared" si="52"/>
        <v>numd</v>
      </c>
      <c r="BQ21" s="52" t="str">
        <f t="shared" si="79"/>
        <v xml:space="preserve"> AND numd='$numd'</v>
      </c>
      <c r="BR21" s="52" t="str">
        <f t="shared" si="53"/>
        <v>." ".$numd</v>
      </c>
      <c r="BS21" s="52" t="str">
        <f t="shared" si="54"/>
        <v>,numd</v>
      </c>
      <c r="BT21" s="52" t="str">
        <f t="shared" si="55"/>
        <v>,'$numd'</v>
      </c>
      <c r="BU21" s="52" t="str">
        <f t="shared" si="56"/>
        <v>$numd</v>
      </c>
      <c r="BV21" s="102" t="str">
        <f t="shared" si="25"/>
        <v>echo 'num doc'.$numd;</v>
      </c>
      <c r="BW21" s="116" t="str">
        <f t="shared" si="26"/>
        <v/>
      </c>
      <c r="BX21" s="61" t="str">
        <f t="shared" si="27"/>
        <v>$("#numd").val("");$("#adv_numd").html("");$("#numd").css({"background":"#fff"});</v>
      </c>
      <c r="BY21" s="52" t="str">
        <f t="shared" si="28"/>
        <v>$("#numd").val("");</v>
      </c>
      <c r="BZ21" s="52" t="str">
        <f t="shared" si="29"/>
        <v>$("#adv_numd").html("");$("#numd").css({"background":"#fff"});</v>
      </c>
      <c r="CA21" s="52" t="str">
        <f t="shared" si="57"/>
        <v>$("#numd").val("");$("#adv_numd").html("");$("#numd").css({"background":"#fff"});</v>
      </c>
      <c r="CB21" s="52" t="str">
        <f t="shared" si="30"/>
        <v/>
      </c>
      <c r="CC21" s="52" t="str">
        <f t="shared" si="31"/>
        <v/>
      </c>
      <c r="CD21" s="102" t="str">
        <f t="shared" si="32"/>
        <v>$call_numd=$row['numd'];</v>
      </c>
      <c r="CE21" s="116" t="str">
        <f t="shared" si="33"/>
        <v>echo "num doc:".$row['numd'];</v>
      </c>
      <c r="CF21" s="116" t="str">
        <f t="shared" si="34"/>
        <v>,numd VARCHAR(50)</v>
      </c>
      <c r="CG21" s="61" t="str">
        <f t="shared" si="35"/>
        <v>numd=$('#numd').val();</v>
      </c>
      <c r="CH21" s="52">
        <f t="shared" si="80"/>
        <v>2</v>
      </c>
      <c r="CI21" s="61" t="str">
        <f t="shared" si="58"/>
        <v>||numd==""</v>
      </c>
      <c r="CJ21" s="61" t="str">
        <f t="shared" si="59"/>
        <v>if (numd=="") {$("#adv_numd").html("Requierd");$("#numd").css({"background":"yellow"});} else {$("#adv_numd").html("");$("#numd").css({"background":"white"});}</v>
      </c>
      <c r="CK21" s="61" t="str">
        <f t="shared" si="60"/>
        <v>if (numd=="") {document.getElementById("numd").focus();}</v>
      </c>
      <c r="CL21" s="61" t="str">
        <f t="shared" si="36"/>
        <v>,numd:numd</v>
      </c>
      <c r="CM21" s="61" t="str">
        <f t="shared" si="37"/>
        <v>$("#adv_numd").html("");$("#numd").css({"background":"#fff"});</v>
      </c>
      <c r="CN21" s="134" t="str">
        <f>+IF(F21="radio",IF(AND(B21&lt;&gt;"",B21&lt;&gt;B20),IF(J21="si","u_id",""),IF(CN20="u_id","u_id","")),IF(J21="si","u_id",""))</f>
        <v>u_id</v>
      </c>
      <c r="CO21" s="131" t="str">
        <f t="shared" ref="CO21:CO84" si="84">IF(CN21="","",IF(AND(CN21="u_id",CN22=""),$A$9&amp;"hiden"&amp;$M$19&amp;$J$12,""))</f>
        <v>&lt;div id="hiden1_1" style="display:none"&gt;</v>
      </c>
      <c r="CP21" s="131" t="str">
        <f t="shared" si="61"/>
        <v>&lt;span id="pre_numd"&gt;</v>
      </c>
      <c r="CQ21" s="131" t="str">
        <f t="shared" si="62"/>
        <v>&lt;/span&gt;</v>
      </c>
      <c r="CR21" s="116" t="str">
        <f t="shared" si="63"/>
        <v>if (isset($_GET['numd'])) {$numd=($_GET['numd']);}else $numd='';</v>
      </c>
      <c r="CS21" s="116" t="str">
        <f t="shared" si="64"/>
        <v xml:space="preserve"> AND numd='$numd'</v>
      </c>
      <c r="CT21" s="116" t="str">
        <f t="shared" si="65"/>
        <v>." ".$numd</v>
      </c>
      <c r="CU21" s="52">
        <f t="shared" si="66"/>
        <v>1</v>
      </c>
      <c r="CV21" s="116" t="str">
        <f t="shared" si="67"/>
        <v>$_SESSION['a01healmy5_pray_numd']=$numd;</v>
      </c>
      <c r="CW21" s="116" t="str">
        <f t="shared" si="68"/>
        <v>echo ' numd:'.$row_ae['numd'];</v>
      </c>
      <c r="CX21" s="61" t="str">
        <f t="shared" si="69"/>
        <v>$("#pre_numd").hide();</v>
      </c>
      <c r="CY21" s="61" t="str">
        <f t="shared" si="70"/>
        <v>$("#numd").hide();</v>
      </c>
      <c r="CZ21" s="61" t="str">
        <f t="shared" si="71"/>
        <v>$("#pre_numd").hide();$("#numd").hide();$("#uniq_numd").hide();</v>
      </c>
      <c r="DA21" s="116" t="str">
        <f t="shared" si="81"/>
        <v>if (isset($_SESSION['a01healmy5_pray_numd'])) unset($_SESSION['a01healmy5_pray_numd']);</v>
      </c>
      <c r="DB21" s="6" t="str">
        <f t="shared" si="82"/>
        <v>si</v>
      </c>
      <c r="DC21" s="61" t="str">
        <f t="shared" si="72"/>
        <v>numd=$("#numd").val();</v>
      </c>
      <c r="DD21" s="131" t="str">
        <f>IF(AND(F21="texto",J21="si"),"&lt;div id='uniq_"&amp;C21&amp;"'&gt;",IF(AND(B21&lt;&gt;"",F21="radio",J21="si"),"&lt;div id='uniq_"&amp;B21&amp;"'&gt;",""))</f>
        <v>&lt;div id='uniq_numd'&gt;</v>
      </c>
      <c r="DE21" s="131" t="str">
        <f>IF(AND(F21="texto",J21="si"),"&lt;/div&gt;",IF(AND(F21="radio",B22&lt;&gt;"",DB21="si"),"&lt;/div&gt;",""))</f>
        <v>&lt;/div&gt;</v>
      </c>
      <c r="DF21" s="61" t="str">
        <f>+IF(DD21&lt;&gt;"",IF(F21="texto",$C$5&amp;"uniq_"&amp;C21&amp;$G$4,$C$5&amp;"uniq_"&amp;B21&amp;$G$4),"")</f>
        <v>$("#uniq_numd").hide();</v>
      </c>
      <c r="DG21" s="116" t="str">
        <f t="shared" si="73"/>
        <v>if (!isset($_SESSION['a01healmy5_pray_numd'])) { header('Location:a01uniqueJesus.php');}</v>
      </c>
      <c r="DH21" s="116" t="str">
        <f t="shared" si="74"/>
        <v>echo 'numd: '.$row['numd'];</v>
      </c>
    </row>
    <row r="22" spans="2:112" s="17" customFormat="1">
      <c r="B22" s="128" t="s">
        <v>580</v>
      </c>
      <c r="C22" s="128" t="s">
        <v>496</v>
      </c>
      <c r="D22" s="129">
        <v>50</v>
      </c>
      <c r="E22" s="89" t="str">
        <f t="shared" si="0"/>
        <v>VARCHAR</v>
      </c>
      <c r="F22" s="128" t="s">
        <v>135</v>
      </c>
      <c r="G22" s="128" t="s">
        <v>24</v>
      </c>
      <c r="H22" s="128" t="s">
        <v>24</v>
      </c>
      <c r="I22" s="128"/>
      <c r="J22" s="121"/>
      <c r="K22" s="59"/>
      <c r="M22" s="17" t="s">
        <v>37</v>
      </c>
      <c r="O22" s="141" t="str">
        <f>+"a01"&amp;M17&amp;"_"</f>
        <v>a01healmy5_pray_</v>
      </c>
      <c r="P22" s="29"/>
      <c r="Q22" s="30"/>
      <c r="AC22" s="47" t="s">
        <v>201</v>
      </c>
      <c r="AD22" s="52" t="str">
        <f t="shared" si="1"/>
        <v>nom==""</v>
      </c>
      <c r="AE22" s="52">
        <f t="shared" si="2"/>
        <v>1</v>
      </c>
      <c r="AF22" s="52">
        <f t="shared" si="75"/>
        <v>2</v>
      </c>
      <c r="AG22" s="61" t="str">
        <f t="shared" si="3"/>
        <v>else if (nom=="") {document.getElementById("nom").focus();}</v>
      </c>
      <c r="AH22" s="52">
        <f t="shared" si="4"/>
        <v>1</v>
      </c>
      <c r="AI22" s="52">
        <f t="shared" si="43"/>
        <v>3</v>
      </c>
      <c r="AJ22" s="52" t="str">
        <f t="shared" si="44"/>
        <v>||</v>
      </c>
      <c r="AK22" s="61" t="str">
        <f t="shared" si="5"/>
        <v>||nom==""</v>
      </c>
      <c r="AL22" s="95" t="str">
        <f t="shared" si="6"/>
        <v>if (nom=="") {$("#adv_nom").html("Requierd");$("#nom").css({"background":"yellow"});} else {$("#adv_nom").html("");$("#nom").css({"background":"white"});}</v>
      </c>
      <c r="AM22" s="61" t="str">
        <f t="shared" si="7"/>
        <v>if (nom=="") {$("#adv_nom").html("Requierd");$("#nom").css({"background":"yellow"});} else {$("#adv_nom").html("");$("#nom").css({"background":"white"});}</v>
      </c>
      <c r="AN22" s="61" t="str">
        <f t="shared" si="8"/>
        <v>if (Nombres=="") {$("#adv_Nombres").html("Requierd");} else {$("#adv_Nombres").html("");}</v>
      </c>
      <c r="AO22" s="50" t="str">
        <f t="shared" si="9"/>
        <v>Nombres:&lt;input type="text" id="nom" name="nom" size="15" /&gt;</v>
      </c>
      <c r="AP22" s="61" t="str">
        <f t="shared" si="10"/>
        <v>nom=$("#nom").val();</v>
      </c>
      <c r="AQ22" s="61" t="str">
        <f t="shared" si="45"/>
        <v>highlight script</v>
      </c>
      <c r="AR22" s="61" t="str">
        <f t="shared" si="11"/>
        <v>nom=document.getElementById("nom").checked;</v>
      </c>
      <c r="AS22" s="102" t="str">
        <f t="shared" si="12"/>
        <v>if (isset($_GET['nom'])) {$nom=($_GET['nom']);}else $nom='';</v>
      </c>
      <c r="AT22" s="52" t="str">
        <f t="shared" si="13"/>
        <v>Nombres</v>
      </c>
      <c r="AU22" s="52" t="str">
        <f t="shared" si="14"/>
        <v>if (document.getElementById("</v>
      </c>
      <c r="AV22" s="61" t="str">
        <f t="shared" si="15"/>
        <v>if (document.getElementById("nom").checked==true) {Nombres="nom";}</v>
      </c>
      <c r="AW22" s="61" t="str">
        <f t="shared" si="76"/>
        <v>,Nombres:Nombres</v>
      </c>
      <c r="AX22" s="102" t="str">
        <f t="shared" si="16"/>
        <v>if (isset($_GET['Nombres'])) {$Nombres=($_GET['Nombres']);}else $Nombres='';</v>
      </c>
      <c r="AY22" s="135" t="str">
        <f t="shared" si="46"/>
        <v>Nombres:</v>
      </c>
      <c r="AZ22" s="50" t="str">
        <f t="shared" si="17"/>
        <v>Nombres:&lt;input type="checkbox" id="nom" name="nom" value="1" /&gt;</v>
      </c>
      <c r="BA22" s="105" t="str">
        <f t="shared" si="18"/>
        <v>Nombres:&lt;br/&gt;&lt;textarea rows="2" cols="80" id="nom"&gt;&lt;/textarea&gt;&lt;br/&gt;</v>
      </c>
      <c r="BB22" s="50" t="str">
        <f t="shared" si="19"/>
        <v>Nombres:&lt;span id="adv_Nombres"&gt;&lt;/span&gt;&lt;br/&gt;nom&lt;input type="radio" name="Nombres" id="nom" value="nom" /&gt;</v>
      </c>
      <c r="BC22" s="107" t="str">
        <f t="shared" si="20"/>
        <v>Nombres:&lt;input type="text"  size="7"  id="nom" class="datepicker"/&gt;</v>
      </c>
      <c r="BD22" s="109" t="str">
        <f t="shared" si="47"/>
        <v>Nombres:&lt;input type="text" id="nom" name="nom" size="15" /&gt;</v>
      </c>
      <c r="BE22" s="61" t="str">
        <f t="shared" si="21"/>
        <v>nom=$("#nom").val();</v>
      </c>
      <c r="BF22" s="52">
        <f t="shared" si="83"/>
        <v>7</v>
      </c>
      <c r="BG22" s="61" t="str">
        <f t="shared" si="48"/>
        <v>,nom:nom</v>
      </c>
      <c r="BH22" s="102" t="str">
        <f t="shared" si="22"/>
        <v>if (isset($_GET['nom'])) {$nom=($_GET['nom']);}else $nom='';</v>
      </c>
      <c r="BI22" s="105" t="str">
        <f t="shared" ref="BI22:BI85" si="85">IF(BD22="","",IF(G22="si",$C$6&amp;C22&amp;$C$7,"")&amp;"&lt;br/&gt;")&amp;CO22</f>
        <v>&lt;span id="adv_nom"&gt;&lt;/span&gt;&lt;br/&gt;</v>
      </c>
      <c r="BJ22" s="52" t="str">
        <f t="shared" si="49"/>
        <v>required advise</v>
      </c>
      <c r="BK22" s="52">
        <f t="shared" si="50"/>
        <v>0</v>
      </c>
      <c r="BL22" s="52">
        <f t="shared" si="51"/>
        <v>2</v>
      </c>
      <c r="BM22" s="52" t="str">
        <f t="shared" si="77"/>
        <v/>
      </c>
      <c r="BN22" s="52" t="str">
        <f t="shared" si="24"/>
        <v/>
      </c>
      <c r="BO22" s="52" t="str">
        <f t="shared" si="78"/>
        <v>,</v>
      </c>
      <c r="BP22" s="113" t="str">
        <f t="shared" si="52"/>
        <v>nom</v>
      </c>
      <c r="BQ22" s="52" t="str">
        <f t="shared" si="79"/>
        <v/>
      </c>
      <c r="BR22" s="52" t="str">
        <f t="shared" si="53"/>
        <v/>
      </c>
      <c r="BS22" s="52" t="str">
        <f t="shared" si="54"/>
        <v>,nom</v>
      </c>
      <c r="BT22" s="52" t="str">
        <f t="shared" si="55"/>
        <v>,'$nom'</v>
      </c>
      <c r="BU22" s="52" t="str">
        <f t="shared" si="56"/>
        <v>$nom</v>
      </c>
      <c r="BV22" s="102" t="str">
        <f t="shared" si="25"/>
        <v>echo 'Nombres'.$nom;</v>
      </c>
      <c r="BW22" s="116" t="str">
        <f t="shared" si="26"/>
        <v/>
      </c>
      <c r="BX22" s="61" t="str">
        <f t="shared" si="27"/>
        <v>$("#nom").val("");$("#adv_nom").html("");$("#nom").css({"background":"#fff"});</v>
      </c>
      <c r="BY22" s="52" t="str">
        <f t="shared" si="28"/>
        <v>$("#nom").val("");</v>
      </c>
      <c r="BZ22" s="52" t="str">
        <f t="shared" si="29"/>
        <v>$("#adv_nom").html("");$("#nom").css({"background":"#fff"});</v>
      </c>
      <c r="CA22" s="52" t="str">
        <f t="shared" si="57"/>
        <v>$("#nom").val("");$("#adv_nom").html("");$("#nom").css({"background":"#fff"});</v>
      </c>
      <c r="CB22" s="52" t="str">
        <f t="shared" si="30"/>
        <v/>
      </c>
      <c r="CC22" s="52" t="str">
        <f t="shared" si="31"/>
        <v/>
      </c>
      <c r="CD22" s="102" t="str">
        <f t="shared" si="32"/>
        <v>$call_nom=$row['nom'];</v>
      </c>
      <c r="CE22" s="116" t="str">
        <f t="shared" si="33"/>
        <v>echo "Nombres:".$row['nom'];</v>
      </c>
      <c r="CF22" s="116" t="str">
        <f t="shared" si="34"/>
        <v>,nom VARCHAR(50)</v>
      </c>
      <c r="CG22" s="61" t="str">
        <f t="shared" si="35"/>
        <v/>
      </c>
      <c r="CH22" s="52">
        <f t="shared" si="80"/>
        <v>2</v>
      </c>
      <c r="CI22" s="61" t="str">
        <f t="shared" si="58"/>
        <v/>
      </c>
      <c r="CJ22" s="61" t="str">
        <f t="shared" si="59"/>
        <v/>
      </c>
      <c r="CK22" s="61" t="str">
        <f t="shared" si="60"/>
        <v/>
      </c>
      <c r="CL22" s="61" t="str">
        <f t="shared" si="36"/>
        <v/>
      </c>
      <c r="CM22" s="61" t="str">
        <f t="shared" si="37"/>
        <v/>
      </c>
      <c r="CN22" s="134" t="str">
        <f t="shared" ref="CN22:CN85" si="86">+IF(F22="radio",IF(AND(B22&lt;&gt;"",B22&lt;&gt;B21),IF(J22="si","u_id",""),IF(CN21="u_id","u_id","")),IF(J22="si","u_id",""))</f>
        <v/>
      </c>
      <c r="CO22" s="131" t="str">
        <f t="shared" si="84"/>
        <v/>
      </c>
      <c r="CP22" s="131" t="str">
        <f t="shared" si="61"/>
        <v/>
      </c>
      <c r="CQ22" s="131" t="str">
        <f t="shared" si="62"/>
        <v/>
      </c>
      <c r="CR22" s="116" t="str">
        <f t="shared" si="63"/>
        <v/>
      </c>
      <c r="CS22" s="116" t="str">
        <f t="shared" si="64"/>
        <v/>
      </c>
      <c r="CT22" s="116" t="str">
        <f t="shared" si="65"/>
        <v/>
      </c>
      <c r="CU22" s="52">
        <f t="shared" si="66"/>
        <v>0</v>
      </c>
      <c r="CV22" s="116" t="str">
        <f t="shared" si="67"/>
        <v/>
      </c>
      <c r="CW22" s="116" t="str">
        <f t="shared" si="68"/>
        <v>echo ' nom:'.$row_ae['nom'];</v>
      </c>
      <c r="CX22" s="61" t="str">
        <f t="shared" si="69"/>
        <v/>
      </c>
      <c r="CY22" s="61" t="str">
        <f t="shared" si="70"/>
        <v/>
      </c>
      <c r="CZ22" s="61" t="str">
        <f t="shared" si="71"/>
        <v/>
      </c>
      <c r="DA22" s="116" t="str">
        <f t="shared" si="81"/>
        <v/>
      </c>
      <c r="DB22" s="6" t="str">
        <f t="shared" si="82"/>
        <v/>
      </c>
      <c r="DC22" s="61" t="str">
        <f t="shared" si="72"/>
        <v/>
      </c>
      <c r="DD22" s="131" t="str">
        <f t="shared" ref="DD22:DD85" si="87">IF(AND(F22="texto",J22="si"),"&lt;div id='uniq_"&amp;C22&amp;"'&gt;",IF(AND(B22&lt;&gt;"",F22="radio",J22="si"),"&lt;div id='uniq_"&amp;B22&amp;"'&gt;",""))</f>
        <v/>
      </c>
      <c r="DE22" s="131" t="str">
        <f t="shared" ref="DE22:DE85" si="88">IF(AND(F22="texto",J22="si"),"&lt;/div&gt;",IF(AND(F22="radio",B23&lt;&gt;"",DB22="si"),"&lt;/div&gt;",""))</f>
        <v/>
      </c>
      <c r="DF22" s="61" t="str">
        <f t="shared" ref="DF22:DF85" si="89">+IF(DD22&lt;&gt;"",IF(F22="texto",$C$5&amp;"uniq_"&amp;C22&amp;$G$4,$C$5&amp;"uniq_"&amp;B22&amp;$G$4),"")</f>
        <v/>
      </c>
      <c r="DG22" s="116" t="str">
        <f t="shared" si="73"/>
        <v/>
      </c>
      <c r="DH22" s="116" t="str">
        <f t="shared" si="74"/>
        <v>echo 'nom: '.$row['nom'];</v>
      </c>
    </row>
    <row r="23" spans="2:112" s="17" customFormat="1">
      <c r="B23" s="128" t="s">
        <v>581</v>
      </c>
      <c r="C23" s="128" t="s">
        <v>497</v>
      </c>
      <c r="D23" s="129">
        <v>50</v>
      </c>
      <c r="E23" s="89" t="str">
        <f t="shared" si="0"/>
        <v>VARCHAR</v>
      </c>
      <c r="F23" s="128" t="s">
        <v>135</v>
      </c>
      <c r="G23" s="128" t="s">
        <v>24</v>
      </c>
      <c r="H23" s="128" t="s">
        <v>24</v>
      </c>
      <c r="I23" s="128"/>
      <c r="J23" s="121"/>
      <c r="K23" s="59"/>
      <c r="M23" s="79" t="s">
        <v>38</v>
      </c>
      <c r="AC23" s="47" t="s">
        <v>202</v>
      </c>
      <c r="AD23" s="52" t="str">
        <f t="shared" si="1"/>
        <v>apll==""</v>
      </c>
      <c r="AE23" s="52">
        <f t="shared" si="2"/>
        <v>1</v>
      </c>
      <c r="AF23" s="52">
        <f t="shared" si="75"/>
        <v>3</v>
      </c>
      <c r="AG23" s="61" t="str">
        <f t="shared" si="3"/>
        <v>else if (apll=="") {document.getElementById("apll").focus();}</v>
      </c>
      <c r="AH23" s="52">
        <f t="shared" si="4"/>
        <v>1</v>
      </c>
      <c r="AI23" s="52">
        <f t="shared" si="43"/>
        <v>4</v>
      </c>
      <c r="AJ23" s="52" t="str">
        <f t="shared" si="44"/>
        <v>||</v>
      </c>
      <c r="AK23" s="61" t="str">
        <f t="shared" si="5"/>
        <v>||apll==""</v>
      </c>
      <c r="AL23" s="95" t="str">
        <f t="shared" si="6"/>
        <v>if (apll=="") {$("#adv_apll").html("Requierd");$("#apll").css({"background":"yellow"});} else {$("#adv_apll").html("");$("#apll").css({"background":"white"});}</v>
      </c>
      <c r="AM23" s="61" t="str">
        <f t="shared" si="7"/>
        <v>if (apll=="") {$("#adv_apll").html("Requierd");$("#apll").css({"background":"yellow"});} else {$("#adv_apll").html("");$("#apll").css({"background":"white"});}</v>
      </c>
      <c r="AN23" s="61" t="str">
        <f t="shared" si="8"/>
        <v>if (Apellidos=="") {$("#adv_Apellidos").html("Requierd");} else {$("#adv_Apellidos").html("");}</v>
      </c>
      <c r="AO23" s="50" t="str">
        <f t="shared" si="9"/>
        <v>Apellidos:&lt;input type="text" id="apll" name="apll" size="15" /&gt;</v>
      </c>
      <c r="AP23" s="61" t="str">
        <f t="shared" si="10"/>
        <v>apll=$("#apll").val();</v>
      </c>
      <c r="AQ23" s="61" t="str">
        <f t="shared" si="45"/>
        <v>highlight script</v>
      </c>
      <c r="AR23" s="61" t="str">
        <f t="shared" si="11"/>
        <v>apll=document.getElementById("apll").checked;</v>
      </c>
      <c r="AS23" s="102" t="str">
        <f t="shared" si="12"/>
        <v>if (isset($_GET['apll'])) {$apll=($_GET['apll']);}else $apll='';</v>
      </c>
      <c r="AT23" s="52" t="str">
        <f t="shared" si="13"/>
        <v>Apellidos</v>
      </c>
      <c r="AU23" s="52" t="str">
        <f t="shared" si="14"/>
        <v>if (document.getElementById("</v>
      </c>
      <c r="AV23" s="61" t="str">
        <f t="shared" si="15"/>
        <v>if (document.getElementById("apll").checked==true) {Apellidos="apll";}</v>
      </c>
      <c r="AW23" s="61" t="str">
        <f t="shared" si="76"/>
        <v>,Apellidos:Apellidos</v>
      </c>
      <c r="AX23" s="102" t="str">
        <f t="shared" si="16"/>
        <v>if (isset($_GET['Apellidos'])) {$Apellidos=($_GET['Apellidos']);}else $Apellidos='';</v>
      </c>
      <c r="AY23" s="135" t="str">
        <f t="shared" si="46"/>
        <v>Apellidos:</v>
      </c>
      <c r="AZ23" s="50" t="str">
        <f t="shared" si="17"/>
        <v>Apellidos:&lt;input type="checkbox" id="apll" name="apll" value="1" /&gt;</v>
      </c>
      <c r="BA23" s="105" t="str">
        <f t="shared" si="18"/>
        <v>Apellidos:&lt;br/&gt;&lt;textarea rows="2" cols="80" id="apll"&gt;&lt;/textarea&gt;&lt;br/&gt;</v>
      </c>
      <c r="BB23" s="50" t="str">
        <f t="shared" si="19"/>
        <v>Apellidos:&lt;span id="adv_Apellidos"&gt;&lt;/span&gt;&lt;br/&gt;apll&lt;input type="radio" name="Apellidos" id="apll" value="apll" /&gt;</v>
      </c>
      <c r="BC23" s="107" t="str">
        <f t="shared" si="20"/>
        <v>Apellidos:&lt;input type="text"  size="7"  id="apll" class="datepicker"/&gt;</v>
      </c>
      <c r="BD23" s="109" t="str">
        <f t="shared" si="47"/>
        <v>Apellidos:&lt;input type="text" id="apll" name="apll" size="15" /&gt;</v>
      </c>
      <c r="BE23" s="61" t="str">
        <f t="shared" si="21"/>
        <v>apll=$("#apll").val();</v>
      </c>
      <c r="BF23" s="52">
        <f t="shared" si="83"/>
        <v>8</v>
      </c>
      <c r="BG23" s="61" t="str">
        <f t="shared" si="48"/>
        <v>,apll:apll</v>
      </c>
      <c r="BH23" s="102" t="str">
        <f t="shared" si="22"/>
        <v>if (isset($_GET['apll'])) {$apll=($_GET['apll']);}else $apll='';</v>
      </c>
      <c r="BI23" s="105" t="str">
        <f t="shared" si="85"/>
        <v>&lt;span id="adv_apll"&gt;&lt;/span&gt;&lt;br/&gt;</v>
      </c>
      <c r="BJ23" s="52" t="str">
        <f t="shared" si="49"/>
        <v>required advise</v>
      </c>
      <c r="BK23" s="52">
        <f t="shared" si="50"/>
        <v>0</v>
      </c>
      <c r="BL23" s="52">
        <f t="shared" si="51"/>
        <v>2</v>
      </c>
      <c r="BM23" s="52" t="str">
        <f t="shared" si="77"/>
        <v/>
      </c>
      <c r="BN23" s="52" t="str">
        <f t="shared" si="24"/>
        <v/>
      </c>
      <c r="BO23" s="52" t="str">
        <f t="shared" si="78"/>
        <v>,</v>
      </c>
      <c r="BP23" s="113" t="str">
        <f t="shared" si="52"/>
        <v>apll</v>
      </c>
      <c r="BQ23" s="52" t="str">
        <f t="shared" si="79"/>
        <v/>
      </c>
      <c r="BR23" s="52" t="str">
        <f t="shared" si="53"/>
        <v/>
      </c>
      <c r="BS23" s="52" t="str">
        <f t="shared" si="54"/>
        <v>,apll</v>
      </c>
      <c r="BT23" s="52" t="str">
        <f t="shared" si="55"/>
        <v>,'$apll'</v>
      </c>
      <c r="BU23" s="52" t="str">
        <f t="shared" si="56"/>
        <v>$apll</v>
      </c>
      <c r="BV23" s="102" t="str">
        <f t="shared" si="25"/>
        <v>echo 'Apellidos'.$apll;</v>
      </c>
      <c r="BW23" s="116" t="str">
        <f t="shared" si="26"/>
        <v/>
      </c>
      <c r="BX23" s="61" t="str">
        <f t="shared" si="27"/>
        <v>$("#apll").val("");$("#adv_apll").html("");$("#apll").css({"background":"#fff"});</v>
      </c>
      <c r="BY23" s="52" t="str">
        <f t="shared" si="28"/>
        <v>$("#apll").val("");</v>
      </c>
      <c r="BZ23" s="52" t="str">
        <f t="shared" si="29"/>
        <v>$("#adv_apll").html("");$("#apll").css({"background":"#fff"});</v>
      </c>
      <c r="CA23" s="52" t="str">
        <f t="shared" si="57"/>
        <v>$("#apll").val("");$("#adv_apll").html("");$("#apll").css({"background":"#fff"});</v>
      </c>
      <c r="CB23" s="52" t="str">
        <f t="shared" si="30"/>
        <v/>
      </c>
      <c r="CC23" s="52" t="str">
        <f t="shared" si="31"/>
        <v/>
      </c>
      <c r="CD23" s="102" t="str">
        <f t="shared" si="32"/>
        <v>$call_apll=$row['apll'];</v>
      </c>
      <c r="CE23" s="116" t="str">
        <f t="shared" si="33"/>
        <v>echo "Apellidos:".$row['apll'];</v>
      </c>
      <c r="CF23" s="116" t="str">
        <f t="shared" si="34"/>
        <v>,apll VARCHAR(50)</v>
      </c>
      <c r="CG23" s="61" t="str">
        <f t="shared" si="35"/>
        <v/>
      </c>
      <c r="CH23" s="52">
        <f t="shared" si="80"/>
        <v>2</v>
      </c>
      <c r="CI23" s="61" t="str">
        <f t="shared" si="58"/>
        <v/>
      </c>
      <c r="CJ23" s="61" t="str">
        <f t="shared" si="59"/>
        <v/>
      </c>
      <c r="CK23" s="61" t="str">
        <f t="shared" si="60"/>
        <v/>
      </c>
      <c r="CL23" s="61" t="str">
        <f t="shared" si="36"/>
        <v/>
      </c>
      <c r="CM23" s="61" t="str">
        <f t="shared" si="37"/>
        <v/>
      </c>
      <c r="CN23" s="134" t="str">
        <f t="shared" si="86"/>
        <v/>
      </c>
      <c r="CO23" s="131" t="str">
        <f t="shared" si="84"/>
        <v/>
      </c>
      <c r="CP23" s="131" t="str">
        <f t="shared" si="61"/>
        <v/>
      </c>
      <c r="CQ23" s="131" t="str">
        <f t="shared" si="62"/>
        <v/>
      </c>
      <c r="CR23" s="116" t="str">
        <f t="shared" si="63"/>
        <v/>
      </c>
      <c r="CS23" s="116" t="str">
        <f t="shared" si="64"/>
        <v/>
      </c>
      <c r="CT23" s="116" t="str">
        <f t="shared" si="65"/>
        <v/>
      </c>
      <c r="CU23" s="52">
        <f t="shared" si="66"/>
        <v>0</v>
      </c>
      <c r="CV23" s="116" t="str">
        <f t="shared" si="67"/>
        <v/>
      </c>
      <c r="CW23" s="116" t="str">
        <f t="shared" si="68"/>
        <v>echo ' apll:'.$row_ae['apll'];</v>
      </c>
      <c r="CX23" s="61" t="str">
        <f t="shared" si="69"/>
        <v/>
      </c>
      <c r="CY23" s="61" t="str">
        <f t="shared" si="70"/>
        <v/>
      </c>
      <c r="CZ23" s="61" t="str">
        <f t="shared" si="71"/>
        <v/>
      </c>
      <c r="DA23" s="116" t="str">
        <f t="shared" si="81"/>
        <v/>
      </c>
      <c r="DB23" s="6" t="str">
        <f t="shared" si="82"/>
        <v/>
      </c>
      <c r="DC23" s="61" t="str">
        <f t="shared" si="72"/>
        <v/>
      </c>
      <c r="DD23" s="131" t="str">
        <f t="shared" si="87"/>
        <v/>
      </c>
      <c r="DE23" s="131" t="str">
        <f t="shared" si="88"/>
        <v/>
      </c>
      <c r="DF23" s="61" t="str">
        <f t="shared" si="89"/>
        <v/>
      </c>
      <c r="DG23" s="116" t="str">
        <f t="shared" si="73"/>
        <v/>
      </c>
      <c r="DH23" s="116" t="str">
        <f t="shared" si="74"/>
        <v>echo 'apll: '.$row['apll'];</v>
      </c>
    </row>
    <row r="24" spans="2:112" s="17" customFormat="1">
      <c r="B24" s="128" t="s">
        <v>582</v>
      </c>
      <c r="C24" s="128" t="s">
        <v>585</v>
      </c>
      <c r="D24" s="129">
        <v>10</v>
      </c>
      <c r="E24" s="89" t="str">
        <f t="shared" si="0"/>
        <v>VARCHAR</v>
      </c>
      <c r="F24" s="128" t="s">
        <v>136</v>
      </c>
      <c r="G24" s="128"/>
      <c r="H24" s="128"/>
      <c r="I24" s="128"/>
      <c r="J24" s="121"/>
      <c r="K24" s="59"/>
      <c r="AC24" s="47" t="s">
        <v>203</v>
      </c>
      <c r="AD24" s="52" t="str">
        <f t="shared" si="1"/>
        <v>Sexo==""</v>
      </c>
      <c r="AE24" s="52">
        <f t="shared" si="2"/>
        <v>0</v>
      </c>
      <c r="AF24" s="52">
        <f t="shared" si="75"/>
        <v>3</v>
      </c>
      <c r="AG24" s="61" t="str">
        <f t="shared" si="3"/>
        <v/>
      </c>
      <c r="AH24" s="52">
        <f t="shared" si="4"/>
        <v>1</v>
      </c>
      <c r="AI24" s="52">
        <f t="shared" si="43"/>
        <v>5</v>
      </c>
      <c r="AJ24" s="52" t="str">
        <f t="shared" si="44"/>
        <v>||</v>
      </c>
      <c r="AK24" s="61" t="str">
        <f t="shared" si="5"/>
        <v>||Sexo==""</v>
      </c>
      <c r="AL24" s="95" t="str">
        <f t="shared" si="6"/>
        <v>if (Sexo=="") {$("#adv_Sexo").html("Requierd");} else {$("#adv_Sexo").html("");}</v>
      </c>
      <c r="AM24" s="61" t="str">
        <f t="shared" si="7"/>
        <v>if (Sexo=="") {$("#adv_hombre").html("Requierd");$("#hombre").css({"background":"yellow"});} else {$("#adv_hombre").html("");$("#hombre").css({"background":"white"});}</v>
      </c>
      <c r="AN24" s="61" t="str">
        <f t="shared" si="8"/>
        <v>if (Sexo=="") {$("#adv_Sexo").html("Requierd");} else {$("#adv_Sexo").html("");}</v>
      </c>
      <c r="AO24" s="50" t="str">
        <f t="shared" si="9"/>
        <v>Sexo:&lt;input type="text" id="hombre" name="hombre" size="15" /&gt;</v>
      </c>
      <c r="AP24" s="61" t="str">
        <f t="shared" si="10"/>
        <v>hombre=$("#hombre").val();</v>
      </c>
      <c r="AQ24" s="61" t="str">
        <f t="shared" si="45"/>
        <v/>
      </c>
      <c r="AR24" s="61" t="str">
        <f t="shared" si="11"/>
        <v>hombre=document.getElementById("hombre").checked;</v>
      </c>
      <c r="AS24" s="102" t="str">
        <f t="shared" si="12"/>
        <v>if (isset($_GET['hombre'])) {$hombre=($_GET['hombre']);}else $hombre='';</v>
      </c>
      <c r="AT24" s="52" t="str">
        <f t="shared" si="13"/>
        <v>Sexo</v>
      </c>
      <c r="AU24" s="52" t="str">
        <f t="shared" si="14"/>
        <v>if (document.getElementById("</v>
      </c>
      <c r="AV24" s="61" t="str">
        <f t="shared" si="15"/>
        <v>if (document.getElementById("hombre").checked==true) {Sexo="hombre";}</v>
      </c>
      <c r="AW24" s="61" t="str">
        <f t="shared" si="76"/>
        <v>,Sexo:Sexo</v>
      </c>
      <c r="AX24" s="102" t="str">
        <f t="shared" si="16"/>
        <v>if (isset($_GET['Sexo'])) {$Sexo=($_GET['Sexo']);}else $Sexo='';</v>
      </c>
      <c r="AY24" s="135" t="str">
        <f t="shared" si="46"/>
        <v>Sexo:</v>
      </c>
      <c r="AZ24" s="50" t="str">
        <f t="shared" si="17"/>
        <v>Sexo:&lt;input type="checkbox" id="hombre" name="hombre" value="1" /&gt;</v>
      </c>
      <c r="BA24" s="105" t="str">
        <f t="shared" si="18"/>
        <v>Sexo:&lt;br/&gt;&lt;textarea rows="2" cols="80" id="hombre"&gt;&lt;/textarea&gt;&lt;br/&gt;</v>
      </c>
      <c r="BB24" s="50" t="str">
        <f t="shared" si="19"/>
        <v>Sexo:&lt;span id="adv_Sexo"&gt;&lt;/span&gt;&lt;br/&gt;hombre&lt;input type="radio" name="Sexo" id="hombre" value="hombre" /&gt;</v>
      </c>
      <c r="BC24" s="107" t="str">
        <f t="shared" si="20"/>
        <v>Sexo:&lt;input type="text"  size="7"  id="hombre" class="datepicker"/&gt;</v>
      </c>
      <c r="BD24" s="109" t="str">
        <f t="shared" si="47"/>
        <v>Sexo:&lt;span id="adv_Sexo"&gt;&lt;/span&gt;&lt;br/&gt;hombre&lt;input type="radio" name="Sexo" id="hombre" value="hombre" /&gt;</v>
      </c>
      <c r="BE24" s="61" t="str">
        <f t="shared" si="21"/>
        <v>if (document.getElementById("hombre").checked==true) {Sexo="hombre";}</v>
      </c>
      <c r="BF24" s="52">
        <f t="shared" si="83"/>
        <v>9</v>
      </c>
      <c r="BG24" s="61" t="str">
        <f t="shared" si="48"/>
        <v>,Sexo:Sexo</v>
      </c>
      <c r="BH24" s="102" t="str">
        <f t="shared" si="22"/>
        <v>if (isset($_GET['Sexo'])) {$Sexo=($_GET['Sexo']);}else $Sexo='';</v>
      </c>
      <c r="BI24" s="105" t="str">
        <f t="shared" si="85"/>
        <v>&lt;br/&gt;</v>
      </c>
      <c r="BJ24" s="52" t="str">
        <f t="shared" si="49"/>
        <v/>
      </c>
      <c r="BK24" s="52">
        <f t="shared" si="50"/>
        <v>0</v>
      </c>
      <c r="BL24" s="52">
        <f t="shared" si="51"/>
        <v>2</v>
      </c>
      <c r="BM24" s="52" t="str">
        <f t="shared" si="77"/>
        <v/>
      </c>
      <c r="BN24" s="52" t="str">
        <f t="shared" si="24"/>
        <v/>
      </c>
      <c r="BO24" s="52" t="str">
        <f t="shared" si="78"/>
        <v>,</v>
      </c>
      <c r="BP24" s="113" t="str">
        <f t="shared" si="52"/>
        <v>Sexo</v>
      </c>
      <c r="BQ24" s="52" t="str">
        <f t="shared" si="79"/>
        <v/>
      </c>
      <c r="BR24" s="52" t="str">
        <f t="shared" si="53"/>
        <v/>
      </c>
      <c r="BS24" s="52" t="str">
        <f t="shared" si="54"/>
        <v>,Sexo</v>
      </c>
      <c r="BT24" s="52" t="str">
        <f t="shared" si="55"/>
        <v>,'$Sexo'</v>
      </c>
      <c r="BU24" s="52" t="str">
        <f t="shared" si="56"/>
        <v>$Sexo</v>
      </c>
      <c r="BV24" s="102" t="str">
        <f t="shared" si="25"/>
        <v>echo 'Sexo'.$Sexo;</v>
      </c>
      <c r="BW24" s="116" t="str">
        <f t="shared" si="26"/>
        <v/>
      </c>
      <c r="BX24" s="61" t="str">
        <f t="shared" si="27"/>
        <v>document.getElementById("hombre").checked=false;$("#adv_Sexo").html("");</v>
      </c>
      <c r="BY24" s="52" t="str">
        <f t="shared" si="28"/>
        <v>$("#hombre").val("");</v>
      </c>
      <c r="BZ24" s="52" t="str">
        <f t="shared" si="29"/>
        <v/>
      </c>
      <c r="CA24" s="52" t="str">
        <f t="shared" si="57"/>
        <v>$("#hombre").val("");</v>
      </c>
      <c r="CB24" s="52" t="str">
        <f t="shared" si="30"/>
        <v>document.getElementById("hombre").checked=false;$("#adv_Sexo").html("");</v>
      </c>
      <c r="CC24" s="52" t="str">
        <f t="shared" si="31"/>
        <v/>
      </c>
      <c r="CD24" s="102" t="str">
        <f t="shared" si="32"/>
        <v>$call_Sexo=$row['Sexo'];</v>
      </c>
      <c r="CE24" s="116" t="str">
        <f t="shared" si="33"/>
        <v>echo "Sexo:".$row['Sexo'];</v>
      </c>
      <c r="CF24" s="116" t="str">
        <f t="shared" si="34"/>
        <v>,Sexo VARCHAR(10)</v>
      </c>
      <c r="CG24" s="61" t="str">
        <f t="shared" si="35"/>
        <v/>
      </c>
      <c r="CH24" s="52">
        <f t="shared" si="80"/>
        <v>2</v>
      </c>
      <c r="CI24" s="61" t="str">
        <f t="shared" si="58"/>
        <v/>
      </c>
      <c r="CJ24" s="61" t="str">
        <f t="shared" si="59"/>
        <v/>
      </c>
      <c r="CK24" s="61" t="str">
        <f t="shared" si="60"/>
        <v/>
      </c>
      <c r="CL24" s="61" t="str">
        <f t="shared" si="36"/>
        <v/>
      </c>
      <c r="CM24" s="61" t="str">
        <f t="shared" si="37"/>
        <v/>
      </c>
      <c r="CN24" s="134" t="str">
        <f t="shared" si="86"/>
        <v/>
      </c>
      <c r="CO24" s="131" t="str">
        <f t="shared" si="84"/>
        <v/>
      </c>
      <c r="CP24" s="131" t="str">
        <f t="shared" si="61"/>
        <v/>
      </c>
      <c r="CQ24" s="131" t="str">
        <f t="shared" si="62"/>
        <v/>
      </c>
      <c r="CR24" s="116" t="str">
        <f t="shared" si="63"/>
        <v/>
      </c>
      <c r="CS24" s="116" t="str">
        <f t="shared" si="64"/>
        <v/>
      </c>
      <c r="CT24" s="116" t="str">
        <f t="shared" si="65"/>
        <v/>
      </c>
      <c r="CU24" s="52">
        <f t="shared" si="66"/>
        <v>0</v>
      </c>
      <c r="CV24" s="116" t="str">
        <f t="shared" si="67"/>
        <v/>
      </c>
      <c r="CW24" s="116" t="str">
        <f t="shared" si="68"/>
        <v/>
      </c>
      <c r="CX24" s="61" t="str">
        <f t="shared" si="69"/>
        <v/>
      </c>
      <c r="CY24" s="61" t="str">
        <f t="shared" si="70"/>
        <v/>
      </c>
      <c r="CZ24" s="61" t="str">
        <f t="shared" si="71"/>
        <v/>
      </c>
      <c r="DA24" s="116" t="str">
        <f t="shared" si="81"/>
        <v/>
      </c>
      <c r="DB24" s="6" t="str">
        <f t="shared" si="82"/>
        <v/>
      </c>
      <c r="DC24" s="61" t="str">
        <f t="shared" si="72"/>
        <v/>
      </c>
      <c r="DD24" s="131" t="str">
        <f t="shared" si="87"/>
        <v/>
      </c>
      <c r="DE24" s="131" t="str">
        <f t="shared" si="88"/>
        <v/>
      </c>
      <c r="DF24" s="61" t="str">
        <f t="shared" si="89"/>
        <v/>
      </c>
      <c r="DG24" s="116" t="str">
        <f t="shared" si="73"/>
        <v/>
      </c>
      <c r="DH24" s="116" t="str">
        <f t="shared" si="74"/>
        <v>echo 'Sexo: '.$row['Sexo'];</v>
      </c>
    </row>
    <row r="25" spans="2:112" s="17" customFormat="1">
      <c r="B25" s="128"/>
      <c r="C25" s="128" t="s">
        <v>586</v>
      </c>
      <c r="D25" s="129"/>
      <c r="E25" s="89" t="str">
        <f>+IF(OR(F25="radio",F25="texto",F25="check",F25="selectlist",F25="bigtext",F25="session"),"VARCHAR",IF(F25="date","DATE",""))</f>
        <v>VARCHAR</v>
      </c>
      <c r="F25" s="128" t="s">
        <v>136</v>
      </c>
      <c r="G25" s="128"/>
      <c r="H25" s="128"/>
      <c r="I25" s="128"/>
      <c r="J25" s="121"/>
      <c r="K25" s="59"/>
      <c r="M25" s="17" t="s">
        <v>726</v>
      </c>
      <c r="AC25" s="47" t="s">
        <v>204</v>
      </c>
      <c r="AD25" s="52" t="str">
        <f t="shared" si="1"/>
        <v/>
      </c>
      <c r="AE25" s="52">
        <f t="shared" si="2"/>
        <v>0</v>
      </c>
      <c r="AF25" s="52">
        <f t="shared" si="75"/>
        <v>3</v>
      </c>
      <c r="AG25" s="61" t="str">
        <f t="shared" si="3"/>
        <v/>
      </c>
      <c r="AH25" s="52">
        <f t="shared" si="4"/>
        <v>0</v>
      </c>
      <c r="AI25" s="52">
        <f t="shared" si="43"/>
        <v>5</v>
      </c>
      <c r="AJ25" s="52" t="str">
        <f t="shared" si="44"/>
        <v/>
      </c>
      <c r="AK25" s="61" t="str">
        <f t="shared" si="5"/>
        <v/>
      </c>
      <c r="AL25" s="95" t="str">
        <f t="shared" si="6"/>
        <v/>
      </c>
      <c r="AM25" s="61" t="str">
        <f t="shared" si="7"/>
        <v>if () {$("#adv_mujer").html("Requierd");$("#mujer").css({"background":"yellow"});} else {$("#adv_mujer").html("");$("#mujer").css({"background":"white"});}</v>
      </c>
      <c r="AN25" s="61" t="str">
        <f t="shared" si="8"/>
        <v>if (=="") {$("#adv_").html("Requierd");} else {$("#adv_").html("");}</v>
      </c>
      <c r="AO25" s="50" t="str">
        <f t="shared" si="9"/>
        <v>&lt;input type="text" id="mujer" name="mujer" size="15" /&gt;</v>
      </c>
      <c r="AP25" s="61" t="str">
        <f t="shared" si="10"/>
        <v>mujer=$("#mujer").val();</v>
      </c>
      <c r="AQ25" s="61" t="str">
        <f t="shared" si="45"/>
        <v/>
      </c>
      <c r="AR25" s="61" t="str">
        <f t="shared" si="11"/>
        <v>mujer=document.getElementById("mujer").checked;</v>
      </c>
      <c r="AS25" s="102" t="str">
        <f t="shared" si="12"/>
        <v>if (isset($_GET['mujer'])) {$mujer=($_GET['mujer']);}else $mujer='';</v>
      </c>
      <c r="AT25" s="52" t="str">
        <f t="shared" si="13"/>
        <v>Sexo</v>
      </c>
      <c r="AU25" s="52" t="str">
        <f t="shared" si="14"/>
        <v>else if (document.getElementById("</v>
      </c>
      <c r="AV25" s="61" t="str">
        <f t="shared" si="15"/>
        <v>else if (document.getElementById("mujer").checked==true) {Sexo="mujer";}else Sexo="";</v>
      </c>
      <c r="AW25" s="61" t="str">
        <f t="shared" si="76"/>
        <v/>
      </c>
      <c r="AX25" s="102" t="str">
        <f t="shared" si="16"/>
        <v/>
      </c>
      <c r="AY25" s="135" t="str">
        <f t="shared" si="46"/>
        <v/>
      </c>
      <c r="AZ25" s="50" t="str">
        <f t="shared" si="17"/>
        <v>&lt;input type="checkbox" id="mujer" name="mujer" value="1" /&gt;</v>
      </c>
      <c r="BA25" s="105" t="str">
        <f t="shared" si="18"/>
        <v>&lt;br/&gt;&lt;textarea rows="2" cols="80" id="mujer"&gt;&lt;/textarea&gt;&lt;br/&gt;</v>
      </c>
      <c r="BB25" s="50" t="str">
        <f t="shared" si="19"/>
        <v>mujer&lt;input type="radio" name="Sexo" id="mujer" value="mujer" /&gt;</v>
      </c>
      <c r="BC25" s="107" t="str">
        <f t="shared" si="20"/>
        <v>&lt;input type="text"  size="7"  id="mujer" class="datepicker"/&gt;</v>
      </c>
      <c r="BD25" s="109" t="str">
        <f t="shared" si="47"/>
        <v>mujer&lt;input type="radio" name="Sexo" id="mujer" value="mujer" /&gt;</v>
      </c>
      <c r="BE25" s="61" t="str">
        <f t="shared" si="21"/>
        <v>else if (document.getElementById("mujer").checked==true) {Sexo="mujer";}else Sexo="";</v>
      </c>
      <c r="BF25" s="52">
        <f t="shared" si="83"/>
        <v>10</v>
      </c>
      <c r="BG25" s="61" t="str">
        <f t="shared" si="48"/>
        <v/>
      </c>
      <c r="BH25" s="102" t="str">
        <f t="shared" si="22"/>
        <v/>
      </c>
      <c r="BI25" s="105" t="str">
        <f t="shared" si="85"/>
        <v>&lt;br/&gt;</v>
      </c>
      <c r="BJ25" s="52" t="str">
        <f t="shared" si="49"/>
        <v/>
      </c>
      <c r="BK25" s="52">
        <f t="shared" si="50"/>
        <v>0</v>
      </c>
      <c r="BL25" s="52">
        <f t="shared" si="51"/>
        <v>2</v>
      </c>
      <c r="BM25" s="52" t="str">
        <f t="shared" si="77"/>
        <v/>
      </c>
      <c r="BN25" s="52" t="str">
        <f t="shared" si="24"/>
        <v/>
      </c>
      <c r="BO25" s="52" t="str">
        <f t="shared" si="78"/>
        <v/>
      </c>
      <c r="BP25" s="113" t="str">
        <f t="shared" si="52"/>
        <v/>
      </c>
      <c r="BQ25" s="52" t="str">
        <f t="shared" si="79"/>
        <v/>
      </c>
      <c r="BR25" s="52" t="str">
        <f t="shared" si="53"/>
        <v/>
      </c>
      <c r="BS25" s="52" t="str">
        <f t="shared" si="54"/>
        <v/>
      </c>
      <c r="BT25" s="52" t="str">
        <f t="shared" si="55"/>
        <v/>
      </c>
      <c r="BU25" s="52" t="str">
        <f t="shared" si="56"/>
        <v/>
      </c>
      <c r="BV25" s="102" t="str">
        <f t="shared" si="25"/>
        <v/>
      </c>
      <c r="BW25" s="116" t="str">
        <f t="shared" si="26"/>
        <v/>
      </c>
      <c r="BX25" s="61" t="str">
        <f t="shared" si="27"/>
        <v>document.getElementById("mujer").checked=false;</v>
      </c>
      <c r="BY25" s="52" t="str">
        <f t="shared" si="28"/>
        <v>$("#mujer").val("");</v>
      </c>
      <c r="BZ25" s="52" t="str">
        <f t="shared" si="29"/>
        <v/>
      </c>
      <c r="CA25" s="52" t="str">
        <f t="shared" si="57"/>
        <v>$("#mujer").val("");</v>
      </c>
      <c r="CB25" s="52" t="str">
        <f t="shared" si="30"/>
        <v>document.getElementById("mujer").checked=false;</v>
      </c>
      <c r="CC25" s="52" t="str">
        <f t="shared" si="31"/>
        <v/>
      </c>
      <c r="CD25" s="102" t="str">
        <f t="shared" si="32"/>
        <v/>
      </c>
      <c r="CE25" s="116" t="str">
        <f t="shared" si="33"/>
        <v/>
      </c>
      <c r="CF25" s="116" t="str">
        <f t="shared" si="34"/>
        <v/>
      </c>
      <c r="CG25" s="61" t="str">
        <f t="shared" si="35"/>
        <v/>
      </c>
      <c r="CH25" s="52">
        <f t="shared" si="80"/>
        <v>2</v>
      </c>
      <c r="CI25" s="61" t="str">
        <f t="shared" si="58"/>
        <v/>
      </c>
      <c r="CJ25" s="61" t="str">
        <f t="shared" si="59"/>
        <v/>
      </c>
      <c r="CK25" s="61" t="str">
        <f t="shared" si="60"/>
        <v/>
      </c>
      <c r="CL25" s="61" t="str">
        <f t="shared" si="36"/>
        <v/>
      </c>
      <c r="CM25" s="61" t="str">
        <f t="shared" si="37"/>
        <v/>
      </c>
      <c r="CN25" s="134" t="str">
        <f t="shared" si="86"/>
        <v/>
      </c>
      <c r="CO25" s="131" t="str">
        <f t="shared" si="84"/>
        <v/>
      </c>
      <c r="CP25" s="131" t="str">
        <f t="shared" si="61"/>
        <v/>
      </c>
      <c r="CQ25" s="131" t="str">
        <f t="shared" si="62"/>
        <v/>
      </c>
      <c r="CR25" s="116" t="str">
        <f t="shared" si="63"/>
        <v/>
      </c>
      <c r="CS25" s="116" t="str">
        <f t="shared" si="64"/>
        <v/>
      </c>
      <c r="CT25" s="116" t="str">
        <f t="shared" si="65"/>
        <v/>
      </c>
      <c r="CU25" s="52">
        <f t="shared" si="66"/>
        <v>0</v>
      </c>
      <c r="CV25" s="116" t="str">
        <f t="shared" si="67"/>
        <v/>
      </c>
      <c r="CW25" s="116" t="str">
        <f t="shared" si="68"/>
        <v/>
      </c>
      <c r="CX25" s="61" t="str">
        <f t="shared" si="69"/>
        <v/>
      </c>
      <c r="CY25" s="61" t="str">
        <f t="shared" si="70"/>
        <v/>
      </c>
      <c r="CZ25" s="61" t="str">
        <f t="shared" si="71"/>
        <v/>
      </c>
      <c r="DA25" s="116" t="str">
        <f t="shared" si="81"/>
        <v/>
      </c>
      <c r="DB25" s="6" t="str">
        <f t="shared" si="82"/>
        <v/>
      </c>
      <c r="DC25" s="61" t="str">
        <f t="shared" si="72"/>
        <v/>
      </c>
      <c r="DD25" s="131" t="str">
        <f t="shared" si="87"/>
        <v/>
      </c>
      <c r="DE25" s="131" t="str">
        <f t="shared" si="88"/>
        <v/>
      </c>
      <c r="DF25" s="61" t="str">
        <f t="shared" si="89"/>
        <v/>
      </c>
      <c r="DG25" s="116" t="str">
        <f t="shared" si="73"/>
        <v/>
      </c>
      <c r="DH25" s="116" t="str">
        <f t="shared" si="74"/>
        <v/>
      </c>
    </row>
    <row r="26" spans="2:112" s="17" customFormat="1">
      <c r="B26" s="128" t="s">
        <v>583</v>
      </c>
      <c r="C26" s="128" t="s">
        <v>584</v>
      </c>
      <c r="D26" s="129"/>
      <c r="E26" s="89" t="str">
        <f t="shared" ref="E26:E35" si="90">+IF(OR(F26="radio",F26="texto",F26="check",F26="selectlist",F26="bigtext",F26="session"),"VARCHAR",IF(F26="date","DATE",""))</f>
        <v>DATE</v>
      </c>
      <c r="F26" s="128" t="s">
        <v>131</v>
      </c>
      <c r="G26" s="128" t="s">
        <v>24</v>
      </c>
      <c r="H26" s="128" t="s">
        <v>24</v>
      </c>
      <c r="I26" s="128"/>
      <c r="J26" s="121"/>
      <c r="K26" s="59"/>
      <c r="M26" s="79" t="str">
        <f>+fieldcreatorv2!L29</f>
        <v>si</v>
      </c>
      <c r="AC26" s="47" t="s">
        <v>205</v>
      </c>
      <c r="AD26" s="52" t="str">
        <f t="shared" si="1"/>
        <v>bthdt==""</v>
      </c>
      <c r="AE26" s="52">
        <f t="shared" si="2"/>
        <v>1</v>
      </c>
      <c r="AF26" s="52">
        <f t="shared" si="75"/>
        <v>4</v>
      </c>
      <c r="AG26" s="61" t="str">
        <f t="shared" si="3"/>
        <v>else if (bthdt=="") {document.getElementById("bthdt").focus();}</v>
      </c>
      <c r="AH26" s="52">
        <f t="shared" si="4"/>
        <v>1</v>
      </c>
      <c r="AI26" s="52">
        <f t="shared" si="43"/>
        <v>6</v>
      </c>
      <c r="AJ26" s="52" t="str">
        <f t="shared" si="44"/>
        <v>||</v>
      </c>
      <c r="AK26" s="61" t="str">
        <f t="shared" si="5"/>
        <v>||bthdt==""</v>
      </c>
      <c r="AL26" s="95" t="str">
        <f t="shared" si="6"/>
        <v>if (bthdt=="") {$("#adv_bthdt").html("Requierd");$("#bthdt").css({"background":"yellow"});} else {$("#adv_bthdt").html("");$("#bthdt").css({"background":"white"});}</v>
      </c>
      <c r="AM26" s="61" t="str">
        <f t="shared" si="7"/>
        <v>if (bthdt=="") {$("#adv_bthdt").html("Requierd");$("#bthdt").css({"background":"yellow"});} else {$("#adv_bthdt").html("");$("#bthdt").css({"background":"white"});}</v>
      </c>
      <c r="AN26" s="61" t="str">
        <f t="shared" si="8"/>
        <v>if (Fecha nacimiento=="") {$("#adv_Fecha nacimiento").html("Requierd");} else {$("#adv_Fecha nacimiento").html("");}</v>
      </c>
      <c r="AO26" s="50" t="str">
        <f t="shared" si="9"/>
        <v>Fecha nacimiento:&lt;input type="text" id="bthdt" name="bthdt" size="15" /&gt;</v>
      </c>
      <c r="AP26" s="61" t="str">
        <f t="shared" si="10"/>
        <v>bthdt=$("#bthdt").val();</v>
      </c>
      <c r="AQ26" s="61" t="str">
        <f t="shared" si="45"/>
        <v/>
      </c>
      <c r="AR26" s="61" t="str">
        <f t="shared" si="11"/>
        <v>bthdt=document.getElementById("bthdt").checked;</v>
      </c>
      <c r="AS26" s="102" t="str">
        <f t="shared" si="12"/>
        <v>if (isset($_GET['bthdt'])) {$bthdt=($_GET['bthdt']);}else $bthdt='';</v>
      </c>
      <c r="AT26" s="52" t="str">
        <f t="shared" si="13"/>
        <v>Fecha nacimiento</v>
      </c>
      <c r="AU26" s="52" t="str">
        <f t="shared" si="14"/>
        <v>if (document.getElementById("</v>
      </c>
      <c r="AV26" s="61" t="str">
        <f t="shared" si="15"/>
        <v>if (document.getElementById("bthdt").checked==true) {Fecha nacimiento="bthdt";}</v>
      </c>
      <c r="AW26" s="61" t="str">
        <f t="shared" si="76"/>
        <v>,Fecha nacimiento:Fecha nacimiento</v>
      </c>
      <c r="AX26" s="102" t="str">
        <f t="shared" si="16"/>
        <v>if (isset($_GET['Fecha nacimiento'])) {$Fecha nacimiento=($_GET['Fecha nacimiento']);}else $Fecha nacimiento='';</v>
      </c>
      <c r="AY26" s="135" t="str">
        <f t="shared" si="46"/>
        <v>Fecha nacimiento:</v>
      </c>
      <c r="AZ26" s="50" t="str">
        <f t="shared" si="17"/>
        <v>Fecha nacimiento:&lt;input type="checkbox" id="bthdt" name="bthdt" value="1" /&gt;</v>
      </c>
      <c r="BA26" s="105" t="str">
        <f t="shared" si="18"/>
        <v>Fecha nacimiento:&lt;br/&gt;&lt;textarea rows="2" cols="80" id="bthdt"&gt;&lt;/textarea&gt;&lt;br/&gt;</v>
      </c>
      <c r="BB26" s="50" t="str">
        <f t="shared" si="19"/>
        <v>Fecha nacimiento:&lt;span id="adv_Fecha nacimiento"&gt;&lt;/span&gt;&lt;br/&gt;bthdt&lt;input type="radio" name="Fecha nacimiento" id="bthdt" value="bthdt" /&gt;</v>
      </c>
      <c r="BC26" s="107" t="str">
        <f t="shared" si="20"/>
        <v>Fecha nacimiento:&lt;input type="text"  size="7"  id="bthdt" class="datepicker"/&gt;</v>
      </c>
      <c r="BD26" s="109" t="str">
        <f t="shared" si="47"/>
        <v>Fecha nacimiento:&lt;input type="text"  size="7"  id="bthdt" class="datepicker"/&gt;</v>
      </c>
      <c r="BE26" s="61" t="str">
        <f t="shared" si="21"/>
        <v>bthdt=$("#bthdt").val();</v>
      </c>
      <c r="BF26" s="52">
        <f t="shared" si="83"/>
        <v>11</v>
      </c>
      <c r="BG26" s="61" t="str">
        <f t="shared" si="48"/>
        <v>,bthdt:bthdt</v>
      </c>
      <c r="BH26" s="102" t="str">
        <f t="shared" si="22"/>
        <v>if (isset($_GET['bthdt'])) {$bthdt=($_GET['bthdt']);}else $bthdt='';</v>
      </c>
      <c r="BI26" s="105" t="str">
        <f t="shared" si="85"/>
        <v>&lt;span id="adv_bthdt"&gt;&lt;/span&gt;&lt;br/&gt;</v>
      </c>
      <c r="BJ26" s="52" t="str">
        <f t="shared" si="49"/>
        <v>required advise</v>
      </c>
      <c r="BK26" s="52">
        <f t="shared" si="50"/>
        <v>0</v>
      </c>
      <c r="BL26" s="52">
        <f t="shared" si="51"/>
        <v>2</v>
      </c>
      <c r="BM26" s="52" t="str">
        <f t="shared" si="77"/>
        <v/>
      </c>
      <c r="BN26" s="52" t="str">
        <f t="shared" si="24"/>
        <v/>
      </c>
      <c r="BO26" s="52" t="str">
        <f t="shared" si="78"/>
        <v>,</v>
      </c>
      <c r="BP26" s="113" t="str">
        <f t="shared" si="52"/>
        <v>bthdt</v>
      </c>
      <c r="BQ26" s="52" t="str">
        <f t="shared" si="79"/>
        <v/>
      </c>
      <c r="BR26" s="52" t="str">
        <f t="shared" si="53"/>
        <v/>
      </c>
      <c r="BS26" s="52" t="str">
        <f t="shared" si="54"/>
        <v>,bthdt</v>
      </c>
      <c r="BT26" s="52" t="str">
        <f t="shared" si="55"/>
        <v>,'$bthdt'</v>
      </c>
      <c r="BU26" s="52" t="str">
        <f t="shared" si="56"/>
        <v>$bthdt</v>
      </c>
      <c r="BV26" s="102" t="str">
        <f t="shared" si="25"/>
        <v>echo 'Fecha nacimiento'.$bthdt;</v>
      </c>
      <c r="BW26" s="116" t="str">
        <f t="shared" si="26"/>
        <v/>
      </c>
      <c r="BX26" s="61" t="str">
        <f t="shared" si="27"/>
        <v>$("#bthdt").val("");$("#adv_bthdt").html("");$("#bthdt").css({"background":"#fff"});</v>
      </c>
      <c r="BY26" s="52" t="str">
        <f t="shared" si="28"/>
        <v>$("#bthdt").val("");</v>
      </c>
      <c r="BZ26" s="52" t="str">
        <f t="shared" si="29"/>
        <v>$("#adv_bthdt").html("");$("#bthdt").css({"background":"#fff"});</v>
      </c>
      <c r="CA26" s="52" t="str">
        <f t="shared" si="57"/>
        <v>$("#bthdt").val("");$("#adv_bthdt").html("");$("#bthdt").css({"background":"#fff"});</v>
      </c>
      <c r="CB26" s="52" t="str">
        <f t="shared" si="30"/>
        <v/>
      </c>
      <c r="CC26" s="52" t="str">
        <f t="shared" si="31"/>
        <v/>
      </c>
      <c r="CD26" s="102" t="str">
        <f t="shared" si="32"/>
        <v>$call_bthdt=$row['bthdt'];</v>
      </c>
      <c r="CE26" s="116" t="str">
        <f t="shared" si="33"/>
        <v>echo "Fecha nacimiento:".$row['bthdt'];</v>
      </c>
      <c r="CF26" s="116" t="str">
        <f>IF(BP26="","",IF(E26="date",","&amp;C26&amp;" "&amp;E26,","&amp;BP26&amp;" "&amp;E26&amp;"("&amp;D26&amp;")"))</f>
        <v>,bthdt DATE</v>
      </c>
      <c r="CG26" s="61" t="str">
        <f t="shared" si="35"/>
        <v/>
      </c>
      <c r="CH26" s="52">
        <f t="shared" si="80"/>
        <v>2</v>
      </c>
      <c r="CI26" s="61" t="str">
        <f t="shared" si="58"/>
        <v/>
      </c>
      <c r="CJ26" s="61" t="str">
        <f t="shared" si="59"/>
        <v/>
      </c>
      <c r="CK26" s="61" t="str">
        <f t="shared" si="60"/>
        <v/>
      </c>
      <c r="CL26" s="61" t="str">
        <f t="shared" si="36"/>
        <v/>
      </c>
      <c r="CM26" s="61" t="str">
        <f t="shared" si="37"/>
        <v/>
      </c>
      <c r="CN26" s="134" t="str">
        <f t="shared" si="86"/>
        <v/>
      </c>
      <c r="CO26" s="131" t="str">
        <f t="shared" si="84"/>
        <v/>
      </c>
      <c r="CP26" s="131" t="str">
        <f t="shared" si="61"/>
        <v/>
      </c>
      <c r="CQ26" s="131" t="str">
        <f t="shared" si="62"/>
        <v/>
      </c>
      <c r="CR26" s="116" t="str">
        <f t="shared" si="63"/>
        <v/>
      </c>
      <c r="CS26" s="116" t="str">
        <f t="shared" si="64"/>
        <v/>
      </c>
      <c r="CT26" s="116" t="str">
        <f t="shared" si="65"/>
        <v/>
      </c>
      <c r="CU26" s="52">
        <f t="shared" si="66"/>
        <v>0</v>
      </c>
      <c r="CV26" s="116" t="str">
        <f t="shared" si="67"/>
        <v/>
      </c>
      <c r="CW26" s="116" t="str">
        <f t="shared" si="68"/>
        <v>echo ' bthdt:'.$row_ae['bthdt'];</v>
      </c>
      <c r="CX26" s="61" t="str">
        <f t="shared" si="69"/>
        <v/>
      </c>
      <c r="CY26" s="61" t="str">
        <f t="shared" si="70"/>
        <v/>
      </c>
      <c r="CZ26" s="61" t="str">
        <f t="shared" si="71"/>
        <v/>
      </c>
      <c r="DA26" s="116" t="str">
        <f t="shared" si="81"/>
        <v/>
      </c>
      <c r="DB26" s="6" t="str">
        <f t="shared" si="82"/>
        <v/>
      </c>
      <c r="DC26" s="61" t="str">
        <f t="shared" si="72"/>
        <v/>
      </c>
      <c r="DD26" s="131" t="str">
        <f t="shared" si="87"/>
        <v/>
      </c>
      <c r="DE26" s="131" t="str">
        <f t="shared" si="88"/>
        <v/>
      </c>
      <c r="DF26" s="61" t="str">
        <f t="shared" si="89"/>
        <v/>
      </c>
      <c r="DG26" s="116" t="str">
        <f t="shared" si="73"/>
        <v/>
      </c>
      <c r="DH26" s="116" t="str">
        <f t="shared" si="74"/>
        <v>echo 'bthdt: '.$row['bthdt'];</v>
      </c>
    </row>
    <row r="27" spans="2:112" s="17" customFormat="1">
      <c r="B27" s="151" t="s">
        <v>847</v>
      </c>
      <c r="C27" s="151" t="s">
        <v>848</v>
      </c>
      <c r="D27" s="191"/>
      <c r="E27" s="190" t="str">
        <f t="shared" ref="E27" si="91">+IF(OR(F27="radio",F27="texto",F27="check",F27="selectlist",F27="bigtext",F27="session"),"VARCHAR",IF(F27="date","DATE",""))</f>
        <v>DATE</v>
      </c>
      <c r="F27" s="151" t="s">
        <v>131</v>
      </c>
      <c r="G27" s="151"/>
      <c r="H27" s="151"/>
      <c r="I27" s="151"/>
      <c r="J27" s="121"/>
      <c r="K27" s="59"/>
      <c r="AC27" s="47" t="s">
        <v>206</v>
      </c>
      <c r="AD27" s="52" t="str">
        <f t="shared" si="1"/>
        <v/>
      </c>
      <c r="AE27" s="52">
        <f t="shared" si="2"/>
        <v>1</v>
      </c>
      <c r="AF27" s="52">
        <f t="shared" si="75"/>
        <v>5</v>
      </c>
      <c r="AG27" s="61" t="str">
        <f t="shared" si="3"/>
        <v>else if (tmst=="") {document.getElementById("tmst").focus();}</v>
      </c>
      <c r="AH27" s="52">
        <f t="shared" si="4"/>
        <v>0</v>
      </c>
      <c r="AI27" s="52">
        <f t="shared" si="43"/>
        <v>6</v>
      </c>
      <c r="AJ27" s="52" t="str">
        <f t="shared" si="44"/>
        <v/>
      </c>
      <c r="AK27" s="61" t="str">
        <f t="shared" si="5"/>
        <v/>
      </c>
      <c r="AL27" s="95" t="str">
        <f t="shared" si="6"/>
        <v/>
      </c>
      <c r="AM27" s="61" t="str">
        <f t="shared" si="7"/>
        <v>if () {$("#adv_tmst").html("Requierd");$("#tmst").css({"background":"yellow"});} else {$("#adv_tmst").html("");$("#tmst").css({"background":"white"});}</v>
      </c>
      <c r="AN27" s="61" t="str">
        <f t="shared" si="8"/>
        <v>if (Automatic Timestamp=="") {$("#adv_Automatic Timestamp").html("Requierd");} else {$("#adv_Automatic Timestamp").html("");}</v>
      </c>
      <c r="AO27" s="50" t="str">
        <f t="shared" si="9"/>
        <v>Automatic Timestamp:&lt;input type="text" id="tmst" name="tmst" size="15" /&gt;</v>
      </c>
      <c r="AP27" s="61" t="str">
        <f t="shared" si="10"/>
        <v>tmst=$("#tmst").val();</v>
      </c>
      <c r="AQ27" s="61" t="str">
        <f t="shared" si="45"/>
        <v/>
      </c>
      <c r="AR27" s="61" t="str">
        <f t="shared" si="11"/>
        <v>tmst=document.getElementById("tmst").checked;</v>
      </c>
      <c r="AS27" s="102" t="str">
        <f t="shared" si="12"/>
        <v>if (isset($_GET['tmst'])) {$tmst=($_GET['tmst']);}else $tmst='';</v>
      </c>
      <c r="AT27" s="52" t="str">
        <f t="shared" si="13"/>
        <v>Automatic Timestamp</v>
      </c>
      <c r="AU27" s="52" t="str">
        <f t="shared" si="14"/>
        <v>if (document.getElementById("</v>
      </c>
      <c r="AV27" s="61" t="str">
        <f t="shared" si="15"/>
        <v>if (document.getElementById("tmst").checked==true) {Automatic Timestamp="tmst";}</v>
      </c>
      <c r="AW27" s="61" t="str">
        <f t="shared" si="76"/>
        <v>,Automatic Timestamp:Automatic Timestamp</v>
      </c>
      <c r="AX27" s="102" t="str">
        <f t="shared" si="16"/>
        <v>if (isset($_GET['Automatic Timestamp'])) {$Automatic Timestamp=($_GET['Automatic Timestamp']);}else $Automatic Timestamp='';</v>
      </c>
      <c r="AY27" s="135" t="str">
        <f t="shared" si="46"/>
        <v>Automatic Timestamp:</v>
      </c>
      <c r="AZ27" s="50" t="str">
        <f t="shared" si="17"/>
        <v>Automatic Timestamp:&lt;input type="checkbox" id="tmst" name="tmst" value="1" /&gt;</v>
      </c>
      <c r="BA27" s="105" t="str">
        <f t="shared" si="18"/>
        <v>Automatic Timestamp:&lt;br/&gt;&lt;textarea rows="2" cols="80" id="tmst"&gt;&lt;/textarea&gt;&lt;br/&gt;</v>
      </c>
      <c r="BB27" s="50" t="str">
        <f t="shared" si="19"/>
        <v>Automatic Timestamp:&lt;span id="adv_Automatic Timestamp"&gt;&lt;/span&gt;&lt;br/&gt;tmst&lt;input type="radio" name="Automatic Timestamp" id="tmst" value="tmst" /&gt;</v>
      </c>
      <c r="BC27" s="107" t="str">
        <f t="shared" si="20"/>
        <v>Automatic Timestamp:&lt;input type="text"  size="7"  id="tmst" class="datepicker"/&gt;</v>
      </c>
      <c r="BD27" s="39" t="str">
        <f>""</f>
        <v/>
      </c>
      <c r="BE27" s="39" t="str">
        <f>""</f>
        <v/>
      </c>
      <c r="BF27" s="52">
        <f t="shared" si="83"/>
        <v>11</v>
      </c>
      <c r="BG27" s="39" t="str">
        <f>""</f>
        <v/>
      </c>
      <c r="BH27" s="39" t="s">
        <v>849</v>
      </c>
      <c r="BI27" s="39" t="str">
        <f>""</f>
        <v/>
      </c>
      <c r="BJ27" s="52" t="str">
        <f t="shared" si="49"/>
        <v/>
      </c>
      <c r="BK27" s="52">
        <f t="shared" si="50"/>
        <v>0</v>
      </c>
      <c r="BL27" s="52">
        <f t="shared" si="51"/>
        <v>2</v>
      </c>
      <c r="BM27" s="52" t="str">
        <f t="shared" si="77"/>
        <v/>
      </c>
      <c r="BN27" s="52" t="str">
        <f t="shared" si="24"/>
        <v/>
      </c>
      <c r="BO27" s="52" t="str">
        <f t="shared" si="78"/>
        <v>,</v>
      </c>
      <c r="BP27" s="113" t="str">
        <f t="shared" si="52"/>
        <v>tmst</v>
      </c>
      <c r="BQ27" s="52" t="str">
        <f t="shared" si="79"/>
        <v/>
      </c>
      <c r="BR27" s="52" t="str">
        <f t="shared" si="53"/>
        <v/>
      </c>
      <c r="BS27" s="52" t="str">
        <f t="shared" si="54"/>
        <v>,tmst</v>
      </c>
      <c r="BT27" s="52" t="str">
        <f t="shared" si="55"/>
        <v>,'$tmst'</v>
      </c>
      <c r="BU27" s="52" t="str">
        <f t="shared" si="56"/>
        <v>$tmst</v>
      </c>
      <c r="BV27" s="102" t="str">
        <f t="shared" si="25"/>
        <v>echo 'Automatic Timestamp'.$tmst;</v>
      </c>
      <c r="BW27" s="116" t="str">
        <f t="shared" si="26"/>
        <v/>
      </c>
      <c r="BX27" s="39" t="str">
        <f>""</f>
        <v/>
      </c>
      <c r="BY27" s="52" t="str">
        <f t="shared" si="28"/>
        <v>$("#tmst").val("");</v>
      </c>
      <c r="BZ27" s="52" t="str">
        <f t="shared" si="29"/>
        <v/>
      </c>
      <c r="CA27" s="52" t="str">
        <f t="shared" si="57"/>
        <v>$("#tmst").val("");</v>
      </c>
      <c r="CB27" s="52" t="str">
        <f t="shared" si="30"/>
        <v/>
      </c>
      <c r="CC27" s="52" t="str">
        <f t="shared" si="31"/>
        <v/>
      </c>
      <c r="CD27" s="102" t="str">
        <f t="shared" si="32"/>
        <v>$call_tmst=$row['tmst'];</v>
      </c>
      <c r="CE27" s="116" t="str">
        <f t="shared" si="33"/>
        <v>echo "Automatic Timestamp:".$row['tmst'];</v>
      </c>
      <c r="CF27" s="116" t="str">
        <f t="shared" ref="CF27:CF90" si="92">IF(BP27="","",IF(E27="date",","&amp;C27&amp;" "&amp;E27,","&amp;BP27&amp;" "&amp;E27&amp;"("&amp;D27&amp;")"))</f>
        <v>,tmst DATE</v>
      </c>
      <c r="CG27" s="61" t="str">
        <f t="shared" si="35"/>
        <v/>
      </c>
      <c r="CH27" s="52">
        <f t="shared" si="80"/>
        <v>2</v>
      </c>
      <c r="CI27" s="61" t="str">
        <f t="shared" si="58"/>
        <v/>
      </c>
      <c r="CJ27" s="61" t="str">
        <f t="shared" si="59"/>
        <v/>
      </c>
      <c r="CK27" s="61" t="str">
        <f t="shared" si="60"/>
        <v/>
      </c>
      <c r="CL27" s="61" t="str">
        <f t="shared" si="36"/>
        <v/>
      </c>
      <c r="CM27" s="61" t="str">
        <f t="shared" si="37"/>
        <v/>
      </c>
      <c r="CN27" s="134" t="str">
        <f t="shared" si="86"/>
        <v/>
      </c>
      <c r="CO27" s="131" t="str">
        <f t="shared" si="84"/>
        <v/>
      </c>
      <c r="CP27" s="131" t="str">
        <f t="shared" si="61"/>
        <v/>
      </c>
      <c r="CQ27" s="131" t="str">
        <f t="shared" si="62"/>
        <v/>
      </c>
      <c r="CR27" s="116" t="str">
        <f t="shared" si="63"/>
        <v/>
      </c>
      <c r="CS27" s="116" t="str">
        <f t="shared" si="64"/>
        <v/>
      </c>
      <c r="CT27" s="116" t="str">
        <f t="shared" si="65"/>
        <v/>
      </c>
      <c r="CU27" s="52">
        <f t="shared" si="66"/>
        <v>0</v>
      </c>
      <c r="CV27" s="116" t="str">
        <f t="shared" si="67"/>
        <v/>
      </c>
      <c r="CW27" s="116" t="str">
        <f t="shared" si="68"/>
        <v/>
      </c>
      <c r="CX27" s="61" t="str">
        <f t="shared" si="69"/>
        <v/>
      </c>
      <c r="CY27" s="61" t="str">
        <f t="shared" si="70"/>
        <v/>
      </c>
      <c r="CZ27" s="61" t="str">
        <f t="shared" si="71"/>
        <v/>
      </c>
      <c r="DA27" s="116" t="str">
        <f t="shared" si="81"/>
        <v/>
      </c>
      <c r="DB27" s="6" t="str">
        <f t="shared" si="82"/>
        <v/>
      </c>
      <c r="DC27" s="61" t="str">
        <f t="shared" si="72"/>
        <v/>
      </c>
      <c r="DD27" s="131" t="str">
        <f t="shared" si="87"/>
        <v/>
      </c>
      <c r="DE27" s="131" t="str">
        <f t="shared" si="88"/>
        <v/>
      </c>
      <c r="DF27" s="61" t="str">
        <f t="shared" si="89"/>
        <v/>
      </c>
      <c r="DG27" s="116" t="str">
        <f t="shared" si="73"/>
        <v/>
      </c>
      <c r="DH27" s="39" t="str">
        <f>""</f>
        <v/>
      </c>
    </row>
    <row r="28" spans="2:112" s="17" customFormat="1">
      <c r="B28" s="128" t="s">
        <v>850</v>
      </c>
      <c r="C28" s="128" t="s">
        <v>851</v>
      </c>
      <c r="D28" s="129">
        <v>50</v>
      </c>
      <c r="E28" s="89" t="str">
        <f t="shared" si="90"/>
        <v>VARCHAR</v>
      </c>
      <c r="F28" s="128" t="s">
        <v>135</v>
      </c>
      <c r="G28" s="128" t="s">
        <v>24</v>
      </c>
      <c r="H28" s="128" t="s">
        <v>24</v>
      </c>
      <c r="I28" s="128"/>
      <c r="J28" s="121"/>
      <c r="K28" s="59"/>
      <c r="M28" s="17" t="s">
        <v>400</v>
      </c>
      <c r="AC28" s="47" t="s">
        <v>207</v>
      </c>
      <c r="AD28" s="52" t="str">
        <f t="shared" si="1"/>
        <v>eps==""</v>
      </c>
      <c r="AE28" s="52">
        <f t="shared" si="2"/>
        <v>1</v>
      </c>
      <c r="AF28" s="52">
        <f t="shared" si="75"/>
        <v>6</v>
      </c>
      <c r="AG28" s="61" t="str">
        <f t="shared" si="3"/>
        <v>else if (eps=="") {document.getElementById("eps").focus();}</v>
      </c>
      <c r="AH28" s="52">
        <f t="shared" si="4"/>
        <v>1</v>
      </c>
      <c r="AI28" s="52">
        <f t="shared" si="43"/>
        <v>7</v>
      </c>
      <c r="AJ28" s="52" t="str">
        <f t="shared" si="44"/>
        <v>||</v>
      </c>
      <c r="AK28" s="61" t="str">
        <f t="shared" si="5"/>
        <v>||eps==""</v>
      </c>
      <c r="AL28" s="95" t="str">
        <f t="shared" si="6"/>
        <v>if (eps=="") {$("#adv_eps").html("Requierd");$("#eps").css({"background":"yellow"});} else {$("#adv_eps").html("");$("#eps").css({"background":"white"});}</v>
      </c>
      <c r="AM28" s="61" t="str">
        <f t="shared" si="7"/>
        <v>if (eps=="") {$("#adv_eps").html("Requierd");$("#eps").css({"background":"yellow"});} else {$("#adv_eps").html("");$("#eps").css({"background":"white"});}</v>
      </c>
      <c r="AN28" s="61" t="str">
        <f t="shared" si="8"/>
        <v>if (EPS=="") {$("#adv_EPS").html("Requierd");} else {$("#adv_EPS").html("");}</v>
      </c>
      <c r="AO28" s="50" t="str">
        <f t="shared" si="9"/>
        <v>EPS:&lt;input type="text" id="eps" name="eps" size="15" /&gt;</v>
      </c>
      <c r="AP28" s="61" t="str">
        <f t="shared" si="10"/>
        <v>eps=$("#eps").val();</v>
      </c>
      <c r="AQ28" s="61" t="str">
        <f t="shared" si="45"/>
        <v>highlight script</v>
      </c>
      <c r="AR28" s="61" t="str">
        <f t="shared" si="11"/>
        <v>eps=document.getElementById("eps").checked;</v>
      </c>
      <c r="AS28" s="102" t="str">
        <f t="shared" si="12"/>
        <v>if (isset($_GET['eps'])) {$eps=($_GET['eps']);}else $eps='';</v>
      </c>
      <c r="AT28" s="52" t="str">
        <f t="shared" si="13"/>
        <v>EPS</v>
      </c>
      <c r="AU28" s="52" t="str">
        <f t="shared" si="14"/>
        <v>if (document.getElementById("</v>
      </c>
      <c r="AV28" s="61" t="str">
        <f t="shared" si="15"/>
        <v>if (document.getElementById("eps").checked==true) {EPS="eps";}</v>
      </c>
      <c r="AW28" s="61" t="str">
        <f t="shared" si="76"/>
        <v>,EPS:EPS</v>
      </c>
      <c r="AX28" s="102" t="str">
        <f t="shared" si="16"/>
        <v>if (isset($_GET['EPS'])) {$EPS=($_GET['EPS']);}else $EPS='';</v>
      </c>
      <c r="AY28" s="135" t="str">
        <f t="shared" si="46"/>
        <v>EPS:</v>
      </c>
      <c r="AZ28" s="50" t="str">
        <f t="shared" si="17"/>
        <v>EPS:&lt;input type="checkbox" id="eps" name="eps" value="1" /&gt;</v>
      </c>
      <c r="BA28" s="105" t="str">
        <f t="shared" si="18"/>
        <v>EPS:&lt;br/&gt;&lt;textarea rows="2" cols="80" id="eps"&gt;&lt;/textarea&gt;&lt;br/&gt;</v>
      </c>
      <c r="BB28" s="50" t="str">
        <f t="shared" si="19"/>
        <v>EPS:&lt;span id="adv_EPS"&gt;&lt;/span&gt;&lt;br/&gt;eps&lt;input type="radio" name="EPS" id="eps" value="eps" /&gt;</v>
      </c>
      <c r="BC28" s="107" t="str">
        <f t="shared" si="20"/>
        <v>EPS:&lt;input type="text"  size="7"  id="eps" class="datepicker"/&gt;</v>
      </c>
      <c r="BD28" s="109" t="str">
        <f t="shared" si="47"/>
        <v>EPS:&lt;input type="text" id="eps" name="eps" size="15" /&gt;</v>
      </c>
      <c r="BE28" s="61" t="str">
        <f t="shared" si="21"/>
        <v>eps=$("#eps").val();</v>
      </c>
      <c r="BF28" s="52">
        <f t="shared" si="83"/>
        <v>12</v>
      </c>
      <c r="BG28" s="61" t="str">
        <f t="shared" si="48"/>
        <v>,eps:eps</v>
      </c>
      <c r="BH28" s="102" t="str">
        <f t="shared" si="22"/>
        <v>if (isset($_GET['eps'])) {$eps=($_GET['eps']);}else $eps='';</v>
      </c>
      <c r="BI28" s="105" t="str">
        <f t="shared" si="85"/>
        <v>&lt;span id="adv_eps"&gt;&lt;/span&gt;&lt;br/&gt;</v>
      </c>
      <c r="BJ28" s="52" t="str">
        <f t="shared" si="49"/>
        <v>required advise</v>
      </c>
      <c r="BK28" s="52">
        <f t="shared" si="50"/>
        <v>0</v>
      </c>
      <c r="BL28" s="52">
        <f t="shared" si="51"/>
        <v>2</v>
      </c>
      <c r="BM28" s="52" t="str">
        <f t="shared" si="77"/>
        <v/>
      </c>
      <c r="BN28" s="52" t="str">
        <f t="shared" si="24"/>
        <v/>
      </c>
      <c r="BO28" s="52" t="str">
        <f t="shared" si="78"/>
        <v>,</v>
      </c>
      <c r="BP28" s="113" t="str">
        <f t="shared" si="52"/>
        <v>eps</v>
      </c>
      <c r="BQ28" s="52" t="str">
        <f t="shared" si="79"/>
        <v/>
      </c>
      <c r="BR28" s="52" t="str">
        <f t="shared" si="53"/>
        <v/>
      </c>
      <c r="BS28" s="52" t="str">
        <f t="shared" si="54"/>
        <v>,eps</v>
      </c>
      <c r="BT28" s="52" t="str">
        <f t="shared" si="55"/>
        <v>,'$eps'</v>
      </c>
      <c r="BU28" s="52" t="str">
        <f t="shared" si="56"/>
        <v>$eps</v>
      </c>
      <c r="BV28" s="102" t="str">
        <f t="shared" si="25"/>
        <v>echo 'EPS'.$eps;</v>
      </c>
      <c r="BW28" s="116" t="str">
        <f t="shared" si="26"/>
        <v/>
      </c>
      <c r="BX28" s="61" t="str">
        <f t="shared" si="27"/>
        <v>$("#eps").val("");$("#adv_eps").html("");$("#eps").css({"background":"#fff"});</v>
      </c>
      <c r="BY28" s="52" t="str">
        <f t="shared" si="28"/>
        <v>$("#eps").val("");</v>
      </c>
      <c r="BZ28" s="52" t="str">
        <f t="shared" si="29"/>
        <v>$("#adv_eps").html("");$("#eps").css({"background":"#fff"});</v>
      </c>
      <c r="CA28" s="52" t="str">
        <f t="shared" si="57"/>
        <v>$("#eps").val("");$("#adv_eps").html("");$("#eps").css({"background":"#fff"});</v>
      </c>
      <c r="CB28" s="52" t="str">
        <f t="shared" si="30"/>
        <v/>
      </c>
      <c r="CC28" s="52" t="str">
        <f t="shared" si="31"/>
        <v/>
      </c>
      <c r="CD28" s="102" t="str">
        <f t="shared" si="32"/>
        <v>$call_eps=$row['eps'];</v>
      </c>
      <c r="CE28" s="116" t="str">
        <f t="shared" si="33"/>
        <v>echo "EPS:".$row['eps'];</v>
      </c>
      <c r="CF28" s="116" t="str">
        <f t="shared" si="92"/>
        <v>,eps VARCHAR(50)</v>
      </c>
      <c r="CG28" s="61" t="str">
        <f t="shared" si="35"/>
        <v/>
      </c>
      <c r="CH28" s="52">
        <f t="shared" si="80"/>
        <v>2</v>
      </c>
      <c r="CI28" s="61" t="str">
        <f t="shared" si="58"/>
        <v/>
      </c>
      <c r="CJ28" s="61" t="str">
        <f t="shared" si="59"/>
        <v/>
      </c>
      <c r="CK28" s="61" t="str">
        <f t="shared" si="60"/>
        <v/>
      </c>
      <c r="CL28" s="61" t="str">
        <f t="shared" si="36"/>
        <v/>
      </c>
      <c r="CM28" s="61" t="str">
        <f t="shared" si="37"/>
        <v/>
      </c>
      <c r="CN28" s="134" t="str">
        <f t="shared" si="86"/>
        <v/>
      </c>
      <c r="CO28" s="131" t="str">
        <f t="shared" si="84"/>
        <v/>
      </c>
      <c r="CP28" s="131" t="str">
        <f t="shared" si="61"/>
        <v/>
      </c>
      <c r="CQ28" s="131" t="str">
        <f t="shared" si="62"/>
        <v/>
      </c>
      <c r="CR28" s="116" t="str">
        <f t="shared" si="63"/>
        <v/>
      </c>
      <c r="CS28" s="116" t="str">
        <f t="shared" si="64"/>
        <v/>
      </c>
      <c r="CT28" s="116" t="str">
        <f t="shared" si="65"/>
        <v/>
      </c>
      <c r="CU28" s="52">
        <f t="shared" si="66"/>
        <v>0</v>
      </c>
      <c r="CV28" s="116" t="str">
        <f t="shared" si="67"/>
        <v/>
      </c>
      <c r="CW28" s="116" t="str">
        <f t="shared" si="68"/>
        <v>echo ' eps:'.$row_ae['eps'];</v>
      </c>
      <c r="CX28" s="61" t="str">
        <f t="shared" si="69"/>
        <v/>
      </c>
      <c r="CY28" s="61" t="str">
        <f t="shared" si="70"/>
        <v/>
      </c>
      <c r="CZ28" s="61" t="str">
        <f t="shared" si="71"/>
        <v/>
      </c>
      <c r="DA28" s="116" t="str">
        <f t="shared" si="81"/>
        <v/>
      </c>
      <c r="DB28" s="6" t="str">
        <f t="shared" si="82"/>
        <v/>
      </c>
      <c r="DC28" s="61" t="str">
        <f t="shared" si="72"/>
        <v/>
      </c>
      <c r="DD28" s="131" t="str">
        <f t="shared" si="87"/>
        <v/>
      </c>
      <c r="DE28" s="131" t="str">
        <f t="shared" si="88"/>
        <v/>
      </c>
      <c r="DF28" s="61" t="str">
        <f t="shared" si="89"/>
        <v/>
      </c>
      <c r="DG28" s="116" t="str">
        <f t="shared" si="73"/>
        <v/>
      </c>
      <c r="DH28" s="116" t="str">
        <f t="shared" si="74"/>
        <v>echo 'eps: '.$row['eps'];</v>
      </c>
    </row>
    <row r="29" spans="2:112" s="17" customFormat="1">
      <c r="B29" s="126"/>
      <c r="C29" s="126"/>
      <c r="D29" s="127"/>
      <c r="E29" s="89" t="str">
        <f t="shared" si="90"/>
        <v/>
      </c>
      <c r="F29" s="126"/>
      <c r="G29" s="126"/>
      <c r="H29" s="126"/>
      <c r="I29" s="126"/>
      <c r="J29" s="121"/>
      <c r="K29" s="59"/>
      <c r="M29" s="79" t="s">
        <v>1358</v>
      </c>
      <c r="AC29" s="47" t="s">
        <v>208</v>
      </c>
      <c r="AD29" s="52" t="str">
        <f t="shared" si="1"/>
        <v/>
      </c>
      <c r="AE29" s="52">
        <f t="shared" si="2"/>
        <v>0</v>
      </c>
      <c r="AF29" s="52">
        <f t="shared" si="75"/>
        <v>6</v>
      </c>
      <c r="AG29" s="61" t="str">
        <f t="shared" si="3"/>
        <v/>
      </c>
      <c r="AH29" s="52">
        <f t="shared" si="4"/>
        <v>0</v>
      </c>
      <c r="AI29" s="52">
        <f t="shared" si="43"/>
        <v>7</v>
      </c>
      <c r="AJ29" s="52" t="str">
        <f t="shared" si="44"/>
        <v/>
      </c>
      <c r="AK29" s="61" t="str">
        <f t="shared" si="5"/>
        <v/>
      </c>
      <c r="AL29" s="95" t="str">
        <f t="shared" si="6"/>
        <v/>
      </c>
      <c r="AM29" s="61" t="str">
        <f t="shared" si="7"/>
        <v>if () {$("#adv_").html("Requierd");$("#").css({"background":"yellow"});} else {$("#adv_").html("");$("#").css({"background":"white"});}</v>
      </c>
      <c r="AN29" s="61" t="str">
        <f t="shared" si="8"/>
        <v>if (=="") {$("#adv_").html("Requierd");} else {$("#adv_").html("");}</v>
      </c>
      <c r="AO29" s="50" t="str">
        <f t="shared" si="9"/>
        <v/>
      </c>
      <c r="AP29" s="61" t="str">
        <f t="shared" si="10"/>
        <v>=$("#").val();</v>
      </c>
      <c r="AQ29" s="61" t="str">
        <f t="shared" si="45"/>
        <v/>
      </c>
      <c r="AR29" s="61" t="str">
        <f t="shared" si="11"/>
        <v>=document.getElementById("").checked;</v>
      </c>
      <c r="AS29" s="102" t="str">
        <f t="shared" si="12"/>
        <v>if (isset($_GET[''])) {$=($_GET['']);}else $='';</v>
      </c>
      <c r="AT29" s="52" t="str">
        <f t="shared" si="13"/>
        <v>EPS</v>
      </c>
      <c r="AU29" s="52" t="str">
        <f t="shared" si="14"/>
        <v>else if (document.getElementById("</v>
      </c>
      <c r="AV29" s="61" t="str">
        <f t="shared" si="15"/>
        <v>else if (document.getElementById("").checked==true) {EPS="";}</v>
      </c>
      <c r="AW29" s="61" t="str">
        <f t="shared" si="76"/>
        <v/>
      </c>
      <c r="AX29" s="102" t="str">
        <f t="shared" si="16"/>
        <v/>
      </c>
      <c r="AY29" s="135" t="str">
        <f t="shared" si="46"/>
        <v/>
      </c>
      <c r="AZ29" s="50" t="str">
        <f t="shared" si="17"/>
        <v>&lt;input type="checkbox" id="" name="" value="1" /&gt;</v>
      </c>
      <c r="BA29" s="105" t="str">
        <f t="shared" si="18"/>
        <v>&lt;br/&gt;&lt;textarea rows="2" cols="80" id=""&gt;&lt;/textarea&gt;&lt;br/&gt;</v>
      </c>
      <c r="BB29" s="50" t="str">
        <f t="shared" si="19"/>
        <v>&lt;input type="radio" name="EPS" id="" value="" /&gt;</v>
      </c>
      <c r="BC29" s="107" t="str">
        <f t="shared" si="20"/>
        <v>&lt;input type="text"  size="7"  id="" class="datepicker"/&gt;</v>
      </c>
      <c r="BD29" s="109" t="str">
        <f t="shared" si="47"/>
        <v/>
      </c>
      <c r="BE29" s="61" t="str">
        <f t="shared" si="21"/>
        <v/>
      </c>
      <c r="BF29" s="52">
        <f t="shared" si="83"/>
        <v>12</v>
      </c>
      <c r="BG29" s="61" t="str">
        <f t="shared" si="48"/>
        <v/>
      </c>
      <c r="BH29" s="102" t="str">
        <f t="shared" si="22"/>
        <v/>
      </c>
      <c r="BI29" s="105" t="str">
        <f t="shared" si="85"/>
        <v/>
      </c>
      <c r="BJ29" s="52" t="str">
        <f t="shared" si="49"/>
        <v/>
      </c>
      <c r="BK29" s="52">
        <f t="shared" si="50"/>
        <v>0</v>
      </c>
      <c r="BL29" s="52">
        <f t="shared" si="51"/>
        <v>2</v>
      </c>
      <c r="BM29" s="52" t="str">
        <f t="shared" si="77"/>
        <v/>
      </c>
      <c r="BN29" s="52" t="str">
        <f t="shared" si="24"/>
        <v/>
      </c>
      <c r="BO29" s="52" t="str">
        <f t="shared" si="78"/>
        <v/>
      </c>
      <c r="BP29" s="113" t="str">
        <f t="shared" si="52"/>
        <v/>
      </c>
      <c r="BQ29" s="52" t="str">
        <f t="shared" si="79"/>
        <v/>
      </c>
      <c r="BR29" s="52" t="str">
        <f t="shared" si="53"/>
        <v/>
      </c>
      <c r="BS29" s="52" t="str">
        <f t="shared" si="54"/>
        <v/>
      </c>
      <c r="BT29" s="52" t="str">
        <f t="shared" si="55"/>
        <v/>
      </c>
      <c r="BU29" s="52" t="str">
        <f t="shared" si="56"/>
        <v/>
      </c>
      <c r="BV29" s="102" t="str">
        <f t="shared" si="25"/>
        <v/>
      </c>
      <c r="BW29" s="116" t="str">
        <f t="shared" si="26"/>
        <v/>
      </c>
      <c r="BX29" s="61" t="str">
        <f t="shared" si="27"/>
        <v/>
      </c>
      <c r="BY29" s="52" t="str">
        <f t="shared" si="28"/>
        <v/>
      </c>
      <c r="BZ29" s="52" t="str">
        <f t="shared" si="29"/>
        <v/>
      </c>
      <c r="CA29" s="52" t="str">
        <f t="shared" si="57"/>
        <v/>
      </c>
      <c r="CB29" s="52" t="str">
        <f t="shared" si="30"/>
        <v/>
      </c>
      <c r="CC29" s="52" t="str">
        <f t="shared" si="31"/>
        <v/>
      </c>
      <c r="CD29" s="102" t="str">
        <f t="shared" si="32"/>
        <v/>
      </c>
      <c r="CE29" s="116" t="str">
        <f t="shared" si="33"/>
        <v/>
      </c>
      <c r="CF29" s="116" t="str">
        <f t="shared" si="92"/>
        <v/>
      </c>
      <c r="CG29" s="61" t="str">
        <f t="shared" si="35"/>
        <v/>
      </c>
      <c r="CH29" s="52">
        <f t="shared" si="80"/>
        <v>2</v>
      </c>
      <c r="CI29" s="61" t="str">
        <f t="shared" si="58"/>
        <v/>
      </c>
      <c r="CJ29" s="61" t="str">
        <f t="shared" si="59"/>
        <v/>
      </c>
      <c r="CK29" s="61" t="str">
        <f t="shared" si="60"/>
        <v/>
      </c>
      <c r="CL29" s="61" t="str">
        <f t="shared" si="36"/>
        <v/>
      </c>
      <c r="CM29" s="61" t="str">
        <f t="shared" si="37"/>
        <v/>
      </c>
      <c r="CN29" s="134" t="str">
        <f t="shared" si="86"/>
        <v/>
      </c>
      <c r="CO29" s="131" t="str">
        <f t="shared" si="84"/>
        <v/>
      </c>
      <c r="CP29" s="131" t="str">
        <f t="shared" si="61"/>
        <v/>
      </c>
      <c r="CQ29" s="131" t="str">
        <f t="shared" si="62"/>
        <v/>
      </c>
      <c r="CR29" s="116" t="str">
        <f t="shared" si="63"/>
        <v/>
      </c>
      <c r="CS29" s="116" t="str">
        <f t="shared" si="64"/>
        <v/>
      </c>
      <c r="CT29" s="116" t="str">
        <f t="shared" si="65"/>
        <v/>
      </c>
      <c r="CU29" s="52">
        <f t="shared" si="66"/>
        <v>0</v>
      </c>
      <c r="CV29" s="116" t="str">
        <f t="shared" si="67"/>
        <v/>
      </c>
      <c r="CW29" s="116" t="str">
        <f t="shared" si="68"/>
        <v/>
      </c>
      <c r="CX29" s="61" t="str">
        <f t="shared" si="69"/>
        <v/>
      </c>
      <c r="CY29" s="61" t="str">
        <f t="shared" si="70"/>
        <v/>
      </c>
      <c r="CZ29" s="61" t="str">
        <f t="shared" si="71"/>
        <v/>
      </c>
      <c r="DA29" s="116" t="str">
        <f t="shared" si="81"/>
        <v/>
      </c>
      <c r="DB29" s="6" t="str">
        <f t="shared" si="82"/>
        <v/>
      </c>
      <c r="DC29" s="61" t="str">
        <f t="shared" si="72"/>
        <v/>
      </c>
      <c r="DD29" s="131" t="str">
        <f t="shared" si="87"/>
        <v/>
      </c>
      <c r="DE29" s="131" t="str">
        <f t="shared" si="88"/>
        <v/>
      </c>
      <c r="DF29" s="61" t="str">
        <f t="shared" si="89"/>
        <v/>
      </c>
      <c r="DG29" s="116" t="str">
        <f t="shared" si="73"/>
        <v/>
      </c>
      <c r="DH29" s="116" t="str">
        <f t="shared" si="74"/>
        <v/>
      </c>
    </row>
    <row r="30" spans="2:112" s="17" customFormat="1">
      <c r="B30" s="126"/>
      <c r="C30" s="126"/>
      <c r="D30" s="127"/>
      <c r="E30" s="89" t="str">
        <f t="shared" si="90"/>
        <v/>
      </c>
      <c r="F30" s="126"/>
      <c r="G30" s="126"/>
      <c r="H30" s="126"/>
      <c r="I30" s="126"/>
      <c r="J30" s="121"/>
      <c r="K30" s="59"/>
      <c r="AC30" s="47" t="s">
        <v>209</v>
      </c>
      <c r="AD30" s="52" t="str">
        <f t="shared" si="1"/>
        <v/>
      </c>
      <c r="AE30" s="52">
        <f t="shared" si="2"/>
        <v>0</v>
      </c>
      <c r="AF30" s="52">
        <f t="shared" si="75"/>
        <v>6</v>
      </c>
      <c r="AG30" s="61" t="str">
        <f t="shared" si="3"/>
        <v/>
      </c>
      <c r="AH30" s="52">
        <f t="shared" si="4"/>
        <v>0</v>
      </c>
      <c r="AI30" s="52">
        <f t="shared" si="43"/>
        <v>7</v>
      </c>
      <c r="AJ30" s="52" t="str">
        <f t="shared" si="44"/>
        <v/>
      </c>
      <c r="AK30" s="61" t="str">
        <f t="shared" si="5"/>
        <v/>
      </c>
      <c r="AL30" s="95" t="str">
        <f t="shared" si="6"/>
        <v/>
      </c>
      <c r="AM30" s="61" t="str">
        <f t="shared" si="7"/>
        <v>if () {$("#adv_").html("Requierd");$("#").css({"background":"yellow"});} else {$("#adv_").html("");$("#").css({"background":"white"});}</v>
      </c>
      <c r="AN30" s="61" t="str">
        <f t="shared" si="8"/>
        <v>if (=="") {$("#adv_").html("Requierd");} else {$("#adv_").html("");}</v>
      </c>
      <c r="AO30" s="50" t="str">
        <f t="shared" si="9"/>
        <v/>
      </c>
      <c r="AP30" s="61" t="str">
        <f t="shared" si="10"/>
        <v>=$("#").val();</v>
      </c>
      <c r="AQ30" s="61" t="str">
        <f t="shared" si="45"/>
        <v/>
      </c>
      <c r="AR30" s="61" t="str">
        <f t="shared" si="11"/>
        <v>=document.getElementById("").checked;</v>
      </c>
      <c r="AS30" s="102" t="str">
        <f t="shared" si="12"/>
        <v>if (isset($_GET[''])) {$=($_GET['']);}else $='';</v>
      </c>
      <c r="AT30" s="52" t="str">
        <f t="shared" si="13"/>
        <v>EPS</v>
      </c>
      <c r="AU30" s="52" t="str">
        <f t="shared" si="14"/>
        <v>else if (document.getElementById("</v>
      </c>
      <c r="AV30" s="61" t="str">
        <f t="shared" si="15"/>
        <v>else if (document.getElementById("").checked==true) {EPS="";}</v>
      </c>
      <c r="AW30" s="61" t="str">
        <f t="shared" si="76"/>
        <v/>
      </c>
      <c r="AX30" s="102" t="str">
        <f t="shared" si="16"/>
        <v/>
      </c>
      <c r="AY30" s="135" t="str">
        <f t="shared" si="46"/>
        <v/>
      </c>
      <c r="AZ30" s="50" t="str">
        <f t="shared" si="17"/>
        <v>&lt;input type="checkbox" id="" name="" value="1" /&gt;</v>
      </c>
      <c r="BA30" s="105" t="str">
        <f t="shared" si="18"/>
        <v>&lt;br/&gt;&lt;textarea rows="2" cols="80" id=""&gt;&lt;/textarea&gt;&lt;br/&gt;</v>
      </c>
      <c r="BB30" s="50" t="str">
        <f t="shared" si="19"/>
        <v>&lt;input type="radio" name="EPS" id="" value="" /&gt;</v>
      </c>
      <c r="BC30" s="107" t="str">
        <f t="shared" si="20"/>
        <v>&lt;input type="text"  size="7"  id="" class="datepicker"/&gt;</v>
      </c>
      <c r="BD30" s="109" t="str">
        <f t="shared" si="47"/>
        <v/>
      </c>
      <c r="BE30" s="61" t="str">
        <f t="shared" si="21"/>
        <v/>
      </c>
      <c r="BF30" s="52">
        <f t="shared" si="83"/>
        <v>12</v>
      </c>
      <c r="BG30" s="61" t="str">
        <f t="shared" si="48"/>
        <v/>
      </c>
      <c r="BH30" s="102" t="str">
        <f t="shared" si="22"/>
        <v/>
      </c>
      <c r="BI30" s="105" t="str">
        <f t="shared" si="85"/>
        <v/>
      </c>
      <c r="BJ30" s="52" t="str">
        <f t="shared" si="49"/>
        <v/>
      </c>
      <c r="BK30" s="52">
        <f t="shared" si="50"/>
        <v>0</v>
      </c>
      <c r="BL30" s="52">
        <f t="shared" si="51"/>
        <v>2</v>
      </c>
      <c r="BM30" s="52" t="str">
        <f t="shared" si="77"/>
        <v/>
      </c>
      <c r="BN30" s="52" t="str">
        <f t="shared" si="24"/>
        <v/>
      </c>
      <c r="BO30" s="52" t="str">
        <f t="shared" si="78"/>
        <v/>
      </c>
      <c r="BP30" s="113" t="str">
        <f t="shared" si="52"/>
        <v/>
      </c>
      <c r="BQ30" s="52" t="str">
        <f t="shared" si="79"/>
        <v/>
      </c>
      <c r="BR30" s="52" t="str">
        <f t="shared" si="53"/>
        <v/>
      </c>
      <c r="BS30" s="52" t="str">
        <f t="shared" si="54"/>
        <v/>
      </c>
      <c r="BT30" s="52" t="str">
        <f t="shared" si="55"/>
        <v/>
      </c>
      <c r="BU30" s="52" t="str">
        <f t="shared" si="56"/>
        <v/>
      </c>
      <c r="BV30" s="102" t="str">
        <f t="shared" si="25"/>
        <v/>
      </c>
      <c r="BW30" s="116" t="str">
        <f t="shared" si="26"/>
        <v/>
      </c>
      <c r="BX30" s="61" t="str">
        <f t="shared" si="27"/>
        <v/>
      </c>
      <c r="BY30" s="52" t="str">
        <f t="shared" si="28"/>
        <v/>
      </c>
      <c r="BZ30" s="52" t="str">
        <f t="shared" si="29"/>
        <v/>
      </c>
      <c r="CA30" s="52" t="str">
        <f t="shared" si="57"/>
        <v/>
      </c>
      <c r="CB30" s="52" t="str">
        <f t="shared" si="30"/>
        <v/>
      </c>
      <c r="CC30" s="52" t="str">
        <f t="shared" si="31"/>
        <v/>
      </c>
      <c r="CD30" s="102" t="str">
        <f t="shared" si="32"/>
        <v/>
      </c>
      <c r="CE30" s="116" t="str">
        <f t="shared" si="33"/>
        <v/>
      </c>
      <c r="CF30" s="116" t="str">
        <f t="shared" si="92"/>
        <v/>
      </c>
      <c r="CG30" s="61" t="str">
        <f t="shared" si="35"/>
        <v/>
      </c>
      <c r="CH30" s="52">
        <f t="shared" si="80"/>
        <v>2</v>
      </c>
      <c r="CI30" s="61" t="str">
        <f t="shared" si="58"/>
        <v/>
      </c>
      <c r="CJ30" s="61" t="str">
        <f t="shared" si="59"/>
        <v/>
      </c>
      <c r="CK30" s="61" t="str">
        <f t="shared" si="60"/>
        <v/>
      </c>
      <c r="CL30" s="61" t="str">
        <f t="shared" si="36"/>
        <v/>
      </c>
      <c r="CM30" s="61" t="str">
        <f t="shared" si="37"/>
        <v/>
      </c>
      <c r="CN30" s="134" t="str">
        <f t="shared" si="86"/>
        <v/>
      </c>
      <c r="CO30" s="131" t="str">
        <f t="shared" si="84"/>
        <v/>
      </c>
      <c r="CP30" s="131" t="str">
        <f t="shared" si="61"/>
        <v/>
      </c>
      <c r="CQ30" s="131" t="str">
        <f t="shared" si="62"/>
        <v/>
      </c>
      <c r="CR30" s="116" t="str">
        <f t="shared" si="63"/>
        <v/>
      </c>
      <c r="CS30" s="116" t="str">
        <f t="shared" si="64"/>
        <v/>
      </c>
      <c r="CT30" s="116" t="str">
        <f t="shared" si="65"/>
        <v/>
      </c>
      <c r="CU30" s="52">
        <f t="shared" si="66"/>
        <v>0</v>
      </c>
      <c r="CV30" s="116" t="str">
        <f t="shared" si="67"/>
        <v/>
      </c>
      <c r="CW30" s="116" t="str">
        <f t="shared" si="68"/>
        <v/>
      </c>
      <c r="CX30" s="61" t="str">
        <f t="shared" si="69"/>
        <v/>
      </c>
      <c r="CY30" s="61" t="str">
        <f t="shared" si="70"/>
        <v/>
      </c>
      <c r="CZ30" s="61" t="str">
        <f t="shared" si="71"/>
        <v/>
      </c>
      <c r="DA30" s="116" t="str">
        <f t="shared" si="81"/>
        <v/>
      </c>
      <c r="DB30" s="6" t="str">
        <f t="shared" si="82"/>
        <v/>
      </c>
      <c r="DC30" s="61" t="str">
        <f t="shared" si="72"/>
        <v/>
      </c>
      <c r="DD30" s="131" t="str">
        <f t="shared" si="87"/>
        <v/>
      </c>
      <c r="DE30" s="131" t="str">
        <f t="shared" si="88"/>
        <v/>
      </c>
      <c r="DF30" s="61" t="str">
        <f t="shared" si="89"/>
        <v/>
      </c>
      <c r="DG30" s="116" t="str">
        <f t="shared" si="73"/>
        <v/>
      </c>
      <c r="DH30" s="116" t="str">
        <f t="shared" si="74"/>
        <v/>
      </c>
    </row>
    <row r="31" spans="2:112" s="17" customFormat="1">
      <c r="B31" s="126"/>
      <c r="C31" s="126"/>
      <c r="D31" s="127"/>
      <c r="E31" s="89" t="str">
        <f t="shared" si="90"/>
        <v/>
      </c>
      <c r="F31" s="126"/>
      <c r="G31" s="126"/>
      <c r="H31" s="126"/>
      <c r="I31" s="126"/>
      <c r="J31" s="121"/>
      <c r="K31" s="59"/>
      <c r="M31" s="17" t="s">
        <v>522</v>
      </c>
      <c r="AC31" s="47" t="s">
        <v>210</v>
      </c>
      <c r="AD31" s="52" t="str">
        <f t="shared" si="1"/>
        <v/>
      </c>
      <c r="AE31" s="52">
        <f t="shared" si="2"/>
        <v>0</v>
      </c>
      <c r="AF31" s="52">
        <f t="shared" si="75"/>
        <v>6</v>
      </c>
      <c r="AG31" s="61" t="str">
        <f t="shared" si="3"/>
        <v/>
      </c>
      <c r="AH31" s="52">
        <f t="shared" si="4"/>
        <v>0</v>
      </c>
      <c r="AI31" s="52">
        <f t="shared" si="43"/>
        <v>7</v>
      </c>
      <c r="AJ31" s="52" t="str">
        <f t="shared" si="44"/>
        <v/>
      </c>
      <c r="AK31" s="61" t="str">
        <f t="shared" si="5"/>
        <v/>
      </c>
      <c r="AL31" s="95" t="str">
        <f t="shared" si="6"/>
        <v/>
      </c>
      <c r="AM31" s="61" t="str">
        <f t="shared" si="7"/>
        <v>if () {$("#adv_").html("Requierd");$("#").css({"background":"yellow"});} else {$("#adv_").html("");$("#").css({"background":"white"});}</v>
      </c>
      <c r="AN31" s="61" t="str">
        <f t="shared" si="8"/>
        <v>if (=="") {$("#adv_").html("Requierd");} else {$("#adv_").html("");}</v>
      </c>
      <c r="AO31" s="50" t="str">
        <f t="shared" si="9"/>
        <v/>
      </c>
      <c r="AP31" s="61" t="str">
        <f t="shared" si="10"/>
        <v>=$("#").val();</v>
      </c>
      <c r="AQ31" s="61" t="str">
        <f t="shared" si="45"/>
        <v/>
      </c>
      <c r="AR31" s="61" t="str">
        <f t="shared" si="11"/>
        <v>=document.getElementById("").checked;</v>
      </c>
      <c r="AS31" s="102" t="str">
        <f t="shared" si="12"/>
        <v>if (isset($_GET[''])) {$=($_GET['']);}else $='';</v>
      </c>
      <c r="AT31" s="52" t="str">
        <f t="shared" si="13"/>
        <v>EPS</v>
      </c>
      <c r="AU31" s="52" t="str">
        <f t="shared" si="14"/>
        <v>else if (document.getElementById("</v>
      </c>
      <c r="AV31" s="61" t="str">
        <f t="shared" si="15"/>
        <v>else if (document.getElementById("").checked==true) {EPS="";}</v>
      </c>
      <c r="AW31" s="61" t="str">
        <f t="shared" si="76"/>
        <v/>
      </c>
      <c r="AX31" s="102" t="str">
        <f t="shared" si="16"/>
        <v/>
      </c>
      <c r="AY31" s="135" t="str">
        <f t="shared" si="46"/>
        <v/>
      </c>
      <c r="AZ31" s="50" t="str">
        <f t="shared" si="17"/>
        <v>&lt;input type="checkbox" id="" name="" value="1" /&gt;</v>
      </c>
      <c r="BA31" s="105" t="str">
        <f t="shared" si="18"/>
        <v>&lt;br/&gt;&lt;textarea rows="2" cols="80" id=""&gt;&lt;/textarea&gt;&lt;br/&gt;</v>
      </c>
      <c r="BB31" s="50" t="str">
        <f t="shared" si="19"/>
        <v>&lt;input type="radio" name="EPS" id="" value="" /&gt;</v>
      </c>
      <c r="BC31" s="107" t="str">
        <f t="shared" si="20"/>
        <v>&lt;input type="text"  size="7"  id="" class="datepicker"/&gt;</v>
      </c>
      <c r="BD31" s="109" t="str">
        <f t="shared" si="47"/>
        <v/>
      </c>
      <c r="BE31" s="61" t="str">
        <f t="shared" si="21"/>
        <v/>
      </c>
      <c r="BF31" s="52">
        <f t="shared" si="83"/>
        <v>12</v>
      </c>
      <c r="BG31" s="61" t="str">
        <f t="shared" si="48"/>
        <v/>
      </c>
      <c r="BH31" s="102" t="str">
        <f t="shared" si="22"/>
        <v/>
      </c>
      <c r="BI31" s="105" t="str">
        <f t="shared" si="85"/>
        <v/>
      </c>
      <c r="BJ31" s="52" t="str">
        <f t="shared" si="49"/>
        <v/>
      </c>
      <c r="BK31" s="52">
        <f t="shared" si="50"/>
        <v>0</v>
      </c>
      <c r="BL31" s="52">
        <f t="shared" si="51"/>
        <v>2</v>
      </c>
      <c r="BM31" s="52" t="str">
        <f t="shared" si="77"/>
        <v/>
      </c>
      <c r="BN31" s="52" t="str">
        <f t="shared" si="24"/>
        <v/>
      </c>
      <c r="BO31" s="52" t="str">
        <f t="shared" si="78"/>
        <v/>
      </c>
      <c r="BP31" s="113" t="str">
        <f t="shared" si="52"/>
        <v/>
      </c>
      <c r="BQ31" s="52" t="str">
        <f t="shared" si="79"/>
        <v/>
      </c>
      <c r="BR31" s="52" t="str">
        <f t="shared" si="53"/>
        <v/>
      </c>
      <c r="BS31" s="52" t="str">
        <f t="shared" si="54"/>
        <v/>
      </c>
      <c r="BT31" s="52" t="str">
        <f t="shared" si="55"/>
        <v/>
      </c>
      <c r="BU31" s="52" t="str">
        <f t="shared" si="56"/>
        <v/>
      </c>
      <c r="BV31" s="102" t="str">
        <f t="shared" si="25"/>
        <v/>
      </c>
      <c r="BW31" s="116" t="str">
        <f t="shared" si="26"/>
        <v/>
      </c>
      <c r="BX31" s="61" t="str">
        <f t="shared" si="27"/>
        <v/>
      </c>
      <c r="BY31" s="52" t="str">
        <f t="shared" si="28"/>
        <v/>
      </c>
      <c r="BZ31" s="52" t="str">
        <f t="shared" si="29"/>
        <v/>
      </c>
      <c r="CA31" s="52" t="str">
        <f t="shared" si="57"/>
        <v/>
      </c>
      <c r="CB31" s="52" t="str">
        <f t="shared" si="30"/>
        <v/>
      </c>
      <c r="CC31" s="52" t="str">
        <f t="shared" si="31"/>
        <v/>
      </c>
      <c r="CD31" s="102" t="str">
        <f t="shared" si="32"/>
        <v/>
      </c>
      <c r="CE31" s="116" t="str">
        <f t="shared" si="33"/>
        <v/>
      </c>
      <c r="CF31" s="116" t="str">
        <f t="shared" si="92"/>
        <v/>
      </c>
      <c r="CG31" s="61" t="str">
        <f t="shared" si="35"/>
        <v/>
      </c>
      <c r="CH31" s="52">
        <f t="shared" si="80"/>
        <v>2</v>
      </c>
      <c r="CI31" s="61" t="str">
        <f t="shared" si="58"/>
        <v/>
      </c>
      <c r="CJ31" s="61" t="str">
        <f t="shared" si="59"/>
        <v/>
      </c>
      <c r="CK31" s="61" t="str">
        <f t="shared" si="60"/>
        <v/>
      </c>
      <c r="CL31" s="61" t="str">
        <f t="shared" si="36"/>
        <v/>
      </c>
      <c r="CM31" s="61" t="str">
        <f t="shared" si="37"/>
        <v/>
      </c>
      <c r="CN31" s="134" t="str">
        <f t="shared" si="86"/>
        <v/>
      </c>
      <c r="CO31" s="131" t="str">
        <f t="shared" si="84"/>
        <v/>
      </c>
      <c r="CP31" s="131" t="str">
        <f t="shared" si="61"/>
        <v/>
      </c>
      <c r="CQ31" s="131" t="str">
        <f t="shared" si="62"/>
        <v/>
      </c>
      <c r="CR31" s="116" t="str">
        <f t="shared" si="63"/>
        <v/>
      </c>
      <c r="CS31" s="116" t="str">
        <f t="shared" si="64"/>
        <v/>
      </c>
      <c r="CT31" s="116" t="str">
        <f t="shared" si="65"/>
        <v/>
      </c>
      <c r="CU31" s="52">
        <f t="shared" si="66"/>
        <v>0</v>
      </c>
      <c r="CV31" s="116" t="str">
        <f t="shared" si="67"/>
        <v/>
      </c>
      <c r="CW31" s="116" t="str">
        <f t="shared" si="68"/>
        <v/>
      </c>
      <c r="CX31" s="61" t="str">
        <f t="shared" si="69"/>
        <v/>
      </c>
      <c r="CY31" s="61" t="str">
        <f t="shared" si="70"/>
        <v/>
      </c>
      <c r="CZ31" s="61" t="str">
        <f t="shared" si="71"/>
        <v/>
      </c>
      <c r="DA31" s="116" t="str">
        <f t="shared" si="81"/>
        <v/>
      </c>
      <c r="DB31" s="6" t="str">
        <f t="shared" si="82"/>
        <v/>
      </c>
      <c r="DC31" s="61" t="str">
        <f t="shared" si="72"/>
        <v/>
      </c>
      <c r="DD31" s="131" t="str">
        <f t="shared" si="87"/>
        <v/>
      </c>
      <c r="DE31" s="131" t="str">
        <f t="shared" si="88"/>
        <v/>
      </c>
      <c r="DF31" s="61" t="str">
        <f t="shared" si="89"/>
        <v/>
      </c>
      <c r="DG31" s="116" t="str">
        <f t="shared" si="73"/>
        <v/>
      </c>
      <c r="DH31" s="116" t="str">
        <f t="shared" si="74"/>
        <v/>
      </c>
    </row>
    <row r="32" spans="2:112" s="17" customFormat="1">
      <c r="B32" s="126"/>
      <c r="C32" s="126"/>
      <c r="D32" s="127"/>
      <c r="E32" s="89" t="str">
        <f t="shared" si="90"/>
        <v/>
      </c>
      <c r="F32" s="126"/>
      <c r="G32" s="126"/>
      <c r="H32" s="126"/>
      <c r="I32" s="126"/>
      <c r="J32" s="121"/>
      <c r="K32" s="59"/>
      <c r="AC32" s="47" t="s">
        <v>211</v>
      </c>
      <c r="AD32" s="52" t="str">
        <f t="shared" si="1"/>
        <v/>
      </c>
      <c r="AE32" s="52">
        <f t="shared" si="2"/>
        <v>0</v>
      </c>
      <c r="AF32" s="52">
        <f t="shared" si="75"/>
        <v>6</v>
      </c>
      <c r="AG32" s="61" t="str">
        <f t="shared" si="3"/>
        <v/>
      </c>
      <c r="AH32" s="52">
        <f t="shared" si="4"/>
        <v>0</v>
      </c>
      <c r="AI32" s="52">
        <f t="shared" si="43"/>
        <v>7</v>
      </c>
      <c r="AJ32" s="52" t="str">
        <f t="shared" si="44"/>
        <v/>
      </c>
      <c r="AK32" s="61" t="str">
        <f t="shared" si="5"/>
        <v/>
      </c>
      <c r="AL32" s="95" t="str">
        <f t="shared" si="6"/>
        <v/>
      </c>
      <c r="AM32" s="61" t="str">
        <f t="shared" si="7"/>
        <v>if () {$("#adv_").html("Requierd");$("#").css({"background":"yellow"});} else {$("#adv_").html("");$("#").css({"background":"white"});}</v>
      </c>
      <c r="AN32" s="61" t="str">
        <f t="shared" si="8"/>
        <v>if (=="") {$("#adv_").html("Requierd");} else {$("#adv_").html("");}</v>
      </c>
      <c r="AO32" s="50" t="str">
        <f t="shared" si="9"/>
        <v/>
      </c>
      <c r="AP32" s="61" t="str">
        <f t="shared" si="10"/>
        <v>=$("#").val();</v>
      </c>
      <c r="AQ32" s="61" t="str">
        <f t="shared" si="45"/>
        <v/>
      </c>
      <c r="AR32" s="61" t="str">
        <f t="shared" si="11"/>
        <v>=document.getElementById("").checked;</v>
      </c>
      <c r="AS32" s="102" t="str">
        <f t="shared" si="12"/>
        <v>if (isset($_GET[''])) {$=($_GET['']);}else $='';</v>
      </c>
      <c r="AT32" s="52" t="str">
        <f t="shared" si="13"/>
        <v>EPS</v>
      </c>
      <c r="AU32" s="52" t="str">
        <f t="shared" si="14"/>
        <v>else if (document.getElementById("</v>
      </c>
      <c r="AV32" s="61" t="str">
        <f t="shared" si="15"/>
        <v>else if (document.getElementById("").checked==true) {EPS="";}</v>
      </c>
      <c r="AW32" s="61" t="str">
        <f t="shared" si="76"/>
        <v/>
      </c>
      <c r="AX32" s="102" t="str">
        <f t="shared" si="16"/>
        <v/>
      </c>
      <c r="AY32" s="135" t="str">
        <f t="shared" si="46"/>
        <v/>
      </c>
      <c r="AZ32" s="50" t="str">
        <f t="shared" si="17"/>
        <v>&lt;input type="checkbox" id="" name="" value="1" /&gt;</v>
      </c>
      <c r="BA32" s="105" t="str">
        <f t="shared" si="18"/>
        <v>&lt;br/&gt;&lt;textarea rows="2" cols="80" id=""&gt;&lt;/textarea&gt;&lt;br/&gt;</v>
      </c>
      <c r="BB32" s="50" t="str">
        <f t="shared" si="19"/>
        <v>&lt;input type="radio" name="EPS" id="" value="" /&gt;</v>
      </c>
      <c r="BC32" s="107" t="str">
        <f t="shared" si="20"/>
        <v>&lt;input type="text"  size="7"  id="" class="datepicker"/&gt;</v>
      </c>
      <c r="BD32" s="109" t="str">
        <f t="shared" si="47"/>
        <v/>
      </c>
      <c r="BE32" s="61" t="str">
        <f t="shared" si="21"/>
        <v/>
      </c>
      <c r="BF32" s="52">
        <f t="shared" si="83"/>
        <v>12</v>
      </c>
      <c r="BG32" s="61" t="str">
        <f t="shared" si="48"/>
        <v/>
      </c>
      <c r="BH32" s="102" t="str">
        <f t="shared" si="22"/>
        <v/>
      </c>
      <c r="BI32" s="105" t="str">
        <f t="shared" si="85"/>
        <v/>
      </c>
      <c r="BJ32" s="52" t="str">
        <f t="shared" si="49"/>
        <v/>
      </c>
      <c r="BK32" s="52">
        <f t="shared" si="50"/>
        <v>0</v>
      </c>
      <c r="BL32" s="52">
        <f t="shared" si="51"/>
        <v>2</v>
      </c>
      <c r="BM32" s="52" t="str">
        <f t="shared" si="77"/>
        <v/>
      </c>
      <c r="BN32" s="52" t="str">
        <f t="shared" si="24"/>
        <v/>
      </c>
      <c r="BO32" s="52" t="str">
        <f t="shared" si="78"/>
        <v/>
      </c>
      <c r="BP32" s="113" t="str">
        <f t="shared" si="52"/>
        <v/>
      </c>
      <c r="BQ32" s="52" t="str">
        <f t="shared" si="79"/>
        <v/>
      </c>
      <c r="BR32" s="52" t="str">
        <f t="shared" si="53"/>
        <v/>
      </c>
      <c r="BS32" s="52" t="str">
        <f t="shared" si="54"/>
        <v/>
      </c>
      <c r="BT32" s="52" t="str">
        <f t="shared" si="55"/>
        <v/>
      </c>
      <c r="BU32" s="52" t="str">
        <f t="shared" si="56"/>
        <v/>
      </c>
      <c r="BV32" s="102" t="str">
        <f t="shared" si="25"/>
        <v/>
      </c>
      <c r="BW32" s="116" t="str">
        <f t="shared" si="26"/>
        <v/>
      </c>
      <c r="BX32" s="61" t="str">
        <f t="shared" si="27"/>
        <v/>
      </c>
      <c r="BY32" s="52" t="str">
        <f t="shared" si="28"/>
        <v/>
      </c>
      <c r="BZ32" s="52" t="str">
        <f t="shared" si="29"/>
        <v/>
      </c>
      <c r="CA32" s="52" t="str">
        <f t="shared" si="57"/>
        <v/>
      </c>
      <c r="CB32" s="52" t="str">
        <f t="shared" si="30"/>
        <v/>
      </c>
      <c r="CC32" s="52" t="str">
        <f t="shared" si="31"/>
        <v/>
      </c>
      <c r="CD32" s="102" t="str">
        <f t="shared" si="32"/>
        <v/>
      </c>
      <c r="CE32" s="116" t="str">
        <f t="shared" si="33"/>
        <v/>
      </c>
      <c r="CF32" s="116" t="str">
        <f t="shared" si="92"/>
        <v/>
      </c>
      <c r="CG32" s="61" t="str">
        <f t="shared" si="35"/>
        <v/>
      </c>
      <c r="CH32" s="52">
        <f t="shared" si="80"/>
        <v>2</v>
      </c>
      <c r="CI32" s="61" t="str">
        <f t="shared" si="58"/>
        <v/>
      </c>
      <c r="CJ32" s="61" t="str">
        <f t="shared" si="59"/>
        <v/>
      </c>
      <c r="CK32" s="61" t="str">
        <f t="shared" si="60"/>
        <v/>
      </c>
      <c r="CL32" s="61" t="str">
        <f t="shared" si="36"/>
        <v/>
      </c>
      <c r="CM32" s="61" t="str">
        <f t="shared" si="37"/>
        <v/>
      </c>
      <c r="CN32" s="134" t="str">
        <f t="shared" si="86"/>
        <v/>
      </c>
      <c r="CO32" s="131" t="str">
        <f t="shared" si="84"/>
        <v/>
      </c>
      <c r="CP32" s="131" t="str">
        <f t="shared" si="61"/>
        <v/>
      </c>
      <c r="CQ32" s="131" t="str">
        <f t="shared" si="62"/>
        <v/>
      </c>
      <c r="CR32" s="116" t="str">
        <f t="shared" si="63"/>
        <v/>
      </c>
      <c r="CS32" s="116" t="str">
        <f t="shared" si="64"/>
        <v/>
      </c>
      <c r="CT32" s="116" t="str">
        <f t="shared" si="65"/>
        <v/>
      </c>
      <c r="CU32" s="52">
        <f t="shared" si="66"/>
        <v>0</v>
      </c>
      <c r="CV32" s="116" t="str">
        <f t="shared" si="67"/>
        <v/>
      </c>
      <c r="CW32" s="116" t="str">
        <f t="shared" si="68"/>
        <v/>
      </c>
      <c r="CX32" s="61" t="str">
        <f t="shared" si="69"/>
        <v/>
      </c>
      <c r="CY32" s="61" t="str">
        <f t="shared" si="70"/>
        <v/>
      </c>
      <c r="CZ32" s="61" t="str">
        <f t="shared" si="71"/>
        <v/>
      </c>
      <c r="DA32" s="116" t="str">
        <f t="shared" si="81"/>
        <v/>
      </c>
      <c r="DB32" s="6" t="str">
        <f t="shared" si="82"/>
        <v/>
      </c>
      <c r="DC32" s="61" t="str">
        <f t="shared" si="72"/>
        <v/>
      </c>
      <c r="DD32" s="131" t="str">
        <f t="shared" si="87"/>
        <v/>
      </c>
      <c r="DE32" s="131" t="str">
        <f t="shared" si="88"/>
        <v/>
      </c>
      <c r="DF32" s="61" t="str">
        <f t="shared" si="89"/>
        <v/>
      </c>
      <c r="DG32" s="116" t="str">
        <f t="shared" si="73"/>
        <v/>
      </c>
      <c r="DH32" s="116" t="str">
        <f t="shared" si="74"/>
        <v/>
      </c>
    </row>
    <row r="33" spans="2:112" s="17" customFormat="1">
      <c r="B33" s="126"/>
      <c r="C33" s="126"/>
      <c r="D33" s="127"/>
      <c r="E33" s="89" t="str">
        <f t="shared" si="90"/>
        <v/>
      </c>
      <c r="F33" s="126"/>
      <c r="G33" s="126"/>
      <c r="H33" s="126"/>
      <c r="I33" s="126"/>
      <c r="J33" s="121"/>
      <c r="K33" s="59"/>
      <c r="AC33" s="47" t="s">
        <v>212</v>
      </c>
      <c r="AD33" s="52" t="str">
        <f t="shared" si="1"/>
        <v/>
      </c>
      <c r="AE33" s="52">
        <f t="shared" si="2"/>
        <v>0</v>
      </c>
      <c r="AF33" s="52">
        <f t="shared" si="75"/>
        <v>6</v>
      </c>
      <c r="AG33" s="61" t="str">
        <f t="shared" si="3"/>
        <v/>
      </c>
      <c r="AH33" s="52">
        <f t="shared" si="4"/>
        <v>0</v>
      </c>
      <c r="AI33" s="52">
        <f t="shared" si="43"/>
        <v>7</v>
      </c>
      <c r="AJ33" s="52" t="str">
        <f t="shared" si="44"/>
        <v/>
      </c>
      <c r="AK33" s="61" t="str">
        <f t="shared" si="5"/>
        <v/>
      </c>
      <c r="AL33" s="95" t="str">
        <f t="shared" si="6"/>
        <v/>
      </c>
      <c r="AM33" s="61" t="str">
        <f t="shared" si="7"/>
        <v>if () {$("#adv_").html("Requierd");$("#").css({"background":"yellow"});} else {$("#adv_").html("");$("#").css({"background":"white"});}</v>
      </c>
      <c r="AN33" s="61" t="str">
        <f t="shared" si="8"/>
        <v>if (=="") {$("#adv_").html("Requierd");} else {$("#adv_").html("");}</v>
      </c>
      <c r="AO33" s="50" t="str">
        <f t="shared" si="9"/>
        <v/>
      </c>
      <c r="AP33" s="61" t="str">
        <f t="shared" si="10"/>
        <v>=$("#").val();</v>
      </c>
      <c r="AQ33" s="61" t="str">
        <f t="shared" si="45"/>
        <v/>
      </c>
      <c r="AR33" s="61" t="str">
        <f t="shared" si="11"/>
        <v>=document.getElementById("").checked;</v>
      </c>
      <c r="AS33" s="102" t="str">
        <f t="shared" si="12"/>
        <v>if (isset($_GET[''])) {$=($_GET['']);}else $='';</v>
      </c>
      <c r="AT33" s="52" t="str">
        <f t="shared" si="13"/>
        <v>EPS</v>
      </c>
      <c r="AU33" s="52" t="str">
        <f t="shared" si="14"/>
        <v>else if (document.getElementById("</v>
      </c>
      <c r="AV33" s="61" t="str">
        <f t="shared" si="15"/>
        <v>else if (document.getElementById("").checked==true) {EPS="";}</v>
      </c>
      <c r="AW33" s="61" t="str">
        <f t="shared" si="76"/>
        <v/>
      </c>
      <c r="AX33" s="102" t="str">
        <f t="shared" si="16"/>
        <v/>
      </c>
      <c r="AY33" s="135" t="str">
        <f t="shared" si="46"/>
        <v/>
      </c>
      <c r="AZ33" s="50" t="str">
        <f t="shared" si="17"/>
        <v>&lt;input type="checkbox" id="" name="" value="1" /&gt;</v>
      </c>
      <c r="BA33" s="105" t="str">
        <f t="shared" si="18"/>
        <v>&lt;br/&gt;&lt;textarea rows="2" cols="80" id=""&gt;&lt;/textarea&gt;&lt;br/&gt;</v>
      </c>
      <c r="BB33" s="50" t="str">
        <f t="shared" si="19"/>
        <v>&lt;input type="radio" name="EPS" id="" value="" /&gt;</v>
      </c>
      <c r="BC33" s="107" t="str">
        <f t="shared" si="20"/>
        <v>&lt;input type="text"  size="7"  id="" class="datepicker"/&gt;</v>
      </c>
      <c r="BD33" s="109" t="str">
        <f t="shared" si="47"/>
        <v/>
      </c>
      <c r="BE33" s="61" t="str">
        <f t="shared" si="21"/>
        <v/>
      </c>
      <c r="BF33" s="52">
        <f t="shared" si="83"/>
        <v>12</v>
      </c>
      <c r="BG33" s="61" t="str">
        <f t="shared" si="48"/>
        <v/>
      </c>
      <c r="BH33" s="102" t="str">
        <f t="shared" si="22"/>
        <v/>
      </c>
      <c r="BI33" s="105" t="str">
        <f t="shared" si="85"/>
        <v/>
      </c>
      <c r="BJ33" s="52" t="str">
        <f t="shared" si="49"/>
        <v/>
      </c>
      <c r="BK33" s="52">
        <f t="shared" si="50"/>
        <v>0</v>
      </c>
      <c r="BL33" s="52">
        <f t="shared" si="51"/>
        <v>2</v>
      </c>
      <c r="BM33" s="52" t="str">
        <f t="shared" si="77"/>
        <v/>
      </c>
      <c r="BN33" s="52" t="str">
        <f t="shared" si="24"/>
        <v/>
      </c>
      <c r="BO33" s="52" t="str">
        <f t="shared" si="78"/>
        <v/>
      </c>
      <c r="BP33" s="113" t="str">
        <f t="shared" si="52"/>
        <v/>
      </c>
      <c r="BQ33" s="52" t="str">
        <f t="shared" si="79"/>
        <v/>
      </c>
      <c r="BR33" s="52" t="str">
        <f t="shared" si="53"/>
        <v/>
      </c>
      <c r="BS33" s="52" t="str">
        <f t="shared" si="54"/>
        <v/>
      </c>
      <c r="BT33" s="52" t="str">
        <f t="shared" si="55"/>
        <v/>
      </c>
      <c r="BU33" s="52" t="str">
        <f t="shared" si="56"/>
        <v/>
      </c>
      <c r="BV33" s="102" t="str">
        <f t="shared" si="25"/>
        <v/>
      </c>
      <c r="BW33" s="116" t="str">
        <f t="shared" si="26"/>
        <v/>
      </c>
      <c r="BX33" s="61" t="str">
        <f t="shared" si="27"/>
        <v/>
      </c>
      <c r="BY33" s="52" t="str">
        <f t="shared" si="28"/>
        <v/>
      </c>
      <c r="BZ33" s="52" t="str">
        <f t="shared" si="29"/>
        <v/>
      </c>
      <c r="CA33" s="52" t="str">
        <f t="shared" si="57"/>
        <v/>
      </c>
      <c r="CB33" s="52" t="str">
        <f t="shared" si="30"/>
        <v/>
      </c>
      <c r="CC33" s="52" t="str">
        <f t="shared" si="31"/>
        <v/>
      </c>
      <c r="CD33" s="102" t="str">
        <f t="shared" si="32"/>
        <v/>
      </c>
      <c r="CE33" s="116" t="str">
        <f t="shared" si="33"/>
        <v/>
      </c>
      <c r="CF33" s="116" t="str">
        <f t="shared" si="92"/>
        <v/>
      </c>
      <c r="CG33" s="61" t="str">
        <f t="shared" si="35"/>
        <v/>
      </c>
      <c r="CH33" s="52">
        <f t="shared" si="80"/>
        <v>2</v>
      </c>
      <c r="CI33" s="61" t="str">
        <f t="shared" si="58"/>
        <v/>
      </c>
      <c r="CJ33" s="61" t="str">
        <f t="shared" si="59"/>
        <v/>
      </c>
      <c r="CK33" s="61" t="str">
        <f t="shared" si="60"/>
        <v/>
      </c>
      <c r="CL33" s="61" t="str">
        <f t="shared" si="36"/>
        <v/>
      </c>
      <c r="CM33" s="61" t="str">
        <f t="shared" si="37"/>
        <v/>
      </c>
      <c r="CN33" s="134" t="str">
        <f t="shared" si="86"/>
        <v/>
      </c>
      <c r="CO33" s="131" t="str">
        <f t="shared" si="84"/>
        <v/>
      </c>
      <c r="CP33" s="131" t="str">
        <f t="shared" si="61"/>
        <v/>
      </c>
      <c r="CQ33" s="131" t="str">
        <f t="shared" si="62"/>
        <v/>
      </c>
      <c r="CR33" s="116" t="str">
        <f t="shared" si="63"/>
        <v/>
      </c>
      <c r="CS33" s="116" t="str">
        <f t="shared" si="64"/>
        <v/>
      </c>
      <c r="CT33" s="116" t="str">
        <f t="shared" si="65"/>
        <v/>
      </c>
      <c r="CU33" s="52">
        <f t="shared" si="66"/>
        <v>0</v>
      </c>
      <c r="CV33" s="116" t="str">
        <f t="shared" si="67"/>
        <v/>
      </c>
      <c r="CW33" s="116" t="str">
        <f t="shared" si="68"/>
        <v/>
      </c>
      <c r="CX33" s="61" t="str">
        <f t="shared" si="69"/>
        <v/>
      </c>
      <c r="CY33" s="61" t="str">
        <f t="shared" si="70"/>
        <v/>
      </c>
      <c r="CZ33" s="61" t="str">
        <f t="shared" si="71"/>
        <v/>
      </c>
      <c r="DA33" s="116" t="str">
        <f t="shared" si="81"/>
        <v/>
      </c>
      <c r="DB33" s="6" t="str">
        <f t="shared" si="82"/>
        <v/>
      </c>
      <c r="DC33" s="61" t="str">
        <f t="shared" si="72"/>
        <v/>
      </c>
      <c r="DD33" s="131" t="str">
        <f t="shared" si="87"/>
        <v/>
      </c>
      <c r="DE33" s="131" t="str">
        <f t="shared" si="88"/>
        <v/>
      </c>
      <c r="DF33" s="61" t="str">
        <f t="shared" si="89"/>
        <v/>
      </c>
      <c r="DG33" s="116" t="str">
        <f t="shared" si="73"/>
        <v/>
      </c>
      <c r="DH33" s="116" t="str">
        <f t="shared" si="74"/>
        <v/>
      </c>
    </row>
    <row r="34" spans="2:112" s="17" customFormat="1">
      <c r="B34" s="126"/>
      <c r="C34" s="126"/>
      <c r="D34" s="127"/>
      <c r="E34" s="89" t="str">
        <f t="shared" si="90"/>
        <v/>
      </c>
      <c r="F34" s="126"/>
      <c r="G34" s="126"/>
      <c r="H34" s="126"/>
      <c r="I34" s="126"/>
      <c r="J34" s="121"/>
      <c r="K34" s="59"/>
      <c r="AC34" s="47" t="s">
        <v>213</v>
      </c>
      <c r="AD34" s="52" t="str">
        <f t="shared" si="1"/>
        <v/>
      </c>
      <c r="AE34" s="52">
        <f t="shared" si="2"/>
        <v>0</v>
      </c>
      <c r="AF34" s="52">
        <f t="shared" si="75"/>
        <v>6</v>
      </c>
      <c r="AG34" s="61" t="str">
        <f t="shared" si="3"/>
        <v/>
      </c>
      <c r="AH34" s="52">
        <f t="shared" si="4"/>
        <v>0</v>
      </c>
      <c r="AI34" s="52">
        <f t="shared" si="43"/>
        <v>7</v>
      </c>
      <c r="AJ34" s="52" t="str">
        <f t="shared" si="44"/>
        <v/>
      </c>
      <c r="AK34" s="61" t="str">
        <f t="shared" si="5"/>
        <v/>
      </c>
      <c r="AL34" s="95" t="str">
        <f t="shared" si="6"/>
        <v/>
      </c>
      <c r="AM34" s="61" t="str">
        <f t="shared" si="7"/>
        <v>if () {$("#adv_").html("Requierd");$("#").css({"background":"yellow"});} else {$("#adv_").html("");$("#").css({"background":"white"});}</v>
      </c>
      <c r="AN34" s="61" t="str">
        <f t="shared" si="8"/>
        <v>if (=="") {$("#adv_").html("Requierd");} else {$("#adv_").html("");}</v>
      </c>
      <c r="AO34" s="50" t="str">
        <f t="shared" si="9"/>
        <v/>
      </c>
      <c r="AP34" s="61" t="str">
        <f t="shared" si="10"/>
        <v>=$("#").val();</v>
      </c>
      <c r="AQ34" s="61" t="str">
        <f t="shared" si="45"/>
        <v/>
      </c>
      <c r="AR34" s="61" t="str">
        <f t="shared" si="11"/>
        <v>=document.getElementById("").checked;</v>
      </c>
      <c r="AS34" s="102" t="str">
        <f t="shared" si="12"/>
        <v>if (isset($_GET[''])) {$=($_GET['']);}else $='';</v>
      </c>
      <c r="AT34" s="52" t="str">
        <f t="shared" si="13"/>
        <v>EPS</v>
      </c>
      <c r="AU34" s="52" t="str">
        <f t="shared" si="14"/>
        <v>else if (document.getElementById("</v>
      </c>
      <c r="AV34" s="61" t="str">
        <f t="shared" si="15"/>
        <v>else if (document.getElementById("").checked==true) {EPS="";}</v>
      </c>
      <c r="AW34" s="61" t="str">
        <f t="shared" si="76"/>
        <v/>
      </c>
      <c r="AX34" s="102" t="str">
        <f t="shared" si="16"/>
        <v/>
      </c>
      <c r="AY34" s="135" t="str">
        <f t="shared" si="46"/>
        <v/>
      </c>
      <c r="AZ34" s="50" t="str">
        <f t="shared" si="17"/>
        <v>&lt;input type="checkbox" id="" name="" value="1" /&gt;</v>
      </c>
      <c r="BA34" s="105" t="str">
        <f t="shared" si="18"/>
        <v>&lt;br/&gt;&lt;textarea rows="2" cols="80" id=""&gt;&lt;/textarea&gt;&lt;br/&gt;</v>
      </c>
      <c r="BB34" s="50" t="str">
        <f t="shared" si="19"/>
        <v>&lt;input type="radio" name="EPS" id="" value="" /&gt;</v>
      </c>
      <c r="BC34" s="107" t="str">
        <f t="shared" si="20"/>
        <v>&lt;input type="text"  size="7"  id="" class="datepicker"/&gt;</v>
      </c>
      <c r="BD34" s="109" t="str">
        <f t="shared" si="47"/>
        <v/>
      </c>
      <c r="BE34" s="61" t="str">
        <f t="shared" si="21"/>
        <v/>
      </c>
      <c r="BF34" s="52">
        <f t="shared" si="83"/>
        <v>12</v>
      </c>
      <c r="BG34" s="61" t="str">
        <f t="shared" si="48"/>
        <v/>
      </c>
      <c r="BH34" s="102" t="str">
        <f t="shared" si="22"/>
        <v/>
      </c>
      <c r="BI34" s="105" t="str">
        <f t="shared" si="85"/>
        <v/>
      </c>
      <c r="BJ34" s="52" t="str">
        <f t="shared" si="49"/>
        <v/>
      </c>
      <c r="BK34" s="52">
        <f t="shared" si="50"/>
        <v>0</v>
      </c>
      <c r="BL34" s="52">
        <f t="shared" si="51"/>
        <v>2</v>
      </c>
      <c r="BM34" s="52" t="str">
        <f t="shared" si="77"/>
        <v/>
      </c>
      <c r="BN34" s="52" t="str">
        <f t="shared" si="24"/>
        <v/>
      </c>
      <c r="BO34" s="52" t="str">
        <f t="shared" si="78"/>
        <v/>
      </c>
      <c r="BP34" s="113" t="str">
        <f t="shared" si="52"/>
        <v/>
      </c>
      <c r="BQ34" s="52" t="str">
        <f t="shared" si="79"/>
        <v/>
      </c>
      <c r="BR34" s="52" t="str">
        <f t="shared" si="53"/>
        <v/>
      </c>
      <c r="BS34" s="52" t="str">
        <f t="shared" si="54"/>
        <v/>
      </c>
      <c r="BT34" s="52" t="str">
        <f t="shared" si="55"/>
        <v/>
      </c>
      <c r="BU34" s="52" t="str">
        <f t="shared" si="56"/>
        <v/>
      </c>
      <c r="BV34" s="102" t="str">
        <f t="shared" si="25"/>
        <v/>
      </c>
      <c r="BW34" s="116" t="str">
        <f t="shared" si="26"/>
        <v/>
      </c>
      <c r="BX34" s="61" t="str">
        <f t="shared" si="27"/>
        <v/>
      </c>
      <c r="BY34" s="52" t="str">
        <f t="shared" si="28"/>
        <v/>
      </c>
      <c r="BZ34" s="52" t="str">
        <f t="shared" si="29"/>
        <v/>
      </c>
      <c r="CA34" s="52" t="str">
        <f t="shared" si="57"/>
        <v/>
      </c>
      <c r="CB34" s="52" t="str">
        <f t="shared" si="30"/>
        <v/>
      </c>
      <c r="CC34" s="52" t="str">
        <f t="shared" si="31"/>
        <v/>
      </c>
      <c r="CD34" s="102" t="str">
        <f t="shared" si="32"/>
        <v/>
      </c>
      <c r="CE34" s="116" t="str">
        <f t="shared" si="33"/>
        <v/>
      </c>
      <c r="CF34" s="116" t="str">
        <f t="shared" si="92"/>
        <v/>
      </c>
      <c r="CG34" s="61" t="str">
        <f t="shared" si="35"/>
        <v/>
      </c>
      <c r="CH34" s="52">
        <f t="shared" si="80"/>
        <v>2</v>
      </c>
      <c r="CI34" s="61" t="str">
        <f t="shared" si="58"/>
        <v/>
      </c>
      <c r="CJ34" s="61" t="str">
        <f t="shared" si="59"/>
        <v/>
      </c>
      <c r="CK34" s="61" t="str">
        <f t="shared" si="60"/>
        <v/>
      </c>
      <c r="CL34" s="61" t="str">
        <f t="shared" si="36"/>
        <v/>
      </c>
      <c r="CM34" s="61" t="str">
        <f t="shared" si="37"/>
        <v/>
      </c>
      <c r="CN34" s="134" t="str">
        <f t="shared" si="86"/>
        <v/>
      </c>
      <c r="CO34" s="131" t="str">
        <f t="shared" si="84"/>
        <v/>
      </c>
      <c r="CP34" s="131" t="str">
        <f t="shared" si="61"/>
        <v/>
      </c>
      <c r="CQ34" s="131" t="str">
        <f t="shared" si="62"/>
        <v/>
      </c>
      <c r="CR34" s="116" t="str">
        <f t="shared" si="63"/>
        <v/>
      </c>
      <c r="CS34" s="116" t="str">
        <f t="shared" si="64"/>
        <v/>
      </c>
      <c r="CT34" s="116" t="str">
        <f t="shared" si="65"/>
        <v/>
      </c>
      <c r="CU34" s="52">
        <f t="shared" si="66"/>
        <v>0</v>
      </c>
      <c r="CV34" s="116" t="str">
        <f t="shared" si="67"/>
        <v/>
      </c>
      <c r="CW34" s="116" t="str">
        <f t="shared" si="68"/>
        <v/>
      </c>
      <c r="CX34" s="61" t="str">
        <f t="shared" si="69"/>
        <v/>
      </c>
      <c r="CY34" s="61" t="str">
        <f t="shared" si="70"/>
        <v/>
      </c>
      <c r="CZ34" s="61" t="str">
        <f t="shared" si="71"/>
        <v/>
      </c>
      <c r="DA34" s="116" t="str">
        <f t="shared" si="81"/>
        <v/>
      </c>
      <c r="DB34" s="6" t="str">
        <f t="shared" si="82"/>
        <v/>
      </c>
      <c r="DC34" s="61" t="str">
        <f t="shared" si="72"/>
        <v/>
      </c>
      <c r="DD34" s="131" t="str">
        <f t="shared" si="87"/>
        <v/>
      </c>
      <c r="DE34" s="131" t="str">
        <f t="shared" si="88"/>
        <v/>
      </c>
      <c r="DF34" s="61" t="str">
        <f t="shared" si="89"/>
        <v/>
      </c>
      <c r="DG34" s="116" t="str">
        <f t="shared" si="73"/>
        <v/>
      </c>
      <c r="DH34" s="116" t="str">
        <f t="shared" si="74"/>
        <v/>
      </c>
    </row>
    <row r="35" spans="2:112" s="17" customFormat="1">
      <c r="B35" s="126"/>
      <c r="C35" s="126"/>
      <c r="D35" s="127"/>
      <c r="E35" s="89" t="str">
        <f t="shared" si="90"/>
        <v/>
      </c>
      <c r="F35" s="126"/>
      <c r="G35" s="126"/>
      <c r="H35" s="126"/>
      <c r="I35" s="126"/>
      <c r="J35" s="121"/>
      <c r="K35" s="59"/>
      <c r="AC35" s="47" t="s">
        <v>214</v>
      </c>
      <c r="AD35" s="52" t="str">
        <f t="shared" si="1"/>
        <v/>
      </c>
      <c r="AE35" s="52">
        <f t="shared" si="2"/>
        <v>0</v>
      </c>
      <c r="AF35" s="52">
        <f t="shared" si="75"/>
        <v>6</v>
      </c>
      <c r="AG35" s="61" t="str">
        <f t="shared" si="3"/>
        <v/>
      </c>
      <c r="AH35" s="52">
        <f t="shared" si="4"/>
        <v>0</v>
      </c>
      <c r="AI35" s="52">
        <f t="shared" si="43"/>
        <v>7</v>
      </c>
      <c r="AJ35" s="52" t="str">
        <f t="shared" si="44"/>
        <v/>
      </c>
      <c r="AK35" s="61" t="str">
        <f t="shared" si="5"/>
        <v/>
      </c>
      <c r="AL35" s="95" t="str">
        <f t="shared" si="6"/>
        <v/>
      </c>
      <c r="AM35" s="61" t="str">
        <f t="shared" si="7"/>
        <v>if () {$("#adv_").html("Requierd");$("#").css({"background":"yellow"});} else {$("#adv_").html("");$("#").css({"background":"white"});}</v>
      </c>
      <c r="AN35" s="61" t="str">
        <f t="shared" si="8"/>
        <v>if (=="") {$("#adv_").html("Requierd");} else {$("#adv_").html("");}</v>
      </c>
      <c r="AO35" s="50" t="str">
        <f t="shared" si="9"/>
        <v/>
      </c>
      <c r="AP35" s="61" t="str">
        <f t="shared" si="10"/>
        <v>=$("#").val();</v>
      </c>
      <c r="AQ35" s="61" t="str">
        <f t="shared" si="45"/>
        <v/>
      </c>
      <c r="AR35" s="61" t="str">
        <f t="shared" si="11"/>
        <v>=document.getElementById("").checked;</v>
      </c>
      <c r="AS35" s="102" t="str">
        <f t="shared" si="12"/>
        <v>if (isset($_GET[''])) {$=($_GET['']);}else $='';</v>
      </c>
      <c r="AT35" s="52" t="str">
        <f t="shared" si="13"/>
        <v>EPS</v>
      </c>
      <c r="AU35" s="52" t="str">
        <f t="shared" si="14"/>
        <v>else if (document.getElementById("</v>
      </c>
      <c r="AV35" s="61" t="str">
        <f t="shared" si="15"/>
        <v>else if (document.getElementById("").checked==true) {EPS="";}</v>
      </c>
      <c r="AW35" s="61" t="str">
        <f t="shared" si="76"/>
        <v/>
      </c>
      <c r="AX35" s="102" t="str">
        <f t="shared" si="16"/>
        <v/>
      </c>
      <c r="AY35" s="135" t="str">
        <f t="shared" si="46"/>
        <v/>
      </c>
      <c r="AZ35" s="50" t="str">
        <f t="shared" si="17"/>
        <v>&lt;input type="checkbox" id="" name="" value="1" /&gt;</v>
      </c>
      <c r="BA35" s="105" t="str">
        <f t="shared" si="18"/>
        <v>&lt;br/&gt;&lt;textarea rows="2" cols="80" id=""&gt;&lt;/textarea&gt;&lt;br/&gt;</v>
      </c>
      <c r="BB35" s="50" t="str">
        <f t="shared" si="19"/>
        <v>&lt;input type="radio" name="EPS" id="" value="" /&gt;</v>
      </c>
      <c r="BC35" s="107" t="str">
        <f t="shared" si="20"/>
        <v>&lt;input type="text"  size="7"  id="" class="datepicker"/&gt;</v>
      </c>
      <c r="BD35" s="109" t="str">
        <f t="shared" si="47"/>
        <v/>
      </c>
      <c r="BE35" s="61" t="str">
        <f t="shared" si="21"/>
        <v/>
      </c>
      <c r="BF35" s="52">
        <f t="shared" si="83"/>
        <v>12</v>
      </c>
      <c r="BG35" s="61" t="str">
        <f t="shared" si="48"/>
        <v/>
      </c>
      <c r="BH35" s="102" t="str">
        <f t="shared" si="22"/>
        <v/>
      </c>
      <c r="BI35" s="105" t="str">
        <f t="shared" si="85"/>
        <v/>
      </c>
      <c r="BJ35" s="52" t="str">
        <f t="shared" si="49"/>
        <v/>
      </c>
      <c r="BK35" s="52">
        <f t="shared" si="50"/>
        <v>0</v>
      </c>
      <c r="BL35" s="52">
        <f t="shared" si="51"/>
        <v>2</v>
      </c>
      <c r="BM35" s="52" t="str">
        <f t="shared" si="77"/>
        <v/>
      </c>
      <c r="BN35" s="52" t="str">
        <f t="shared" si="24"/>
        <v/>
      </c>
      <c r="BO35" s="52" t="str">
        <f t="shared" si="78"/>
        <v/>
      </c>
      <c r="BP35" s="113" t="str">
        <f t="shared" si="52"/>
        <v/>
      </c>
      <c r="BQ35" s="52" t="str">
        <f t="shared" si="79"/>
        <v/>
      </c>
      <c r="BR35" s="52" t="str">
        <f t="shared" si="53"/>
        <v/>
      </c>
      <c r="BS35" s="52" t="str">
        <f t="shared" si="54"/>
        <v/>
      </c>
      <c r="BT35" s="52" t="str">
        <f t="shared" si="55"/>
        <v/>
      </c>
      <c r="BU35" s="52" t="str">
        <f t="shared" si="56"/>
        <v/>
      </c>
      <c r="BV35" s="102" t="str">
        <f t="shared" si="25"/>
        <v/>
      </c>
      <c r="BW35" s="116" t="str">
        <f t="shared" si="26"/>
        <v/>
      </c>
      <c r="BX35" s="61" t="str">
        <f t="shared" si="27"/>
        <v/>
      </c>
      <c r="BY35" s="52" t="str">
        <f t="shared" si="28"/>
        <v/>
      </c>
      <c r="BZ35" s="52" t="str">
        <f t="shared" si="29"/>
        <v/>
      </c>
      <c r="CA35" s="52" t="str">
        <f t="shared" si="57"/>
        <v/>
      </c>
      <c r="CB35" s="52" t="str">
        <f t="shared" si="30"/>
        <v/>
      </c>
      <c r="CC35" s="52" t="str">
        <f t="shared" si="31"/>
        <v/>
      </c>
      <c r="CD35" s="102" t="str">
        <f t="shared" si="32"/>
        <v/>
      </c>
      <c r="CE35" s="116" t="str">
        <f t="shared" si="33"/>
        <v/>
      </c>
      <c r="CF35" s="116" t="str">
        <f t="shared" si="92"/>
        <v/>
      </c>
      <c r="CG35" s="61" t="str">
        <f t="shared" si="35"/>
        <v/>
      </c>
      <c r="CH35" s="52">
        <f t="shared" si="80"/>
        <v>2</v>
      </c>
      <c r="CI35" s="61" t="str">
        <f t="shared" si="58"/>
        <v/>
      </c>
      <c r="CJ35" s="61" t="str">
        <f t="shared" si="59"/>
        <v/>
      </c>
      <c r="CK35" s="61" t="str">
        <f t="shared" si="60"/>
        <v/>
      </c>
      <c r="CL35" s="61" t="str">
        <f t="shared" si="36"/>
        <v/>
      </c>
      <c r="CM35" s="61" t="str">
        <f t="shared" si="37"/>
        <v/>
      </c>
      <c r="CN35" s="134" t="str">
        <f t="shared" si="86"/>
        <v/>
      </c>
      <c r="CO35" s="131" t="str">
        <f t="shared" si="84"/>
        <v/>
      </c>
      <c r="CP35" s="131" t="str">
        <f t="shared" si="61"/>
        <v/>
      </c>
      <c r="CQ35" s="131" t="str">
        <f t="shared" si="62"/>
        <v/>
      </c>
      <c r="CR35" s="116" t="str">
        <f t="shared" si="63"/>
        <v/>
      </c>
      <c r="CS35" s="116" t="str">
        <f t="shared" si="64"/>
        <v/>
      </c>
      <c r="CT35" s="116" t="str">
        <f t="shared" si="65"/>
        <v/>
      </c>
      <c r="CU35" s="52">
        <f t="shared" si="66"/>
        <v>0</v>
      </c>
      <c r="CV35" s="116" t="str">
        <f t="shared" si="67"/>
        <v/>
      </c>
      <c r="CW35" s="116" t="str">
        <f t="shared" si="68"/>
        <v/>
      </c>
      <c r="CX35" s="61" t="str">
        <f t="shared" si="69"/>
        <v/>
      </c>
      <c r="CY35" s="61" t="str">
        <f t="shared" si="70"/>
        <v/>
      </c>
      <c r="CZ35" s="61" t="str">
        <f t="shared" si="71"/>
        <v/>
      </c>
      <c r="DA35" s="116" t="str">
        <f t="shared" si="81"/>
        <v/>
      </c>
      <c r="DB35" s="6" t="str">
        <f t="shared" si="82"/>
        <v/>
      </c>
      <c r="DC35" s="61" t="str">
        <f t="shared" si="72"/>
        <v/>
      </c>
      <c r="DD35" s="131" t="str">
        <f t="shared" si="87"/>
        <v/>
      </c>
      <c r="DE35" s="131" t="str">
        <f t="shared" si="88"/>
        <v/>
      </c>
      <c r="DF35" s="61" t="str">
        <f t="shared" si="89"/>
        <v/>
      </c>
      <c r="DG35" s="116" t="str">
        <f t="shared" si="73"/>
        <v/>
      </c>
      <c r="DH35" s="116" t="str">
        <f t="shared" si="74"/>
        <v/>
      </c>
    </row>
    <row r="36" spans="2:112" s="17" customFormat="1" hidden="1">
      <c r="B36" s="35"/>
      <c r="C36" s="35"/>
      <c r="D36" s="36"/>
      <c r="E36" s="35"/>
      <c r="F36" s="35"/>
      <c r="G36" s="35"/>
      <c r="H36" s="35"/>
      <c r="I36" s="35"/>
      <c r="J36" s="121"/>
      <c r="K36" s="59"/>
      <c r="AC36" s="47" t="s">
        <v>215</v>
      </c>
      <c r="AD36" s="52" t="str">
        <f t="shared" si="1"/>
        <v/>
      </c>
      <c r="AE36" s="52">
        <f t="shared" si="2"/>
        <v>0</v>
      </c>
      <c r="AF36" s="52">
        <f t="shared" si="75"/>
        <v>6</v>
      </c>
      <c r="AG36" s="61" t="str">
        <f t="shared" si="3"/>
        <v/>
      </c>
      <c r="AH36" s="52">
        <f t="shared" si="4"/>
        <v>0</v>
      </c>
      <c r="AI36" s="52">
        <f t="shared" si="43"/>
        <v>7</v>
      </c>
      <c r="AJ36" s="52" t="str">
        <f t="shared" si="44"/>
        <v/>
      </c>
      <c r="AK36" s="61" t="str">
        <f t="shared" si="5"/>
        <v/>
      </c>
      <c r="AL36" s="95" t="str">
        <f t="shared" si="6"/>
        <v/>
      </c>
      <c r="AM36" s="61" t="str">
        <f t="shared" si="7"/>
        <v>if () {$("#adv_").html("Requierd");$("#").css({"background":"yellow"});} else {$("#adv_").html("");$("#").css({"background":"white"});}</v>
      </c>
      <c r="AN36" s="61" t="str">
        <f t="shared" si="8"/>
        <v>if (=="") {$("#adv_").html("Requierd");} else {$("#adv_").html("");}</v>
      </c>
      <c r="AO36" s="50" t="str">
        <f t="shared" si="9"/>
        <v/>
      </c>
      <c r="AP36" s="61" t="str">
        <f t="shared" si="10"/>
        <v>=$("#").val();</v>
      </c>
      <c r="AQ36" s="61" t="str">
        <f t="shared" si="45"/>
        <v/>
      </c>
      <c r="AR36" s="61" t="str">
        <f t="shared" si="11"/>
        <v>=document.getElementById("").checked;</v>
      </c>
      <c r="AS36" s="102" t="str">
        <f t="shared" si="12"/>
        <v>if (isset($_GET[''])) {$=($_GET['']);}else $='';</v>
      </c>
      <c r="AT36" s="52" t="str">
        <f t="shared" si="13"/>
        <v>EPS</v>
      </c>
      <c r="AU36" s="52" t="str">
        <f t="shared" si="14"/>
        <v>else if (document.getElementById("</v>
      </c>
      <c r="AV36" s="61" t="str">
        <f t="shared" si="15"/>
        <v>else if (document.getElementById("").checked==true) {EPS="";}</v>
      </c>
      <c r="AW36" s="61" t="str">
        <f t="shared" ref="AW36:AW47" si="93">IF(AY36="","",","&amp;AY36&amp;LEFT(AY36,LEN(AY36)-1))</f>
        <v/>
      </c>
      <c r="AX36" s="102" t="str">
        <f t="shared" si="16"/>
        <v/>
      </c>
      <c r="AY36" s="135" t="str">
        <f t="shared" si="46"/>
        <v/>
      </c>
      <c r="AZ36" s="50" t="str">
        <f t="shared" si="17"/>
        <v>&lt;input type="checkbox" id="" name="" value="1" /&gt;</v>
      </c>
      <c r="BA36" s="105" t="str">
        <f t="shared" si="18"/>
        <v>&lt;br/&gt;&lt;textarea rows="2" cols="80" id=""&gt;&lt;/textarea&gt;&lt;br/&gt;</v>
      </c>
      <c r="BB36" s="50" t="str">
        <f t="shared" si="19"/>
        <v>&lt;input type="radio" name="EPS" id="" value="" /&gt;</v>
      </c>
      <c r="BC36" s="107" t="str">
        <f t="shared" si="20"/>
        <v>&lt;input type="text"  size="7"  id="" class="datepicker"/&gt;</v>
      </c>
      <c r="BD36" s="109" t="str">
        <f t="shared" si="47"/>
        <v/>
      </c>
      <c r="BE36" s="61" t="str">
        <f t="shared" si="21"/>
        <v/>
      </c>
      <c r="BF36" s="52">
        <f t="shared" si="83"/>
        <v>12</v>
      </c>
      <c r="BG36" s="61" t="str">
        <f t="shared" si="48"/>
        <v/>
      </c>
      <c r="BH36" s="102" t="str">
        <f t="shared" si="22"/>
        <v/>
      </c>
      <c r="BI36" s="105" t="str">
        <f t="shared" si="85"/>
        <v/>
      </c>
      <c r="BJ36" s="52" t="str">
        <f t="shared" si="49"/>
        <v/>
      </c>
      <c r="BK36" s="52">
        <f t="shared" si="50"/>
        <v>0</v>
      </c>
      <c r="BL36" s="52">
        <f t="shared" si="51"/>
        <v>2</v>
      </c>
      <c r="BM36" s="52" t="str">
        <f t="shared" si="77"/>
        <v/>
      </c>
      <c r="BN36" s="52" t="str">
        <f t="shared" si="24"/>
        <v/>
      </c>
      <c r="BO36" s="52" t="str">
        <f t="shared" ref="BO36:BO79" si="94">+IF(BP36="","",",")</f>
        <v/>
      </c>
      <c r="BP36" s="113" t="str">
        <f t="shared" si="52"/>
        <v/>
      </c>
      <c r="BQ36" s="52" t="str">
        <f t="shared" si="79"/>
        <v/>
      </c>
      <c r="BR36" s="52" t="str">
        <f t="shared" si="53"/>
        <v/>
      </c>
      <c r="BS36" s="52" t="str">
        <f t="shared" si="54"/>
        <v/>
      </c>
      <c r="BT36" s="52" t="str">
        <f t="shared" si="55"/>
        <v/>
      </c>
      <c r="BU36" s="52" t="str">
        <f t="shared" si="56"/>
        <v/>
      </c>
      <c r="BV36" s="102" t="str">
        <f t="shared" si="25"/>
        <v/>
      </c>
      <c r="BW36" s="116" t="str">
        <f t="shared" si="26"/>
        <v/>
      </c>
      <c r="BX36" s="61" t="str">
        <f t="shared" si="27"/>
        <v/>
      </c>
      <c r="BY36" s="52" t="str">
        <f t="shared" si="28"/>
        <v/>
      </c>
      <c r="BZ36" s="52" t="str">
        <f t="shared" si="29"/>
        <v/>
      </c>
      <c r="CA36" s="52" t="str">
        <f t="shared" si="57"/>
        <v/>
      </c>
      <c r="CB36" s="52" t="str">
        <f t="shared" si="30"/>
        <v/>
      </c>
      <c r="CC36" s="52" t="str">
        <f t="shared" si="31"/>
        <v/>
      </c>
      <c r="CD36" s="102" t="str">
        <f t="shared" si="32"/>
        <v/>
      </c>
      <c r="CE36" s="116" t="str">
        <f t="shared" si="33"/>
        <v/>
      </c>
      <c r="CF36" s="116" t="str">
        <f t="shared" si="92"/>
        <v/>
      </c>
      <c r="CG36" s="61" t="str">
        <f t="shared" si="35"/>
        <v/>
      </c>
      <c r="CH36" s="52">
        <f t="shared" si="80"/>
        <v>2</v>
      </c>
      <c r="CI36" s="61" t="str">
        <f t="shared" si="58"/>
        <v/>
      </c>
      <c r="CJ36" s="61" t="str">
        <f t="shared" si="59"/>
        <v/>
      </c>
      <c r="CK36" s="61" t="str">
        <f t="shared" si="60"/>
        <v/>
      </c>
      <c r="CL36" s="61" t="str">
        <f t="shared" si="36"/>
        <v/>
      </c>
      <c r="CM36" s="61" t="str">
        <f t="shared" si="37"/>
        <v/>
      </c>
      <c r="CN36" s="134" t="str">
        <f t="shared" si="86"/>
        <v/>
      </c>
      <c r="CO36" s="131" t="str">
        <f t="shared" si="84"/>
        <v/>
      </c>
      <c r="CP36" s="131" t="str">
        <f t="shared" si="61"/>
        <v/>
      </c>
      <c r="CQ36" s="131" t="str">
        <f t="shared" si="62"/>
        <v/>
      </c>
      <c r="CR36" s="116" t="str">
        <f t="shared" si="63"/>
        <v/>
      </c>
      <c r="CS36" s="116" t="str">
        <f t="shared" si="64"/>
        <v/>
      </c>
      <c r="CT36" s="116" t="str">
        <f t="shared" si="65"/>
        <v/>
      </c>
      <c r="CU36" s="52">
        <f t="shared" si="66"/>
        <v>0</v>
      </c>
      <c r="CV36" s="116" t="str">
        <f t="shared" si="67"/>
        <v/>
      </c>
      <c r="CW36" s="116" t="str">
        <f t="shared" si="68"/>
        <v/>
      </c>
      <c r="CX36" s="61" t="str">
        <f t="shared" si="69"/>
        <v/>
      </c>
      <c r="CY36" s="61" t="str">
        <f t="shared" si="70"/>
        <v/>
      </c>
      <c r="CZ36" s="61" t="str">
        <f t="shared" si="71"/>
        <v/>
      </c>
      <c r="DA36" s="116" t="str">
        <f t="shared" ref="DA36:DA79" si="95">IF(J36="si",$H$2&amp;$O$22&amp;BP36&amp;$H$4,"")</f>
        <v/>
      </c>
      <c r="DB36" s="6" t="str">
        <f t="shared" si="82"/>
        <v/>
      </c>
      <c r="DC36" s="61" t="str">
        <f t="shared" si="72"/>
        <v/>
      </c>
      <c r="DD36" s="131" t="str">
        <f t="shared" si="87"/>
        <v/>
      </c>
      <c r="DE36" s="131" t="str">
        <f t="shared" si="88"/>
        <v/>
      </c>
      <c r="DF36" s="61" t="str">
        <f t="shared" si="89"/>
        <v/>
      </c>
      <c r="DG36" s="116" t="str">
        <f t="shared" si="73"/>
        <v/>
      </c>
      <c r="DH36" s="116" t="str">
        <f t="shared" si="74"/>
        <v/>
      </c>
    </row>
    <row r="37" spans="2:112" s="17" customFormat="1" hidden="1">
      <c r="B37" s="35"/>
      <c r="C37" s="35"/>
      <c r="D37" s="36"/>
      <c r="E37" s="35"/>
      <c r="F37" s="35"/>
      <c r="G37" s="35"/>
      <c r="H37" s="35"/>
      <c r="I37" s="35"/>
      <c r="J37" s="121"/>
      <c r="K37" s="59"/>
      <c r="AC37" s="47" t="s">
        <v>216</v>
      </c>
      <c r="AD37" s="52" t="str">
        <f t="shared" si="1"/>
        <v/>
      </c>
      <c r="AE37" s="52">
        <f t="shared" si="2"/>
        <v>0</v>
      </c>
      <c r="AF37" s="52">
        <f t="shared" si="75"/>
        <v>6</v>
      </c>
      <c r="AG37" s="61" t="str">
        <f t="shared" si="3"/>
        <v/>
      </c>
      <c r="AH37" s="52">
        <f t="shared" si="4"/>
        <v>0</v>
      </c>
      <c r="AI37" s="52">
        <f t="shared" si="43"/>
        <v>7</v>
      </c>
      <c r="AJ37" s="52" t="str">
        <f t="shared" si="44"/>
        <v/>
      </c>
      <c r="AK37" s="61" t="str">
        <f t="shared" si="5"/>
        <v/>
      </c>
      <c r="AL37" s="95" t="str">
        <f t="shared" si="6"/>
        <v/>
      </c>
      <c r="AM37" s="61" t="str">
        <f t="shared" si="7"/>
        <v>if () {$("#adv_").html("Requierd");$("#").css({"background":"yellow"});} else {$("#adv_").html("");$("#").css({"background":"white"});}</v>
      </c>
      <c r="AN37" s="61" t="str">
        <f t="shared" si="8"/>
        <v>if (=="") {$("#adv_").html("Requierd");} else {$("#adv_").html("");}</v>
      </c>
      <c r="AO37" s="50" t="str">
        <f t="shared" si="9"/>
        <v/>
      </c>
      <c r="AP37" s="61" t="str">
        <f t="shared" si="10"/>
        <v>=$("#").val();</v>
      </c>
      <c r="AQ37" s="61" t="str">
        <f t="shared" si="45"/>
        <v/>
      </c>
      <c r="AR37" s="61" t="str">
        <f t="shared" si="11"/>
        <v>=document.getElementById("").checked;</v>
      </c>
      <c r="AS37" s="102" t="str">
        <f t="shared" si="12"/>
        <v>if (isset($_GET[''])) {$=($_GET['']);}else $='';</v>
      </c>
      <c r="AT37" s="52" t="str">
        <f t="shared" si="13"/>
        <v>EPS</v>
      </c>
      <c r="AU37" s="52" t="str">
        <f t="shared" si="14"/>
        <v>else if (document.getElementById("</v>
      </c>
      <c r="AV37" s="61" t="str">
        <f t="shared" si="15"/>
        <v>else if (document.getElementById("").checked==true) {EPS="";}</v>
      </c>
      <c r="AW37" s="61" t="str">
        <f t="shared" si="93"/>
        <v/>
      </c>
      <c r="AX37" s="102" t="str">
        <f t="shared" si="16"/>
        <v/>
      </c>
      <c r="AY37" s="135" t="str">
        <f t="shared" si="46"/>
        <v/>
      </c>
      <c r="AZ37" s="50" t="str">
        <f t="shared" si="17"/>
        <v>&lt;input type="checkbox" id="" name="" value="1" /&gt;</v>
      </c>
      <c r="BA37" s="105" t="str">
        <f t="shared" si="18"/>
        <v>&lt;br/&gt;&lt;textarea rows="2" cols="80" id=""&gt;&lt;/textarea&gt;&lt;br/&gt;</v>
      </c>
      <c r="BB37" s="50" t="str">
        <f t="shared" si="19"/>
        <v>&lt;input type="radio" name="EPS" id="" value="" /&gt;</v>
      </c>
      <c r="BC37" s="107" t="str">
        <f t="shared" si="20"/>
        <v>&lt;input type="text"  size="7"  id="" class="datepicker"/&gt;</v>
      </c>
      <c r="BD37" s="109" t="str">
        <f t="shared" si="47"/>
        <v/>
      </c>
      <c r="BE37" s="61" t="str">
        <f t="shared" si="21"/>
        <v/>
      </c>
      <c r="BF37" s="52">
        <f t="shared" si="83"/>
        <v>12</v>
      </c>
      <c r="BG37" s="61" t="str">
        <f t="shared" si="48"/>
        <v/>
      </c>
      <c r="BH37" s="102" t="str">
        <f t="shared" si="22"/>
        <v/>
      </c>
      <c r="BI37" s="105" t="str">
        <f t="shared" si="85"/>
        <v/>
      </c>
      <c r="BJ37" s="52" t="str">
        <f t="shared" si="49"/>
        <v/>
      </c>
      <c r="BK37" s="52">
        <f t="shared" si="50"/>
        <v>0</v>
      </c>
      <c r="BL37" s="52">
        <f t="shared" si="51"/>
        <v>2</v>
      </c>
      <c r="BM37" s="52" t="str">
        <f t="shared" si="77"/>
        <v/>
      </c>
      <c r="BN37" s="52" t="str">
        <f t="shared" si="24"/>
        <v/>
      </c>
      <c r="BO37" s="52" t="str">
        <f t="shared" si="94"/>
        <v/>
      </c>
      <c r="BP37" s="113" t="str">
        <f t="shared" si="52"/>
        <v/>
      </c>
      <c r="BQ37" s="52" t="str">
        <f t="shared" si="79"/>
        <v/>
      </c>
      <c r="BR37" s="52" t="str">
        <f t="shared" si="53"/>
        <v/>
      </c>
      <c r="BS37" s="52" t="str">
        <f t="shared" si="54"/>
        <v/>
      </c>
      <c r="BT37" s="52" t="str">
        <f t="shared" si="55"/>
        <v/>
      </c>
      <c r="BU37" s="52" t="str">
        <f t="shared" si="56"/>
        <v/>
      </c>
      <c r="BV37" s="102" t="str">
        <f t="shared" si="25"/>
        <v/>
      </c>
      <c r="BW37" s="116" t="str">
        <f t="shared" si="26"/>
        <v/>
      </c>
      <c r="BX37" s="61" t="str">
        <f t="shared" si="27"/>
        <v/>
      </c>
      <c r="BY37" s="52" t="str">
        <f t="shared" si="28"/>
        <v/>
      </c>
      <c r="BZ37" s="52" t="str">
        <f t="shared" si="29"/>
        <v/>
      </c>
      <c r="CA37" s="52" t="str">
        <f t="shared" si="57"/>
        <v/>
      </c>
      <c r="CB37" s="52" t="str">
        <f t="shared" si="30"/>
        <v/>
      </c>
      <c r="CC37" s="52" t="str">
        <f t="shared" si="31"/>
        <v/>
      </c>
      <c r="CD37" s="102" t="str">
        <f t="shared" si="32"/>
        <v/>
      </c>
      <c r="CE37" s="116" t="str">
        <f t="shared" si="33"/>
        <v/>
      </c>
      <c r="CF37" s="116" t="str">
        <f t="shared" si="92"/>
        <v/>
      </c>
      <c r="CG37" s="61" t="str">
        <f t="shared" si="35"/>
        <v/>
      </c>
      <c r="CH37" s="52">
        <f t="shared" si="80"/>
        <v>2</v>
      </c>
      <c r="CI37" s="61" t="str">
        <f t="shared" si="58"/>
        <v/>
      </c>
      <c r="CJ37" s="61" t="str">
        <f t="shared" si="59"/>
        <v/>
      </c>
      <c r="CK37" s="61" t="str">
        <f t="shared" si="60"/>
        <v/>
      </c>
      <c r="CL37" s="61" t="str">
        <f t="shared" si="36"/>
        <v/>
      </c>
      <c r="CM37" s="61" t="str">
        <f t="shared" si="37"/>
        <v/>
      </c>
      <c r="CN37" s="134" t="str">
        <f t="shared" si="86"/>
        <v/>
      </c>
      <c r="CO37" s="131" t="str">
        <f t="shared" si="84"/>
        <v/>
      </c>
      <c r="CP37" s="131" t="str">
        <f t="shared" si="61"/>
        <v/>
      </c>
      <c r="CQ37" s="131" t="str">
        <f t="shared" si="62"/>
        <v/>
      </c>
      <c r="CR37" s="116" t="str">
        <f t="shared" si="63"/>
        <v/>
      </c>
      <c r="CS37" s="116" t="str">
        <f t="shared" si="64"/>
        <v/>
      </c>
      <c r="CT37" s="116" t="str">
        <f t="shared" si="65"/>
        <v/>
      </c>
      <c r="CU37" s="52">
        <f t="shared" si="66"/>
        <v>0</v>
      </c>
      <c r="CV37" s="116" t="str">
        <f t="shared" si="67"/>
        <v/>
      </c>
      <c r="CW37" s="116" t="str">
        <f t="shared" si="68"/>
        <v/>
      </c>
      <c r="CX37" s="61" t="str">
        <f t="shared" si="69"/>
        <v/>
      </c>
      <c r="CY37" s="61" t="str">
        <f t="shared" si="70"/>
        <v/>
      </c>
      <c r="CZ37" s="61" t="str">
        <f t="shared" si="71"/>
        <v/>
      </c>
      <c r="DA37" s="116" t="str">
        <f t="shared" si="95"/>
        <v/>
      </c>
      <c r="DB37" s="6" t="str">
        <f t="shared" si="82"/>
        <v/>
      </c>
      <c r="DC37" s="61" t="str">
        <f t="shared" si="72"/>
        <v/>
      </c>
      <c r="DD37" s="131" t="str">
        <f t="shared" si="87"/>
        <v/>
      </c>
      <c r="DE37" s="131" t="str">
        <f t="shared" si="88"/>
        <v/>
      </c>
      <c r="DF37" s="61" t="str">
        <f t="shared" si="89"/>
        <v/>
      </c>
      <c r="DG37" s="116" t="str">
        <f t="shared" si="73"/>
        <v/>
      </c>
      <c r="DH37" s="116" t="str">
        <f t="shared" si="74"/>
        <v/>
      </c>
    </row>
    <row r="38" spans="2:112" s="17" customFormat="1" hidden="1">
      <c r="B38" s="35"/>
      <c r="C38" s="35"/>
      <c r="D38" s="36"/>
      <c r="E38" s="35"/>
      <c r="F38" s="35"/>
      <c r="G38" s="35"/>
      <c r="H38" s="35"/>
      <c r="I38" s="35"/>
      <c r="J38" s="121"/>
      <c r="K38" s="59"/>
      <c r="AC38" s="47" t="s">
        <v>217</v>
      </c>
      <c r="AD38" s="52" t="str">
        <f t="shared" si="1"/>
        <v/>
      </c>
      <c r="AE38" s="52">
        <f t="shared" si="2"/>
        <v>0</v>
      </c>
      <c r="AF38" s="52">
        <f t="shared" si="75"/>
        <v>6</v>
      </c>
      <c r="AG38" s="61" t="str">
        <f t="shared" si="3"/>
        <v/>
      </c>
      <c r="AH38" s="52">
        <f t="shared" si="4"/>
        <v>0</v>
      </c>
      <c r="AI38" s="52">
        <f t="shared" si="43"/>
        <v>7</v>
      </c>
      <c r="AJ38" s="52" t="str">
        <f t="shared" si="44"/>
        <v/>
      </c>
      <c r="AK38" s="61" t="str">
        <f t="shared" si="5"/>
        <v/>
      </c>
      <c r="AL38" s="95" t="str">
        <f t="shared" si="6"/>
        <v/>
      </c>
      <c r="AM38" s="61" t="str">
        <f t="shared" si="7"/>
        <v>if () {$("#adv_").html("Requierd");$("#").css({"background":"yellow"});} else {$("#adv_").html("");$("#").css({"background":"white"});}</v>
      </c>
      <c r="AN38" s="61" t="str">
        <f t="shared" si="8"/>
        <v>if (=="") {$("#adv_").html("Requierd");} else {$("#adv_").html("");}</v>
      </c>
      <c r="AO38" s="50" t="str">
        <f t="shared" si="9"/>
        <v/>
      </c>
      <c r="AP38" s="61" t="str">
        <f t="shared" si="10"/>
        <v>=$("#").val();</v>
      </c>
      <c r="AQ38" s="61" t="str">
        <f t="shared" si="45"/>
        <v/>
      </c>
      <c r="AR38" s="61" t="str">
        <f t="shared" si="11"/>
        <v>=document.getElementById("").checked;</v>
      </c>
      <c r="AS38" s="102" t="str">
        <f t="shared" si="12"/>
        <v>if (isset($_GET[''])) {$=($_GET['']);}else $='';</v>
      </c>
      <c r="AT38" s="52" t="str">
        <f t="shared" si="13"/>
        <v>EPS</v>
      </c>
      <c r="AU38" s="52" t="str">
        <f t="shared" si="14"/>
        <v>else if (document.getElementById("</v>
      </c>
      <c r="AV38" s="61" t="str">
        <f t="shared" si="15"/>
        <v>else if (document.getElementById("").checked==true) {EPS="";}</v>
      </c>
      <c r="AW38" s="61" t="str">
        <f t="shared" si="93"/>
        <v/>
      </c>
      <c r="AX38" s="102" t="str">
        <f t="shared" si="16"/>
        <v/>
      </c>
      <c r="AY38" s="135" t="str">
        <f t="shared" si="46"/>
        <v/>
      </c>
      <c r="AZ38" s="50" t="str">
        <f t="shared" si="17"/>
        <v>&lt;input type="checkbox" id="" name="" value="1" /&gt;</v>
      </c>
      <c r="BA38" s="105" t="str">
        <f t="shared" si="18"/>
        <v>&lt;br/&gt;&lt;textarea rows="2" cols="80" id=""&gt;&lt;/textarea&gt;&lt;br/&gt;</v>
      </c>
      <c r="BB38" s="50" t="str">
        <f t="shared" si="19"/>
        <v>&lt;input type="radio" name="EPS" id="" value="" /&gt;</v>
      </c>
      <c r="BC38" s="107" t="str">
        <f t="shared" si="20"/>
        <v>&lt;input type="text"  size="7"  id="" class="datepicker"/&gt;</v>
      </c>
      <c r="BD38" s="109" t="str">
        <f t="shared" si="47"/>
        <v/>
      </c>
      <c r="BE38" s="61" t="str">
        <f t="shared" si="21"/>
        <v/>
      </c>
      <c r="BF38" s="52">
        <f t="shared" si="83"/>
        <v>12</v>
      </c>
      <c r="BG38" s="61" t="str">
        <f t="shared" si="48"/>
        <v/>
      </c>
      <c r="BH38" s="102" t="str">
        <f t="shared" si="22"/>
        <v/>
      </c>
      <c r="BI38" s="105" t="str">
        <f t="shared" si="85"/>
        <v/>
      </c>
      <c r="BJ38" s="52" t="str">
        <f t="shared" si="49"/>
        <v/>
      </c>
      <c r="BK38" s="52">
        <f t="shared" si="50"/>
        <v>0</v>
      </c>
      <c r="BL38" s="52">
        <f t="shared" si="51"/>
        <v>2</v>
      </c>
      <c r="BM38" s="52" t="str">
        <f t="shared" si="77"/>
        <v/>
      </c>
      <c r="BN38" s="52" t="str">
        <f t="shared" si="24"/>
        <v/>
      </c>
      <c r="BO38" s="52" t="str">
        <f t="shared" si="94"/>
        <v/>
      </c>
      <c r="BP38" s="113" t="str">
        <f t="shared" si="52"/>
        <v/>
      </c>
      <c r="BQ38" s="52" t="str">
        <f t="shared" si="79"/>
        <v/>
      </c>
      <c r="BR38" s="52" t="str">
        <f t="shared" si="53"/>
        <v/>
      </c>
      <c r="BS38" s="52" t="str">
        <f t="shared" si="54"/>
        <v/>
      </c>
      <c r="BT38" s="52" t="str">
        <f t="shared" si="55"/>
        <v/>
      </c>
      <c r="BU38" s="52" t="str">
        <f t="shared" si="56"/>
        <v/>
      </c>
      <c r="BV38" s="102" t="str">
        <f t="shared" si="25"/>
        <v/>
      </c>
      <c r="BW38" s="116" t="str">
        <f t="shared" si="26"/>
        <v/>
      </c>
      <c r="BX38" s="61" t="str">
        <f t="shared" si="27"/>
        <v/>
      </c>
      <c r="BY38" s="52" t="str">
        <f t="shared" si="28"/>
        <v/>
      </c>
      <c r="BZ38" s="52" t="str">
        <f t="shared" si="29"/>
        <v/>
      </c>
      <c r="CA38" s="52" t="str">
        <f t="shared" si="57"/>
        <v/>
      </c>
      <c r="CB38" s="52" t="str">
        <f t="shared" si="30"/>
        <v/>
      </c>
      <c r="CC38" s="52" t="str">
        <f t="shared" si="31"/>
        <v/>
      </c>
      <c r="CD38" s="102" t="str">
        <f t="shared" si="32"/>
        <v/>
      </c>
      <c r="CE38" s="116" t="str">
        <f t="shared" si="33"/>
        <v/>
      </c>
      <c r="CF38" s="116" t="str">
        <f t="shared" si="92"/>
        <v/>
      </c>
      <c r="CG38" s="61" t="str">
        <f t="shared" si="35"/>
        <v/>
      </c>
      <c r="CH38" s="52">
        <f t="shared" si="80"/>
        <v>2</v>
      </c>
      <c r="CI38" s="61" t="str">
        <f t="shared" si="58"/>
        <v/>
      </c>
      <c r="CJ38" s="61" t="str">
        <f t="shared" si="59"/>
        <v/>
      </c>
      <c r="CK38" s="61" t="str">
        <f t="shared" si="60"/>
        <v/>
      </c>
      <c r="CL38" s="61" t="str">
        <f t="shared" si="36"/>
        <v/>
      </c>
      <c r="CM38" s="61" t="str">
        <f t="shared" si="37"/>
        <v/>
      </c>
      <c r="CN38" s="134" t="str">
        <f t="shared" si="86"/>
        <v/>
      </c>
      <c r="CO38" s="131" t="str">
        <f t="shared" si="84"/>
        <v/>
      </c>
      <c r="CP38" s="131" t="str">
        <f t="shared" si="61"/>
        <v/>
      </c>
      <c r="CQ38" s="131" t="str">
        <f t="shared" si="62"/>
        <v/>
      </c>
      <c r="CR38" s="116" t="str">
        <f t="shared" si="63"/>
        <v/>
      </c>
      <c r="CS38" s="116" t="str">
        <f t="shared" si="64"/>
        <v/>
      </c>
      <c r="CT38" s="116" t="str">
        <f t="shared" si="65"/>
        <v/>
      </c>
      <c r="CU38" s="52">
        <f t="shared" si="66"/>
        <v>0</v>
      </c>
      <c r="CV38" s="116" t="str">
        <f t="shared" si="67"/>
        <v/>
      </c>
      <c r="CW38" s="116" t="str">
        <f t="shared" si="68"/>
        <v/>
      </c>
      <c r="CX38" s="61" t="str">
        <f t="shared" si="69"/>
        <v/>
      </c>
      <c r="CY38" s="61" t="str">
        <f t="shared" si="70"/>
        <v/>
      </c>
      <c r="CZ38" s="61" t="str">
        <f t="shared" si="71"/>
        <v/>
      </c>
      <c r="DA38" s="116" t="str">
        <f t="shared" si="95"/>
        <v/>
      </c>
      <c r="DB38" s="6" t="str">
        <f t="shared" si="82"/>
        <v/>
      </c>
      <c r="DC38" s="61" t="str">
        <f t="shared" si="72"/>
        <v/>
      </c>
      <c r="DD38" s="131" t="str">
        <f t="shared" si="87"/>
        <v/>
      </c>
      <c r="DE38" s="131" t="str">
        <f t="shared" si="88"/>
        <v/>
      </c>
      <c r="DF38" s="61" t="str">
        <f t="shared" si="89"/>
        <v/>
      </c>
      <c r="DG38" s="116" t="str">
        <f t="shared" si="73"/>
        <v/>
      </c>
      <c r="DH38" s="116" t="str">
        <f t="shared" si="74"/>
        <v/>
      </c>
    </row>
    <row r="39" spans="2:112" s="17" customFormat="1" hidden="1">
      <c r="B39" s="35"/>
      <c r="C39" s="35"/>
      <c r="D39" s="36"/>
      <c r="E39" s="35"/>
      <c r="F39" s="35"/>
      <c r="G39" s="35"/>
      <c r="H39" s="35"/>
      <c r="I39" s="35"/>
      <c r="J39" s="121"/>
      <c r="K39" s="59"/>
      <c r="AC39" s="47" t="s">
        <v>218</v>
      </c>
      <c r="AD39" s="52" t="str">
        <f t="shared" si="1"/>
        <v/>
      </c>
      <c r="AE39" s="52">
        <f t="shared" si="2"/>
        <v>0</v>
      </c>
      <c r="AF39" s="52">
        <f t="shared" si="75"/>
        <v>6</v>
      </c>
      <c r="AG39" s="61" t="str">
        <f t="shared" si="3"/>
        <v/>
      </c>
      <c r="AH39" s="52">
        <f t="shared" si="4"/>
        <v>0</v>
      </c>
      <c r="AI39" s="52">
        <f t="shared" si="43"/>
        <v>7</v>
      </c>
      <c r="AJ39" s="52" t="str">
        <f t="shared" si="44"/>
        <v/>
      </c>
      <c r="AK39" s="61" t="str">
        <f t="shared" si="5"/>
        <v/>
      </c>
      <c r="AL39" s="95" t="str">
        <f t="shared" si="6"/>
        <v/>
      </c>
      <c r="AM39" s="61" t="str">
        <f t="shared" si="7"/>
        <v>if () {$("#adv_").html("Requierd");$("#").css({"background":"yellow"});} else {$("#adv_").html("");$("#").css({"background":"white"});}</v>
      </c>
      <c r="AN39" s="61" t="str">
        <f t="shared" si="8"/>
        <v>if (=="") {$("#adv_").html("Requierd");} else {$("#adv_").html("");}</v>
      </c>
      <c r="AO39" s="50" t="str">
        <f t="shared" si="9"/>
        <v/>
      </c>
      <c r="AP39" s="61" t="str">
        <f t="shared" si="10"/>
        <v>=$("#").val();</v>
      </c>
      <c r="AQ39" s="61" t="str">
        <f t="shared" si="45"/>
        <v/>
      </c>
      <c r="AR39" s="61" t="str">
        <f t="shared" si="11"/>
        <v>=document.getElementById("").checked;</v>
      </c>
      <c r="AS39" s="102" t="str">
        <f t="shared" si="12"/>
        <v>if (isset($_GET[''])) {$=($_GET['']);}else $='';</v>
      </c>
      <c r="AT39" s="52" t="str">
        <f t="shared" si="13"/>
        <v>EPS</v>
      </c>
      <c r="AU39" s="52" t="str">
        <f t="shared" si="14"/>
        <v>else if (document.getElementById("</v>
      </c>
      <c r="AV39" s="61" t="str">
        <f t="shared" si="15"/>
        <v>else if (document.getElementById("").checked==true) {EPS="";}</v>
      </c>
      <c r="AW39" s="61" t="str">
        <f t="shared" si="93"/>
        <v/>
      </c>
      <c r="AX39" s="102" t="str">
        <f t="shared" si="16"/>
        <v/>
      </c>
      <c r="AY39" s="135" t="str">
        <f t="shared" si="46"/>
        <v/>
      </c>
      <c r="AZ39" s="50" t="str">
        <f t="shared" si="17"/>
        <v>&lt;input type="checkbox" id="" name="" value="1" /&gt;</v>
      </c>
      <c r="BA39" s="105" t="str">
        <f t="shared" si="18"/>
        <v>&lt;br/&gt;&lt;textarea rows="2" cols="80" id=""&gt;&lt;/textarea&gt;&lt;br/&gt;</v>
      </c>
      <c r="BB39" s="50" t="str">
        <f t="shared" si="19"/>
        <v>&lt;input type="radio" name="EPS" id="" value="" /&gt;</v>
      </c>
      <c r="BC39" s="107" t="str">
        <f t="shared" si="20"/>
        <v>&lt;input type="text"  size="7"  id="" class="datepicker"/&gt;</v>
      </c>
      <c r="BD39" s="109" t="str">
        <f t="shared" si="47"/>
        <v/>
      </c>
      <c r="BE39" s="61" t="str">
        <f t="shared" si="21"/>
        <v/>
      </c>
      <c r="BF39" s="52">
        <f t="shared" si="83"/>
        <v>12</v>
      </c>
      <c r="BG39" s="61" t="str">
        <f t="shared" si="48"/>
        <v/>
      </c>
      <c r="BH39" s="102" t="str">
        <f t="shared" si="22"/>
        <v/>
      </c>
      <c r="BI39" s="105" t="str">
        <f t="shared" si="85"/>
        <v/>
      </c>
      <c r="BJ39" s="52" t="str">
        <f t="shared" si="49"/>
        <v/>
      </c>
      <c r="BK39" s="52">
        <f t="shared" si="50"/>
        <v>0</v>
      </c>
      <c r="BL39" s="52">
        <f t="shared" si="51"/>
        <v>2</v>
      </c>
      <c r="BM39" s="52" t="str">
        <f t="shared" si="77"/>
        <v/>
      </c>
      <c r="BN39" s="52" t="str">
        <f t="shared" si="24"/>
        <v/>
      </c>
      <c r="BO39" s="52" t="str">
        <f t="shared" si="94"/>
        <v/>
      </c>
      <c r="BP39" s="113" t="str">
        <f t="shared" si="52"/>
        <v/>
      </c>
      <c r="BQ39" s="52" t="str">
        <f t="shared" si="79"/>
        <v/>
      </c>
      <c r="BR39" s="52" t="str">
        <f t="shared" si="53"/>
        <v/>
      </c>
      <c r="BS39" s="52" t="str">
        <f t="shared" si="54"/>
        <v/>
      </c>
      <c r="BT39" s="52" t="str">
        <f t="shared" si="55"/>
        <v/>
      </c>
      <c r="BU39" s="52" t="str">
        <f t="shared" si="56"/>
        <v/>
      </c>
      <c r="BV39" s="102" t="str">
        <f t="shared" si="25"/>
        <v/>
      </c>
      <c r="BW39" s="116" t="str">
        <f t="shared" si="26"/>
        <v/>
      </c>
      <c r="BX39" s="61" t="str">
        <f t="shared" si="27"/>
        <v/>
      </c>
      <c r="BY39" s="52" t="str">
        <f t="shared" si="28"/>
        <v/>
      </c>
      <c r="BZ39" s="52" t="str">
        <f t="shared" si="29"/>
        <v/>
      </c>
      <c r="CA39" s="52" t="str">
        <f t="shared" si="57"/>
        <v/>
      </c>
      <c r="CB39" s="52" t="str">
        <f t="shared" si="30"/>
        <v/>
      </c>
      <c r="CC39" s="52" t="str">
        <f t="shared" si="31"/>
        <v/>
      </c>
      <c r="CD39" s="102" t="str">
        <f t="shared" si="32"/>
        <v/>
      </c>
      <c r="CE39" s="116" t="str">
        <f t="shared" si="33"/>
        <v/>
      </c>
      <c r="CF39" s="116" t="str">
        <f t="shared" si="92"/>
        <v/>
      </c>
      <c r="CG39" s="61" t="str">
        <f t="shared" si="35"/>
        <v/>
      </c>
      <c r="CH39" s="52">
        <f t="shared" si="80"/>
        <v>2</v>
      </c>
      <c r="CI39" s="61" t="str">
        <f t="shared" si="58"/>
        <v/>
      </c>
      <c r="CJ39" s="61" t="str">
        <f t="shared" si="59"/>
        <v/>
      </c>
      <c r="CK39" s="61" t="str">
        <f t="shared" si="60"/>
        <v/>
      </c>
      <c r="CL39" s="61" t="str">
        <f t="shared" si="36"/>
        <v/>
      </c>
      <c r="CM39" s="61" t="str">
        <f t="shared" si="37"/>
        <v/>
      </c>
      <c r="CN39" s="134" t="str">
        <f t="shared" si="86"/>
        <v/>
      </c>
      <c r="CO39" s="131" t="str">
        <f t="shared" si="84"/>
        <v/>
      </c>
      <c r="CP39" s="131" t="str">
        <f t="shared" si="61"/>
        <v/>
      </c>
      <c r="CQ39" s="131" t="str">
        <f t="shared" si="62"/>
        <v/>
      </c>
      <c r="CR39" s="116" t="str">
        <f t="shared" si="63"/>
        <v/>
      </c>
      <c r="CS39" s="116" t="str">
        <f t="shared" si="64"/>
        <v/>
      </c>
      <c r="CT39" s="116" t="str">
        <f t="shared" si="65"/>
        <v/>
      </c>
      <c r="CU39" s="52">
        <f t="shared" si="66"/>
        <v>0</v>
      </c>
      <c r="CV39" s="116" t="str">
        <f t="shared" si="67"/>
        <v/>
      </c>
      <c r="CW39" s="116" t="str">
        <f t="shared" si="68"/>
        <v/>
      </c>
      <c r="CX39" s="61" t="str">
        <f t="shared" si="69"/>
        <v/>
      </c>
      <c r="CY39" s="61" t="str">
        <f t="shared" si="70"/>
        <v/>
      </c>
      <c r="CZ39" s="61" t="str">
        <f t="shared" si="71"/>
        <v/>
      </c>
      <c r="DA39" s="116" t="str">
        <f t="shared" si="95"/>
        <v/>
      </c>
      <c r="DB39" s="6" t="str">
        <f t="shared" si="82"/>
        <v/>
      </c>
      <c r="DC39" s="61" t="str">
        <f t="shared" si="72"/>
        <v/>
      </c>
      <c r="DD39" s="131" t="str">
        <f t="shared" si="87"/>
        <v/>
      </c>
      <c r="DE39" s="131" t="str">
        <f t="shared" si="88"/>
        <v/>
      </c>
      <c r="DF39" s="61" t="str">
        <f t="shared" si="89"/>
        <v/>
      </c>
      <c r="DG39" s="116" t="str">
        <f t="shared" si="73"/>
        <v/>
      </c>
      <c r="DH39" s="116" t="str">
        <f t="shared" si="74"/>
        <v/>
      </c>
    </row>
    <row r="40" spans="2:112" s="17" customFormat="1" hidden="1">
      <c r="B40" s="35"/>
      <c r="C40" s="35"/>
      <c r="D40" s="36"/>
      <c r="E40" s="35"/>
      <c r="F40" s="35"/>
      <c r="G40" s="35"/>
      <c r="H40" s="35"/>
      <c r="I40" s="35"/>
      <c r="J40" s="121"/>
      <c r="K40" s="59"/>
      <c r="AC40" s="47" t="s">
        <v>219</v>
      </c>
      <c r="AD40" s="52" t="str">
        <f t="shared" si="1"/>
        <v/>
      </c>
      <c r="AE40" s="52">
        <f t="shared" si="2"/>
        <v>0</v>
      </c>
      <c r="AF40" s="52">
        <f t="shared" si="75"/>
        <v>6</v>
      </c>
      <c r="AG40" s="61" t="str">
        <f t="shared" si="3"/>
        <v/>
      </c>
      <c r="AH40" s="52">
        <f t="shared" si="4"/>
        <v>0</v>
      </c>
      <c r="AI40" s="52">
        <f t="shared" si="43"/>
        <v>7</v>
      </c>
      <c r="AJ40" s="52" t="str">
        <f t="shared" si="44"/>
        <v/>
      </c>
      <c r="AK40" s="61" t="str">
        <f t="shared" si="5"/>
        <v/>
      </c>
      <c r="AL40" s="95" t="str">
        <f t="shared" si="6"/>
        <v/>
      </c>
      <c r="AM40" s="61" t="str">
        <f t="shared" si="7"/>
        <v>if () {$("#adv_").html("Requierd");$("#").css({"background":"yellow"});} else {$("#adv_").html("");$("#").css({"background":"white"});}</v>
      </c>
      <c r="AN40" s="61" t="str">
        <f t="shared" si="8"/>
        <v>if (=="") {$("#adv_").html("Requierd");} else {$("#adv_").html("");}</v>
      </c>
      <c r="AO40" s="50" t="str">
        <f t="shared" si="9"/>
        <v/>
      </c>
      <c r="AP40" s="61" t="str">
        <f t="shared" si="10"/>
        <v>=$("#").val();</v>
      </c>
      <c r="AQ40" s="61" t="str">
        <f t="shared" si="45"/>
        <v/>
      </c>
      <c r="AR40" s="61" t="str">
        <f t="shared" si="11"/>
        <v>=document.getElementById("").checked;</v>
      </c>
      <c r="AS40" s="102" t="str">
        <f t="shared" si="12"/>
        <v>if (isset($_GET[''])) {$=($_GET['']);}else $='';</v>
      </c>
      <c r="AT40" s="52" t="str">
        <f t="shared" si="13"/>
        <v>EPS</v>
      </c>
      <c r="AU40" s="52" t="str">
        <f t="shared" si="14"/>
        <v>else if (document.getElementById("</v>
      </c>
      <c r="AV40" s="61" t="str">
        <f t="shared" si="15"/>
        <v>else if (document.getElementById("").checked==true) {EPS="";}</v>
      </c>
      <c r="AW40" s="61" t="str">
        <f t="shared" si="93"/>
        <v/>
      </c>
      <c r="AX40" s="102" t="str">
        <f t="shared" si="16"/>
        <v/>
      </c>
      <c r="AY40" s="135" t="str">
        <f t="shared" si="46"/>
        <v/>
      </c>
      <c r="AZ40" s="50" t="str">
        <f t="shared" si="17"/>
        <v>&lt;input type="checkbox" id="" name="" value="1" /&gt;</v>
      </c>
      <c r="BA40" s="105" t="str">
        <f t="shared" si="18"/>
        <v>&lt;br/&gt;&lt;textarea rows="2" cols="80" id=""&gt;&lt;/textarea&gt;&lt;br/&gt;</v>
      </c>
      <c r="BB40" s="50" t="str">
        <f t="shared" si="19"/>
        <v>&lt;input type="radio" name="EPS" id="" value="" /&gt;</v>
      </c>
      <c r="BC40" s="107" t="str">
        <f t="shared" si="20"/>
        <v>&lt;input type="text"  size="7"  id="" class="datepicker"/&gt;</v>
      </c>
      <c r="BD40" s="109" t="str">
        <f t="shared" si="47"/>
        <v/>
      </c>
      <c r="BE40" s="61" t="str">
        <f t="shared" si="21"/>
        <v/>
      </c>
      <c r="BF40" s="52">
        <f t="shared" si="83"/>
        <v>12</v>
      </c>
      <c r="BG40" s="61" t="str">
        <f t="shared" si="48"/>
        <v/>
      </c>
      <c r="BH40" s="102" t="str">
        <f t="shared" si="22"/>
        <v/>
      </c>
      <c r="BI40" s="105" t="str">
        <f t="shared" si="85"/>
        <v/>
      </c>
      <c r="BJ40" s="52" t="str">
        <f t="shared" si="49"/>
        <v/>
      </c>
      <c r="BK40" s="52">
        <f t="shared" si="50"/>
        <v>0</v>
      </c>
      <c r="BL40" s="52">
        <f t="shared" si="51"/>
        <v>2</v>
      </c>
      <c r="BM40" s="52" t="str">
        <f t="shared" si="77"/>
        <v/>
      </c>
      <c r="BN40" s="52" t="str">
        <f t="shared" si="24"/>
        <v/>
      </c>
      <c r="BO40" s="52" t="str">
        <f t="shared" si="94"/>
        <v/>
      </c>
      <c r="BP40" s="113" t="str">
        <f t="shared" si="52"/>
        <v/>
      </c>
      <c r="BQ40" s="52" t="str">
        <f t="shared" si="79"/>
        <v/>
      </c>
      <c r="BR40" s="52" t="str">
        <f t="shared" si="53"/>
        <v/>
      </c>
      <c r="BS40" s="52" t="str">
        <f t="shared" si="54"/>
        <v/>
      </c>
      <c r="BT40" s="52" t="str">
        <f t="shared" si="55"/>
        <v/>
      </c>
      <c r="BU40" s="52" t="str">
        <f t="shared" si="56"/>
        <v/>
      </c>
      <c r="BV40" s="102" t="str">
        <f t="shared" si="25"/>
        <v/>
      </c>
      <c r="BW40" s="116" t="str">
        <f t="shared" si="26"/>
        <v/>
      </c>
      <c r="BX40" s="61" t="str">
        <f t="shared" si="27"/>
        <v/>
      </c>
      <c r="BY40" s="52" t="str">
        <f t="shared" si="28"/>
        <v/>
      </c>
      <c r="BZ40" s="52" t="str">
        <f t="shared" si="29"/>
        <v/>
      </c>
      <c r="CA40" s="52" t="str">
        <f t="shared" si="57"/>
        <v/>
      </c>
      <c r="CB40" s="52" t="str">
        <f t="shared" si="30"/>
        <v/>
      </c>
      <c r="CC40" s="52" t="str">
        <f t="shared" si="31"/>
        <v/>
      </c>
      <c r="CD40" s="102" t="str">
        <f t="shared" si="32"/>
        <v/>
      </c>
      <c r="CE40" s="116" t="str">
        <f t="shared" si="33"/>
        <v/>
      </c>
      <c r="CF40" s="116" t="str">
        <f t="shared" si="92"/>
        <v/>
      </c>
      <c r="CG40" s="61" t="str">
        <f t="shared" si="35"/>
        <v/>
      </c>
      <c r="CH40" s="52">
        <f t="shared" si="80"/>
        <v>2</v>
      </c>
      <c r="CI40" s="61" t="str">
        <f t="shared" si="58"/>
        <v/>
      </c>
      <c r="CJ40" s="61" t="str">
        <f t="shared" si="59"/>
        <v/>
      </c>
      <c r="CK40" s="61" t="str">
        <f t="shared" si="60"/>
        <v/>
      </c>
      <c r="CL40" s="61" t="str">
        <f t="shared" si="36"/>
        <v/>
      </c>
      <c r="CM40" s="61" t="str">
        <f t="shared" si="37"/>
        <v/>
      </c>
      <c r="CN40" s="134" t="str">
        <f t="shared" si="86"/>
        <v/>
      </c>
      <c r="CO40" s="131" t="str">
        <f t="shared" si="84"/>
        <v/>
      </c>
      <c r="CP40" s="131" t="str">
        <f t="shared" si="61"/>
        <v/>
      </c>
      <c r="CQ40" s="131" t="str">
        <f t="shared" si="62"/>
        <v/>
      </c>
      <c r="CR40" s="116" t="str">
        <f t="shared" si="63"/>
        <v/>
      </c>
      <c r="CS40" s="116" t="str">
        <f t="shared" si="64"/>
        <v/>
      </c>
      <c r="CT40" s="116" t="str">
        <f t="shared" si="65"/>
        <v/>
      </c>
      <c r="CU40" s="52">
        <f t="shared" si="66"/>
        <v>0</v>
      </c>
      <c r="CV40" s="116" t="str">
        <f t="shared" si="67"/>
        <v/>
      </c>
      <c r="CW40" s="116" t="str">
        <f t="shared" si="68"/>
        <v/>
      </c>
      <c r="CX40" s="61" t="str">
        <f t="shared" si="69"/>
        <v/>
      </c>
      <c r="CY40" s="61" t="str">
        <f t="shared" si="70"/>
        <v/>
      </c>
      <c r="CZ40" s="61" t="str">
        <f t="shared" si="71"/>
        <v/>
      </c>
      <c r="DA40" s="116" t="str">
        <f t="shared" si="95"/>
        <v/>
      </c>
      <c r="DB40" s="6" t="str">
        <f t="shared" si="82"/>
        <v/>
      </c>
      <c r="DC40" s="61" t="str">
        <f t="shared" si="72"/>
        <v/>
      </c>
      <c r="DD40" s="131" t="str">
        <f t="shared" si="87"/>
        <v/>
      </c>
      <c r="DE40" s="131" t="str">
        <f t="shared" si="88"/>
        <v/>
      </c>
      <c r="DF40" s="61" t="str">
        <f t="shared" si="89"/>
        <v/>
      </c>
      <c r="DG40" s="116" t="str">
        <f t="shared" si="73"/>
        <v/>
      </c>
      <c r="DH40" s="116" t="str">
        <f t="shared" si="74"/>
        <v/>
      </c>
    </row>
    <row r="41" spans="2:112" s="17" customFormat="1" hidden="1">
      <c r="B41" s="35"/>
      <c r="C41" s="35"/>
      <c r="D41" s="36"/>
      <c r="E41" s="35"/>
      <c r="F41" s="35"/>
      <c r="G41" s="35"/>
      <c r="H41" s="35"/>
      <c r="I41" s="35"/>
      <c r="J41" s="121"/>
      <c r="K41" s="59"/>
      <c r="AC41" s="47" t="s">
        <v>220</v>
      </c>
      <c r="AD41" s="52" t="str">
        <f t="shared" si="1"/>
        <v/>
      </c>
      <c r="AE41" s="52">
        <f t="shared" si="2"/>
        <v>0</v>
      </c>
      <c r="AF41" s="52">
        <f t="shared" si="75"/>
        <v>6</v>
      </c>
      <c r="AG41" s="61" t="str">
        <f t="shared" si="3"/>
        <v/>
      </c>
      <c r="AH41" s="52">
        <f t="shared" si="4"/>
        <v>0</v>
      </c>
      <c r="AI41" s="52">
        <f t="shared" si="43"/>
        <v>7</v>
      </c>
      <c r="AJ41" s="52" t="str">
        <f t="shared" si="44"/>
        <v/>
      </c>
      <c r="AK41" s="61" t="str">
        <f t="shared" si="5"/>
        <v/>
      </c>
      <c r="AL41" s="95" t="str">
        <f t="shared" si="6"/>
        <v/>
      </c>
      <c r="AM41" s="61" t="str">
        <f t="shared" si="7"/>
        <v>if () {$("#adv_").html("Requierd");$("#").css({"background":"yellow"});} else {$("#adv_").html("");$("#").css({"background":"white"});}</v>
      </c>
      <c r="AN41" s="61" t="str">
        <f t="shared" si="8"/>
        <v>if (=="") {$("#adv_").html("Requierd");} else {$("#adv_").html("");}</v>
      </c>
      <c r="AO41" s="50" t="str">
        <f t="shared" si="9"/>
        <v/>
      </c>
      <c r="AP41" s="61" t="str">
        <f t="shared" si="10"/>
        <v>=$("#").val();</v>
      </c>
      <c r="AQ41" s="61" t="str">
        <f t="shared" si="45"/>
        <v/>
      </c>
      <c r="AR41" s="61" t="str">
        <f t="shared" si="11"/>
        <v>=document.getElementById("").checked;</v>
      </c>
      <c r="AS41" s="102" t="str">
        <f t="shared" si="12"/>
        <v>if (isset($_GET[''])) {$=($_GET['']);}else $='';</v>
      </c>
      <c r="AT41" s="52" t="str">
        <f t="shared" si="13"/>
        <v>EPS</v>
      </c>
      <c r="AU41" s="52" t="str">
        <f t="shared" si="14"/>
        <v>else if (document.getElementById("</v>
      </c>
      <c r="AV41" s="61" t="str">
        <f t="shared" si="15"/>
        <v>else if (document.getElementById("").checked==true) {EPS="";}</v>
      </c>
      <c r="AW41" s="61" t="str">
        <f t="shared" si="93"/>
        <v/>
      </c>
      <c r="AX41" s="102" t="str">
        <f t="shared" si="16"/>
        <v/>
      </c>
      <c r="AY41" s="135" t="str">
        <f t="shared" si="46"/>
        <v/>
      </c>
      <c r="AZ41" s="50" t="str">
        <f t="shared" si="17"/>
        <v>&lt;input type="checkbox" id="" name="" value="1" /&gt;</v>
      </c>
      <c r="BA41" s="105" t="str">
        <f t="shared" si="18"/>
        <v>&lt;br/&gt;&lt;textarea rows="2" cols="80" id=""&gt;&lt;/textarea&gt;&lt;br/&gt;</v>
      </c>
      <c r="BB41" s="50" t="str">
        <f t="shared" si="19"/>
        <v>&lt;input type="radio" name="EPS" id="" value="" /&gt;</v>
      </c>
      <c r="BC41" s="107" t="str">
        <f t="shared" si="20"/>
        <v>&lt;input type="text"  size="7"  id="" class="datepicker"/&gt;</v>
      </c>
      <c r="BD41" s="109" t="str">
        <f t="shared" si="47"/>
        <v/>
      </c>
      <c r="BE41" s="61" t="str">
        <f t="shared" si="21"/>
        <v/>
      </c>
      <c r="BF41" s="52">
        <f t="shared" si="83"/>
        <v>12</v>
      </c>
      <c r="BG41" s="61" t="str">
        <f t="shared" si="48"/>
        <v/>
      </c>
      <c r="BH41" s="102" t="str">
        <f t="shared" si="22"/>
        <v/>
      </c>
      <c r="BI41" s="105" t="str">
        <f t="shared" si="85"/>
        <v/>
      </c>
      <c r="BJ41" s="52" t="str">
        <f t="shared" si="49"/>
        <v/>
      </c>
      <c r="BK41" s="52">
        <f t="shared" si="50"/>
        <v>0</v>
      </c>
      <c r="BL41" s="52">
        <f t="shared" si="51"/>
        <v>2</v>
      </c>
      <c r="BM41" s="52" t="str">
        <f t="shared" si="77"/>
        <v/>
      </c>
      <c r="BN41" s="52" t="str">
        <f t="shared" si="24"/>
        <v/>
      </c>
      <c r="BO41" s="52" t="str">
        <f t="shared" si="94"/>
        <v/>
      </c>
      <c r="BP41" s="113" t="str">
        <f t="shared" si="52"/>
        <v/>
      </c>
      <c r="BQ41" s="52" t="str">
        <f t="shared" si="79"/>
        <v/>
      </c>
      <c r="BR41" s="52" t="str">
        <f t="shared" si="53"/>
        <v/>
      </c>
      <c r="BS41" s="52" t="str">
        <f t="shared" si="54"/>
        <v/>
      </c>
      <c r="BT41" s="52" t="str">
        <f t="shared" si="55"/>
        <v/>
      </c>
      <c r="BU41" s="52" t="str">
        <f t="shared" si="56"/>
        <v/>
      </c>
      <c r="BV41" s="102" t="str">
        <f t="shared" si="25"/>
        <v/>
      </c>
      <c r="BW41" s="116" t="str">
        <f t="shared" si="26"/>
        <v/>
      </c>
      <c r="BX41" s="61" t="str">
        <f t="shared" si="27"/>
        <v/>
      </c>
      <c r="BY41" s="52" t="str">
        <f t="shared" si="28"/>
        <v/>
      </c>
      <c r="BZ41" s="52" t="str">
        <f t="shared" si="29"/>
        <v/>
      </c>
      <c r="CA41" s="52" t="str">
        <f t="shared" si="57"/>
        <v/>
      </c>
      <c r="CB41" s="52" t="str">
        <f t="shared" si="30"/>
        <v/>
      </c>
      <c r="CC41" s="52" t="str">
        <f t="shared" si="31"/>
        <v/>
      </c>
      <c r="CD41" s="102" t="str">
        <f t="shared" si="32"/>
        <v/>
      </c>
      <c r="CE41" s="116" t="str">
        <f t="shared" si="33"/>
        <v/>
      </c>
      <c r="CF41" s="116" t="str">
        <f t="shared" si="92"/>
        <v/>
      </c>
      <c r="CG41" s="61" t="str">
        <f t="shared" si="35"/>
        <v/>
      </c>
      <c r="CH41" s="52">
        <f t="shared" si="80"/>
        <v>2</v>
      </c>
      <c r="CI41" s="61" t="str">
        <f t="shared" si="58"/>
        <v/>
      </c>
      <c r="CJ41" s="61" t="str">
        <f t="shared" si="59"/>
        <v/>
      </c>
      <c r="CK41" s="61" t="str">
        <f t="shared" si="60"/>
        <v/>
      </c>
      <c r="CL41" s="61" t="str">
        <f t="shared" si="36"/>
        <v/>
      </c>
      <c r="CM41" s="61" t="str">
        <f t="shared" si="37"/>
        <v/>
      </c>
      <c r="CN41" s="134" t="str">
        <f t="shared" si="86"/>
        <v/>
      </c>
      <c r="CO41" s="131" t="str">
        <f t="shared" si="84"/>
        <v/>
      </c>
      <c r="CP41" s="131" t="str">
        <f t="shared" si="61"/>
        <v/>
      </c>
      <c r="CQ41" s="131" t="str">
        <f t="shared" si="62"/>
        <v/>
      </c>
      <c r="CR41" s="116" t="str">
        <f t="shared" si="63"/>
        <v/>
      </c>
      <c r="CS41" s="116" t="str">
        <f t="shared" si="64"/>
        <v/>
      </c>
      <c r="CT41" s="116" t="str">
        <f t="shared" si="65"/>
        <v/>
      </c>
      <c r="CU41" s="52">
        <f t="shared" si="66"/>
        <v>0</v>
      </c>
      <c r="CV41" s="116" t="str">
        <f t="shared" si="67"/>
        <v/>
      </c>
      <c r="CW41" s="116" t="str">
        <f t="shared" si="68"/>
        <v/>
      </c>
      <c r="CX41" s="61" t="str">
        <f t="shared" si="69"/>
        <v/>
      </c>
      <c r="CY41" s="61" t="str">
        <f t="shared" si="70"/>
        <v/>
      </c>
      <c r="CZ41" s="61" t="str">
        <f t="shared" si="71"/>
        <v/>
      </c>
      <c r="DA41" s="116" t="str">
        <f t="shared" si="95"/>
        <v/>
      </c>
      <c r="DB41" s="6" t="str">
        <f t="shared" si="82"/>
        <v/>
      </c>
      <c r="DC41" s="61" t="str">
        <f t="shared" si="72"/>
        <v/>
      </c>
      <c r="DD41" s="131" t="str">
        <f t="shared" si="87"/>
        <v/>
      </c>
      <c r="DE41" s="131" t="str">
        <f t="shared" si="88"/>
        <v/>
      </c>
      <c r="DF41" s="61" t="str">
        <f t="shared" si="89"/>
        <v/>
      </c>
      <c r="DG41" s="116" t="str">
        <f t="shared" si="73"/>
        <v/>
      </c>
      <c r="DH41" s="116" t="str">
        <f t="shared" si="74"/>
        <v/>
      </c>
    </row>
    <row r="42" spans="2:112" s="17" customFormat="1" hidden="1">
      <c r="B42" s="35"/>
      <c r="C42" s="35"/>
      <c r="D42" s="36"/>
      <c r="E42" s="35"/>
      <c r="F42" s="35"/>
      <c r="G42" s="35"/>
      <c r="H42" s="35"/>
      <c r="I42" s="35"/>
      <c r="J42" s="121"/>
      <c r="K42" s="59"/>
      <c r="AC42" s="47" t="s">
        <v>221</v>
      </c>
      <c r="AD42" s="52" t="str">
        <f t="shared" si="1"/>
        <v/>
      </c>
      <c r="AE42" s="52">
        <f t="shared" si="2"/>
        <v>0</v>
      </c>
      <c r="AF42" s="52">
        <f t="shared" si="75"/>
        <v>6</v>
      </c>
      <c r="AG42" s="61" t="str">
        <f t="shared" si="3"/>
        <v/>
      </c>
      <c r="AH42" s="52">
        <f t="shared" si="4"/>
        <v>0</v>
      </c>
      <c r="AI42" s="52">
        <f t="shared" si="43"/>
        <v>7</v>
      </c>
      <c r="AJ42" s="52" t="str">
        <f t="shared" si="44"/>
        <v/>
      </c>
      <c r="AK42" s="61" t="str">
        <f t="shared" si="5"/>
        <v/>
      </c>
      <c r="AL42" s="95" t="str">
        <f t="shared" si="6"/>
        <v/>
      </c>
      <c r="AM42" s="61" t="str">
        <f t="shared" si="7"/>
        <v>if () {$("#adv_").html("Requierd");$("#").css({"background":"yellow"});} else {$("#adv_").html("");$("#").css({"background":"white"});}</v>
      </c>
      <c r="AN42" s="61" t="str">
        <f t="shared" si="8"/>
        <v>if (=="") {$("#adv_").html("Requierd");} else {$("#adv_").html("");}</v>
      </c>
      <c r="AO42" s="50" t="str">
        <f t="shared" si="9"/>
        <v/>
      </c>
      <c r="AP42" s="61" t="str">
        <f t="shared" si="10"/>
        <v>=$("#").val();</v>
      </c>
      <c r="AQ42" s="61" t="str">
        <f t="shared" si="45"/>
        <v/>
      </c>
      <c r="AR42" s="61" t="str">
        <f t="shared" si="11"/>
        <v>=document.getElementById("").checked;</v>
      </c>
      <c r="AS42" s="102" t="str">
        <f t="shared" si="12"/>
        <v>if (isset($_GET[''])) {$=($_GET['']);}else $='';</v>
      </c>
      <c r="AT42" s="52" t="str">
        <f t="shared" si="13"/>
        <v>EPS</v>
      </c>
      <c r="AU42" s="52" t="str">
        <f t="shared" si="14"/>
        <v>else if (document.getElementById("</v>
      </c>
      <c r="AV42" s="61" t="str">
        <f t="shared" si="15"/>
        <v>else if (document.getElementById("").checked==true) {EPS="";}</v>
      </c>
      <c r="AW42" s="61" t="str">
        <f t="shared" si="93"/>
        <v/>
      </c>
      <c r="AX42" s="102" t="str">
        <f t="shared" si="16"/>
        <v/>
      </c>
      <c r="AY42" s="135" t="str">
        <f t="shared" si="46"/>
        <v/>
      </c>
      <c r="AZ42" s="50" t="str">
        <f t="shared" si="17"/>
        <v>&lt;input type="checkbox" id="" name="" value="1" /&gt;</v>
      </c>
      <c r="BA42" s="105" t="str">
        <f t="shared" si="18"/>
        <v>&lt;br/&gt;&lt;textarea rows="2" cols="80" id=""&gt;&lt;/textarea&gt;&lt;br/&gt;</v>
      </c>
      <c r="BB42" s="50" t="str">
        <f t="shared" si="19"/>
        <v>&lt;input type="radio" name="EPS" id="" value="" /&gt;</v>
      </c>
      <c r="BC42" s="107" t="str">
        <f t="shared" si="20"/>
        <v>&lt;input type="text"  size="7"  id="" class="datepicker"/&gt;</v>
      </c>
      <c r="BD42" s="109" t="str">
        <f t="shared" si="47"/>
        <v/>
      </c>
      <c r="BE42" s="61" t="str">
        <f t="shared" si="21"/>
        <v/>
      </c>
      <c r="BF42" s="52">
        <f t="shared" si="83"/>
        <v>12</v>
      </c>
      <c r="BG42" s="61" t="str">
        <f t="shared" si="48"/>
        <v/>
      </c>
      <c r="BH42" s="102" t="str">
        <f t="shared" si="22"/>
        <v/>
      </c>
      <c r="BI42" s="105" t="str">
        <f t="shared" si="85"/>
        <v/>
      </c>
      <c r="BJ42" s="52" t="str">
        <f t="shared" si="49"/>
        <v/>
      </c>
      <c r="BK42" s="52">
        <f t="shared" si="50"/>
        <v>0</v>
      </c>
      <c r="BL42" s="52">
        <f t="shared" si="51"/>
        <v>2</v>
      </c>
      <c r="BM42" s="52" t="str">
        <f t="shared" si="77"/>
        <v/>
      </c>
      <c r="BN42" s="52" t="str">
        <f t="shared" si="24"/>
        <v/>
      </c>
      <c r="BO42" s="52" t="str">
        <f t="shared" si="94"/>
        <v/>
      </c>
      <c r="BP42" s="113" t="str">
        <f t="shared" si="52"/>
        <v/>
      </c>
      <c r="BQ42" s="52" t="str">
        <f t="shared" si="79"/>
        <v/>
      </c>
      <c r="BR42" s="52" t="str">
        <f t="shared" si="53"/>
        <v/>
      </c>
      <c r="BS42" s="52" t="str">
        <f t="shared" si="54"/>
        <v/>
      </c>
      <c r="BT42" s="52" t="str">
        <f t="shared" si="55"/>
        <v/>
      </c>
      <c r="BU42" s="52" t="str">
        <f t="shared" si="56"/>
        <v/>
      </c>
      <c r="BV42" s="102" t="str">
        <f t="shared" si="25"/>
        <v/>
      </c>
      <c r="BW42" s="116" t="str">
        <f t="shared" si="26"/>
        <v/>
      </c>
      <c r="BX42" s="61" t="str">
        <f t="shared" si="27"/>
        <v/>
      </c>
      <c r="BY42" s="52" t="str">
        <f t="shared" si="28"/>
        <v/>
      </c>
      <c r="BZ42" s="52" t="str">
        <f t="shared" si="29"/>
        <v/>
      </c>
      <c r="CA42" s="52" t="str">
        <f t="shared" si="57"/>
        <v/>
      </c>
      <c r="CB42" s="52" t="str">
        <f t="shared" si="30"/>
        <v/>
      </c>
      <c r="CC42" s="52" t="str">
        <f t="shared" si="31"/>
        <v/>
      </c>
      <c r="CD42" s="102" t="str">
        <f t="shared" si="32"/>
        <v/>
      </c>
      <c r="CE42" s="116" t="str">
        <f t="shared" si="33"/>
        <v/>
      </c>
      <c r="CF42" s="116" t="str">
        <f t="shared" si="92"/>
        <v/>
      </c>
      <c r="CG42" s="61" t="str">
        <f t="shared" si="35"/>
        <v/>
      </c>
      <c r="CH42" s="52">
        <f t="shared" si="80"/>
        <v>2</v>
      </c>
      <c r="CI42" s="61" t="str">
        <f t="shared" si="58"/>
        <v/>
      </c>
      <c r="CJ42" s="61" t="str">
        <f t="shared" si="59"/>
        <v/>
      </c>
      <c r="CK42" s="61" t="str">
        <f t="shared" si="60"/>
        <v/>
      </c>
      <c r="CL42" s="61" t="str">
        <f t="shared" si="36"/>
        <v/>
      </c>
      <c r="CM42" s="61" t="str">
        <f t="shared" si="37"/>
        <v/>
      </c>
      <c r="CN42" s="134" t="str">
        <f t="shared" si="86"/>
        <v/>
      </c>
      <c r="CO42" s="131" t="str">
        <f t="shared" si="84"/>
        <v/>
      </c>
      <c r="CP42" s="131" t="str">
        <f t="shared" si="61"/>
        <v/>
      </c>
      <c r="CQ42" s="131" t="str">
        <f t="shared" si="62"/>
        <v/>
      </c>
      <c r="CR42" s="116" t="str">
        <f t="shared" si="63"/>
        <v/>
      </c>
      <c r="CS42" s="116" t="str">
        <f t="shared" si="64"/>
        <v/>
      </c>
      <c r="CT42" s="116" t="str">
        <f t="shared" si="65"/>
        <v/>
      </c>
      <c r="CU42" s="52">
        <f t="shared" si="66"/>
        <v>0</v>
      </c>
      <c r="CV42" s="116" t="str">
        <f t="shared" si="67"/>
        <v/>
      </c>
      <c r="CW42" s="116" t="str">
        <f t="shared" si="68"/>
        <v/>
      </c>
      <c r="CX42" s="61" t="str">
        <f t="shared" si="69"/>
        <v/>
      </c>
      <c r="CY42" s="61" t="str">
        <f t="shared" si="70"/>
        <v/>
      </c>
      <c r="CZ42" s="61" t="str">
        <f t="shared" si="71"/>
        <v/>
      </c>
      <c r="DA42" s="116" t="str">
        <f t="shared" si="95"/>
        <v/>
      </c>
      <c r="DB42" s="6" t="str">
        <f t="shared" si="82"/>
        <v/>
      </c>
      <c r="DC42" s="61" t="str">
        <f t="shared" si="72"/>
        <v/>
      </c>
      <c r="DD42" s="131" t="str">
        <f t="shared" si="87"/>
        <v/>
      </c>
      <c r="DE42" s="131" t="str">
        <f t="shared" si="88"/>
        <v/>
      </c>
      <c r="DF42" s="61" t="str">
        <f t="shared" si="89"/>
        <v/>
      </c>
      <c r="DG42" s="116" t="str">
        <f t="shared" si="73"/>
        <v/>
      </c>
      <c r="DH42" s="116" t="str">
        <f t="shared" si="74"/>
        <v/>
      </c>
    </row>
    <row r="43" spans="2:112" s="17" customFormat="1" hidden="1">
      <c r="B43" s="35"/>
      <c r="C43" s="35"/>
      <c r="D43" s="36"/>
      <c r="E43" s="35"/>
      <c r="F43" s="35"/>
      <c r="G43" s="35"/>
      <c r="H43" s="35"/>
      <c r="I43" s="35"/>
      <c r="J43" s="121"/>
      <c r="K43" s="59"/>
      <c r="AC43" s="47" t="s">
        <v>222</v>
      </c>
      <c r="AD43" s="52" t="str">
        <f t="shared" si="1"/>
        <v/>
      </c>
      <c r="AE43" s="52">
        <f t="shared" si="2"/>
        <v>0</v>
      </c>
      <c r="AF43" s="52">
        <f t="shared" si="75"/>
        <v>6</v>
      </c>
      <c r="AG43" s="61" t="str">
        <f t="shared" si="3"/>
        <v/>
      </c>
      <c r="AH43" s="52">
        <f t="shared" si="4"/>
        <v>0</v>
      </c>
      <c r="AI43" s="52">
        <f t="shared" si="43"/>
        <v>7</v>
      </c>
      <c r="AJ43" s="52" t="str">
        <f t="shared" si="44"/>
        <v/>
      </c>
      <c r="AK43" s="61" t="str">
        <f t="shared" si="5"/>
        <v/>
      </c>
      <c r="AL43" s="95" t="str">
        <f t="shared" si="6"/>
        <v/>
      </c>
      <c r="AM43" s="61" t="str">
        <f t="shared" si="7"/>
        <v>if () {$("#adv_").html("Requierd");$("#").css({"background":"yellow"});} else {$("#adv_").html("");$("#").css({"background":"white"});}</v>
      </c>
      <c r="AN43" s="61" t="str">
        <f t="shared" si="8"/>
        <v>if (=="") {$("#adv_").html("Requierd");} else {$("#adv_").html("");}</v>
      </c>
      <c r="AO43" s="50" t="str">
        <f t="shared" si="9"/>
        <v/>
      </c>
      <c r="AP43" s="61" t="str">
        <f t="shared" si="10"/>
        <v>=$("#").val();</v>
      </c>
      <c r="AQ43" s="61" t="str">
        <f t="shared" si="45"/>
        <v/>
      </c>
      <c r="AR43" s="61" t="str">
        <f t="shared" si="11"/>
        <v>=document.getElementById("").checked;</v>
      </c>
      <c r="AS43" s="102" t="str">
        <f t="shared" si="12"/>
        <v>if (isset($_GET[''])) {$=($_GET['']);}else $='';</v>
      </c>
      <c r="AT43" s="52" t="str">
        <f t="shared" si="13"/>
        <v>EPS</v>
      </c>
      <c r="AU43" s="52" t="str">
        <f t="shared" si="14"/>
        <v>else if (document.getElementById("</v>
      </c>
      <c r="AV43" s="61" t="str">
        <f t="shared" si="15"/>
        <v>else if (document.getElementById("").checked==true) {EPS="";}</v>
      </c>
      <c r="AW43" s="61" t="str">
        <f t="shared" si="93"/>
        <v/>
      </c>
      <c r="AX43" s="102" t="str">
        <f t="shared" si="16"/>
        <v/>
      </c>
      <c r="AY43" s="135" t="str">
        <f t="shared" si="46"/>
        <v/>
      </c>
      <c r="AZ43" s="50" t="str">
        <f t="shared" si="17"/>
        <v>&lt;input type="checkbox" id="" name="" value="1" /&gt;</v>
      </c>
      <c r="BA43" s="105" t="str">
        <f t="shared" si="18"/>
        <v>&lt;br/&gt;&lt;textarea rows="2" cols="80" id=""&gt;&lt;/textarea&gt;&lt;br/&gt;</v>
      </c>
      <c r="BB43" s="50" t="str">
        <f t="shared" si="19"/>
        <v>&lt;input type="radio" name="EPS" id="" value="" /&gt;</v>
      </c>
      <c r="BC43" s="107" t="str">
        <f t="shared" si="20"/>
        <v>&lt;input type="text"  size="7"  id="" class="datepicker"/&gt;</v>
      </c>
      <c r="BD43" s="109" t="str">
        <f t="shared" si="47"/>
        <v/>
      </c>
      <c r="BE43" s="61" t="str">
        <f t="shared" si="21"/>
        <v/>
      </c>
      <c r="BF43" s="52">
        <f t="shared" si="83"/>
        <v>12</v>
      </c>
      <c r="BG43" s="61" t="str">
        <f t="shared" si="48"/>
        <v/>
      </c>
      <c r="BH43" s="102" t="str">
        <f t="shared" si="22"/>
        <v/>
      </c>
      <c r="BI43" s="105" t="str">
        <f t="shared" si="85"/>
        <v/>
      </c>
      <c r="BJ43" s="52" t="str">
        <f t="shared" si="49"/>
        <v/>
      </c>
      <c r="BK43" s="52">
        <f t="shared" si="50"/>
        <v>0</v>
      </c>
      <c r="BL43" s="52">
        <f t="shared" si="51"/>
        <v>2</v>
      </c>
      <c r="BM43" s="52" t="str">
        <f t="shared" si="77"/>
        <v/>
      </c>
      <c r="BN43" s="52" t="str">
        <f t="shared" si="24"/>
        <v/>
      </c>
      <c r="BO43" s="52" t="str">
        <f t="shared" si="94"/>
        <v/>
      </c>
      <c r="BP43" s="113" t="str">
        <f t="shared" si="52"/>
        <v/>
      </c>
      <c r="BQ43" s="52" t="str">
        <f t="shared" si="79"/>
        <v/>
      </c>
      <c r="BR43" s="52" t="str">
        <f t="shared" si="53"/>
        <v/>
      </c>
      <c r="BS43" s="52" t="str">
        <f t="shared" si="54"/>
        <v/>
      </c>
      <c r="BT43" s="52" t="str">
        <f t="shared" si="55"/>
        <v/>
      </c>
      <c r="BU43" s="52" t="str">
        <f t="shared" si="56"/>
        <v/>
      </c>
      <c r="BV43" s="102" t="str">
        <f t="shared" si="25"/>
        <v/>
      </c>
      <c r="BW43" s="116" t="str">
        <f t="shared" si="26"/>
        <v/>
      </c>
      <c r="BX43" s="61" t="str">
        <f t="shared" si="27"/>
        <v/>
      </c>
      <c r="BY43" s="52" t="str">
        <f t="shared" si="28"/>
        <v/>
      </c>
      <c r="BZ43" s="52" t="str">
        <f t="shared" si="29"/>
        <v/>
      </c>
      <c r="CA43" s="52" t="str">
        <f t="shared" si="57"/>
        <v/>
      </c>
      <c r="CB43" s="52" t="str">
        <f t="shared" si="30"/>
        <v/>
      </c>
      <c r="CC43" s="52" t="str">
        <f t="shared" si="31"/>
        <v/>
      </c>
      <c r="CD43" s="102" t="str">
        <f t="shared" si="32"/>
        <v/>
      </c>
      <c r="CE43" s="116" t="str">
        <f t="shared" si="33"/>
        <v/>
      </c>
      <c r="CF43" s="116" t="str">
        <f t="shared" si="92"/>
        <v/>
      </c>
      <c r="CG43" s="61" t="str">
        <f t="shared" si="35"/>
        <v/>
      </c>
      <c r="CH43" s="52">
        <f t="shared" si="80"/>
        <v>2</v>
      </c>
      <c r="CI43" s="61" t="str">
        <f t="shared" si="58"/>
        <v/>
      </c>
      <c r="CJ43" s="61" t="str">
        <f t="shared" si="59"/>
        <v/>
      </c>
      <c r="CK43" s="61" t="str">
        <f t="shared" si="60"/>
        <v/>
      </c>
      <c r="CL43" s="61" t="str">
        <f t="shared" si="36"/>
        <v/>
      </c>
      <c r="CM43" s="61" t="str">
        <f t="shared" si="37"/>
        <v/>
      </c>
      <c r="CN43" s="134" t="str">
        <f t="shared" si="86"/>
        <v/>
      </c>
      <c r="CO43" s="131" t="str">
        <f t="shared" si="84"/>
        <v/>
      </c>
      <c r="CP43" s="131" t="str">
        <f t="shared" si="61"/>
        <v/>
      </c>
      <c r="CQ43" s="131" t="str">
        <f t="shared" si="62"/>
        <v/>
      </c>
      <c r="CR43" s="116" t="str">
        <f t="shared" si="63"/>
        <v/>
      </c>
      <c r="CS43" s="116" t="str">
        <f t="shared" si="64"/>
        <v/>
      </c>
      <c r="CT43" s="116" t="str">
        <f t="shared" si="65"/>
        <v/>
      </c>
      <c r="CU43" s="52">
        <f t="shared" si="66"/>
        <v>0</v>
      </c>
      <c r="CV43" s="116" t="str">
        <f t="shared" si="67"/>
        <v/>
      </c>
      <c r="CW43" s="116" t="str">
        <f t="shared" si="68"/>
        <v/>
      </c>
      <c r="CX43" s="61" t="str">
        <f t="shared" si="69"/>
        <v/>
      </c>
      <c r="CY43" s="61" t="str">
        <f t="shared" si="70"/>
        <v/>
      </c>
      <c r="CZ43" s="61" t="str">
        <f t="shared" si="71"/>
        <v/>
      </c>
      <c r="DA43" s="116" t="str">
        <f t="shared" si="95"/>
        <v/>
      </c>
      <c r="DB43" s="6" t="str">
        <f t="shared" si="82"/>
        <v/>
      </c>
      <c r="DC43" s="61" t="str">
        <f t="shared" si="72"/>
        <v/>
      </c>
      <c r="DD43" s="131" t="str">
        <f t="shared" si="87"/>
        <v/>
      </c>
      <c r="DE43" s="131" t="str">
        <f t="shared" si="88"/>
        <v/>
      </c>
      <c r="DF43" s="61" t="str">
        <f t="shared" si="89"/>
        <v/>
      </c>
      <c r="DG43" s="116" t="str">
        <f t="shared" si="73"/>
        <v/>
      </c>
      <c r="DH43" s="116" t="str">
        <f t="shared" si="74"/>
        <v/>
      </c>
    </row>
    <row r="44" spans="2:112" s="17" customFormat="1" hidden="1">
      <c r="B44" s="35"/>
      <c r="C44" s="35"/>
      <c r="D44" s="36"/>
      <c r="E44" s="35"/>
      <c r="F44" s="35"/>
      <c r="G44" s="35"/>
      <c r="H44" s="35"/>
      <c r="I44" s="35"/>
      <c r="J44" s="121"/>
      <c r="K44" s="59"/>
      <c r="AC44" s="47" t="s">
        <v>223</v>
      </c>
      <c r="AD44" s="52" t="str">
        <f t="shared" si="1"/>
        <v/>
      </c>
      <c r="AE44" s="52">
        <f t="shared" si="2"/>
        <v>0</v>
      </c>
      <c r="AF44" s="52">
        <f t="shared" si="75"/>
        <v>6</v>
      </c>
      <c r="AG44" s="61" t="str">
        <f t="shared" si="3"/>
        <v/>
      </c>
      <c r="AH44" s="52">
        <f t="shared" si="4"/>
        <v>0</v>
      </c>
      <c r="AI44" s="52">
        <f t="shared" si="43"/>
        <v>7</v>
      </c>
      <c r="AJ44" s="52" t="str">
        <f t="shared" si="44"/>
        <v/>
      </c>
      <c r="AK44" s="61" t="str">
        <f t="shared" si="5"/>
        <v/>
      </c>
      <c r="AL44" s="95" t="str">
        <f t="shared" si="6"/>
        <v/>
      </c>
      <c r="AM44" s="61" t="str">
        <f t="shared" si="7"/>
        <v>if () {$("#adv_").html("Requierd");$("#").css({"background":"yellow"});} else {$("#adv_").html("");$("#").css({"background":"white"});}</v>
      </c>
      <c r="AN44" s="61" t="str">
        <f t="shared" si="8"/>
        <v>if (=="") {$("#adv_").html("Requierd");} else {$("#adv_").html("");}</v>
      </c>
      <c r="AO44" s="50" t="str">
        <f t="shared" si="9"/>
        <v/>
      </c>
      <c r="AP44" s="61" t="str">
        <f t="shared" si="10"/>
        <v>=$("#").val();</v>
      </c>
      <c r="AQ44" s="61" t="str">
        <f t="shared" si="45"/>
        <v/>
      </c>
      <c r="AR44" s="61" t="str">
        <f t="shared" si="11"/>
        <v>=document.getElementById("").checked;</v>
      </c>
      <c r="AS44" s="102" t="str">
        <f t="shared" si="12"/>
        <v>if (isset($_GET[''])) {$=($_GET['']);}else $='';</v>
      </c>
      <c r="AT44" s="52" t="str">
        <f t="shared" si="13"/>
        <v>EPS</v>
      </c>
      <c r="AU44" s="52" t="str">
        <f t="shared" si="14"/>
        <v>else if (document.getElementById("</v>
      </c>
      <c r="AV44" s="61" t="str">
        <f t="shared" si="15"/>
        <v>else if (document.getElementById("").checked==true) {EPS="";}</v>
      </c>
      <c r="AW44" s="61" t="str">
        <f t="shared" si="93"/>
        <v/>
      </c>
      <c r="AX44" s="102" t="str">
        <f t="shared" si="16"/>
        <v/>
      </c>
      <c r="AY44" s="135" t="str">
        <f t="shared" si="46"/>
        <v/>
      </c>
      <c r="AZ44" s="50" t="str">
        <f t="shared" si="17"/>
        <v>&lt;input type="checkbox" id="" name="" value="1" /&gt;</v>
      </c>
      <c r="BA44" s="105" t="str">
        <f t="shared" si="18"/>
        <v>&lt;br/&gt;&lt;textarea rows="2" cols="80" id=""&gt;&lt;/textarea&gt;&lt;br/&gt;</v>
      </c>
      <c r="BB44" s="50" t="str">
        <f t="shared" si="19"/>
        <v>&lt;input type="radio" name="EPS" id="" value="" /&gt;</v>
      </c>
      <c r="BC44" s="107" t="str">
        <f t="shared" si="20"/>
        <v>&lt;input type="text"  size="7"  id="" class="datepicker"/&gt;</v>
      </c>
      <c r="BD44" s="109" t="str">
        <f t="shared" si="47"/>
        <v/>
      </c>
      <c r="BE44" s="61" t="str">
        <f t="shared" si="21"/>
        <v/>
      </c>
      <c r="BF44" s="52">
        <f t="shared" si="83"/>
        <v>12</v>
      </c>
      <c r="BG44" s="61" t="str">
        <f t="shared" si="48"/>
        <v/>
      </c>
      <c r="BH44" s="102" t="str">
        <f t="shared" si="22"/>
        <v/>
      </c>
      <c r="BI44" s="105" t="str">
        <f t="shared" si="85"/>
        <v/>
      </c>
      <c r="BJ44" s="52" t="str">
        <f t="shared" si="49"/>
        <v/>
      </c>
      <c r="BK44" s="52">
        <f t="shared" si="50"/>
        <v>0</v>
      </c>
      <c r="BL44" s="52">
        <f t="shared" si="51"/>
        <v>2</v>
      </c>
      <c r="BM44" s="52" t="str">
        <f t="shared" si="77"/>
        <v/>
      </c>
      <c r="BN44" s="52" t="str">
        <f t="shared" si="24"/>
        <v/>
      </c>
      <c r="BO44" s="52" t="str">
        <f t="shared" si="94"/>
        <v/>
      </c>
      <c r="BP44" s="113" t="str">
        <f t="shared" si="52"/>
        <v/>
      </c>
      <c r="BQ44" s="52" t="str">
        <f t="shared" si="79"/>
        <v/>
      </c>
      <c r="BR44" s="52" t="str">
        <f t="shared" si="53"/>
        <v/>
      </c>
      <c r="BS44" s="52" t="str">
        <f t="shared" si="54"/>
        <v/>
      </c>
      <c r="BT44" s="52" t="str">
        <f t="shared" si="55"/>
        <v/>
      </c>
      <c r="BU44" s="52" t="str">
        <f t="shared" si="56"/>
        <v/>
      </c>
      <c r="BV44" s="102" t="str">
        <f t="shared" si="25"/>
        <v/>
      </c>
      <c r="BW44" s="116" t="str">
        <f t="shared" si="26"/>
        <v/>
      </c>
      <c r="BX44" s="61" t="str">
        <f t="shared" si="27"/>
        <v/>
      </c>
      <c r="BY44" s="52" t="str">
        <f t="shared" si="28"/>
        <v/>
      </c>
      <c r="BZ44" s="52" t="str">
        <f t="shared" si="29"/>
        <v/>
      </c>
      <c r="CA44" s="52" t="str">
        <f t="shared" si="57"/>
        <v/>
      </c>
      <c r="CB44" s="52" t="str">
        <f t="shared" si="30"/>
        <v/>
      </c>
      <c r="CC44" s="52" t="str">
        <f t="shared" si="31"/>
        <v/>
      </c>
      <c r="CD44" s="102" t="str">
        <f t="shared" si="32"/>
        <v/>
      </c>
      <c r="CE44" s="116" t="str">
        <f t="shared" si="33"/>
        <v/>
      </c>
      <c r="CF44" s="116" t="str">
        <f t="shared" si="92"/>
        <v/>
      </c>
      <c r="CG44" s="61" t="str">
        <f t="shared" si="35"/>
        <v/>
      </c>
      <c r="CH44" s="52">
        <f t="shared" si="80"/>
        <v>2</v>
      </c>
      <c r="CI44" s="61" t="str">
        <f t="shared" si="58"/>
        <v/>
      </c>
      <c r="CJ44" s="61" t="str">
        <f t="shared" si="59"/>
        <v/>
      </c>
      <c r="CK44" s="61" t="str">
        <f t="shared" si="60"/>
        <v/>
      </c>
      <c r="CL44" s="61" t="str">
        <f t="shared" si="36"/>
        <v/>
      </c>
      <c r="CM44" s="61" t="str">
        <f t="shared" si="37"/>
        <v/>
      </c>
      <c r="CN44" s="134" t="str">
        <f t="shared" si="86"/>
        <v/>
      </c>
      <c r="CO44" s="131" t="str">
        <f t="shared" si="84"/>
        <v/>
      </c>
      <c r="CP44" s="131" t="str">
        <f t="shared" si="61"/>
        <v/>
      </c>
      <c r="CQ44" s="131" t="str">
        <f t="shared" si="62"/>
        <v/>
      </c>
      <c r="CR44" s="116" t="str">
        <f t="shared" si="63"/>
        <v/>
      </c>
      <c r="CS44" s="116" t="str">
        <f t="shared" si="64"/>
        <v/>
      </c>
      <c r="CT44" s="116" t="str">
        <f t="shared" si="65"/>
        <v/>
      </c>
      <c r="CU44" s="52">
        <f t="shared" si="66"/>
        <v>0</v>
      </c>
      <c r="CV44" s="116" t="str">
        <f t="shared" si="67"/>
        <v/>
      </c>
      <c r="CW44" s="116" t="str">
        <f t="shared" si="68"/>
        <v/>
      </c>
      <c r="CX44" s="61" t="str">
        <f t="shared" si="69"/>
        <v/>
      </c>
      <c r="CY44" s="61" t="str">
        <f t="shared" si="70"/>
        <v/>
      </c>
      <c r="CZ44" s="61" t="str">
        <f t="shared" si="71"/>
        <v/>
      </c>
      <c r="DA44" s="116" t="str">
        <f t="shared" si="95"/>
        <v/>
      </c>
      <c r="DB44" s="6" t="str">
        <f t="shared" si="82"/>
        <v/>
      </c>
      <c r="DC44" s="61" t="str">
        <f t="shared" si="72"/>
        <v/>
      </c>
      <c r="DD44" s="131" t="str">
        <f t="shared" si="87"/>
        <v/>
      </c>
      <c r="DE44" s="131" t="str">
        <f t="shared" si="88"/>
        <v/>
      </c>
      <c r="DF44" s="61" t="str">
        <f t="shared" si="89"/>
        <v/>
      </c>
      <c r="DG44" s="116" t="str">
        <f t="shared" si="73"/>
        <v/>
      </c>
      <c r="DH44" s="116" t="str">
        <f t="shared" si="74"/>
        <v/>
      </c>
    </row>
    <row r="45" spans="2:112" s="17" customFormat="1" hidden="1">
      <c r="B45" s="35"/>
      <c r="C45" s="35"/>
      <c r="D45" s="36"/>
      <c r="E45" s="35"/>
      <c r="F45" s="35"/>
      <c r="G45" s="35"/>
      <c r="H45" s="35"/>
      <c r="I45" s="35"/>
      <c r="J45" s="121"/>
      <c r="K45" s="59"/>
      <c r="AC45" s="47" t="s">
        <v>224</v>
      </c>
      <c r="AD45" s="52" t="str">
        <f t="shared" si="1"/>
        <v/>
      </c>
      <c r="AE45" s="52">
        <f t="shared" si="2"/>
        <v>0</v>
      </c>
      <c r="AF45" s="52">
        <f t="shared" si="75"/>
        <v>6</v>
      </c>
      <c r="AG45" s="61" t="str">
        <f t="shared" si="3"/>
        <v/>
      </c>
      <c r="AH45" s="52">
        <f t="shared" si="4"/>
        <v>0</v>
      </c>
      <c r="AI45" s="52">
        <f t="shared" si="43"/>
        <v>7</v>
      </c>
      <c r="AJ45" s="52" t="str">
        <f t="shared" si="44"/>
        <v/>
      </c>
      <c r="AK45" s="61" t="str">
        <f t="shared" si="5"/>
        <v/>
      </c>
      <c r="AL45" s="95" t="str">
        <f t="shared" si="6"/>
        <v/>
      </c>
      <c r="AM45" s="61" t="str">
        <f t="shared" si="7"/>
        <v>if () {$("#adv_").html("Requierd");$("#").css({"background":"yellow"});} else {$("#adv_").html("");$("#").css({"background":"white"});}</v>
      </c>
      <c r="AN45" s="61" t="str">
        <f t="shared" si="8"/>
        <v>if (=="") {$("#adv_").html("Requierd");} else {$("#adv_").html("");}</v>
      </c>
      <c r="AO45" s="50" t="str">
        <f t="shared" si="9"/>
        <v/>
      </c>
      <c r="AP45" s="61" t="str">
        <f t="shared" si="10"/>
        <v>=$("#").val();</v>
      </c>
      <c r="AQ45" s="61" t="str">
        <f t="shared" si="45"/>
        <v/>
      </c>
      <c r="AR45" s="61" t="str">
        <f t="shared" si="11"/>
        <v>=document.getElementById("").checked;</v>
      </c>
      <c r="AS45" s="102" t="str">
        <f t="shared" si="12"/>
        <v>if (isset($_GET[''])) {$=($_GET['']);}else $='';</v>
      </c>
      <c r="AT45" s="52" t="str">
        <f t="shared" si="13"/>
        <v>EPS</v>
      </c>
      <c r="AU45" s="52" t="str">
        <f t="shared" si="14"/>
        <v>else if (document.getElementById("</v>
      </c>
      <c r="AV45" s="61" t="str">
        <f t="shared" si="15"/>
        <v>else if (document.getElementById("").checked==true) {EPS="";}</v>
      </c>
      <c r="AW45" s="61" t="str">
        <f t="shared" si="93"/>
        <v/>
      </c>
      <c r="AX45" s="102" t="str">
        <f t="shared" si="16"/>
        <v/>
      </c>
      <c r="AY45" s="135" t="str">
        <f t="shared" si="46"/>
        <v/>
      </c>
      <c r="AZ45" s="50" t="str">
        <f t="shared" si="17"/>
        <v>&lt;input type="checkbox" id="" name="" value="1" /&gt;</v>
      </c>
      <c r="BA45" s="105" t="str">
        <f t="shared" si="18"/>
        <v>&lt;br/&gt;&lt;textarea rows="2" cols="80" id=""&gt;&lt;/textarea&gt;&lt;br/&gt;</v>
      </c>
      <c r="BB45" s="50" t="str">
        <f t="shared" si="19"/>
        <v>&lt;input type="radio" name="EPS" id="" value="" /&gt;</v>
      </c>
      <c r="BC45" s="107" t="str">
        <f t="shared" si="20"/>
        <v>&lt;input type="text"  size="7"  id="" class="datepicker"/&gt;</v>
      </c>
      <c r="BD45" s="109" t="str">
        <f t="shared" si="47"/>
        <v/>
      </c>
      <c r="BE45" s="61" t="str">
        <f t="shared" si="21"/>
        <v/>
      </c>
      <c r="BF45" s="52">
        <f t="shared" si="83"/>
        <v>12</v>
      </c>
      <c r="BG45" s="61" t="str">
        <f t="shared" si="48"/>
        <v/>
      </c>
      <c r="BH45" s="102" t="str">
        <f t="shared" si="22"/>
        <v/>
      </c>
      <c r="BI45" s="105" t="str">
        <f t="shared" si="85"/>
        <v/>
      </c>
      <c r="BJ45" s="52" t="str">
        <f t="shared" si="49"/>
        <v/>
      </c>
      <c r="BK45" s="52">
        <f t="shared" si="50"/>
        <v>0</v>
      </c>
      <c r="BL45" s="52">
        <f t="shared" si="51"/>
        <v>2</v>
      </c>
      <c r="BM45" s="52" t="str">
        <f t="shared" si="77"/>
        <v/>
      </c>
      <c r="BN45" s="52" t="str">
        <f t="shared" si="24"/>
        <v/>
      </c>
      <c r="BO45" s="52" t="str">
        <f t="shared" si="94"/>
        <v/>
      </c>
      <c r="BP45" s="113" t="str">
        <f t="shared" si="52"/>
        <v/>
      </c>
      <c r="BQ45" s="52" t="str">
        <f t="shared" si="79"/>
        <v/>
      </c>
      <c r="BR45" s="52" t="str">
        <f t="shared" si="53"/>
        <v/>
      </c>
      <c r="BS45" s="52" t="str">
        <f t="shared" si="54"/>
        <v/>
      </c>
      <c r="BT45" s="52" t="str">
        <f t="shared" si="55"/>
        <v/>
      </c>
      <c r="BU45" s="52" t="str">
        <f t="shared" si="56"/>
        <v/>
      </c>
      <c r="BV45" s="102" t="str">
        <f t="shared" si="25"/>
        <v/>
      </c>
      <c r="BW45" s="116" t="str">
        <f t="shared" si="26"/>
        <v/>
      </c>
      <c r="BX45" s="61" t="str">
        <f t="shared" si="27"/>
        <v/>
      </c>
      <c r="BY45" s="52" t="str">
        <f t="shared" si="28"/>
        <v/>
      </c>
      <c r="BZ45" s="52" t="str">
        <f t="shared" si="29"/>
        <v/>
      </c>
      <c r="CA45" s="52" t="str">
        <f t="shared" si="57"/>
        <v/>
      </c>
      <c r="CB45" s="52" t="str">
        <f t="shared" si="30"/>
        <v/>
      </c>
      <c r="CC45" s="52" t="str">
        <f t="shared" si="31"/>
        <v/>
      </c>
      <c r="CD45" s="102" t="str">
        <f t="shared" si="32"/>
        <v/>
      </c>
      <c r="CE45" s="116" t="str">
        <f t="shared" si="33"/>
        <v/>
      </c>
      <c r="CF45" s="116" t="str">
        <f t="shared" si="92"/>
        <v/>
      </c>
      <c r="CG45" s="61" t="str">
        <f t="shared" si="35"/>
        <v/>
      </c>
      <c r="CH45" s="52">
        <f t="shared" si="80"/>
        <v>2</v>
      </c>
      <c r="CI45" s="61" t="str">
        <f t="shared" si="58"/>
        <v/>
      </c>
      <c r="CJ45" s="61" t="str">
        <f t="shared" si="59"/>
        <v/>
      </c>
      <c r="CK45" s="61" t="str">
        <f t="shared" si="60"/>
        <v/>
      </c>
      <c r="CL45" s="61" t="str">
        <f t="shared" si="36"/>
        <v/>
      </c>
      <c r="CM45" s="61" t="str">
        <f t="shared" si="37"/>
        <v/>
      </c>
      <c r="CN45" s="134" t="str">
        <f t="shared" si="86"/>
        <v/>
      </c>
      <c r="CO45" s="131" t="str">
        <f t="shared" si="84"/>
        <v/>
      </c>
      <c r="CP45" s="131" t="str">
        <f t="shared" si="61"/>
        <v/>
      </c>
      <c r="CQ45" s="131" t="str">
        <f t="shared" si="62"/>
        <v/>
      </c>
      <c r="CR45" s="116" t="str">
        <f t="shared" si="63"/>
        <v/>
      </c>
      <c r="CS45" s="116" t="str">
        <f t="shared" si="64"/>
        <v/>
      </c>
      <c r="CT45" s="116" t="str">
        <f t="shared" si="65"/>
        <v/>
      </c>
      <c r="CU45" s="52">
        <f t="shared" si="66"/>
        <v>0</v>
      </c>
      <c r="CV45" s="116" t="str">
        <f t="shared" si="67"/>
        <v/>
      </c>
      <c r="CW45" s="116" t="str">
        <f t="shared" si="68"/>
        <v/>
      </c>
      <c r="CX45" s="61" t="str">
        <f t="shared" si="69"/>
        <v/>
      </c>
      <c r="CY45" s="61" t="str">
        <f t="shared" si="70"/>
        <v/>
      </c>
      <c r="CZ45" s="61" t="str">
        <f t="shared" si="71"/>
        <v/>
      </c>
      <c r="DA45" s="116" t="str">
        <f t="shared" si="95"/>
        <v/>
      </c>
      <c r="DB45" s="6" t="str">
        <f t="shared" si="82"/>
        <v/>
      </c>
      <c r="DC45" s="61" t="str">
        <f t="shared" si="72"/>
        <v/>
      </c>
      <c r="DD45" s="131" t="str">
        <f t="shared" si="87"/>
        <v/>
      </c>
      <c r="DE45" s="131" t="str">
        <f t="shared" si="88"/>
        <v/>
      </c>
      <c r="DF45" s="61" t="str">
        <f t="shared" si="89"/>
        <v/>
      </c>
      <c r="DG45" s="116" t="str">
        <f t="shared" si="73"/>
        <v/>
      </c>
      <c r="DH45" s="116" t="str">
        <f t="shared" si="74"/>
        <v/>
      </c>
    </row>
    <row r="46" spans="2:112" s="17" customFormat="1" hidden="1">
      <c r="B46" s="35"/>
      <c r="C46" s="35"/>
      <c r="D46" s="36"/>
      <c r="E46" s="35"/>
      <c r="F46" s="35"/>
      <c r="G46" s="35"/>
      <c r="H46" s="35"/>
      <c r="I46" s="35"/>
      <c r="J46" s="121"/>
      <c r="K46" s="59"/>
      <c r="AC46" s="47" t="s">
        <v>225</v>
      </c>
      <c r="AD46" s="52" t="str">
        <f t="shared" si="1"/>
        <v/>
      </c>
      <c r="AE46" s="52">
        <f t="shared" si="2"/>
        <v>0</v>
      </c>
      <c r="AF46" s="52">
        <f t="shared" si="75"/>
        <v>6</v>
      </c>
      <c r="AG46" s="61" t="str">
        <f t="shared" si="3"/>
        <v/>
      </c>
      <c r="AH46" s="52">
        <f t="shared" si="4"/>
        <v>0</v>
      </c>
      <c r="AI46" s="52">
        <f t="shared" si="43"/>
        <v>7</v>
      </c>
      <c r="AJ46" s="52" t="str">
        <f t="shared" si="44"/>
        <v/>
      </c>
      <c r="AK46" s="61" t="str">
        <f t="shared" si="5"/>
        <v/>
      </c>
      <c r="AL46" s="95" t="str">
        <f t="shared" si="6"/>
        <v/>
      </c>
      <c r="AM46" s="61" t="str">
        <f t="shared" si="7"/>
        <v>if () {$("#adv_").html("Requierd");$("#").css({"background":"yellow"});} else {$("#adv_").html("");$("#").css({"background":"white"});}</v>
      </c>
      <c r="AN46" s="61" t="str">
        <f t="shared" si="8"/>
        <v>if (=="") {$("#adv_").html("Requierd");} else {$("#adv_").html("");}</v>
      </c>
      <c r="AO46" s="50" t="str">
        <f t="shared" si="9"/>
        <v/>
      </c>
      <c r="AP46" s="61" t="str">
        <f t="shared" si="10"/>
        <v>=$("#").val();</v>
      </c>
      <c r="AQ46" s="61" t="str">
        <f t="shared" si="45"/>
        <v/>
      </c>
      <c r="AR46" s="61" t="str">
        <f t="shared" si="11"/>
        <v>=document.getElementById("").checked;</v>
      </c>
      <c r="AS46" s="102" t="str">
        <f t="shared" si="12"/>
        <v>if (isset($_GET[''])) {$=($_GET['']);}else $='';</v>
      </c>
      <c r="AT46" s="52" t="str">
        <f t="shared" si="13"/>
        <v>EPS</v>
      </c>
      <c r="AU46" s="52" t="str">
        <f t="shared" si="14"/>
        <v>else if (document.getElementById("</v>
      </c>
      <c r="AV46" s="61" t="str">
        <f t="shared" si="15"/>
        <v>else if (document.getElementById("").checked==true) {EPS="";}</v>
      </c>
      <c r="AW46" s="61" t="str">
        <f t="shared" si="93"/>
        <v/>
      </c>
      <c r="AX46" s="102" t="str">
        <f t="shared" si="16"/>
        <v/>
      </c>
      <c r="AY46" s="135" t="str">
        <f t="shared" si="46"/>
        <v/>
      </c>
      <c r="AZ46" s="50" t="str">
        <f t="shared" si="17"/>
        <v>&lt;input type="checkbox" id="" name="" value="1" /&gt;</v>
      </c>
      <c r="BA46" s="105" t="str">
        <f t="shared" si="18"/>
        <v>&lt;br/&gt;&lt;textarea rows="2" cols="80" id=""&gt;&lt;/textarea&gt;&lt;br/&gt;</v>
      </c>
      <c r="BB46" s="50" t="str">
        <f t="shared" si="19"/>
        <v>&lt;input type="radio" name="EPS" id="" value="" /&gt;</v>
      </c>
      <c r="BC46" s="107" t="str">
        <f t="shared" si="20"/>
        <v>&lt;input type="text"  size="7"  id="" class="datepicker"/&gt;</v>
      </c>
      <c r="BD46" s="109" t="str">
        <f t="shared" si="47"/>
        <v/>
      </c>
      <c r="BE46" s="61" t="str">
        <f t="shared" si="21"/>
        <v/>
      </c>
      <c r="BF46" s="52">
        <f t="shared" si="83"/>
        <v>12</v>
      </c>
      <c r="BG46" s="61" t="str">
        <f t="shared" si="48"/>
        <v/>
      </c>
      <c r="BH46" s="102" t="str">
        <f t="shared" si="22"/>
        <v/>
      </c>
      <c r="BI46" s="105" t="str">
        <f t="shared" si="85"/>
        <v/>
      </c>
      <c r="BJ46" s="52" t="str">
        <f t="shared" si="49"/>
        <v/>
      </c>
      <c r="BK46" s="52">
        <f t="shared" si="50"/>
        <v>0</v>
      </c>
      <c r="BL46" s="52">
        <f t="shared" si="51"/>
        <v>2</v>
      </c>
      <c r="BM46" s="52" t="str">
        <f t="shared" si="77"/>
        <v/>
      </c>
      <c r="BN46" s="52" t="str">
        <f t="shared" si="24"/>
        <v/>
      </c>
      <c r="BO46" s="52" t="str">
        <f t="shared" si="94"/>
        <v/>
      </c>
      <c r="BP46" s="113" t="str">
        <f t="shared" si="52"/>
        <v/>
      </c>
      <c r="BQ46" s="52" t="str">
        <f t="shared" si="79"/>
        <v/>
      </c>
      <c r="BR46" s="52" t="str">
        <f t="shared" si="53"/>
        <v/>
      </c>
      <c r="BS46" s="52" t="str">
        <f t="shared" si="54"/>
        <v/>
      </c>
      <c r="BT46" s="52" t="str">
        <f t="shared" si="55"/>
        <v/>
      </c>
      <c r="BU46" s="52" t="str">
        <f t="shared" si="56"/>
        <v/>
      </c>
      <c r="BV46" s="102" t="str">
        <f t="shared" si="25"/>
        <v/>
      </c>
      <c r="BW46" s="116" t="str">
        <f t="shared" si="26"/>
        <v/>
      </c>
      <c r="BX46" s="61" t="str">
        <f t="shared" si="27"/>
        <v/>
      </c>
      <c r="BY46" s="52" t="str">
        <f t="shared" si="28"/>
        <v/>
      </c>
      <c r="BZ46" s="52" t="str">
        <f t="shared" si="29"/>
        <v/>
      </c>
      <c r="CA46" s="52" t="str">
        <f t="shared" si="57"/>
        <v/>
      </c>
      <c r="CB46" s="52" t="str">
        <f t="shared" si="30"/>
        <v/>
      </c>
      <c r="CC46" s="52" t="str">
        <f t="shared" si="31"/>
        <v/>
      </c>
      <c r="CD46" s="102" t="str">
        <f t="shared" si="32"/>
        <v/>
      </c>
      <c r="CE46" s="116" t="str">
        <f t="shared" si="33"/>
        <v/>
      </c>
      <c r="CF46" s="116" t="str">
        <f t="shared" si="92"/>
        <v/>
      </c>
      <c r="CG46" s="61" t="str">
        <f t="shared" si="35"/>
        <v/>
      </c>
      <c r="CH46" s="52">
        <f t="shared" si="80"/>
        <v>2</v>
      </c>
      <c r="CI46" s="61" t="str">
        <f t="shared" si="58"/>
        <v/>
      </c>
      <c r="CJ46" s="61" t="str">
        <f t="shared" si="59"/>
        <v/>
      </c>
      <c r="CK46" s="61" t="str">
        <f t="shared" si="60"/>
        <v/>
      </c>
      <c r="CL46" s="61" t="str">
        <f t="shared" si="36"/>
        <v/>
      </c>
      <c r="CM46" s="61" t="str">
        <f t="shared" si="37"/>
        <v/>
      </c>
      <c r="CN46" s="134" t="str">
        <f t="shared" si="86"/>
        <v/>
      </c>
      <c r="CO46" s="131" t="str">
        <f t="shared" si="84"/>
        <v/>
      </c>
      <c r="CP46" s="131" t="str">
        <f t="shared" si="61"/>
        <v/>
      </c>
      <c r="CQ46" s="131" t="str">
        <f t="shared" si="62"/>
        <v/>
      </c>
      <c r="CR46" s="116" t="str">
        <f t="shared" si="63"/>
        <v/>
      </c>
      <c r="CS46" s="116" t="str">
        <f t="shared" si="64"/>
        <v/>
      </c>
      <c r="CT46" s="116" t="str">
        <f t="shared" si="65"/>
        <v/>
      </c>
      <c r="CU46" s="52">
        <f t="shared" si="66"/>
        <v>0</v>
      </c>
      <c r="CV46" s="116" t="str">
        <f t="shared" si="67"/>
        <v/>
      </c>
      <c r="CW46" s="116" t="str">
        <f t="shared" si="68"/>
        <v/>
      </c>
      <c r="CX46" s="61" t="str">
        <f t="shared" si="69"/>
        <v/>
      </c>
      <c r="CY46" s="61" t="str">
        <f t="shared" si="70"/>
        <v/>
      </c>
      <c r="CZ46" s="61" t="str">
        <f t="shared" si="71"/>
        <v/>
      </c>
      <c r="DA46" s="116" t="str">
        <f t="shared" si="95"/>
        <v/>
      </c>
      <c r="DB46" s="6" t="str">
        <f t="shared" si="82"/>
        <v/>
      </c>
      <c r="DC46" s="61" t="str">
        <f t="shared" si="72"/>
        <v/>
      </c>
      <c r="DD46" s="131" t="str">
        <f t="shared" si="87"/>
        <v/>
      </c>
      <c r="DE46" s="131" t="str">
        <f t="shared" si="88"/>
        <v/>
      </c>
      <c r="DF46" s="61" t="str">
        <f t="shared" si="89"/>
        <v/>
      </c>
      <c r="DG46" s="116" t="str">
        <f t="shared" si="73"/>
        <v/>
      </c>
      <c r="DH46" s="116" t="str">
        <f t="shared" si="74"/>
        <v/>
      </c>
    </row>
    <row r="47" spans="2:112" s="17" customFormat="1" hidden="1">
      <c r="B47" s="35"/>
      <c r="C47" s="35"/>
      <c r="D47" s="36"/>
      <c r="E47" s="35"/>
      <c r="F47" s="35"/>
      <c r="G47" s="35"/>
      <c r="H47" s="35"/>
      <c r="I47" s="35"/>
      <c r="J47" s="121"/>
      <c r="K47" s="59"/>
      <c r="AC47" s="47" t="s">
        <v>226</v>
      </c>
      <c r="AD47" s="52" t="str">
        <f t="shared" ref="AD47:AD78" si="96">+IF(G47="si",C47&amp;"=="&amp;$B$4,IF(AND(F47="radio",AY47&lt;&gt;""),B47&amp;"=="&amp;$B$4,""))</f>
        <v/>
      </c>
      <c r="AE47" s="52">
        <f t="shared" ref="AE47:AE78" si="97">+IF(OR(F47=$S$2,F47=$S$6,F47=$S$7),1,0)</f>
        <v>0</v>
      </c>
      <c r="AF47" s="52">
        <f t="shared" si="75"/>
        <v>6</v>
      </c>
      <c r="AG47" s="61" t="str">
        <f t="shared" si="3"/>
        <v/>
      </c>
      <c r="AH47" s="52">
        <f t="shared" ref="AH47:AH78" si="98">+IF(G47="si",1,IF(AND(F47="radio",AY47&lt;&gt;""),1,0))</f>
        <v>0</v>
      </c>
      <c r="AI47" s="52">
        <f t="shared" si="43"/>
        <v>7</v>
      </c>
      <c r="AJ47" s="52" t="str">
        <f t="shared" si="44"/>
        <v/>
      </c>
      <c r="AK47" s="61" t="str">
        <f t="shared" si="5"/>
        <v/>
      </c>
      <c r="AL47" s="95" t="str">
        <f t="shared" ref="AL47:AL78" si="99">IF(G47="si",AM47,IF(AND(F47="radio",AY47&lt;&gt;""),AN47,""))</f>
        <v/>
      </c>
      <c r="AM47" s="61" t="str">
        <f t="shared" si="7"/>
        <v>if () {$("#adv_").html("Requierd");$("#").css({"background":"yellow"});} else {$("#adv_").html("");$("#").css({"background":"white"});}</v>
      </c>
      <c r="AN47" s="61" t="str">
        <f t="shared" si="8"/>
        <v>if (=="") {$("#adv_").html("Requierd");} else {$("#adv_").html("");}</v>
      </c>
      <c r="AO47" s="50" t="str">
        <f t="shared" ref="AO47:AO78" si="100">IF(C47="","",AY47&amp;$C$1&amp;C47&amp;$C$2&amp;C47&amp;$C$3)</f>
        <v/>
      </c>
      <c r="AP47" s="61" t="str">
        <f t="shared" si="10"/>
        <v>=$("#").val();</v>
      </c>
      <c r="AQ47" s="61" t="str">
        <f t="shared" si="45"/>
        <v/>
      </c>
      <c r="AR47" s="61" t="str">
        <f t="shared" si="11"/>
        <v>=document.getElementById("").checked;</v>
      </c>
      <c r="AS47" s="102" t="str">
        <f t="shared" si="12"/>
        <v>if (isset($_GET[''])) {$=($_GET['']);}else $='';</v>
      </c>
      <c r="AT47" s="52" t="str">
        <f t="shared" ref="AT47:AT78" si="101">+IF(B47="",AT46,B47)</f>
        <v>EPS</v>
      </c>
      <c r="AU47" s="52" t="str">
        <f t="shared" si="14"/>
        <v>else if (document.getElementById("</v>
      </c>
      <c r="AV47" s="61" t="str">
        <f t="shared" ref="AV47:AV78" si="102">AU47&amp;C47&amp;$D$3&amp;AT47&amp;"="&amp;$D$4&amp;C47&amp;$D$5&amp;IF(AND(AY47="",AY48&lt;&gt;""),"else "&amp;AT47&amp;"="&amp;$B$4&amp;";","")</f>
        <v>else if (document.getElementById("").checked==true) {EPS="";}</v>
      </c>
      <c r="AW47" s="61" t="str">
        <f t="shared" si="93"/>
        <v/>
      </c>
      <c r="AX47" s="102" t="str">
        <f t="shared" ref="AX47:AX78" si="103">IF(AY47="","",$D$8&amp;AT47&amp;$D$9&amp;AT47&amp;$D$10&amp;AT47&amp;$D$11&amp;AT47&amp;$D$12)</f>
        <v/>
      </c>
      <c r="AY47" s="135" t="str">
        <f t="shared" si="46"/>
        <v/>
      </c>
      <c r="AZ47" s="50" t="str">
        <f t="shared" ref="AZ47:AZ78" si="104">AY47&amp;$C$4&amp;C47&amp;$C$2&amp;C47&amp;$C$10</f>
        <v>&lt;input type="checkbox" id="" name="" value="1" /&gt;</v>
      </c>
      <c r="BA47" s="105" t="str">
        <f t="shared" ref="BA47:BA78" si="105">+AY47&amp;$F$5&amp;C47&amp;$F$6</f>
        <v>&lt;br/&gt;&lt;textarea rows="2" cols="80" id=""&gt;&lt;/textarea&gt;&lt;br/&gt;</v>
      </c>
      <c r="BB47" s="50" t="str">
        <f t="shared" ref="BB47:BB78" si="106">AY47&amp;IF(AY47="","",$C$6&amp;AT47&amp;$C$7&amp;"&lt;br/&gt;")&amp;C47&amp;$C$9&amp;AT47&amp;$C$11&amp;C47&amp;$C$12&amp;C47&amp;$D$1</f>
        <v>&lt;input type="radio" name="EPS" id="" value="" /&gt;</v>
      </c>
      <c r="BC47" s="107" t="str">
        <f t="shared" ref="BC47:BC78" si="107">+AY47&amp;$F$3&amp;C47&amp;$F$4</f>
        <v>&lt;input type="text"  size="7"  id="" class="datepicker"/&gt;</v>
      </c>
      <c r="BD47" s="109" t="str">
        <f t="shared" si="47"/>
        <v/>
      </c>
      <c r="BE47" s="61" t="str">
        <f t="shared" ref="BE47:BE78" si="108">IF(C47="","",IF(F47="texto",AP47,IF(F47="check",AR47,IF(F47="radio",AV47,IF(F47="date",AP47,IF(F47="bigtext",AP47,IF(F47=$S$8,"","pending selectlist")))))))</f>
        <v/>
      </c>
      <c r="BF47" s="52">
        <f t="shared" si="83"/>
        <v>12</v>
      </c>
      <c r="BG47" s="61" t="str">
        <f t="shared" si="48"/>
        <v/>
      </c>
      <c r="BH47" s="102" t="str">
        <f t="shared" ref="BH47:BH78" si="109">IF(F47=$S$8,"",IF(C47="","",IF(OR(F47="radio",F47="selectlist"),AX47,AS47)))</f>
        <v/>
      </c>
      <c r="BI47" s="105" t="str">
        <f t="shared" si="85"/>
        <v/>
      </c>
      <c r="BJ47" s="52" t="str">
        <f t="shared" si="49"/>
        <v/>
      </c>
      <c r="BK47" s="52">
        <f t="shared" si="50"/>
        <v>0</v>
      </c>
      <c r="BL47" s="52">
        <f t="shared" si="51"/>
        <v>2</v>
      </c>
      <c r="BM47" s="52" t="str">
        <f t="shared" si="77"/>
        <v/>
      </c>
      <c r="BN47" s="52" t="str">
        <f t="shared" si="24"/>
        <v/>
      </c>
      <c r="BO47" s="52" t="str">
        <f t="shared" si="94"/>
        <v/>
      </c>
      <c r="BP47" s="113" t="str">
        <f t="shared" si="52"/>
        <v/>
      </c>
      <c r="BQ47" s="52" t="str">
        <f t="shared" si="79"/>
        <v/>
      </c>
      <c r="BR47" s="52" t="str">
        <f t="shared" si="53"/>
        <v/>
      </c>
      <c r="BS47" s="52" t="str">
        <f t="shared" si="54"/>
        <v/>
      </c>
      <c r="BT47" s="52" t="str">
        <f t="shared" si="55"/>
        <v/>
      </c>
      <c r="BU47" s="52" t="str">
        <f t="shared" si="56"/>
        <v/>
      </c>
      <c r="BV47" s="102" t="str">
        <f t="shared" ref="BV47:BV78" si="110">IF(BP47="","",IF(F47="check",$F$7&amp;"$"&amp;C47&amp;$K$6&amp;B47&amp;$K$7,$F$1&amp;B47&amp;$F$2&amp;BU47&amp;";"))</f>
        <v/>
      </c>
      <c r="BW47" s="116" t="str">
        <f t="shared" ref="BW47:BW78" si="111">IF(F47=$S$8,"$"&amp;C47&amp;"="&amp;K47&amp;";","")</f>
        <v/>
      </c>
      <c r="BX47" s="61" t="str">
        <f t="shared" ref="BX47:BX78" si="112">+IF(OR(F47="texto",F47="bigtext",F47="selectlist",F47="date"),CA47,IF(F47="check",CC47,CB47))</f>
        <v/>
      </c>
      <c r="BY47" s="52" t="str">
        <f t="shared" si="28"/>
        <v/>
      </c>
      <c r="BZ47" s="52" t="str">
        <f t="shared" si="29"/>
        <v/>
      </c>
      <c r="CA47" s="52" t="str">
        <f t="shared" si="57"/>
        <v/>
      </c>
      <c r="CB47" s="52" t="str">
        <f t="shared" si="30"/>
        <v/>
      </c>
      <c r="CC47" s="52" t="str">
        <f t="shared" si="31"/>
        <v/>
      </c>
      <c r="CD47" s="102" t="str">
        <f t="shared" ref="CD47:CD78" si="113">IF(OR(C47="",B47=""),"",$J$8&amp;BP47&amp;$J$9&amp;BP47&amp;$J$10)</f>
        <v/>
      </c>
      <c r="CE47" s="116" t="str">
        <f t="shared" ref="CE47:CE78" si="114">IF(B47="","",IF(F47="check",$K$1&amp;BP47&amp;$K$2&amp;$K$3&amp;" "&amp;$D$4&amp;B47&amp;$D$4&amp;$G$9,$K$4&amp;$D$4&amp;B47&amp;":"&amp;$D$4&amp;"."&amp;$K$5&amp;BP47&amp;$K$2&amp;"];"))</f>
        <v/>
      </c>
      <c r="CF47" s="116" t="str">
        <f t="shared" si="92"/>
        <v/>
      </c>
      <c r="CG47" s="61" t="str">
        <f t="shared" ref="CG47:CG78" si="115">+IF(J47="si",BP47&amp;"="&amp;$K$10&amp;BP47&amp;$K$11,"")</f>
        <v/>
      </c>
      <c r="CH47" s="52">
        <f t="shared" si="80"/>
        <v>2</v>
      </c>
      <c r="CI47" s="61" t="str">
        <f t="shared" si="58"/>
        <v/>
      </c>
      <c r="CJ47" s="61" t="str">
        <f t="shared" si="59"/>
        <v/>
      </c>
      <c r="CK47" s="61" t="str">
        <f t="shared" si="60"/>
        <v/>
      </c>
      <c r="CL47" s="61" t="str">
        <f t="shared" ref="CL47:CL78" si="116">IF(AND(CH47&gt;1,CH47&lt;&gt;CH46),",","")&amp;IF(J47="si",BP47&amp;":"&amp;BP47,"")</f>
        <v/>
      </c>
      <c r="CM47" s="61" t="str">
        <f t="shared" ref="CM47:CM78" si="117">IF(J47="si",BZ47,"")</f>
        <v/>
      </c>
      <c r="CN47" s="134" t="str">
        <f t="shared" si="86"/>
        <v/>
      </c>
      <c r="CO47" s="131" t="str">
        <f t="shared" si="84"/>
        <v/>
      </c>
      <c r="CP47" s="131" t="str">
        <f t="shared" si="61"/>
        <v/>
      </c>
      <c r="CQ47" s="131" t="str">
        <f t="shared" si="62"/>
        <v/>
      </c>
      <c r="CR47" s="116" t="str">
        <f t="shared" si="63"/>
        <v/>
      </c>
      <c r="CS47" s="116" t="str">
        <f t="shared" si="64"/>
        <v/>
      </c>
      <c r="CT47" s="116" t="str">
        <f t="shared" si="65"/>
        <v/>
      </c>
      <c r="CU47" s="52">
        <f t="shared" si="66"/>
        <v>0</v>
      </c>
      <c r="CV47" s="116" t="str">
        <f t="shared" si="67"/>
        <v/>
      </c>
      <c r="CW47" s="116" t="str">
        <f t="shared" si="68"/>
        <v/>
      </c>
      <c r="CX47" s="61" t="str">
        <f t="shared" si="69"/>
        <v/>
      </c>
      <c r="CY47" s="61" t="str">
        <f t="shared" si="70"/>
        <v/>
      </c>
      <c r="CZ47" s="61" t="str">
        <f t="shared" si="71"/>
        <v/>
      </c>
      <c r="DA47" s="116" t="str">
        <f t="shared" si="95"/>
        <v/>
      </c>
      <c r="DB47" s="6" t="str">
        <f t="shared" si="82"/>
        <v/>
      </c>
      <c r="DC47" s="61" t="str">
        <f t="shared" si="72"/>
        <v/>
      </c>
      <c r="DD47" s="131" t="str">
        <f t="shared" si="87"/>
        <v/>
      </c>
      <c r="DE47" s="131" t="str">
        <f t="shared" si="88"/>
        <v/>
      </c>
      <c r="DF47" s="61" t="str">
        <f t="shared" si="89"/>
        <v/>
      </c>
      <c r="DG47" s="116" t="str">
        <f t="shared" si="73"/>
        <v/>
      </c>
      <c r="DH47" s="116" t="str">
        <f t="shared" si="74"/>
        <v/>
      </c>
    </row>
    <row r="48" spans="2:112" s="17" customFormat="1" hidden="1">
      <c r="B48" s="35"/>
      <c r="C48" s="35"/>
      <c r="D48" s="36"/>
      <c r="E48" s="35"/>
      <c r="F48" s="35"/>
      <c r="G48" s="35"/>
      <c r="H48" s="35"/>
      <c r="I48" s="35"/>
      <c r="J48" s="121"/>
      <c r="K48" s="59"/>
      <c r="AC48" s="47" t="s">
        <v>227</v>
      </c>
      <c r="AD48" s="52" t="str">
        <f t="shared" si="96"/>
        <v/>
      </c>
      <c r="AE48" s="52">
        <f t="shared" si="97"/>
        <v>0</v>
      </c>
      <c r="AF48" s="52">
        <f t="shared" si="75"/>
        <v>6</v>
      </c>
      <c r="AG48" s="61" t="str">
        <f t="shared" si="3"/>
        <v/>
      </c>
      <c r="AH48" s="52">
        <f t="shared" si="98"/>
        <v>0</v>
      </c>
      <c r="AI48" s="52">
        <f t="shared" si="43"/>
        <v>7</v>
      </c>
      <c r="AJ48" s="52" t="str">
        <f t="shared" si="44"/>
        <v/>
      </c>
      <c r="AK48" s="61" t="str">
        <f t="shared" si="5"/>
        <v/>
      </c>
      <c r="AL48" s="95" t="str">
        <f t="shared" si="99"/>
        <v/>
      </c>
      <c r="AM48" s="61" t="str">
        <f t="shared" si="7"/>
        <v>if () {$("#adv_").html("Requierd");$("#").css({"background":"yellow"});} else {$("#adv_").html("");$("#").css({"background":"white"});}</v>
      </c>
      <c r="AN48" s="61" t="str">
        <f t="shared" si="8"/>
        <v>if (=="") {$("#adv_").html("Requierd");} else {$("#adv_").html("");}</v>
      </c>
      <c r="AO48" s="50" t="str">
        <f t="shared" si="100"/>
        <v/>
      </c>
      <c r="AP48" s="61" t="str">
        <f t="shared" si="10"/>
        <v>=$("#").val();</v>
      </c>
      <c r="AQ48" s="61" t="str">
        <f t="shared" si="45"/>
        <v/>
      </c>
      <c r="AR48" s="61" t="str">
        <f t="shared" si="11"/>
        <v>=document.getElementById("").checked;</v>
      </c>
      <c r="AS48" s="102" t="str">
        <f t="shared" si="12"/>
        <v>if (isset($_GET[''])) {$=($_GET['']);}else $='';</v>
      </c>
      <c r="AT48" s="52" t="str">
        <f t="shared" si="101"/>
        <v>EPS</v>
      </c>
      <c r="AU48" s="52" t="str">
        <f t="shared" si="14"/>
        <v>else if (document.getElementById("</v>
      </c>
      <c r="AV48" s="61" t="str">
        <f t="shared" si="102"/>
        <v>else if (document.getElementById("").checked==true) {EPS="";}</v>
      </c>
      <c r="AW48" s="61" t="str">
        <f t="shared" ref="AW48:AW79" si="118">IF(AY48="","",","&amp;AY48&amp;LEFT(AY48,LEN(AY48)-1))</f>
        <v/>
      </c>
      <c r="AX48" s="102" t="str">
        <f t="shared" si="103"/>
        <v/>
      </c>
      <c r="AY48" s="135" t="str">
        <f t="shared" si="46"/>
        <v/>
      </c>
      <c r="AZ48" s="50" t="str">
        <f t="shared" si="104"/>
        <v>&lt;input type="checkbox" id="" name="" value="1" /&gt;</v>
      </c>
      <c r="BA48" s="105" t="str">
        <f t="shared" si="105"/>
        <v>&lt;br/&gt;&lt;textarea rows="2" cols="80" id=""&gt;&lt;/textarea&gt;&lt;br/&gt;</v>
      </c>
      <c r="BB48" s="50" t="str">
        <f t="shared" si="106"/>
        <v>&lt;input type="radio" name="EPS" id="" value="" /&gt;</v>
      </c>
      <c r="BC48" s="107" t="str">
        <f t="shared" si="107"/>
        <v>&lt;input type="text"  size="7"  id="" class="datepicker"/&gt;</v>
      </c>
      <c r="BD48" s="109" t="str">
        <f t="shared" si="47"/>
        <v/>
      </c>
      <c r="BE48" s="61" t="str">
        <f t="shared" si="108"/>
        <v/>
      </c>
      <c r="BF48" s="52">
        <f t="shared" si="83"/>
        <v>12</v>
      </c>
      <c r="BG48" s="61" t="str">
        <f t="shared" ref="BG48:BG79" si="119">IF(F48=$S$8,"",IF(C48="","",IF(F48="radio",AW48,IF(BF48=1,"",",")&amp;C48&amp;":"&amp;C48)))</f>
        <v/>
      </c>
      <c r="BH48" s="102" t="str">
        <f t="shared" si="109"/>
        <v/>
      </c>
      <c r="BI48" s="105" t="str">
        <f t="shared" si="85"/>
        <v/>
      </c>
      <c r="BJ48" s="52" t="str">
        <f t="shared" si="49"/>
        <v/>
      </c>
      <c r="BK48" s="52">
        <f t="shared" si="50"/>
        <v>0</v>
      </c>
      <c r="BL48" s="52">
        <f t="shared" si="51"/>
        <v>2</v>
      </c>
      <c r="BM48" s="52" t="str">
        <f t="shared" si="77"/>
        <v/>
      </c>
      <c r="BN48" s="52" t="str">
        <f t="shared" si="24"/>
        <v/>
      </c>
      <c r="BO48" s="52" t="str">
        <f t="shared" si="94"/>
        <v/>
      </c>
      <c r="BP48" s="113" t="str">
        <f t="shared" si="52"/>
        <v/>
      </c>
      <c r="BQ48" s="52" t="str">
        <f t="shared" si="79"/>
        <v/>
      </c>
      <c r="BR48" s="52" t="str">
        <f t="shared" si="53"/>
        <v/>
      </c>
      <c r="BS48" s="52" t="str">
        <f t="shared" si="54"/>
        <v/>
      </c>
      <c r="BT48" s="52" t="str">
        <f t="shared" si="55"/>
        <v/>
      </c>
      <c r="BU48" s="52" t="str">
        <f t="shared" si="56"/>
        <v/>
      </c>
      <c r="BV48" s="102" t="str">
        <f t="shared" si="110"/>
        <v/>
      </c>
      <c r="BW48" s="116" t="str">
        <f t="shared" si="111"/>
        <v/>
      </c>
      <c r="BX48" s="61" t="str">
        <f t="shared" si="112"/>
        <v/>
      </c>
      <c r="BY48" s="52" t="str">
        <f t="shared" si="28"/>
        <v/>
      </c>
      <c r="BZ48" s="52" t="str">
        <f t="shared" si="29"/>
        <v/>
      </c>
      <c r="CA48" s="52" t="str">
        <f t="shared" si="57"/>
        <v/>
      </c>
      <c r="CB48" s="52" t="str">
        <f t="shared" si="30"/>
        <v/>
      </c>
      <c r="CC48" s="52" t="str">
        <f t="shared" si="31"/>
        <v/>
      </c>
      <c r="CD48" s="102" t="str">
        <f t="shared" si="113"/>
        <v/>
      </c>
      <c r="CE48" s="116" t="str">
        <f t="shared" si="114"/>
        <v/>
      </c>
      <c r="CF48" s="116" t="str">
        <f t="shared" si="92"/>
        <v/>
      </c>
      <c r="CG48" s="61" t="str">
        <f t="shared" si="115"/>
        <v/>
      </c>
      <c r="CH48" s="52">
        <f t="shared" si="80"/>
        <v>2</v>
      </c>
      <c r="CI48" s="61" t="str">
        <f t="shared" si="58"/>
        <v/>
      </c>
      <c r="CJ48" s="61" t="str">
        <f t="shared" si="59"/>
        <v/>
      </c>
      <c r="CK48" s="61" t="str">
        <f t="shared" si="60"/>
        <v/>
      </c>
      <c r="CL48" s="61" t="str">
        <f t="shared" si="116"/>
        <v/>
      </c>
      <c r="CM48" s="61" t="str">
        <f t="shared" si="117"/>
        <v/>
      </c>
      <c r="CN48" s="134" t="str">
        <f t="shared" si="86"/>
        <v/>
      </c>
      <c r="CO48" s="131" t="str">
        <f t="shared" si="84"/>
        <v/>
      </c>
      <c r="CP48" s="131" t="str">
        <f t="shared" si="61"/>
        <v/>
      </c>
      <c r="CQ48" s="131" t="str">
        <f t="shared" si="62"/>
        <v/>
      </c>
      <c r="CR48" s="116" t="str">
        <f t="shared" si="63"/>
        <v/>
      </c>
      <c r="CS48" s="116" t="str">
        <f t="shared" si="64"/>
        <v/>
      </c>
      <c r="CT48" s="116" t="str">
        <f t="shared" si="65"/>
        <v/>
      </c>
      <c r="CU48" s="52">
        <f t="shared" si="66"/>
        <v>0</v>
      </c>
      <c r="CV48" s="116" t="str">
        <f t="shared" si="67"/>
        <v/>
      </c>
      <c r="CW48" s="116" t="str">
        <f t="shared" si="68"/>
        <v/>
      </c>
      <c r="CX48" s="61" t="str">
        <f t="shared" si="69"/>
        <v/>
      </c>
      <c r="CY48" s="61" t="str">
        <f t="shared" si="70"/>
        <v/>
      </c>
      <c r="CZ48" s="61" t="str">
        <f t="shared" si="71"/>
        <v/>
      </c>
      <c r="DA48" s="116" t="str">
        <f t="shared" si="95"/>
        <v/>
      </c>
      <c r="DB48" s="6" t="str">
        <f t="shared" si="82"/>
        <v/>
      </c>
      <c r="DC48" s="61" t="str">
        <f t="shared" si="72"/>
        <v/>
      </c>
      <c r="DD48" s="131" t="str">
        <f t="shared" si="87"/>
        <v/>
      </c>
      <c r="DE48" s="131" t="str">
        <f t="shared" si="88"/>
        <v/>
      </c>
      <c r="DF48" s="61" t="str">
        <f t="shared" si="89"/>
        <v/>
      </c>
      <c r="DG48" s="116" t="str">
        <f t="shared" si="73"/>
        <v/>
      </c>
      <c r="DH48" s="116" t="str">
        <f t="shared" si="74"/>
        <v/>
      </c>
    </row>
    <row r="49" spans="2:112" s="17" customFormat="1" hidden="1">
      <c r="B49" s="35"/>
      <c r="C49" s="35"/>
      <c r="D49" s="36"/>
      <c r="E49" s="35"/>
      <c r="F49" s="35"/>
      <c r="G49" s="35"/>
      <c r="H49" s="35"/>
      <c r="I49" s="35"/>
      <c r="J49" s="121"/>
      <c r="K49" s="59"/>
      <c r="AC49" s="47" t="s">
        <v>228</v>
      </c>
      <c r="AD49" s="52" t="str">
        <f t="shared" si="96"/>
        <v/>
      </c>
      <c r="AE49" s="52">
        <f t="shared" si="97"/>
        <v>0</v>
      </c>
      <c r="AF49" s="52">
        <f t="shared" si="75"/>
        <v>6</v>
      </c>
      <c r="AG49" s="61" t="str">
        <f t="shared" si="3"/>
        <v/>
      </c>
      <c r="AH49" s="52">
        <f t="shared" si="98"/>
        <v>0</v>
      </c>
      <c r="AI49" s="52">
        <f t="shared" si="43"/>
        <v>7</v>
      </c>
      <c r="AJ49" s="52" t="str">
        <f t="shared" si="44"/>
        <v/>
      </c>
      <c r="AK49" s="61" t="str">
        <f t="shared" si="5"/>
        <v/>
      </c>
      <c r="AL49" s="95" t="str">
        <f t="shared" si="99"/>
        <v/>
      </c>
      <c r="AM49" s="61" t="str">
        <f t="shared" si="7"/>
        <v>if () {$("#adv_").html("Requierd");$("#").css({"background":"yellow"});} else {$("#adv_").html("");$("#").css({"background":"white"});}</v>
      </c>
      <c r="AN49" s="61" t="str">
        <f t="shared" si="8"/>
        <v>if (=="") {$("#adv_").html("Requierd");} else {$("#adv_").html("");}</v>
      </c>
      <c r="AO49" s="50" t="str">
        <f t="shared" si="100"/>
        <v/>
      </c>
      <c r="AP49" s="61" t="str">
        <f t="shared" si="10"/>
        <v>=$("#").val();</v>
      </c>
      <c r="AQ49" s="61" t="str">
        <f t="shared" si="45"/>
        <v/>
      </c>
      <c r="AR49" s="61" t="str">
        <f t="shared" si="11"/>
        <v>=document.getElementById("").checked;</v>
      </c>
      <c r="AS49" s="102" t="str">
        <f t="shared" si="12"/>
        <v>if (isset($_GET[''])) {$=($_GET['']);}else $='';</v>
      </c>
      <c r="AT49" s="52" t="str">
        <f t="shared" si="101"/>
        <v>EPS</v>
      </c>
      <c r="AU49" s="52" t="str">
        <f t="shared" si="14"/>
        <v>else if (document.getElementById("</v>
      </c>
      <c r="AV49" s="61" t="str">
        <f t="shared" si="102"/>
        <v>else if (document.getElementById("").checked==true) {EPS="";}</v>
      </c>
      <c r="AW49" s="61" t="str">
        <f t="shared" si="118"/>
        <v/>
      </c>
      <c r="AX49" s="102" t="str">
        <f t="shared" si="103"/>
        <v/>
      </c>
      <c r="AY49" s="135" t="str">
        <f t="shared" si="46"/>
        <v/>
      </c>
      <c r="AZ49" s="50" t="str">
        <f t="shared" si="104"/>
        <v>&lt;input type="checkbox" id="" name="" value="1" /&gt;</v>
      </c>
      <c r="BA49" s="105" t="str">
        <f t="shared" si="105"/>
        <v>&lt;br/&gt;&lt;textarea rows="2" cols="80" id=""&gt;&lt;/textarea&gt;&lt;br/&gt;</v>
      </c>
      <c r="BB49" s="50" t="str">
        <f t="shared" si="106"/>
        <v>&lt;input type="radio" name="EPS" id="" value="" /&gt;</v>
      </c>
      <c r="BC49" s="107" t="str">
        <f t="shared" si="107"/>
        <v>&lt;input type="text"  size="7"  id="" class="datepicker"/&gt;</v>
      </c>
      <c r="BD49" s="109" t="str">
        <f t="shared" si="47"/>
        <v/>
      </c>
      <c r="BE49" s="61" t="str">
        <f t="shared" si="108"/>
        <v/>
      </c>
      <c r="BF49" s="52">
        <f t="shared" si="83"/>
        <v>12</v>
      </c>
      <c r="BG49" s="61" t="str">
        <f t="shared" si="119"/>
        <v/>
      </c>
      <c r="BH49" s="102" t="str">
        <f t="shared" si="109"/>
        <v/>
      </c>
      <c r="BI49" s="105" t="str">
        <f t="shared" si="85"/>
        <v/>
      </c>
      <c r="BJ49" s="52" t="str">
        <f t="shared" si="49"/>
        <v/>
      </c>
      <c r="BK49" s="52">
        <f t="shared" si="50"/>
        <v>0</v>
      </c>
      <c r="BL49" s="52">
        <f t="shared" si="51"/>
        <v>2</v>
      </c>
      <c r="BM49" s="52" t="str">
        <f t="shared" si="77"/>
        <v/>
      </c>
      <c r="BN49" s="52" t="str">
        <f t="shared" si="24"/>
        <v/>
      </c>
      <c r="BO49" s="52" t="str">
        <f t="shared" si="94"/>
        <v/>
      </c>
      <c r="BP49" s="113" t="str">
        <f t="shared" si="52"/>
        <v/>
      </c>
      <c r="BQ49" s="52" t="str">
        <f t="shared" si="79"/>
        <v/>
      </c>
      <c r="BR49" s="52" t="str">
        <f t="shared" si="53"/>
        <v/>
      </c>
      <c r="BS49" s="52" t="str">
        <f t="shared" si="54"/>
        <v/>
      </c>
      <c r="BT49" s="52" t="str">
        <f t="shared" si="55"/>
        <v/>
      </c>
      <c r="BU49" s="52" t="str">
        <f t="shared" si="56"/>
        <v/>
      </c>
      <c r="BV49" s="102" t="str">
        <f t="shared" si="110"/>
        <v/>
      </c>
      <c r="BW49" s="116" t="str">
        <f t="shared" si="111"/>
        <v/>
      </c>
      <c r="BX49" s="61" t="str">
        <f t="shared" si="112"/>
        <v/>
      </c>
      <c r="BY49" s="52" t="str">
        <f t="shared" si="28"/>
        <v/>
      </c>
      <c r="BZ49" s="52" t="str">
        <f t="shared" si="29"/>
        <v/>
      </c>
      <c r="CA49" s="52" t="str">
        <f t="shared" si="57"/>
        <v/>
      </c>
      <c r="CB49" s="52" t="str">
        <f t="shared" si="30"/>
        <v/>
      </c>
      <c r="CC49" s="52" t="str">
        <f t="shared" si="31"/>
        <v/>
      </c>
      <c r="CD49" s="102" t="str">
        <f t="shared" si="113"/>
        <v/>
      </c>
      <c r="CE49" s="116" t="str">
        <f t="shared" si="114"/>
        <v/>
      </c>
      <c r="CF49" s="116" t="str">
        <f t="shared" si="92"/>
        <v/>
      </c>
      <c r="CG49" s="61" t="str">
        <f t="shared" si="115"/>
        <v/>
      </c>
      <c r="CH49" s="52">
        <f t="shared" si="80"/>
        <v>2</v>
      </c>
      <c r="CI49" s="61" t="str">
        <f t="shared" si="58"/>
        <v/>
      </c>
      <c r="CJ49" s="61" t="str">
        <f t="shared" si="59"/>
        <v/>
      </c>
      <c r="CK49" s="61" t="str">
        <f t="shared" si="60"/>
        <v/>
      </c>
      <c r="CL49" s="61" t="str">
        <f t="shared" si="116"/>
        <v/>
      </c>
      <c r="CM49" s="61" t="str">
        <f t="shared" si="117"/>
        <v/>
      </c>
      <c r="CN49" s="134" t="str">
        <f t="shared" si="86"/>
        <v/>
      </c>
      <c r="CO49" s="131" t="str">
        <f t="shared" si="84"/>
        <v/>
      </c>
      <c r="CP49" s="131" t="str">
        <f t="shared" si="61"/>
        <v/>
      </c>
      <c r="CQ49" s="131" t="str">
        <f t="shared" si="62"/>
        <v/>
      </c>
      <c r="CR49" s="116" t="str">
        <f t="shared" si="63"/>
        <v/>
      </c>
      <c r="CS49" s="116" t="str">
        <f t="shared" si="64"/>
        <v/>
      </c>
      <c r="CT49" s="116" t="str">
        <f t="shared" si="65"/>
        <v/>
      </c>
      <c r="CU49" s="52">
        <f t="shared" si="66"/>
        <v>0</v>
      </c>
      <c r="CV49" s="116" t="str">
        <f t="shared" si="67"/>
        <v/>
      </c>
      <c r="CW49" s="116" t="str">
        <f t="shared" si="68"/>
        <v/>
      </c>
      <c r="CX49" s="61" t="str">
        <f t="shared" si="69"/>
        <v/>
      </c>
      <c r="CY49" s="61" t="str">
        <f t="shared" si="70"/>
        <v/>
      </c>
      <c r="CZ49" s="61" t="str">
        <f t="shared" si="71"/>
        <v/>
      </c>
      <c r="DA49" s="116" t="str">
        <f t="shared" si="95"/>
        <v/>
      </c>
      <c r="DB49" s="6" t="str">
        <f t="shared" si="82"/>
        <v/>
      </c>
      <c r="DC49" s="61" t="str">
        <f t="shared" si="72"/>
        <v/>
      </c>
      <c r="DD49" s="131" t="str">
        <f t="shared" si="87"/>
        <v/>
      </c>
      <c r="DE49" s="131" t="str">
        <f t="shared" si="88"/>
        <v/>
      </c>
      <c r="DF49" s="61" t="str">
        <f t="shared" si="89"/>
        <v/>
      </c>
      <c r="DG49" s="116" t="str">
        <f t="shared" si="73"/>
        <v/>
      </c>
      <c r="DH49" s="116" t="str">
        <f t="shared" si="74"/>
        <v/>
      </c>
    </row>
    <row r="50" spans="2:112" s="17" customFormat="1" hidden="1">
      <c r="B50" s="35"/>
      <c r="C50" s="35"/>
      <c r="D50" s="36"/>
      <c r="E50" s="35"/>
      <c r="F50" s="35"/>
      <c r="G50" s="35"/>
      <c r="H50" s="35"/>
      <c r="I50" s="35"/>
      <c r="J50" s="121"/>
      <c r="K50" s="59"/>
      <c r="AC50" s="47" t="s">
        <v>229</v>
      </c>
      <c r="AD50" s="52" t="str">
        <f t="shared" si="96"/>
        <v/>
      </c>
      <c r="AE50" s="52">
        <f t="shared" si="97"/>
        <v>0</v>
      </c>
      <c r="AF50" s="52">
        <f t="shared" si="75"/>
        <v>6</v>
      </c>
      <c r="AG50" s="61" t="str">
        <f t="shared" si="3"/>
        <v/>
      </c>
      <c r="AH50" s="52">
        <f t="shared" si="98"/>
        <v>0</v>
      </c>
      <c r="AI50" s="52">
        <f t="shared" si="43"/>
        <v>7</v>
      </c>
      <c r="AJ50" s="52" t="str">
        <f t="shared" si="44"/>
        <v/>
      </c>
      <c r="AK50" s="61" t="str">
        <f t="shared" si="5"/>
        <v/>
      </c>
      <c r="AL50" s="95" t="str">
        <f t="shared" si="99"/>
        <v/>
      </c>
      <c r="AM50" s="61" t="str">
        <f t="shared" si="7"/>
        <v>if () {$("#adv_").html("Requierd");$("#").css({"background":"yellow"});} else {$("#adv_").html("");$("#").css({"background":"white"});}</v>
      </c>
      <c r="AN50" s="61" t="str">
        <f t="shared" si="8"/>
        <v>if (=="") {$("#adv_").html("Requierd");} else {$("#adv_").html("");}</v>
      </c>
      <c r="AO50" s="50" t="str">
        <f t="shared" si="100"/>
        <v/>
      </c>
      <c r="AP50" s="61" t="str">
        <f t="shared" si="10"/>
        <v>=$("#").val();</v>
      </c>
      <c r="AQ50" s="61" t="str">
        <f t="shared" si="45"/>
        <v/>
      </c>
      <c r="AR50" s="61" t="str">
        <f t="shared" si="11"/>
        <v>=document.getElementById("").checked;</v>
      </c>
      <c r="AS50" s="102" t="str">
        <f t="shared" si="12"/>
        <v>if (isset($_GET[''])) {$=($_GET['']);}else $='';</v>
      </c>
      <c r="AT50" s="52" t="str">
        <f t="shared" si="101"/>
        <v>EPS</v>
      </c>
      <c r="AU50" s="52" t="str">
        <f t="shared" si="14"/>
        <v>else if (document.getElementById("</v>
      </c>
      <c r="AV50" s="61" t="str">
        <f t="shared" si="102"/>
        <v>else if (document.getElementById("").checked==true) {EPS="";}</v>
      </c>
      <c r="AW50" s="61" t="str">
        <f t="shared" si="118"/>
        <v/>
      </c>
      <c r="AX50" s="102" t="str">
        <f t="shared" si="103"/>
        <v/>
      </c>
      <c r="AY50" s="135" t="str">
        <f t="shared" si="46"/>
        <v/>
      </c>
      <c r="AZ50" s="50" t="str">
        <f t="shared" si="104"/>
        <v>&lt;input type="checkbox" id="" name="" value="1" /&gt;</v>
      </c>
      <c r="BA50" s="105" t="str">
        <f t="shared" si="105"/>
        <v>&lt;br/&gt;&lt;textarea rows="2" cols="80" id=""&gt;&lt;/textarea&gt;&lt;br/&gt;</v>
      </c>
      <c r="BB50" s="50" t="str">
        <f t="shared" si="106"/>
        <v>&lt;input type="radio" name="EPS" id="" value="" /&gt;</v>
      </c>
      <c r="BC50" s="107" t="str">
        <f t="shared" si="107"/>
        <v>&lt;input type="text"  size="7"  id="" class="datepicker"/&gt;</v>
      </c>
      <c r="BD50" s="109" t="str">
        <f t="shared" si="47"/>
        <v/>
      </c>
      <c r="BE50" s="61" t="str">
        <f t="shared" si="108"/>
        <v/>
      </c>
      <c r="BF50" s="52">
        <f t="shared" si="83"/>
        <v>12</v>
      </c>
      <c r="BG50" s="61" t="str">
        <f t="shared" si="119"/>
        <v/>
      </c>
      <c r="BH50" s="102" t="str">
        <f t="shared" si="109"/>
        <v/>
      </c>
      <c r="BI50" s="105" t="str">
        <f t="shared" si="85"/>
        <v/>
      </c>
      <c r="BJ50" s="52" t="str">
        <f t="shared" si="49"/>
        <v/>
      </c>
      <c r="BK50" s="52">
        <f t="shared" si="50"/>
        <v>0</v>
      </c>
      <c r="BL50" s="52">
        <f t="shared" si="51"/>
        <v>2</v>
      </c>
      <c r="BM50" s="52" t="str">
        <f t="shared" si="77"/>
        <v/>
      </c>
      <c r="BN50" s="52" t="str">
        <f t="shared" si="24"/>
        <v/>
      </c>
      <c r="BO50" s="52" t="str">
        <f t="shared" si="94"/>
        <v/>
      </c>
      <c r="BP50" s="113" t="str">
        <f t="shared" si="52"/>
        <v/>
      </c>
      <c r="BQ50" s="52" t="str">
        <f t="shared" si="79"/>
        <v/>
      </c>
      <c r="BR50" s="52" t="str">
        <f t="shared" si="53"/>
        <v/>
      </c>
      <c r="BS50" s="52" t="str">
        <f t="shared" si="54"/>
        <v/>
      </c>
      <c r="BT50" s="52" t="str">
        <f t="shared" si="55"/>
        <v/>
      </c>
      <c r="BU50" s="52" t="str">
        <f t="shared" si="56"/>
        <v/>
      </c>
      <c r="BV50" s="102" t="str">
        <f t="shared" si="110"/>
        <v/>
      </c>
      <c r="BW50" s="116" t="str">
        <f t="shared" si="111"/>
        <v/>
      </c>
      <c r="BX50" s="61" t="str">
        <f t="shared" si="112"/>
        <v/>
      </c>
      <c r="BY50" s="52" t="str">
        <f t="shared" si="28"/>
        <v/>
      </c>
      <c r="BZ50" s="52" t="str">
        <f t="shared" si="29"/>
        <v/>
      </c>
      <c r="CA50" s="52" t="str">
        <f t="shared" si="57"/>
        <v/>
      </c>
      <c r="CB50" s="52" t="str">
        <f t="shared" si="30"/>
        <v/>
      </c>
      <c r="CC50" s="52" t="str">
        <f t="shared" si="31"/>
        <v/>
      </c>
      <c r="CD50" s="102" t="str">
        <f t="shared" si="113"/>
        <v/>
      </c>
      <c r="CE50" s="116" t="str">
        <f t="shared" si="114"/>
        <v/>
      </c>
      <c r="CF50" s="116" t="str">
        <f t="shared" si="92"/>
        <v/>
      </c>
      <c r="CG50" s="61" t="str">
        <f t="shared" si="115"/>
        <v/>
      </c>
      <c r="CH50" s="52">
        <f t="shared" si="80"/>
        <v>2</v>
      </c>
      <c r="CI50" s="61" t="str">
        <f t="shared" si="58"/>
        <v/>
      </c>
      <c r="CJ50" s="61" t="str">
        <f t="shared" si="59"/>
        <v/>
      </c>
      <c r="CK50" s="61" t="str">
        <f t="shared" si="60"/>
        <v/>
      </c>
      <c r="CL50" s="61" t="str">
        <f t="shared" si="116"/>
        <v/>
      </c>
      <c r="CM50" s="61" t="str">
        <f t="shared" si="117"/>
        <v/>
      </c>
      <c r="CN50" s="134" t="str">
        <f t="shared" si="86"/>
        <v/>
      </c>
      <c r="CO50" s="131" t="str">
        <f t="shared" si="84"/>
        <v/>
      </c>
      <c r="CP50" s="131" t="str">
        <f t="shared" si="61"/>
        <v/>
      </c>
      <c r="CQ50" s="131" t="str">
        <f t="shared" si="62"/>
        <v/>
      </c>
      <c r="CR50" s="116" t="str">
        <f t="shared" si="63"/>
        <v/>
      </c>
      <c r="CS50" s="116" t="str">
        <f t="shared" si="64"/>
        <v/>
      </c>
      <c r="CT50" s="116" t="str">
        <f t="shared" si="65"/>
        <v/>
      </c>
      <c r="CU50" s="52">
        <f t="shared" si="66"/>
        <v>0</v>
      </c>
      <c r="CV50" s="116" t="str">
        <f t="shared" si="67"/>
        <v/>
      </c>
      <c r="CW50" s="116" t="str">
        <f t="shared" si="68"/>
        <v/>
      </c>
      <c r="CX50" s="61" t="str">
        <f t="shared" si="69"/>
        <v/>
      </c>
      <c r="CY50" s="61" t="str">
        <f t="shared" si="70"/>
        <v/>
      </c>
      <c r="CZ50" s="61" t="str">
        <f t="shared" si="71"/>
        <v/>
      </c>
      <c r="DA50" s="116" t="str">
        <f t="shared" si="95"/>
        <v/>
      </c>
      <c r="DB50" s="6" t="str">
        <f t="shared" si="82"/>
        <v/>
      </c>
      <c r="DC50" s="61" t="str">
        <f t="shared" si="72"/>
        <v/>
      </c>
      <c r="DD50" s="131" t="str">
        <f t="shared" si="87"/>
        <v/>
      </c>
      <c r="DE50" s="131" t="str">
        <f t="shared" si="88"/>
        <v/>
      </c>
      <c r="DF50" s="61" t="str">
        <f t="shared" si="89"/>
        <v/>
      </c>
      <c r="DG50" s="116" t="str">
        <f t="shared" si="73"/>
        <v/>
      </c>
      <c r="DH50" s="116" t="str">
        <f t="shared" si="74"/>
        <v/>
      </c>
    </row>
    <row r="51" spans="2:112" s="17" customFormat="1" hidden="1">
      <c r="B51" s="35"/>
      <c r="C51" s="35"/>
      <c r="D51" s="36"/>
      <c r="E51" s="35"/>
      <c r="F51" s="35"/>
      <c r="G51" s="35"/>
      <c r="H51" s="35"/>
      <c r="I51" s="35"/>
      <c r="J51" s="121"/>
      <c r="K51" s="59"/>
      <c r="AC51" s="47" t="s">
        <v>230</v>
      </c>
      <c r="AD51" s="52" t="str">
        <f t="shared" si="96"/>
        <v/>
      </c>
      <c r="AE51" s="52">
        <f t="shared" si="97"/>
        <v>0</v>
      </c>
      <c r="AF51" s="52">
        <f t="shared" si="75"/>
        <v>6</v>
      </c>
      <c r="AG51" s="61" t="str">
        <f t="shared" si="3"/>
        <v/>
      </c>
      <c r="AH51" s="52">
        <f t="shared" si="98"/>
        <v>0</v>
      </c>
      <c r="AI51" s="52">
        <f t="shared" si="43"/>
        <v>7</v>
      </c>
      <c r="AJ51" s="52" t="str">
        <f t="shared" si="44"/>
        <v/>
      </c>
      <c r="AK51" s="61" t="str">
        <f t="shared" si="5"/>
        <v/>
      </c>
      <c r="AL51" s="95" t="str">
        <f t="shared" si="99"/>
        <v/>
      </c>
      <c r="AM51" s="61" t="str">
        <f t="shared" si="7"/>
        <v>if () {$("#adv_").html("Requierd");$("#").css({"background":"yellow"});} else {$("#adv_").html("");$("#").css({"background":"white"});}</v>
      </c>
      <c r="AN51" s="61" t="str">
        <f t="shared" si="8"/>
        <v>if (=="") {$("#adv_").html("Requierd");} else {$("#adv_").html("");}</v>
      </c>
      <c r="AO51" s="50" t="str">
        <f t="shared" si="100"/>
        <v/>
      </c>
      <c r="AP51" s="61" t="str">
        <f t="shared" si="10"/>
        <v>=$("#").val();</v>
      </c>
      <c r="AQ51" s="61" t="str">
        <f t="shared" si="45"/>
        <v/>
      </c>
      <c r="AR51" s="61" t="str">
        <f t="shared" si="11"/>
        <v>=document.getElementById("").checked;</v>
      </c>
      <c r="AS51" s="102" t="str">
        <f t="shared" si="12"/>
        <v>if (isset($_GET[''])) {$=($_GET['']);}else $='';</v>
      </c>
      <c r="AT51" s="52" t="str">
        <f t="shared" si="101"/>
        <v>EPS</v>
      </c>
      <c r="AU51" s="52" t="str">
        <f t="shared" si="14"/>
        <v>else if (document.getElementById("</v>
      </c>
      <c r="AV51" s="61" t="str">
        <f t="shared" si="102"/>
        <v>else if (document.getElementById("").checked==true) {EPS="";}</v>
      </c>
      <c r="AW51" s="61" t="str">
        <f t="shared" si="118"/>
        <v/>
      </c>
      <c r="AX51" s="102" t="str">
        <f t="shared" si="103"/>
        <v/>
      </c>
      <c r="AY51" s="135" t="str">
        <f t="shared" si="46"/>
        <v/>
      </c>
      <c r="AZ51" s="50" t="str">
        <f t="shared" si="104"/>
        <v>&lt;input type="checkbox" id="" name="" value="1" /&gt;</v>
      </c>
      <c r="BA51" s="105" t="str">
        <f t="shared" si="105"/>
        <v>&lt;br/&gt;&lt;textarea rows="2" cols="80" id=""&gt;&lt;/textarea&gt;&lt;br/&gt;</v>
      </c>
      <c r="BB51" s="50" t="str">
        <f t="shared" si="106"/>
        <v>&lt;input type="radio" name="EPS" id="" value="" /&gt;</v>
      </c>
      <c r="BC51" s="107" t="str">
        <f t="shared" si="107"/>
        <v>&lt;input type="text"  size="7"  id="" class="datepicker"/&gt;</v>
      </c>
      <c r="BD51" s="109" t="str">
        <f t="shared" si="47"/>
        <v/>
      </c>
      <c r="BE51" s="61" t="str">
        <f t="shared" si="108"/>
        <v/>
      </c>
      <c r="BF51" s="52">
        <f t="shared" si="83"/>
        <v>12</v>
      </c>
      <c r="BG51" s="61" t="str">
        <f t="shared" si="119"/>
        <v/>
      </c>
      <c r="BH51" s="102" t="str">
        <f t="shared" si="109"/>
        <v/>
      </c>
      <c r="BI51" s="105" t="str">
        <f t="shared" si="85"/>
        <v/>
      </c>
      <c r="BJ51" s="52" t="str">
        <f t="shared" si="49"/>
        <v/>
      </c>
      <c r="BK51" s="52">
        <f t="shared" si="50"/>
        <v>0</v>
      </c>
      <c r="BL51" s="52">
        <f t="shared" si="51"/>
        <v>2</v>
      </c>
      <c r="BM51" s="52" t="str">
        <f t="shared" si="77"/>
        <v/>
      </c>
      <c r="BN51" s="52" t="str">
        <f t="shared" si="24"/>
        <v/>
      </c>
      <c r="BO51" s="52" t="str">
        <f t="shared" si="94"/>
        <v/>
      </c>
      <c r="BP51" s="113" t="str">
        <f t="shared" si="52"/>
        <v/>
      </c>
      <c r="BQ51" s="52" t="str">
        <f t="shared" si="79"/>
        <v/>
      </c>
      <c r="BR51" s="52" t="str">
        <f t="shared" si="53"/>
        <v/>
      </c>
      <c r="BS51" s="52" t="str">
        <f t="shared" si="54"/>
        <v/>
      </c>
      <c r="BT51" s="52" t="str">
        <f t="shared" si="55"/>
        <v/>
      </c>
      <c r="BU51" s="52" t="str">
        <f t="shared" si="56"/>
        <v/>
      </c>
      <c r="BV51" s="102" t="str">
        <f t="shared" si="110"/>
        <v/>
      </c>
      <c r="BW51" s="116" t="str">
        <f t="shared" si="111"/>
        <v/>
      </c>
      <c r="BX51" s="61" t="str">
        <f t="shared" si="112"/>
        <v/>
      </c>
      <c r="BY51" s="52" t="str">
        <f t="shared" si="28"/>
        <v/>
      </c>
      <c r="BZ51" s="52" t="str">
        <f t="shared" si="29"/>
        <v/>
      </c>
      <c r="CA51" s="52" t="str">
        <f t="shared" si="57"/>
        <v/>
      </c>
      <c r="CB51" s="52" t="str">
        <f t="shared" si="30"/>
        <v/>
      </c>
      <c r="CC51" s="52" t="str">
        <f t="shared" si="31"/>
        <v/>
      </c>
      <c r="CD51" s="102" t="str">
        <f t="shared" si="113"/>
        <v/>
      </c>
      <c r="CE51" s="116" t="str">
        <f t="shared" si="114"/>
        <v/>
      </c>
      <c r="CF51" s="116" t="str">
        <f t="shared" si="92"/>
        <v/>
      </c>
      <c r="CG51" s="61" t="str">
        <f t="shared" si="115"/>
        <v/>
      </c>
      <c r="CH51" s="52">
        <f t="shared" si="80"/>
        <v>2</v>
      </c>
      <c r="CI51" s="61" t="str">
        <f t="shared" si="58"/>
        <v/>
      </c>
      <c r="CJ51" s="61" t="str">
        <f t="shared" si="59"/>
        <v/>
      </c>
      <c r="CK51" s="61" t="str">
        <f t="shared" si="60"/>
        <v/>
      </c>
      <c r="CL51" s="61" t="str">
        <f t="shared" si="116"/>
        <v/>
      </c>
      <c r="CM51" s="61" t="str">
        <f t="shared" si="117"/>
        <v/>
      </c>
      <c r="CN51" s="134" t="str">
        <f t="shared" si="86"/>
        <v/>
      </c>
      <c r="CO51" s="131" t="str">
        <f t="shared" si="84"/>
        <v/>
      </c>
      <c r="CP51" s="131" t="str">
        <f t="shared" si="61"/>
        <v/>
      </c>
      <c r="CQ51" s="131" t="str">
        <f t="shared" si="62"/>
        <v/>
      </c>
      <c r="CR51" s="116" t="str">
        <f t="shared" si="63"/>
        <v/>
      </c>
      <c r="CS51" s="116" t="str">
        <f t="shared" si="64"/>
        <v/>
      </c>
      <c r="CT51" s="116" t="str">
        <f t="shared" si="65"/>
        <v/>
      </c>
      <c r="CU51" s="52">
        <f t="shared" si="66"/>
        <v>0</v>
      </c>
      <c r="CV51" s="116" t="str">
        <f t="shared" si="67"/>
        <v/>
      </c>
      <c r="CW51" s="116" t="str">
        <f t="shared" si="68"/>
        <v/>
      </c>
      <c r="CX51" s="61" t="str">
        <f t="shared" si="69"/>
        <v/>
      </c>
      <c r="CY51" s="61" t="str">
        <f t="shared" si="70"/>
        <v/>
      </c>
      <c r="CZ51" s="61" t="str">
        <f t="shared" si="71"/>
        <v/>
      </c>
      <c r="DA51" s="116" t="str">
        <f t="shared" si="95"/>
        <v/>
      </c>
      <c r="DB51" s="6" t="str">
        <f t="shared" si="82"/>
        <v/>
      </c>
      <c r="DC51" s="61" t="str">
        <f t="shared" si="72"/>
        <v/>
      </c>
      <c r="DD51" s="131" t="str">
        <f t="shared" si="87"/>
        <v/>
      </c>
      <c r="DE51" s="131" t="str">
        <f t="shared" si="88"/>
        <v/>
      </c>
      <c r="DF51" s="61" t="str">
        <f t="shared" si="89"/>
        <v/>
      </c>
      <c r="DG51" s="116" t="str">
        <f t="shared" si="73"/>
        <v/>
      </c>
      <c r="DH51" s="116" t="str">
        <f t="shared" si="74"/>
        <v/>
      </c>
    </row>
    <row r="52" spans="2:112" s="17" customFormat="1" hidden="1">
      <c r="B52" s="35"/>
      <c r="C52" s="35"/>
      <c r="D52" s="36"/>
      <c r="E52" s="35"/>
      <c r="F52" s="35"/>
      <c r="G52" s="35"/>
      <c r="H52" s="35"/>
      <c r="I52" s="35"/>
      <c r="J52" s="121"/>
      <c r="K52" s="59"/>
      <c r="AC52" s="47" t="s">
        <v>231</v>
      </c>
      <c r="AD52" s="52" t="str">
        <f t="shared" si="96"/>
        <v/>
      </c>
      <c r="AE52" s="52">
        <f t="shared" si="97"/>
        <v>0</v>
      </c>
      <c r="AF52" s="52">
        <f t="shared" si="75"/>
        <v>6</v>
      </c>
      <c r="AG52" s="61" t="str">
        <f t="shared" si="3"/>
        <v/>
      </c>
      <c r="AH52" s="52">
        <f t="shared" si="98"/>
        <v>0</v>
      </c>
      <c r="AI52" s="52">
        <f t="shared" si="43"/>
        <v>7</v>
      </c>
      <c r="AJ52" s="52" t="str">
        <f t="shared" si="44"/>
        <v/>
      </c>
      <c r="AK52" s="61" t="str">
        <f t="shared" si="5"/>
        <v/>
      </c>
      <c r="AL52" s="95" t="str">
        <f t="shared" si="99"/>
        <v/>
      </c>
      <c r="AM52" s="61" t="str">
        <f t="shared" si="7"/>
        <v>if () {$("#adv_").html("Requierd");$("#").css({"background":"yellow"});} else {$("#adv_").html("");$("#").css({"background":"white"});}</v>
      </c>
      <c r="AN52" s="61" t="str">
        <f t="shared" si="8"/>
        <v>if (=="") {$("#adv_").html("Requierd");} else {$("#adv_").html("");}</v>
      </c>
      <c r="AO52" s="50" t="str">
        <f t="shared" si="100"/>
        <v/>
      </c>
      <c r="AP52" s="61" t="str">
        <f t="shared" si="10"/>
        <v>=$("#").val();</v>
      </c>
      <c r="AQ52" s="61" t="str">
        <f t="shared" si="45"/>
        <v/>
      </c>
      <c r="AR52" s="61" t="str">
        <f t="shared" si="11"/>
        <v>=document.getElementById("").checked;</v>
      </c>
      <c r="AS52" s="102" t="str">
        <f t="shared" si="12"/>
        <v>if (isset($_GET[''])) {$=($_GET['']);}else $='';</v>
      </c>
      <c r="AT52" s="52" t="str">
        <f t="shared" si="101"/>
        <v>EPS</v>
      </c>
      <c r="AU52" s="52" t="str">
        <f t="shared" si="14"/>
        <v>else if (document.getElementById("</v>
      </c>
      <c r="AV52" s="61" t="str">
        <f t="shared" si="102"/>
        <v>else if (document.getElementById("").checked==true) {EPS="";}</v>
      </c>
      <c r="AW52" s="61" t="str">
        <f t="shared" si="118"/>
        <v/>
      </c>
      <c r="AX52" s="102" t="str">
        <f t="shared" si="103"/>
        <v/>
      </c>
      <c r="AY52" s="135" t="str">
        <f t="shared" si="46"/>
        <v/>
      </c>
      <c r="AZ52" s="50" t="str">
        <f t="shared" si="104"/>
        <v>&lt;input type="checkbox" id="" name="" value="1" /&gt;</v>
      </c>
      <c r="BA52" s="105" t="str">
        <f t="shared" si="105"/>
        <v>&lt;br/&gt;&lt;textarea rows="2" cols="80" id=""&gt;&lt;/textarea&gt;&lt;br/&gt;</v>
      </c>
      <c r="BB52" s="50" t="str">
        <f t="shared" si="106"/>
        <v>&lt;input type="radio" name="EPS" id="" value="" /&gt;</v>
      </c>
      <c r="BC52" s="107" t="str">
        <f t="shared" si="107"/>
        <v>&lt;input type="text"  size="7"  id="" class="datepicker"/&gt;</v>
      </c>
      <c r="BD52" s="109" t="str">
        <f t="shared" si="47"/>
        <v/>
      </c>
      <c r="BE52" s="61" t="str">
        <f t="shared" si="108"/>
        <v/>
      </c>
      <c r="BF52" s="52">
        <f t="shared" si="83"/>
        <v>12</v>
      </c>
      <c r="BG52" s="61" t="str">
        <f t="shared" si="119"/>
        <v/>
      </c>
      <c r="BH52" s="102" t="str">
        <f t="shared" si="109"/>
        <v/>
      </c>
      <c r="BI52" s="105" t="str">
        <f t="shared" si="85"/>
        <v/>
      </c>
      <c r="BJ52" s="52" t="str">
        <f t="shared" si="49"/>
        <v/>
      </c>
      <c r="BK52" s="52">
        <f t="shared" si="50"/>
        <v>0</v>
      </c>
      <c r="BL52" s="52">
        <f t="shared" si="51"/>
        <v>2</v>
      </c>
      <c r="BM52" s="52" t="str">
        <f t="shared" si="77"/>
        <v/>
      </c>
      <c r="BN52" s="52" t="str">
        <f t="shared" si="24"/>
        <v/>
      </c>
      <c r="BO52" s="52" t="str">
        <f t="shared" si="94"/>
        <v/>
      </c>
      <c r="BP52" s="113" t="str">
        <f t="shared" si="52"/>
        <v/>
      </c>
      <c r="BQ52" s="52" t="str">
        <f t="shared" si="79"/>
        <v/>
      </c>
      <c r="BR52" s="52" t="str">
        <f t="shared" si="53"/>
        <v/>
      </c>
      <c r="BS52" s="52" t="str">
        <f t="shared" si="54"/>
        <v/>
      </c>
      <c r="BT52" s="52" t="str">
        <f t="shared" si="55"/>
        <v/>
      </c>
      <c r="BU52" s="52" t="str">
        <f t="shared" si="56"/>
        <v/>
      </c>
      <c r="BV52" s="102" t="str">
        <f t="shared" si="110"/>
        <v/>
      </c>
      <c r="BW52" s="116" t="str">
        <f t="shared" si="111"/>
        <v/>
      </c>
      <c r="BX52" s="61" t="str">
        <f t="shared" si="112"/>
        <v/>
      </c>
      <c r="BY52" s="52" t="str">
        <f t="shared" si="28"/>
        <v/>
      </c>
      <c r="BZ52" s="52" t="str">
        <f t="shared" si="29"/>
        <v/>
      </c>
      <c r="CA52" s="52" t="str">
        <f t="shared" si="57"/>
        <v/>
      </c>
      <c r="CB52" s="52" t="str">
        <f t="shared" si="30"/>
        <v/>
      </c>
      <c r="CC52" s="52" t="str">
        <f t="shared" si="31"/>
        <v/>
      </c>
      <c r="CD52" s="102" t="str">
        <f t="shared" si="113"/>
        <v/>
      </c>
      <c r="CE52" s="116" t="str">
        <f t="shared" si="114"/>
        <v/>
      </c>
      <c r="CF52" s="116" t="str">
        <f t="shared" si="92"/>
        <v/>
      </c>
      <c r="CG52" s="61" t="str">
        <f t="shared" si="115"/>
        <v/>
      </c>
      <c r="CH52" s="52">
        <f t="shared" si="80"/>
        <v>2</v>
      </c>
      <c r="CI52" s="61" t="str">
        <f t="shared" si="58"/>
        <v/>
      </c>
      <c r="CJ52" s="61" t="str">
        <f t="shared" si="59"/>
        <v/>
      </c>
      <c r="CK52" s="61" t="str">
        <f t="shared" si="60"/>
        <v/>
      </c>
      <c r="CL52" s="61" t="str">
        <f t="shared" si="116"/>
        <v/>
      </c>
      <c r="CM52" s="61" t="str">
        <f t="shared" si="117"/>
        <v/>
      </c>
      <c r="CN52" s="134" t="str">
        <f t="shared" si="86"/>
        <v/>
      </c>
      <c r="CO52" s="131" t="str">
        <f t="shared" si="84"/>
        <v/>
      </c>
      <c r="CP52" s="131" t="str">
        <f t="shared" si="61"/>
        <v/>
      </c>
      <c r="CQ52" s="131" t="str">
        <f t="shared" si="62"/>
        <v/>
      </c>
      <c r="CR52" s="116" t="str">
        <f t="shared" si="63"/>
        <v/>
      </c>
      <c r="CS52" s="116" t="str">
        <f t="shared" si="64"/>
        <v/>
      </c>
      <c r="CT52" s="116" t="str">
        <f t="shared" si="65"/>
        <v/>
      </c>
      <c r="CU52" s="52">
        <f t="shared" si="66"/>
        <v>0</v>
      </c>
      <c r="CV52" s="116" t="str">
        <f t="shared" si="67"/>
        <v/>
      </c>
      <c r="CW52" s="116" t="str">
        <f t="shared" si="68"/>
        <v/>
      </c>
      <c r="CX52" s="61" t="str">
        <f t="shared" si="69"/>
        <v/>
      </c>
      <c r="CY52" s="61" t="str">
        <f t="shared" si="70"/>
        <v/>
      </c>
      <c r="CZ52" s="61" t="str">
        <f t="shared" si="71"/>
        <v/>
      </c>
      <c r="DA52" s="116" t="str">
        <f t="shared" si="95"/>
        <v/>
      </c>
      <c r="DB52" s="6" t="str">
        <f t="shared" si="82"/>
        <v/>
      </c>
      <c r="DC52" s="61" t="str">
        <f t="shared" si="72"/>
        <v/>
      </c>
      <c r="DD52" s="131" t="str">
        <f t="shared" si="87"/>
        <v/>
      </c>
      <c r="DE52" s="131" t="str">
        <f t="shared" si="88"/>
        <v/>
      </c>
      <c r="DF52" s="61" t="str">
        <f t="shared" si="89"/>
        <v/>
      </c>
      <c r="DG52" s="116" t="str">
        <f t="shared" si="73"/>
        <v/>
      </c>
      <c r="DH52" s="116" t="str">
        <f t="shared" si="74"/>
        <v/>
      </c>
    </row>
    <row r="53" spans="2:112" s="17" customFormat="1" hidden="1">
      <c r="B53" s="35"/>
      <c r="C53" s="35"/>
      <c r="D53" s="36"/>
      <c r="E53" s="35"/>
      <c r="F53" s="35"/>
      <c r="G53" s="35"/>
      <c r="H53" s="35"/>
      <c r="I53" s="35"/>
      <c r="J53" s="121"/>
      <c r="K53" s="59"/>
      <c r="AC53" s="47" t="s">
        <v>232</v>
      </c>
      <c r="AD53" s="52" t="str">
        <f t="shared" si="96"/>
        <v/>
      </c>
      <c r="AE53" s="52">
        <f t="shared" si="97"/>
        <v>0</v>
      </c>
      <c r="AF53" s="52">
        <f t="shared" si="75"/>
        <v>6</v>
      </c>
      <c r="AG53" s="61" t="str">
        <f t="shared" si="3"/>
        <v/>
      </c>
      <c r="AH53" s="52">
        <f t="shared" si="98"/>
        <v>0</v>
      </c>
      <c r="AI53" s="52">
        <f t="shared" si="43"/>
        <v>7</v>
      </c>
      <c r="AJ53" s="52" t="str">
        <f t="shared" si="44"/>
        <v/>
      </c>
      <c r="AK53" s="61" t="str">
        <f t="shared" si="5"/>
        <v/>
      </c>
      <c r="AL53" s="95" t="str">
        <f t="shared" si="99"/>
        <v/>
      </c>
      <c r="AM53" s="61" t="str">
        <f t="shared" si="7"/>
        <v>if () {$("#adv_").html("Requierd");$("#").css({"background":"yellow"});} else {$("#adv_").html("");$("#").css({"background":"white"});}</v>
      </c>
      <c r="AN53" s="61" t="str">
        <f t="shared" si="8"/>
        <v>if (=="") {$("#adv_").html("Requierd");} else {$("#adv_").html("");}</v>
      </c>
      <c r="AO53" s="50" t="str">
        <f t="shared" si="100"/>
        <v/>
      </c>
      <c r="AP53" s="61" t="str">
        <f t="shared" si="10"/>
        <v>=$("#").val();</v>
      </c>
      <c r="AQ53" s="61" t="str">
        <f t="shared" si="45"/>
        <v/>
      </c>
      <c r="AR53" s="61" t="str">
        <f t="shared" si="11"/>
        <v>=document.getElementById("").checked;</v>
      </c>
      <c r="AS53" s="102" t="str">
        <f t="shared" si="12"/>
        <v>if (isset($_GET[''])) {$=($_GET['']);}else $='';</v>
      </c>
      <c r="AT53" s="52" t="str">
        <f t="shared" si="101"/>
        <v>EPS</v>
      </c>
      <c r="AU53" s="52" t="str">
        <f t="shared" si="14"/>
        <v>else if (document.getElementById("</v>
      </c>
      <c r="AV53" s="61" t="str">
        <f t="shared" si="102"/>
        <v>else if (document.getElementById("").checked==true) {EPS="";}</v>
      </c>
      <c r="AW53" s="61" t="str">
        <f t="shared" si="118"/>
        <v/>
      </c>
      <c r="AX53" s="102" t="str">
        <f t="shared" si="103"/>
        <v/>
      </c>
      <c r="AY53" s="135" t="str">
        <f t="shared" si="46"/>
        <v/>
      </c>
      <c r="AZ53" s="50" t="str">
        <f t="shared" si="104"/>
        <v>&lt;input type="checkbox" id="" name="" value="1" /&gt;</v>
      </c>
      <c r="BA53" s="105" t="str">
        <f t="shared" si="105"/>
        <v>&lt;br/&gt;&lt;textarea rows="2" cols="80" id=""&gt;&lt;/textarea&gt;&lt;br/&gt;</v>
      </c>
      <c r="BB53" s="50" t="str">
        <f t="shared" si="106"/>
        <v>&lt;input type="radio" name="EPS" id="" value="" /&gt;</v>
      </c>
      <c r="BC53" s="107" t="str">
        <f t="shared" si="107"/>
        <v>&lt;input type="text"  size="7"  id="" class="datepicker"/&gt;</v>
      </c>
      <c r="BD53" s="109" t="str">
        <f t="shared" si="47"/>
        <v/>
      </c>
      <c r="BE53" s="61" t="str">
        <f t="shared" si="108"/>
        <v/>
      </c>
      <c r="BF53" s="52">
        <f t="shared" si="83"/>
        <v>12</v>
      </c>
      <c r="BG53" s="61" t="str">
        <f t="shared" si="119"/>
        <v/>
      </c>
      <c r="BH53" s="102" t="str">
        <f t="shared" si="109"/>
        <v/>
      </c>
      <c r="BI53" s="105" t="str">
        <f t="shared" si="85"/>
        <v/>
      </c>
      <c r="BJ53" s="52" t="str">
        <f t="shared" si="49"/>
        <v/>
      </c>
      <c r="BK53" s="52">
        <f t="shared" si="50"/>
        <v>0</v>
      </c>
      <c r="BL53" s="52">
        <f t="shared" si="51"/>
        <v>2</v>
      </c>
      <c r="BM53" s="52" t="str">
        <f t="shared" si="77"/>
        <v/>
      </c>
      <c r="BN53" s="52" t="str">
        <f t="shared" si="24"/>
        <v/>
      </c>
      <c r="BO53" s="52" t="str">
        <f t="shared" si="94"/>
        <v/>
      </c>
      <c r="BP53" s="113" t="str">
        <f t="shared" si="52"/>
        <v/>
      </c>
      <c r="BQ53" s="52" t="str">
        <f t="shared" si="79"/>
        <v/>
      </c>
      <c r="BR53" s="52" t="str">
        <f t="shared" si="53"/>
        <v/>
      </c>
      <c r="BS53" s="52" t="str">
        <f t="shared" si="54"/>
        <v/>
      </c>
      <c r="BT53" s="52" t="str">
        <f t="shared" si="55"/>
        <v/>
      </c>
      <c r="BU53" s="52" t="str">
        <f t="shared" si="56"/>
        <v/>
      </c>
      <c r="BV53" s="102" t="str">
        <f t="shared" si="110"/>
        <v/>
      </c>
      <c r="BW53" s="116" t="str">
        <f t="shared" si="111"/>
        <v/>
      </c>
      <c r="BX53" s="61" t="str">
        <f t="shared" si="112"/>
        <v/>
      </c>
      <c r="BY53" s="52" t="str">
        <f t="shared" si="28"/>
        <v/>
      </c>
      <c r="BZ53" s="52" t="str">
        <f t="shared" si="29"/>
        <v/>
      </c>
      <c r="CA53" s="52" t="str">
        <f t="shared" si="57"/>
        <v/>
      </c>
      <c r="CB53" s="52" t="str">
        <f t="shared" si="30"/>
        <v/>
      </c>
      <c r="CC53" s="52" t="str">
        <f t="shared" si="31"/>
        <v/>
      </c>
      <c r="CD53" s="102" t="str">
        <f t="shared" si="113"/>
        <v/>
      </c>
      <c r="CE53" s="116" t="str">
        <f t="shared" si="114"/>
        <v/>
      </c>
      <c r="CF53" s="116" t="str">
        <f t="shared" si="92"/>
        <v/>
      </c>
      <c r="CG53" s="61" t="str">
        <f t="shared" si="115"/>
        <v/>
      </c>
      <c r="CH53" s="52">
        <f t="shared" si="80"/>
        <v>2</v>
      </c>
      <c r="CI53" s="61" t="str">
        <f t="shared" si="58"/>
        <v/>
      </c>
      <c r="CJ53" s="61" t="str">
        <f t="shared" si="59"/>
        <v/>
      </c>
      <c r="CK53" s="61" t="str">
        <f t="shared" si="60"/>
        <v/>
      </c>
      <c r="CL53" s="61" t="str">
        <f t="shared" si="116"/>
        <v/>
      </c>
      <c r="CM53" s="61" t="str">
        <f t="shared" si="117"/>
        <v/>
      </c>
      <c r="CN53" s="134" t="str">
        <f t="shared" si="86"/>
        <v/>
      </c>
      <c r="CO53" s="131" t="str">
        <f t="shared" si="84"/>
        <v/>
      </c>
      <c r="CP53" s="131" t="str">
        <f t="shared" si="61"/>
        <v/>
      </c>
      <c r="CQ53" s="131" t="str">
        <f t="shared" si="62"/>
        <v/>
      </c>
      <c r="CR53" s="116" t="str">
        <f t="shared" si="63"/>
        <v/>
      </c>
      <c r="CS53" s="116" t="str">
        <f t="shared" si="64"/>
        <v/>
      </c>
      <c r="CT53" s="116" t="str">
        <f t="shared" si="65"/>
        <v/>
      </c>
      <c r="CU53" s="52">
        <f t="shared" si="66"/>
        <v>0</v>
      </c>
      <c r="CV53" s="116" t="str">
        <f t="shared" si="67"/>
        <v/>
      </c>
      <c r="CW53" s="116" t="str">
        <f t="shared" si="68"/>
        <v/>
      </c>
      <c r="CX53" s="61" t="str">
        <f t="shared" si="69"/>
        <v/>
      </c>
      <c r="CY53" s="61" t="str">
        <f t="shared" si="70"/>
        <v/>
      </c>
      <c r="CZ53" s="61" t="str">
        <f t="shared" si="71"/>
        <v/>
      </c>
      <c r="DA53" s="116" t="str">
        <f t="shared" si="95"/>
        <v/>
      </c>
      <c r="DB53" s="6" t="str">
        <f t="shared" si="82"/>
        <v/>
      </c>
      <c r="DC53" s="61" t="str">
        <f t="shared" si="72"/>
        <v/>
      </c>
      <c r="DD53" s="131" t="str">
        <f t="shared" si="87"/>
        <v/>
      </c>
      <c r="DE53" s="131" t="str">
        <f t="shared" si="88"/>
        <v/>
      </c>
      <c r="DF53" s="61" t="str">
        <f t="shared" si="89"/>
        <v/>
      </c>
      <c r="DG53" s="116" t="str">
        <f t="shared" si="73"/>
        <v/>
      </c>
      <c r="DH53" s="116" t="str">
        <f t="shared" si="74"/>
        <v/>
      </c>
    </row>
    <row r="54" spans="2:112" s="17" customFormat="1" hidden="1">
      <c r="B54" s="35"/>
      <c r="C54" s="35"/>
      <c r="D54" s="36"/>
      <c r="E54" s="35"/>
      <c r="F54" s="35"/>
      <c r="G54" s="35"/>
      <c r="H54" s="35"/>
      <c r="I54" s="35"/>
      <c r="J54" s="121"/>
      <c r="K54" s="59"/>
      <c r="AC54" s="47" t="s">
        <v>233</v>
      </c>
      <c r="AD54" s="52" t="str">
        <f t="shared" si="96"/>
        <v/>
      </c>
      <c r="AE54" s="52">
        <f t="shared" si="97"/>
        <v>0</v>
      </c>
      <c r="AF54" s="52">
        <f t="shared" si="75"/>
        <v>6</v>
      </c>
      <c r="AG54" s="61" t="str">
        <f t="shared" si="3"/>
        <v/>
      </c>
      <c r="AH54" s="52">
        <f t="shared" si="98"/>
        <v>0</v>
      </c>
      <c r="AI54" s="52">
        <f t="shared" si="43"/>
        <v>7</v>
      </c>
      <c r="AJ54" s="52" t="str">
        <f t="shared" si="44"/>
        <v/>
      </c>
      <c r="AK54" s="61" t="str">
        <f t="shared" si="5"/>
        <v/>
      </c>
      <c r="AL54" s="95" t="str">
        <f t="shared" si="99"/>
        <v/>
      </c>
      <c r="AM54" s="61" t="str">
        <f t="shared" si="7"/>
        <v>if () {$("#adv_").html("Requierd");$("#").css({"background":"yellow"});} else {$("#adv_").html("");$("#").css({"background":"white"});}</v>
      </c>
      <c r="AN54" s="61" t="str">
        <f t="shared" si="8"/>
        <v>if (=="") {$("#adv_").html("Requierd");} else {$("#adv_").html("");}</v>
      </c>
      <c r="AO54" s="50" t="str">
        <f t="shared" si="100"/>
        <v/>
      </c>
      <c r="AP54" s="61" t="str">
        <f t="shared" si="10"/>
        <v>=$("#").val();</v>
      </c>
      <c r="AQ54" s="61" t="str">
        <f t="shared" si="45"/>
        <v/>
      </c>
      <c r="AR54" s="61" t="str">
        <f t="shared" si="11"/>
        <v>=document.getElementById("").checked;</v>
      </c>
      <c r="AS54" s="102" t="str">
        <f t="shared" si="12"/>
        <v>if (isset($_GET[''])) {$=($_GET['']);}else $='';</v>
      </c>
      <c r="AT54" s="52" t="str">
        <f t="shared" si="101"/>
        <v>EPS</v>
      </c>
      <c r="AU54" s="52" t="str">
        <f t="shared" si="14"/>
        <v>else if (document.getElementById("</v>
      </c>
      <c r="AV54" s="61" t="str">
        <f t="shared" si="102"/>
        <v>else if (document.getElementById("").checked==true) {EPS="";}</v>
      </c>
      <c r="AW54" s="61" t="str">
        <f t="shared" si="118"/>
        <v/>
      </c>
      <c r="AX54" s="102" t="str">
        <f t="shared" si="103"/>
        <v/>
      </c>
      <c r="AY54" s="135" t="str">
        <f t="shared" si="46"/>
        <v/>
      </c>
      <c r="AZ54" s="50" t="str">
        <f t="shared" si="104"/>
        <v>&lt;input type="checkbox" id="" name="" value="1" /&gt;</v>
      </c>
      <c r="BA54" s="105" t="str">
        <f t="shared" si="105"/>
        <v>&lt;br/&gt;&lt;textarea rows="2" cols="80" id=""&gt;&lt;/textarea&gt;&lt;br/&gt;</v>
      </c>
      <c r="BB54" s="50" t="str">
        <f t="shared" si="106"/>
        <v>&lt;input type="radio" name="EPS" id="" value="" /&gt;</v>
      </c>
      <c r="BC54" s="107" t="str">
        <f t="shared" si="107"/>
        <v>&lt;input type="text"  size="7"  id="" class="datepicker"/&gt;</v>
      </c>
      <c r="BD54" s="109" t="str">
        <f t="shared" si="47"/>
        <v/>
      </c>
      <c r="BE54" s="61" t="str">
        <f t="shared" si="108"/>
        <v/>
      </c>
      <c r="BF54" s="52">
        <f t="shared" si="83"/>
        <v>12</v>
      </c>
      <c r="BG54" s="61" t="str">
        <f t="shared" si="119"/>
        <v/>
      </c>
      <c r="BH54" s="102" t="str">
        <f t="shared" si="109"/>
        <v/>
      </c>
      <c r="BI54" s="105" t="str">
        <f t="shared" si="85"/>
        <v/>
      </c>
      <c r="BJ54" s="52" t="str">
        <f t="shared" si="49"/>
        <v/>
      </c>
      <c r="BK54" s="52">
        <f t="shared" si="50"/>
        <v>0</v>
      </c>
      <c r="BL54" s="52">
        <f t="shared" si="51"/>
        <v>2</v>
      </c>
      <c r="BM54" s="52" t="str">
        <f t="shared" si="77"/>
        <v/>
      </c>
      <c r="BN54" s="52" t="str">
        <f t="shared" si="24"/>
        <v/>
      </c>
      <c r="BO54" s="52" t="str">
        <f t="shared" si="94"/>
        <v/>
      </c>
      <c r="BP54" s="113" t="str">
        <f t="shared" si="52"/>
        <v/>
      </c>
      <c r="BQ54" s="52" t="str">
        <f t="shared" si="79"/>
        <v/>
      </c>
      <c r="BR54" s="52" t="str">
        <f t="shared" si="53"/>
        <v/>
      </c>
      <c r="BS54" s="52" t="str">
        <f t="shared" si="54"/>
        <v/>
      </c>
      <c r="BT54" s="52" t="str">
        <f t="shared" si="55"/>
        <v/>
      </c>
      <c r="BU54" s="52" t="str">
        <f t="shared" si="56"/>
        <v/>
      </c>
      <c r="BV54" s="102" t="str">
        <f t="shared" si="110"/>
        <v/>
      </c>
      <c r="BW54" s="116" t="str">
        <f t="shared" si="111"/>
        <v/>
      </c>
      <c r="BX54" s="61" t="str">
        <f t="shared" si="112"/>
        <v/>
      </c>
      <c r="BY54" s="52" t="str">
        <f t="shared" si="28"/>
        <v/>
      </c>
      <c r="BZ54" s="52" t="str">
        <f t="shared" si="29"/>
        <v/>
      </c>
      <c r="CA54" s="52" t="str">
        <f t="shared" si="57"/>
        <v/>
      </c>
      <c r="CB54" s="52" t="str">
        <f t="shared" si="30"/>
        <v/>
      </c>
      <c r="CC54" s="52" t="str">
        <f t="shared" si="31"/>
        <v/>
      </c>
      <c r="CD54" s="102" t="str">
        <f t="shared" si="113"/>
        <v/>
      </c>
      <c r="CE54" s="116" t="str">
        <f t="shared" si="114"/>
        <v/>
      </c>
      <c r="CF54" s="116" t="str">
        <f t="shared" si="92"/>
        <v/>
      </c>
      <c r="CG54" s="61" t="str">
        <f t="shared" si="115"/>
        <v/>
      </c>
      <c r="CH54" s="52">
        <f t="shared" si="80"/>
        <v>2</v>
      </c>
      <c r="CI54" s="61" t="str">
        <f t="shared" si="58"/>
        <v/>
      </c>
      <c r="CJ54" s="61" t="str">
        <f t="shared" si="59"/>
        <v/>
      </c>
      <c r="CK54" s="61" t="str">
        <f t="shared" si="60"/>
        <v/>
      </c>
      <c r="CL54" s="61" t="str">
        <f t="shared" si="116"/>
        <v/>
      </c>
      <c r="CM54" s="61" t="str">
        <f t="shared" si="117"/>
        <v/>
      </c>
      <c r="CN54" s="134" t="str">
        <f t="shared" si="86"/>
        <v/>
      </c>
      <c r="CO54" s="131" t="str">
        <f t="shared" si="84"/>
        <v/>
      </c>
      <c r="CP54" s="131" t="str">
        <f t="shared" si="61"/>
        <v/>
      </c>
      <c r="CQ54" s="131" t="str">
        <f t="shared" si="62"/>
        <v/>
      </c>
      <c r="CR54" s="116" t="str">
        <f t="shared" si="63"/>
        <v/>
      </c>
      <c r="CS54" s="116" t="str">
        <f t="shared" si="64"/>
        <v/>
      </c>
      <c r="CT54" s="116" t="str">
        <f t="shared" si="65"/>
        <v/>
      </c>
      <c r="CU54" s="52">
        <f t="shared" si="66"/>
        <v>0</v>
      </c>
      <c r="CV54" s="116" t="str">
        <f t="shared" si="67"/>
        <v/>
      </c>
      <c r="CW54" s="116" t="str">
        <f t="shared" si="68"/>
        <v/>
      </c>
      <c r="CX54" s="61" t="str">
        <f t="shared" si="69"/>
        <v/>
      </c>
      <c r="CY54" s="61" t="str">
        <f t="shared" si="70"/>
        <v/>
      </c>
      <c r="CZ54" s="61" t="str">
        <f t="shared" si="71"/>
        <v/>
      </c>
      <c r="DA54" s="116" t="str">
        <f t="shared" si="95"/>
        <v/>
      </c>
      <c r="DB54" s="6" t="str">
        <f t="shared" si="82"/>
        <v/>
      </c>
      <c r="DC54" s="61" t="str">
        <f t="shared" si="72"/>
        <v/>
      </c>
      <c r="DD54" s="131" t="str">
        <f t="shared" si="87"/>
        <v/>
      </c>
      <c r="DE54" s="131" t="str">
        <f t="shared" si="88"/>
        <v/>
      </c>
      <c r="DF54" s="61" t="str">
        <f t="shared" si="89"/>
        <v/>
      </c>
      <c r="DG54" s="116" t="str">
        <f t="shared" si="73"/>
        <v/>
      </c>
      <c r="DH54" s="116" t="str">
        <f t="shared" si="74"/>
        <v/>
      </c>
    </row>
    <row r="55" spans="2:112" s="17" customFormat="1" hidden="1">
      <c r="B55" s="35"/>
      <c r="C55" s="35"/>
      <c r="D55" s="36"/>
      <c r="E55" s="35"/>
      <c r="F55" s="35"/>
      <c r="G55" s="35"/>
      <c r="H55" s="35"/>
      <c r="I55" s="35"/>
      <c r="J55" s="121"/>
      <c r="K55" s="59"/>
      <c r="AC55" s="47" t="s">
        <v>234</v>
      </c>
      <c r="AD55" s="52" t="str">
        <f t="shared" si="96"/>
        <v/>
      </c>
      <c r="AE55" s="52">
        <f t="shared" si="97"/>
        <v>0</v>
      </c>
      <c r="AF55" s="52">
        <f t="shared" si="75"/>
        <v>6</v>
      </c>
      <c r="AG55" s="61" t="str">
        <f t="shared" si="3"/>
        <v/>
      </c>
      <c r="AH55" s="52">
        <f t="shared" si="98"/>
        <v>0</v>
      </c>
      <c r="AI55" s="52">
        <f t="shared" si="43"/>
        <v>7</v>
      </c>
      <c r="AJ55" s="52" t="str">
        <f t="shared" si="44"/>
        <v/>
      </c>
      <c r="AK55" s="61" t="str">
        <f t="shared" si="5"/>
        <v/>
      </c>
      <c r="AL55" s="95" t="str">
        <f t="shared" si="99"/>
        <v/>
      </c>
      <c r="AM55" s="61" t="str">
        <f t="shared" si="7"/>
        <v>if () {$("#adv_").html("Requierd");$("#").css({"background":"yellow"});} else {$("#adv_").html("");$("#").css({"background":"white"});}</v>
      </c>
      <c r="AN55" s="61" t="str">
        <f t="shared" si="8"/>
        <v>if (=="") {$("#adv_").html("Requierd");} else {$("#adv_").html("");}</v>
      </c>
      <c r="AO55" s="50" t="str">
        <f t="shared" si="100"/>
        <v/>
      </c>
      <c r="AP55" s="61" t="str">
        <f t="shared" si="10"/>
        <v>=$("#").val();</v>
      </c>
      <c r="AQ55" s="61" t="str">
        <f t="shared" si="45"/>
        <v/>
      </c>
      <c r="AR55" s="61" t="str">
        <f t="shared" si="11"/>
        <v>=document.getElementById("").checked;</v>
      </c>
      <c r="AS55" s="102" t="str">
        <f t="shared" si="12"/>
        <v>if (isset($_GET[''])) {$=($_GET['']);}else $='';</v>
      </c>
      <c r="AT55" s="52" t="str">
        <f t="shared" si="101"/>
        <v>EPS</v>
      </c>
      <c r="AU55" s="52" t="str">
        <f t="shared" si="14"/>
        <v>else if (document.getElementById("</v>
      </c>
      <c r="AV55" s="61" t="str">
        <f t="shared" si="102"/>
        <v>else if (document.getElementById("").checked==true) {EPS="";}</v>
      </c>
      <c r="AW55" s="61" t="str">
        <f t="shared" si="118"/>
        <v/>
      </c>
      <c r="AX55" s="102" t="str">
        <f t="shared" si="103"/>
        <v/>
      </c>
      <c r="AY55" s="135" t="str">
        <f t="shared" si="46"/>
        <v/>
      </c>
      <c r="AZ55" s="50" t="str">
        <f t="shared" si="104"/>
        <v>&lt;input type="checkbox" id="" name="" value="1" /&gt;</v>
      </c>
      <c r="BA55" s="105" t="str">
        <f t="shared" si="105"/>
        <v>&lt;br/&gt;&lt;textarea rows="2" cols="80" id=""&gt;&lt;/textarea&gt;&lt;br/&gt;</v>
      </c>
      <c r="BB55" s="50" t="str">
        <f t="shared" si="106"/>
        <v>&lt;input type="radio" name="EPS" id="" value="" /&gt;</v>
      </c>
      <c r="BC55" s="107" t="str">
        <f t="shared" si="107"/>
        <v>&lt;input type="text"  size="7"  id="" class="datepicker"/&gt;</v>
      </c>
      <c r="BD55" s="109" t="str">
        <f t="shared" si="47"/>
        <v/>
      </c>
      <c r="BE55" s="61" t="str">
        <f t="shared" si="108"/>
        <v/>
      </c>
      <c r="BF55" s="52">
        <f t="shared" si="83"/>
        <v>12</v>
      </c>
      <c r="BG55" s="61" t="str">
        <f t="shared" si="119"/>
        <v/>
      </c>
      <c r="BH55" s="102" t="str">
        <f t="shared" si="109"/>
        <v/>
      </c>
      <c r="BI55" s="105" t="str">
        <f t="shared" si="85"/>
        <v/>
      </c>
      <c r="BJ55" s="52" t="str">
        <f t="shared" si="49"/>
        <v/>
      </c>
      <c r="BK55" s="52">
        <f t="shared" si="50"/>
        <v>0</v>
      </c>
      <c r="BL55" s="52">
        <f t="shared" si="51"/>
        <v>2</v>
      </c>
      <c r="BM55" s="52" t="str">
        <f t="shared" si="77"/>
        <v/>
      </c>
      <c r="BN55" s="52" t="str">
        <f t="shared" si="24"/>
        <v/>
      </c>
      <c r="BO55" s="52" t="str">
        <f t="shared" si="94"/>
        <v/>
      </c>
      <c r="BP55" s="113" t="str">
        <f t="shared" si="52"/>
        <v/>
      </c>
      <c r="BQ55" s="52" t="str">
        <f t="shared" si="79"/>
        <v/>
      </c>
      <c r="BR55" s="52" t="str">
        <f t="shared" si="53"/>
        <v/>
      </c>
      <c r="BS55" s="52" t="str">
        <f t="shared" si="54"/>
        <v/>
      </c>
      <c r="BT55" s="52" t="str">
        <f t="shared" si="55"/>
        <v/>
      </c>
      <c r="BU55" s="52" t="str">
        <f t="shared" si="56"/>
        <v/>
      </c>
      <c r="BV55" s="102" t="str">
        <f t="shared" si="110"/>
        <v/>
      </c>
      <c r="BW55" s="116" t="str">
        <f t="shared" si="111"/>
        <v/>
      </c>
      <c r="BX55" s="61" t="str">
        <f t="shared" si="112"/>
        <v/>
      </c>
      <c r="BY55" s="52" t="str">
        <f t="shared" si="28"/>
        <v/>
      </c>
      <c r="BZ55" s="52" t="str">
        <f t="shared" si="29"/>
        <v/>
      </c>
      <c r="CA55" s="52" t="str">
        <f t="shared" si="57"/>
        <v/>
      </c>
      <c r="CB55" s="52" t="str">
        <f t="shared" si="30"/>
        <v/>
      </c>
      <c r="CC55" s="52" t="str">
        <f t="shared" si="31"/>
        <v/>
      </c>
      <c r="CD55" s="102" t="str">
        <f t="shared" si="113"/>
        <v/>
      </c>
      <c r="CE55" s="116" t="str">
        <f t="shared" si="114"/>
        <v/>
      </c>
      <c r="CF55" s="116" t="str">
        <f t="shared" si="92"/>
        <v/>
      </c>
      <c r="CG55" s="61" t="str">
        <f t="shared" si="115"/>
        <v/>
      </c>
      <c r="CH55" s="52">
        <f t="shared" si="80"/>
        <v>2</v>
      </c>
      <c r="CI55" s="61" t="str">
        <f t="shared" si="58"/>
        <v/>
      </c>
      <c r="CJ55" s="61" t="str">
        <f t="shared" si="59"/>
        <v/>
      </c>
      <c r="CK55" s="61" t="str">
        <f t="shared" si="60"/>
        <v/>
      </c>
      <c r="CL55" s="61" t="str">
        <f t="shared" si="116"/>
        <v/>
      </c>
      <c r="CM55" s="61" t="str">
        <f t="shared" si="117"/>
        <v/>
      </c>
      <c r="CN55" s="134" t="str">
        <f t="shared" si="86"/>
        <v/>
      </c>
      <c r="CO55" s="131" t="str">
        <f t="shared" si="84"/>
        <v/>
      </c>
      <c r="CP55" s="131" t="str">
        <f t="shared" si="61"/>
        <v/>
      </c>
      <c r="CQ55" s="131" t="str">
        <f t="shared" si="62"/>
        <v/>
      </c>
      <c r="CR55" s="116" t="str">
        <f t="shared" si="63"/>
        <v/>
      </c>
      <c r="CS55" s="116" t="str">
        <f t="shared" si="64"/>
        <v/>
      </c>
      <c r="CT55" s="116" t="str">
        <f t="shared" si="65"/>
        <v/>
      </c>
      <c r="CU55" s="52">
        <f t="shared" si="66"/>
        <v>0</v>
      </c>
      <c r="CV55" s="116" t="str">
        <f t="shared" si="67"/>
        <v/>
      </c>
      <c r="CW55" s="116" t="str">
        <f t="shared" si="68"/>
        <v/>
      </c>
      <c r="CX55" s="61" t="str">
        <f t="shared" si="69"/>
        <v/>
      </c>
      <c r="CY55" s="61" t="str">
        <f t="shared" si="70"/>
        <v/>
      </c>
      <c r="CZ55" s="61" t="str">
        <f t="shared" si="71"/>
        <v/>
      </c>
      <c r="DA55" s="116" t="str">
        <f t="shared" si="95"/>
        <v/>
      </c>
      <c r="DB55" s="6" t="str">
        <f t="shared" si="82"/>
        <v/>
      </c>
      <c r="DC55" s="61" t="str">
        <f t="shared" si="72"/>
        <v/>
      </c>
      <c r="DD55" s="131" t="str">
        <f t="shared" si="87"/>
        <v/>
      </c>
      <c r="DE55" s="131" t="str">
        <f t="shared" si="88"/>
        <v/>
      </c>
      <c r="DF55" s="61" t="str">
        <f t="shared" si="89"/>
        <v/>
      </c>
      <c r="DG55" s="116" t="str">
        <f t="shared" si="73"/>
        <v/>
      </c>
      <c r="DH55" s="116" t="str">
        <f t="shared" si="74"/>
        <v/>
      </c>
    </row>
    <row r="56" spans="2:112" s="17" customFormat="1" hidden="1">
      <c r="B56" s="35"/>
      <c r="C56" s="35"/>
      <c r="D56" s="36"/>
      <c r="E56" s="35"/>
      <c r="F56" s="35"/>
      <c r="G56" s="35"/>
      <c r="H56" s="35"/>
      <c r="I56" s="35"/>
      <c r="J56" s="121"/>
      <c r="K56" s="59"/>
      <c r="AC56" s="47" t="s">
        <v>235</v>
      </c>
      <c r="AD56" s="52" t="str">
        <f t="shared" si="96"/>
        <v/>
      </c>
      <c r="AE56" s="52">
        <f t="shared" si="97"/>
        <v>0</v>
      </c>
      <c r="AF56" s="52">
        <f t="shared" si="75"/>
        <v>6</v>
      </c>
      <c r="AG56" s="61" t="str">
        <f t="shared" si="3"/>
        <v/>
      </c>
      <c r="AH56" s="52">
        <f t="shared" si="98"/>
        <v>0</v>
      </c>
      <c r="AI56" s="52">
        <f t="shared" si="43"/>
        <v>7</v>
      </c>
      <c r="AJ56" s="52" t="str">
        <f t="shared" si="44"/>
        <v/>
      </c>
      <c r="AK56" s="61" t="str">
        <f t="shared" si="5"/>
        <v/>
      </c>
      <c r="AL56" s="95" t="str">
        <f t="shared" si="99"/>
        <v/>
      </c>
      <c r="AM56" s="61" t="str">
        <f t="shared" si="7"/>
        <v>if () {$("#adv_").html("Requierd");$("#").css({"background":"yellow"});} else {$("#adv_").html("");$("#").css({"background":"white"});}</v>
      </c>
      <c r="AN56" s="61" t="str">
        <f t="shared" si="8"/>
        <v>if (=="") {$("#adv_").html("Requierd");} else {$("#adv_").html("");}</v>
      </c>
      <c r="AO56" s="50" t="str">
        <f t="shared" si="100"/>
        <v/>
      </c>
      <c r="AP56" s="61" t="str">
        <f t="shared" si="10"/>
        <v>=$("#").val();</v>
      </c>
      <c r="AQ56" s="61" t="str">
        <f t="shared" si="45"/>
        <v/>
      </c>
      <c r="AR56" s="61" t="str">
        <f t="shared" si="11"/>
        <v>=document.getElementById("").checked;</v>
      </c>
      <c r="AS56" s="102" t="str">
        <f t="shared" si="12"/>
        <v>if (isset($_GET[''])) {$=($_GET['']);}else $='';</v>
      </c>
      <c r="AT56" s="52" t="str">
        <f t="shared" si="101"/>
        <v>EPS</v>
      </c>
      <c r="AU56" s="52" t="str">
        <f t="shared" si="14"/>
        <v>else if (document.getElementById("</v>
      </c>
      <c r="AV56" s="61" t="str">
        <f t="shared" si="102"/>
        <v>else if (document.getElementById("").checked==true) {EPS="";}</v>
      </c>
      <c r="AW56" s="61" t="str">
        <f t="shared" si="118"/>
        <v/>
      </c>
      <c r="AX56" s="102" t="str">
        <f t="shared" si="103"/>
        <v/>
      </c>
      <c r="AY56" s="135" t="str">
        <f t="shared" si="46"/>
        <v/>
      </c>
      <c r="AZ56" s="50" t="str">
        <f t="shared" si="104"/>
        <v>&lt;input type="checkbox" id="" name="" value="1" /&gt;</v>
      </c>
      <c r="BA56" s="105" t="str">
        <f t="shared" si="105"/>
        <v>&lt;br/&gt;&lt;textarea rows="2" cols="80" id=""&gt;&lt;/textarea&gt;&lt;br/&gt;</v>
      </c>
      <c r="BB56" s="50" t="str">
        <f t="shared" si="106"/>
        <v>&lt;input type="radio" name="EPS" id="" value="" /&gt;</v>
      </c>
      <c r="BC56" s="107" t="str">
        <f t="shared" si="107"/>
        <v>&lt;input type="text"  size="7"  id="" class="datepicker"/&gt;</v>
      </c>
      <c r="BD56" s="109" t="str">
        <f t="shared" si="47"/>
        <v/>
      </c>
      <c r="BE56" s="61" t="str">
        <f t="shared" si="108"/>
        <v/>
      </c>
      <c r="BF56" s="52">
        <f t="shared" si="83"/>
        <v>12</v>
      </c>
      <c r="BG56" s="61" t="str">
        <f t="shared" si="119"/>
        <v/>
      </c>
      <c r="BH56" s="102" t="str">
        <f t="shared" si="109"/>
        <v/>
      </c>
      <c r="BI56" s="105" t="str">
        <f t="shared" si="85"/>
        <v/>
      </c>
      <c r="BJ56" s="52" t="str">
        <f t="shared" si="49"/>
        <v/>
      </c>
      <c r="BK56" s="52">
        <f t="shared" si="50"/>
        <v>0</v>
      </c>
      <c r="BL56" s="52">
        <f t="shared" si="51"/>
        <v>2</v>
      </c>
      <c r="BM56" s="52" t="str">
        <f t="shared" si="77"/>
        <v/>
      </c>
      <c r="BN56" s="52" t="str">
        <f t="shared" si="24"/>
        <v/>
      </c>
      <c r="BO56" s="52" t="str">
        <f t="shared" si="94"/>
        <v/>
      </c>
      <c r="BP56" s="113" t="str">
        <f t="shared" si="52"/>
        <v/>
      </c>
      <c r="BQ56" s="52" t="str">
        <f t="shared" si="79"/>
        <v/>
      </c>
      <c r="BR56" s="52" t="str">
        <f t="shared" si="53"/>
        <v/>
      </c>
      <c r="BS56" s="52" t="str">
        <f t="shared" si="54"/>
        <v/>
      </c>
      <c r="BT56" s="52" t="str">
        <f t="shared" si="55"/>
        <v/>
      </c>
      <c r="BU56" s="52" t="str">
        <f t="shared" si="56"/>
        <v/>
      </c>
      <c r="BV56" s="102" t="str">
        <f t="shared" si="110"/>
        <v/>
      </c>
      <c r="BW56" s="116" t="str">
        <f t="shared" si="111"/>
        <v/>
      </c>
      <c r="BX56" s="61" t="str">
        <f t="shared" si="112"/>
        <v/>
      </c>
      <c r="BY56" s="52" t="str">
        <f t="shared" si="28"/>
        <v/>
      </c>
      <c r="BZ56" s="52" t="str">
        <f t="shared" si="29"/>
        <v/>
      </c>
      <c r="CA56" s="52" t="str">
        <f t="shared" si="57"/>
        <v/>
      </c>
      <c r="CB56" s="52" t="str">
        <f t="shared" si="30"/>
        <v/>
      </c>
      <c r="CC56" s="52" t="str">
        <f t="shared" si="31"/>
        <v/>
      </c>
      <c r="CD56" s="102" t="str">
        <f t="shared" si="113"/>
        <v/>
      </c>
      <c r="CE56" s="116" t="str">
        <f t="shared" si="114"/>
        <v/>
      </c>
      <c r="CF56" s="116" t="str">
        <f t="shared" si="92"/>
        <v/>
      </c>
      <c r="CG56" s="61" t="str">
        <f t="shared" si="115"/>
        <v/>
      </c>
      <c r="CH56" s="52">
        <f t="shared" si="80"/>
        <v>2</v>
      </c>
      <c r="CI56" s="61" t="str">
        <f t="shared" si="58"/>
        <v/>
      </c>
      <c r="CJ56" s="61" t="str">
        <f t="shared" si="59"/>
        <v/>
      </c>
      <c r="CK56" s="61" t="str">
        <f t="shared" si="60"/>
        <v/>
      </c>
      <c r="CL56" s="61" t="str">
        <f t="shared" si="116"/>
        <v/>
      </c>
      <c r="CM56" s="61" t="str">
        <f t="shared" si="117"/>
        <v/>
      </c>
      <c r="CN56" s="134" t="str">
        <f t="shared" si="86"/>
        <v/>
      </c>
      <c r="CO56" s="131" t="str">
        <f t="shared" si="84"/>
        <v/>
      </c>
      <c r="CP56" s="131" t="str">
        <f t="shared" si="61"/>
        <v/>
      </c>
      <c r="CQ56" s="131" t="str">
        <f t="shared" si="62"/>
        <v/>
      </c>
      <c r="CR56" s="116" t="str">
        <f t="shared" si="63"/>
        <v/>
      </c>
      <c r="CS56" s="116" t="str">
        <f t="shared" si="64"/>
        <v/>
      </c>
      <c r="CT56" s="116" t="str">
        <f t="shared" si="65"/>
        <v/>
      </c>
      <c r="CU56" s="52">
        <f t="shared" si="66"/>
        <v>0</v>
      </c>
      <c r="CV56" s="116" t="str">
        <f t="shared" si="67"/>
        <v/>
      </c>
      <c r="CW56" s="116" t="str">
        <f t="shared" si="68"/>
        <v/>
      </c>
      <c r="CX56" s="61" t="str">
        <f t="shared" si="69"/>
        <v/>
      </c>
      <c r="CY56" s="61" t="str">
        <f t="shared" si="70"/>
        <v/>
      </c>
      <c r="CZ56" s="61" t="str">
        <f t="shared" si="71"/>
        <v/>
      </c>
      <c r="DA56" s="116" t="str">
        <f t="shared" si="95"/>
        <v/>
      </c>
      <c r="DB56" s="6" t="str">
        <f t="shared" si="82"/>
        <v/>
      </c>
      <c r="DC56" s="61" t="str">
        <f t="shared" si="72"/>
        <v/>
      </c>
      <c r="DD56" s="131" t="str">
        <f t="shared" si="87"/>
        <v/>
      </c>
      <c r="DE56" s="131" t="str">
        <f t="shared" si="88"/>
        <v/>
      </c>
      <c r="DF56" s="61" t="str">
        <f t="shared" si="89"/>
        <v/>
      </c>
      <c r="DG56" s="116" t="str">
        <f t="shared" si="73"/>
        <v/>
      </c>
      <c r="DH56" s="116" t="str">
        <f t="shared" si="74"/>
        <v/>
      </c>
    </row>
    <row r="57" spans="2:112" s="17" customFormat="1" hidden="1">
      <c r="B57" s="35"/>
      <c r="C57" s="35"/>
      <c r="D57" s="36"/>
      <c r="E57" s="35"/>
      <c r="F57" s="35"/>
      <c r="G57" s="35"/>
      <c r="H57" s="35"/>
      <c r="I57" s="35"/>
      <c r="J57" s="121"/>
      <c r="K57" s="59"/>
      <c r="AC57" s="47" t="s">
        <v>236</v>
      </c>
      <c r="AD57" s="52" t="str">
        <f t="shared" si="96"/>
        <v/>
      </c>
      <c r="AE57" s="52">
        <f t="shared" si="97"/>
        <v>0</v>
      </c>
      <c r="AF57" s="52">
        <f t="shared" si="75"/>
        <v>6</v>
      </c>
      <c r="AG57" s="61" t="str">
        <f t="shared" si="3"/>
        <v/>
      </c>
      <c r="AH57" s="52">
        <f t="shared" si="98"/>
        <v>0</v>
      </c>
      <c r="AI57" s="52">
        <f t="shared" si="43"/>
        <v>7</v>
      </c>
      <c r="AJ57" s="52" t="str">
        <f t="shared" si="44"/>
        <v/>
      </c>
      <c r="AK57" s="61" t="str">
        <f t="shared" si="5"/>
        <v/>
      </c>
      <c r="AL57" s="95" t="str">
        <f t="shared" si="99"/>
        <v/>
      </c>
      <c r="AM57" s="61" t="str">
        <f t="shared" si="7"/>
        <v>if () {$("#adv_").html("Requierd");$("#").css({"background":"yellow"});} else {$("#adv_").html("");$("#").css({"background":"white"});}</v>
      </c>
      <c r="AN57" s="61" t="str">
        <f t="shared" si="8"/>
        <v>if (=="") {$("#adv_").html("Requierd");} else {$("#adv_").html("");}</v>
      </c>
      <c r="AO57" s="50" t="str">
        <f t="shared" si="100"/>
        <v/>
      </c>
      <c r="AP57" s="61" t="str">
        <f t="shared" si="10"/>
        <v>=$("#").val();</v>
      </c>
      <c r="AQ57" s="61" t="str">
        <f t="shared" si="45"/>
        <v/>
      </c>
      <c r="AR57" s="61" t="str">
        <f t="shared" si="11"/>
        <v>=document.getElementById("").checked;</v>
      </c>
      <c r="AS57" s="102" t="str">
        <f t="shared" si="12"/>
        <v>if (isset($_GET[''])) {$=($_GET['']);}else $='';</v>
      </c>
      <c r="AT57" s="52" t="str">
        <f t="shared" si="101"/>
        <v>EPS</v>
      </c>
      <c r="AU57" s="52" t="str">
        <f t="shared" si="14"/>
        <v>else if (document.getElementById("</v>
      </c>
      <c r="AV57" s="61" t="str">
        <f t="shared" si="102"/>
        <v>else if (document.getElementById("").checked==true) {EPS="";}</v>
      </c>
      <c r="AW57" s="61" t="str">
        <f t="shared" si="118"/>
        <v/>
      </c>
      <c r="AX57" s="102" t="str">
        <f t="shared" si="103"/>
        <v/>
      </c>
      <c r="AY57" s="135" t="str">
        <f t="shared" si="46"/>
        <v/>
      </c>
      <c r="AZ57" s="50" t="str">
        <f t="shared" si="104"/>
        <v>&lt;input type="checkbox" id="" name="" value="1" /&gt;</v>
      </c>
      <c r="BA57" s="105" t="str">
        <f t="shared" si="105"/>
        <v>&lt;br/&gt;&lt;textarea rows="2" cols="80" id=""&gt;&lt;/textarea&gt;&lt;br/&gt;</v>
      </c>
      <c r="BB57" s="50" t="str">
        <f t="shared" si="106"/>
        <v>&lt;input type="radio" name="EPS" id="" value="" /&gt;</v>
      </c>
      <c r="BC57" s="107" t="str">
        <f t="shared" si="107"/>
        <v>&lt;input type="text"  size="7"  id="" class="datepicker"/&gt;</v>
      </c>
      <c r="BD57" s="109" t="str">
        <f t="shared" si="47"/>
        <v/>
      </c>
      <c r="BE57" s="61" t="str">
        <f t="shared" si="108"/>
        <v/>
      </c>
      <c r="BF57" s="52">
        <f t="shared" si="83"/>
        <v>12</v>
      </c>
      <c r="BG57" s="61" t="str">
        <f t="shared" si="119"/>
        <v/>
      </c>
      <c r="BH57" s="102" t="str">
        <f t="shared" si="109"/>
        <v/>
      </c>
      <c r="BI57" s="105" t="str">
        <f t="shared" si="85"/>
        <v/>
      </c>
      <c r="BJ57" s="52" t="str">
        <f t="shared" si="49"/>
        <v/>
      </c>
      <c r="BK57" s="52">
        <f t="shared" si="50"/>
        <v>0</v>
      </c>
      <c r="BL57" s="52">
        <f t="shared" si="51"/>
        <v>2</v>
      </c>
      <c r="BM57" s="52" t="str">
        <f t="shared" si="77"/>
        <v/>
      </c>
      <c r="BN57" s="52" t="str">
        <f t="shared" si="24"/>
        <v/>
      </c>
      <c r="BO57" s="52" t="str">
        <f t="shared" si="94"/>
        <v/>
      </c>
      <c r="BP57" s="113" t="str">
        <f t="shared" si="52"/>
        <v/>
      </c>
      <c r="BQ57" s="52" t="str">
        <f t="shared" si="79"/>
        <v/>
      </c>
      <c r="BR57" s="52" t="str">
        <f t="shared" si="53"/>
        <v/>
      </c>
      <c r="BS57" s="52" t="str">
        <f t="shared" si="54"/>
        <v/>
      </c>
      <c r="BT57" s="52" t="str">
        <f t="shared" si="55"/>
        <v/>
      </c>
      <c r="BU57" s="52" t="str">
        <f t="shared" si="56"/>
        <v/>
      </c>
      <c r="BV57" s="102" t="str">
        <f t="shared" si="110"/>
        <v/>
      </c>
      <c r="BW57" s="116" t="str">
        <f t="shared" si="111"/>
        <v/>
      </c>
      <c r="BX57" s="61" t="str">
        <f t="shared" si="112"/>
        <v/>
      </c>
      <c r="BY57" s="52" t="str">
        <f t="shared" si="28"/>
        <v/>
      </c>
      <c r="BZ57" s="52" t="str">
        <f t="shared" si="29"/>
        <v/>
      </c>
      <c r="CA57" s="52" t="str">
        <f t="shared" si="57"/>
        <v/>
      </c>
      <c r="CB57" s="52" t="str">
        <f t="shared" si="30"/>
        <v/>
      </c>
      <c r="CC57" s="52" t="str">
        <f t="shared" si="31"/>
        <v/>
      </c>
      <c r="CD57" s="102" t="str">
        <f t="shared" si="113"/>
        <v/>
      </c>
      <c r="CE57" s="116" t="str">
        <f t="shared" si="114"/>
        <v/>
      </c>
      <c r="CF57" s="116" t="str">
        <f t="shared" si="92"/>
        <v/>
      </c>
      <c r="CG57" s="61" t="str">
        <f t="shared" si="115"/>
        <v/>
      </c>
      <c r="CH57" s="52">
        <f t="shared" si="80"/>
        <v>2</v>
      </c>
      <c r="CI57" s="61" t="str">
        <f t="shared" si="58"/>
        <v/>
      </c>
      <c r="CJ57" s="61" t="str">
        <f t="shared" si="59"/>
        <v/>
      </c>
      <c r="CK57" s="61" t="str">
        <f t="shared" si="60"/>
        <v/>
      </c>
      <c r="CL57" s="61" t="str">
        <f t="shared" si="116"/>
        <v/>
      </c>
      <c r="CM57" s="61" t="str">
        <f t="shared" si="117"/>
        <v/>
      </c>
      <c r="CN57" s="134" t="str">
        <f t="shared" si="86"/>
        <v/>
      </c>
      <c r="CO57" s="131" t="str">
        <f t="shared" si="84"/>
        <v/>
      </c>
      <c r="CP57" s="131" t="str">
        <f t="shared" si="61"/>
        <v/>
      </c>
      <c r="CQ57" s="131" t="str">
        <f t="shared" si="62"/>
        <v/>
      </c>
      <c r="CR57" s="116" t="str">
        <f t="shared" si="63"/>
        <v/>
      </c>
      <c r="CS57" s="116" t="str">
        <f t="shared" si="64"/>
        <v/>
      </c>
      <c r="CT57" s="116" t="str">
        <f t="shared" si="65"/>
        <v/>
      </c>
      <c r="CU57" s="52">
        <f t="shared" si="66"/>
        <v>0</v>
      </c>
      <c r="CV57" s="116" t="str">
        <f t="shared" si="67"/>
        <v/>
      </c>
      <c r="CW57" s="116" t="str">
        <f t="shared" si="68"/>
        <v/>
      </c>
      <c r="CX57" s="61" t="str">
        <f t="shared" si="69"/>
        <v/>
      </c>
      <c r="CY57" s="61" t="str">
        <f t="shared" si="70"/>
        <v/>
      </c>
      <c r="CZ57" s="61" t="str">
        <f t="shared" si="71"/>
        <v/>
      </c>
      <c r="DA57" s="116" t="str">
        <f t="shared" si="95"/>
        <v/>
      </c>
      <c r="DB57" s="6" t="str">
        <f t="shared" si="82"/>
        <v/>
      </c>
      <c r="DC57" s="61" t="str">
        <f t="shared" si="72"/>
        <v/>
      </c>
      <c r="DD57" s="131" t="str">
        <f t="shared" si="87"/>
        <v/>
      </c>
      <c r="DE57" s="131" t="str">
        <f t="shared" si="88"/>
        <v/>
      </c>
      <c r="DF57" s="61" t="str">
        <f t="shared" si="89"/>
        <v/>
      </c>
      <c r="DG57" s="116" t="str">
        <f t="shared" si="73"/>
        <v/>
      </c>
      <c r="DH57" s="116" t="str">
        <f t="shared" si="74"/>
        <v/>
      </c>
    </row>
    <row r="58" spans="2:112" s="17" customFormat="1" hidden="1">
      <c r="B58" s="35"/>
      <c r="C58" s="35"/>
      <c r="D58" s="36"/>
      <c r="E58" s="35"/>
      <c r="F58" s="35"/>
      <c r="G58" s="35"/>
      <c r="H58" s="35"/>
      <c r="I58" s="35"/>
      <c r="J58" s="121"/>
      <c r="K58" s="59"/>
      <c r="AC58" s="47" t="s">
        <v>237</v>
      </c>
      <c r="AD58" s="52" t="str">
        <f t="shared" si="96"/>
        <v/>
      </c>
      <c r="AE58" s="52">
        <f t="shared" si="97"/>
        <v>0</v>
      </c>
      <c r="AF58" s="52">
        <f t="shared" si="75"/>
        <v>6</v>
      </c>
      <c r="AG58" s="61" t="str">
        <f t="shared" si="3"/>
        <v/>
      </c>
      <c r="AH58" s="52">
        <f t="shared" si="98"/>
        <v>0</v>
      </c>
      <c r="AI58" s="52">
        <f t="shared" si="43"/>
        <v>7</v>
      </c>
      <c r="AJ58" s="52" t="str">
        <f t="shared" si="44"/>
        <v/>
      </c>
      <c r="AK58" s="61" t="str">
        <f t="shared" si="5"/>
        <v/>
      </c>
      <c r="AL58" s="95" t="str">
        <f t="shared" si="99"/>
        <v/>
      </c>
      <c r="AM58" s="61" t="str">
        <f t="shared" si="7"/>
        <v>if () {$("#adv_").html("Requierd");$("#").css({"background":"yellow"});} else {$("#adv_").html("");$("#").css({"background":"white"});}</v>
      </c>
      <c r="AN58" s="61" t="str">
        <f t="shared" si="8"/>
        <v>if (=="") {$("#adv_").html("Requierd");} else {$("#adv_").html("");}</v>
      </c>
      <c r="AO58" s="50" t="str">
        <f t="shared" si="100"/>
        <v/>
      </c>
      <c r="AP58" s="61" t="str">
        <f t="shared" si="10"/>
        <v>=$("#").val();</v>
      </c>
      <c r="AQ58" s="61" t="str">
        <f t="shared" si="45"/>
        <v/>
      </c>
      <c r="AR58" s="61" t="str">
        <f t="shared" si="11"/>
        <v>=document.getElementById("").checked;</v>
      </c>
      <c r="AS58" s="102" t="str">
        <f t="shared" si="12"/>
        <v>if (isset($_GET[''])) {$=($_GET['']);}else $='';</v>
      </c>
      <c r="AT58" s="52" t="str">
        <f t="shared" si="101"/>
        <v>EPS</v>
      </c>
      <c r="AU58" s="52" t="str">
        <f t="shared" si="14"/>
        <v>else if (document.getElementById("</v>
      </c>
      <c r="AV58" s="61" t="str">
        <f t="shared" si="102"/>
        <v>else if (document.getElementById("").checked==true) {EPS="";}</v>
      </c>
      <c r="AW58" s="61" t="str">
        <f t="shared" si="118"/>
        <v/>
      </c>
      <c r="AX58" s="102" t="str">
        <f t="shared" si="103"/>
        <v/>
      </c>
      <c r="AY58" s="135" t="str">
        <f t="shared" si="46"/>
        <v/>
      </c>
      <c r="AZ58" s="50" t="str">
        <f t="shared" si="104"/>
        <v>&lt;input type="checkbox" id="" name="" value="1" /&gt;</v>
      </c>
      <c r="BA58" s="105" t="str">
        <f t="shared" si="105"/>
        <v>&lt;br/&gt;&lt;textarea rows="2" cols="80" id=""&gt;&lt;/textarea&gt;&lt;br/&gt;</v>
      </c>
      <c r="BB58" s="50" t="str">
        <f t="shared" si="106"/>
        <v>&lt;input type="radio" name="EPS" id="" value="" /&gt;</v>
      </c>
      <c r="BC58" s="107" t="str">
        <f t="shared" si="107"/>
        <v>&lt;input type="text"  size="7"  id="" class="datepicker"/&gt;</v>
      </c>
      <c r="BD58" s="109" t="str">
        <f t="shared" si="47"/>
        <v/>
      </c>
      <c r="BE58" s="61" t="str">
        <f t="shared" si="108"/>
        <v/>
      </c>
      <c r="BF58" s="52">
        <f t="shared" si="83"/>
        <v>12</v>
      </c>
      <c r="BG58" s="61" t="str">
        <f t="shared" si="119"/>
        <v/>
      </c>
      <c r="BH58" s="102" t="str">
        <f t="shared" si="109"/>
        <v/>
      </c>
      <c r="BI58" s="105" t="str">
        <f t="shared" si="85"/>
        <v/>
      </c>
      <c r="BJ58" s="52" t="str">
        <f t="shared" si="49"/>
        <v/>
      </c>
      <c r="BK58" s="52">
        <f t="shared" si="50"/>
        <v>0</v>
      </c>
      <c r="BL58" s="52">
        <f t="shared" si="51"/>
        <v>2</v>
      </c>
      <c r="BM58" s="52" t="str">
        <f t="shared" si="77"/>
        <v/>
      </c>
      <c r="BN58" s="52" t="str">
        <f t="shared" si="24"/>
        <v/>
      </c>
      <c r="BO58" s="52" t="str">
        <f t="shared" si="94"/>
        <v/>
      </c>
      <c r="BP58" s="113" t="str">
        <f t="shared" si="52"/>
        <v/>
      </c>
      <c r="BQ58" s="52" t="str">
        <f t="shared" si="79"/>
        <v/>
      </c>
      <c r="BR58" s="52" t="str">
        <f t="shared" si="53"/>
        <v/>
      </c>
      <c r="BS58" s="52" t="str">
        <f t="shared" si="54"/>
        <v/>
      </c>
      <c r="BT58" s="52" t="str">
        <f t="shared" si="55"/>
        <v/>
      </c>
      <c r="BU58" s="52" t="str">
        <f t="shared" si="56"/>
        <v/>
      </c>
      <c r="BV58" s="102" t="str">
        <f t="shared" si="110"/>
        <v/>
      </c>
      <c r="BW58" s="116" t="str">
        <f t="shared" si="111"/>
        <v/>
      </c>
      <c r="BX58" s="61" t="str">
        <f t="shared" si="112"/>
        <v/>
      </c>
      <c r="BY58" s="52" t="str">
        <f t="shared" si="28"/>
        <v/>
      </c>
      <c r="BZ58" s="52" t="str">
        <f t="shared" si="29"/>
        <v/>
      </c>
      <c r="CA58" s="52" t="str">
        <f t="shared" si="57"/>
        <v/>
      </c>
      <c r="CB58" s="52" t="str">
        <f t="shared" si="30"/>
        <v/>
      </c>
      <c r="CC58" s="52" t="str">
        <f t="shared" si="31"/>
        <v/>
      </c>
      <c r="CD58" s="102" t="str">
        <f t="shared" si="113"/>
        <v/>
      </c>
      <c r="CE58" s="116" t="str">
        <f t="shared" si="114"/>
        <v/>
      </c>
      <c r="CF58" s="116" t="str">
        <f t="shared" si="92"/>
        <v/>
      </c>
      <c r="CG58" s="61" t="str">
        <f t="shared" si="115"/>
        <v/>
      </c>
      <c r="CH58" s="52">
        <f t="shared" si="80"/>
        <v>2</v>
      </c>
      <c r="CI58" s="61" t="str">
        <f t="shared" si="58"/>
        <v/>
      </c>
      <c r="CJ58" s="61" t="str">
        <f t="shared" si="59"/>
        <v/>
      </c>
      <c r="CK58" s="61" t="str">
        <f t="shared" si="60"/>
        <v/>
      </c>
      <c r="CL58" s="61" t="str">
        <f t="shared" si="116"/>
        <v/>
      </c>
      <c r="CM58" s="61" t="str">
        <f t="shared" si="117"/>
        <v/>
      </c>
      <c r="CN58" s="134" t="str">
        <f t="shared" si="86"/>
        <v/>
      </c>
      <c r="CO58" s="131" t="str">
        <f t="shared" si="84"/>
        <v/>
      </c>
      <c r="CP58" s="131" t="str">
        <f t="shared" si="61"/>
        <v/>
      </c>
      <c r="CQ58" s="131" t="str">
        <f t="shared" si="62"/>
        <v/>
      </c>
      <c r="CR58" s="116" t="str">
        <f t="shared" si="63"/>
        <v/>
      </c>
      <c r="CS58" s="116" t="str">
        <f t="shared" si="64"/>
        <v/>
      </c>
      <c r="CT58" s="116" t="str">
        <f t="shared" si="65"/>
        <v/>
      </c>
      <c r="CU58" s="52">
        <f t="shared" si="66"/>
        <v>0</v>
      </c>
      <c r="CV58" s="116" t="str">
        <f t="shared" si="67"/>
        <v/>
      </c>
      <c r="CW58" s="116" t="str">
        <f t="shared" si="68"/>
        <v/>
      </c>
      <c r="CX58" s="61" t="str">
        <f t="shared" si="69"/>
        <v/>
      </c>
      <c r="CY58" s="61" t="str">
        <f t="shared" si="70"/>
        <v/>
      </c>
      <c r="CZ58" s="61" t="str">
        <f t="shared" si="71"/>
        <v/>
      </c>
      <c r="DA58" s="116" t="str">
        <f t="shared" si="95"/>
        <v/>
      </c>
      <c r="DB58" s="6" t="str">
        <f t="shared" si="82"/>
        <v/>
      </c>
      <c r="DC58" s="61" t="str">
        <f t="shared" si="72"/>
        <v/>
      </c>
      <c r="DD58" s="131" t="str">
        <f t="shared" si="87"/>
        <v/>
      </c>
      <c r="DE58" s="131" t="str">
        <f t="shared" si="88"/>
        <v/>
      </c>
      <c r="DF58" s="61" t="str">
        <f t="shared" si="89"/>
        <v/>
      </c>
      <c r="DG58" s="116" t="str">
        <f t="shared" si="73"/>
        <v/>
      </c>
      <c r="DH58" s="116" t="str">
        <f t="shared" si="74"/>
        <v/>
      </c>
    </row>
    <row r="59" spans="2:112" s="17" customFormat="1" hidden="1">
      <c r="B59" s="35"/>
      <c r="C59" s="35"/>
      <c r="D59" s="36"/>
      <c r="E59" s="35"/>
      <c r="F59" s="35"/>
      <c r="G59" s="35"/>
      <c r="H59" s="35"/>
      <c r="I59" s="35"/>
      <c r="J59" s="121"/>
      <c r="K59" s="59"/>
      <c r="AC59" s="47" t="s">
        <v>238</v>
      </c>
      <c r="AD59" s="52" t="str">
        <f t="shared" si="96"/>
        <v/>
      </c>
      <c r="AE59" s="52">
        <f t="shared" si="97"/>
        <v>0</v>
      </c>
      <c r="AF59" s="52">
        <f t="shared" si="75"/>
        <v>6</v>
      </c>
      <c r="AG59" s="61" t="str">
        <f t="shared" si="3"/>
        <v/>
      </c>
      <c r="AH59" s="52">
        <f t="shared" si="98"/>
        <v>0</v>
      </c>
      <c r="AI59" s="52">
        <f t="shared" si="43"/>
        <v>7</v>
      </c>
      <c r="AJ59" s="52" t="str">
        <f t="shared" si="44"/>
        <v/>
      </c>
      <c r="AK59" s="61" t="str">
        <f t="shared" si="5"/>
        <v/>
      </c>
      <c r="AL59" s="95" t="str">
        <f t="shared" si="99"/>
        <v/>
      </c>
      <c r="AM59" s="61" t="str">
        <f t="shared" si="7"/>
        <v>if () {$("#adv_").html("Requierd");$("#").css({"background":"yellow"});} else {$("#adv_").html("");$("#").css({"background":"white"});}</v>
      </c>
      <c r="AN59" s="61" t="str">
        <f t="shared" si="8"/>
        <v>if (=="") {$("#adv_").html("Requierd");} else {$("#adv_").html("");}</v>
      </c>
      <c r="AO59" s="50" t="str">
        <f t="shared" si="100"/>
        <v/>
      </c>
      <c r="AP59" s="61" t="str">
        <f t="shared" si="10"/>
        <v>=$("#").val();</v>
      </c>
      <c r="AQ59" s="61" t="str">
        <f t="shared" si="45"/>
        <v/>
      </c>
      <c r="AR59" s="61" t="str">
        <f t="shared" si="11"/>
        <v>=document.getElementById("").checked;</v>
      </c>
      <c r="AS59" s="102" t="str">
        <f t="shared" si="12"/>
        <v>if (isset($_GET[''])) {$=($_GET['']);}else $='';</v>
      </c>
      <c r="AT59" s="52" t="str">
        <f t="shared" si="101"/>
        <v>EPS</v>
      </c>
      <c r="AU59" s="52" t="str">
        <f t="shared" si="14"/>
        <v>else if (document.getElementById("</v>
      </c>
      <c r="AV59" s="61" t="str">
        <f t="shared" si="102"/>
        <v>else if (document.getElementById("").checked==true) {EPS="";}</v>
      </c>
      <c r="AW59" s="61" t="str">
        <f t="shared" si="118"/>
        <v/>
      </c>
      <c r="AX59" s="102" t="str">
        <f t="shared" si="103"/>
        <v/>
      </c>
      <c r="AY59" s="135" t="str">
        <f t="shared" si="46"/>
        <v/>
      </c>
      <c r="AZ59" s="50" t="str">
        <f t="shared" si="104"/>
        <v>&lt;input type="checkbox" id="" name="" value="1" /&gt;</v>
      </c>
      <c r="BA59" s="105" t="str">
        <f t="shared" si="105"/>
        <v>&lt;br/&gt;&lt;textarea rows="2" cols="80" id=""&gt;&lt;/textarea&gt;&lt;br/&gt;</v>
      </c>
      <c r="BB59" s="50" t="str">
        <f t="shared" si="106"/>
        <v>&lt;input type="radio" name="EPS" id="" value="" /&gt;</v>
      </c>
      <c r="BC59" s="107" t="str">
        <f t="shared" si="107"/>
        <v>&lt;input type="text"  size="7"  id="" class="datepicker"/&gt;</v>
      </c>
      <c r="BD59" s="109" t="str">
        <f t="shared" si="47"/>
        <v/>
      </c>
      <c r="BE59" s="61" t="str">
        <f t="shared" si="108"/>
        <v/>
      </c>
      <c r="BF59" s="52">
        <f t="shared" si="83"/>
        <v>12</v>
      </c>
      <c r="BG59" s="61" t="str">
        <f t="shared" si="119"/>
        <v/>
      </c>
      <c r="BH59" s="102" t="str">
        <f t="shared" si="109"/>
        <v/>
      </c>
      <c r="BI59" s="105" t="str">
        <f t="shared" si="85"/>
        <v/>
      </c>
      <c r="BJ59" s="52" t="str">
        <f t="shared" si="49"/>
        <v/>
      </c>
      <c r="BK59" s="52">
        <f t="shared" si="50"/>
        <v>0</v>
      </c>
      <c r="BL59" s="52">
        <f t="shared" si="51"/>
        <v>2</v>
      </c>
      <c r="BM59" s="52" t="str">
        <f t="shared" si="77"/>
        <v/>
      </c>
      <c r="BN59" s="52" t="str">
        <f t="shared" si="24"/>
        <v/>
      </c>
      <c r="BO59" s="52" t="str">
        <f t="shared" si="94"/>
        <v/>
      </c>
      <c r="BP59" s="113" t="str">
        <f t="shared" si="52"/>
        <v/>
      </c>
      <c r="BQ59" s="52" t="str">
        <f t="shared" si="79"/>
        <v/>
      </c>
      <c r="BR59" s="52" t="str">
        <f t="shared" si="53"/>
        <v/>
      </c>
      <c r="BS59" s="52" t="str">
        <f t="shared" si="54"/>
        <v/>
      </c>
      <c r="BT59" s="52" t="str">
        <f t="shared" si="55"/>
        <v/>
      </c>
      <c r="BU59" s="52" t="str">
        <f t="shared" si="56"/>
        <v/>
      </c>
      <c r="BV59" s="102" t="str">
        <f t="shared" si="110"/>
        <v/>
      </c>
      <c r="BW59" s="116" t="str">
        <f t="shared" si="111"/>
        <v/>
      </c>
      <c r="BX59" s="61" t="str">
        <f t="shared" si="112"/>
        <v/>
      </c>
      <c r="BY59" s="52" t="str">
        <f t="shared" si="28"/>
        <v/>
      </c>
      <c r="BZ59" s="52" t="str">
        <f t="shared" si="29"/>
        <v/>
      </c>
      <c r="CA59" s="52" t="str">
        <f t="shared" si="57"/>
        <v/>
      </c>
      <c r="CB59" s="52" t="str">
        <f t="shared" si="30"/>
        <v/>
      </c>
      <c r="CC59" s="52" t="str">
        <f t="shared" si="31"/>
        <v/>
      </c>
      <c r="CD59" s="102" t="str">
        <f t="shared" si="113"/>
        <v/>
      </c>
      <c r="CE59" s="116" t="str">
        <f t="shared" si="114"/>
        <v/>
      </c>
      <c r="CF59" s="116" t="str">
        <f t="shared" si="92"/>
        <v/>
      </c>
      <c r="CG59" s="61" t="str">
        <f t="shared" si="115"/>
        <v/>
      </c>
      <c r="CH59" s="52">
        <f t="shared" si="80"/>
        <v>2</v>
      </c>
      <c r="CI59" s="61" t="str">
        <f t="shared" si="58"/>
        <v/>
      </c>
      <c r="CJ59" s="61" t="str">
        <f t="shared" si="59"/>
        <v/>
      </c>
      <c r="CK59" s="61" t="str">
        <f t="shared" si="60"/>
        <v/>
      </c>
      <c r="CL59" s="61" t="str">
        <f t="shared" si="116"/>
        <v/>
      </c>
      <c r="CM59" s="61" t="str">
        <f t="shared" si="117"/>
        <v/>
      </c>
      <c r="CN59" s="134" t="str">
        <f t="shared" si="86"/>
        <v/>
      </c>
      <c r="CO59" s="131" t="str">
        <f t="shared" si="84"/>
        <v/>
      </c>
      <c r="CP59" s="131" t="str">
        <f t="shared" si="61"/>
        <v/>
      </c>
      <c r="CQ59" s="131" t="str">
        <f t="shared" si="62"/>
        <v/>
      </c>
      <c r="CR59" s="116" t="str">
        <f t="shared" si="63"/>
        <v/>
      </c>
      <c r="CS59" s="116" t="str">
        <f t="shared" si="64"/>
        <v/>
      </c>
      <c r="CT59" s="116" t="str">
        <f t="shared" si="65"/>
        <v/>
      </c>
      <c r="CU59" s="52">
        <f t="shared" si="66"/>
        <v>0</v>
      </c>
      <c r="CV59" s="116" t="str">
        <f t="shared" si="67"/>
        <v/>
      </c>
      <c r="CW59" s="116" t="str">
        <f t="shared" si="68"/>
        <v/>
      </c>
      <c r="CX59" s="61" t="str">
        <f t="shared" si="69"/>
        <v/>
      </c>
      <c r="CY59" s="61" t="str">
        <f t="shared" si="70"/>
        <v/>
      </c>
      <c r="CZ59" s="61" t="str">
        <f t="shared" si="71"/>
        <v/>
      </c>
      <c r="DA59" s="116" t="str">
        <f t="shared" si="95"/>
        <v/>
      </c>
      <c r="DB59" s="6" t="str">
        <f t="shared" si="82"/>
        <v/>
      </c>
      <c r="DC59" s="61" t="str">
        <f t="shared" si="72"/>
        <v/>
      </c>
      <c r="DD59" s="131" t="str">
        <f t="shared" si="87"/>
        <v/>
      </c>
      <c r="DE59" s="131" t="str">
        <f t="shared" si="88"/>
        <v/>
      </c>
      <c r="DF59" s="61" t="str">
        <f t="shared" si="89"/>
        <v/>
      </c>
      <c r="DG59" s="116" t="str">
        <f t="shared" si="73"/>
        <v/>
      </c>
      <c r="DH59" s="116" t="str">
        <f t="shared" si="74"/>
        <v/>
      </c>
    </row>
    <row r="60" spans="2:112" s="17" customFormat="1" hidden="1">
      <c r="B60" s="35"/>
      <c r="C60" s="35"/>
      <c r="D60" s="36"/>
      <c r="E60" s="35"/>
      <c r="F60" s="35"/>
      <c r="G60" s="35"/>
      <c r="H60" s="35"/>
      <c r="I60" s="35"/>
      <c r="J60" s="121"/>
      <c r="K60" s="59"/>
      <c r="AC60" s="47" t="s">
        <v>239</v>
      </c>
      <c r="AD60" s="52" t="str">
        <f t="shared" si="96"/>
        <v/>
      </c>
      <c r="AE60" s="52">
        <f t="shared" si="97"/>
        <v>0</v>
      </c>
      <c r="AF60" s="52">
        <f t="shared" si="75"/>
        <v>6</v>
      </c>
      <c r="AG60" s="61" t="str">
        <f t="shared" si="3"/>
        <v/>
      </c>
      <c r="AH60" s="52">
        <f t="shared" si="98"/>
        <v>0</v>
      </c>
      <c r="AI60" s="52">
        <f t="shared" si="43"/>
        <v>7</v>
      </c>
      <c r="AJ60" s="52" t="str">
        <f t="shared" si="44"/>
        <v/>
      </c>
      <c r="AK60" s="61" t="str">
        <f t="shared" si="5"/>
        <v/>
      </c>
      <c r="AL60" s="95" t="str">
        <f t="shared" si="99"/>
        <v/>
      </c>
      <c r="AM60" s="61" t="str">
        <f t="shared" si="7"/>
        <v>if () {$("#adv_").html("Requierd");$("#").css({"background":"yellow"});} else {$("#adv_").html("");$("#").css({"background":"white"});}</v>
      </c>
      <c r="AN60" s="61" t="str">
        <f t="shared" si="8"/>
        <v>if (=="") {$("#adv_").html("Requierd");} else {$("#adv_").html("");}</v>
      </c>
      <c r="AO60" s="50" t="str">
        <f t="shared" si="100"/>
        <v/>
      </c>
      <c r="AP60" s="61" t="str">
        <f t="shared" si="10"/>
        <v>=$("#").val();</v>
      </c>
      <c r="AQ60" s="61" t="str">
        <f t="shared" si="45"/>
        <v/>
      </c>
      <c r="AR60" s="61" t="str">
        <f t="shared" si="11"/>
        <v>=document.getElementById("").checked;</v>
      </c>
      <c r="AS60" s="102" t="str">
        <f t="shared" si="12"/>
        <v>if (isset($_GET[''])) {$=($_GET['']);}else $='';</v>
      </c>
      <c r="AT60" s="52" t="str">
        <f t="shared" si="101"/>
        <v>EPS</v>
      </c>
      <c r="AU60" s="52" t="str">
        <f t="shared" si="14"/>
        <v>else if (document.getElementById("</v>
      </c>
      <c r="AV60" s="61" t="str">
        <f t="shared" si="102"/>
        <v>else if (document.getElementById("").checked==true) {EPS="";}</v>
      </c>
      <c r="AW60" s="61" t="str">
        <f t="shared" si="118"/>
        <v/>
      </c>
      <c r="AX60" s="102" t="str">
        <f t="shared" si="103"/>
        <v/>
      </c>
      <c r="AY60" s="135" t="str">
        <f t="shared" si="46"/>
        <v/>
      </c>
      <c r="AZ60" s="50" t="str">
        <f t="shared" si="104"/>
        <v>&lt;input type="checkbox" id="" name="" value="1" /&gt;</v>
      </c>
      <c r="BA60" s="105" t="str">
        <f t="shared" si="105"/>
        <v>&lt;br/&gt;&lt;textarea rows="2" cols="80" id=""&gt;&lt;/textarea&gt;&lt;br/&gt;</v>
      </c>
      <c r="BB60" s="50" t="str">
        <f t="shared" si="106"/>
        <v>&lt;input type="radio" name="EPS" id="" value="" /&gt;</v>
      </c>
      <c r="BC60" s="107" t="str">
        <f t="shared" si="107"/>
        <v>&lt;input type="text"  size="7"  id="" class="datepicker"/&gt;</v>
      </c>
      <c r="BD60" s="109" t="str">
        <f t="shared" si="47"/>
        <v/>
      </c>
      <c r="BE60" s="61" t="str">
        <f t="shared" si="108"/>
        <v/>
      </c>
      <c r="BF60" s="52">
        <f t="shared" si="83"/>
        <v>12</v>
      </c>
      <c r="BG60" s="61" t="str">
        <f t="shared" si="119"/>
        <v/>
      </c>
      <c r="BH60" s="102" t="str">
        <f t="shared" si="109"/>
        <v/>
      </c>
      <c r="BI60" s="105" t="str">
        <f t="shared" si="85"/>
        <v/>
      </c>
      <c r="BJ60" s="52" t="str">
        <f t="shared" si="49"/>
        <v/>
      </c>
      <c r="BK60" s="52">
        <f t="shared" si="50"/>
        <v>0</v>
      </c>
      <c r="BL60" s="52">
        <f t="shared" si="51"/>
        <v>2</v>
      </c>
      <c r="BM60" s="52" t="str">
        <f t="shared" si="77"/>
        <v/>
      </c>
      <c r="BN60" s="52" t="str">
        <f t="shared" si="24"/>
        <v/>
      </c>
      <c r="BO60" s="52" t="str">
        <f t="shared" si="94"/>
        <v/>
      </c>
      <c r="BP60" s="113" t="str">
        <f t="shared" si="52"/>
        <v/>
      </c>
      <c r="BQ60" s="52" t="str">
        <f t="shared" si="79"/>
        <v/>
      </c>
      <c r="BR60" s="52" t="str">
        <f t="shared" si="53"/>
        <v/>
      </c>
      <c r="BS60" s="52" t="str">
        <f t="shared" si="54"/>
        <v/>
      </c>
      <c r="BT60" s="52" t="str">
        <f t="shared" si="55"/>
        <v/>
      </c>
      <c r="BU60" s="52" t="str">
        <f t="shared" si="56"/>
        <v/>
      </c>
      <c r="BV60" s="102" t="str">
        <f t="shared" si="110"/>
        <v/>
      </c>
      <c r="BW60" s="116" t="str">
        <f t="shared" si="111"/>
        <v/>
      </c>
      <c r="BX60" s="61" t="str">
        <f t="shared" si="112"/>
        <v/>
      </c>
      <c r="BY60" s="52" t="str">
        <f t="shared" si="28"/>
        <v/>
      </c>
      <c r="BZ60" s="52" t="str">
        <f t="shared" si="29"/>
        <v/>
      </c>
      <c r="CA60" s="52" t="str">
        <f t="shared" si="57"/>
        <v/>
      </c>
      <c r="CB60" s="52" t="str">
        <f t="shared" si="30"/>
        <v/>
      </c>
      <c r="CC60" s="52" t="str">
        <f t="shared" si="31"/>
        <v/>
      </c>
      <c r="CD60" s="102" t="str">
        <f t="shared" si="113"/>
        <v/>
      </c>
      <c r="CE60" s="116" t="str">
        <f t="shared" si="114"/>
        <v/>
      </c>
      <c r="CF60" s="116" t="str">
        <f t="shared" si="92"/>
        <v/>
      </c>
      <c r="CG60" s="61" t="str">
        <f t="shared" si="115"/>
        <v/>
      </c>
      <c r="CH60" s="52">
        <f t="shared" si="80"/>
        <v>2</v>
      </c>
      <c r="CI60" s="61" t="str">
        <f t="shared" si="58"/>
        <v/>
      </c>
      <c r="CJ60" s="61" t="str">
        <f t="shared" si="59"/>
        <v/>
      </c>
      <c r="CK60" s="61" t="str">
        <f t="shared" si="60"/>
        <v/>
      </c>
      <c r="CL60" s="61" t="str">
        <f t="shared" si="116"/>
        <v/>
      </c>
      <c r="CM60" s="61" t="str">
        <f t="shared" si="117"/>
        <v/>
      </c>
      <c r="CN60" s="134" t="str">
        <f t="shared" si="86"/>
        <v/>
      </c>
      <c r="CO60" s="131" t="str">
        <f t="shared" si="84"/>
        <v/>
      </c>
      <c r="CP60" s="131" t="str">
        <f t="shared" si="61"/>
        <v/>
      </c>
      <c r="CQ60" s="131" t="str">
        <f t="shared" si="62"/>
        <v/>
      </c>
      <c r="CR60" s="116" t="str">
        <f t="shared" si="63"/>
        <v/>
      </c>
      <c r="CS60" s="116" t="str">
        <f t="shared" si="64"/>
        <v/>
      </c>
      <c r="CT60" s="116" t="str">
        <f t="shared" si="65"/>
        <v/>
      </c>
      <c r="CU60" s="52">
        <f t="shared" si="66"/>
        <v>0</v>
      </c>
      <c r="CV60" s="116" t="str">
        <f t="shared" si="67"/>
        <v/>
      </c>
      <c r="CW60" s="116" t="str">
        <f t="shared" si="68"/>
        <v/>
      </c>
      <c r="CX60" s="61" t="str">
        <f t="shared" si="69"/>
        <v/>
      </c>
      <c r="CY60" s="61" t="str">
        <f t="shared" si="70"/>
        <v/>
      </c>
      <c r="CZ60" s="61" t="str">
        <f t="shared" si="71"/>
        <v/>
      </c>
      <c r="DA60" s="116" t="str">
        <f t="shared" si="95"/>
        <v/>
      </c>
      <c r="DB60" s="6" t="str">
        <f t="shared" si="82"/>
        <v/>
      </c>
      <c r="DC60" s="61" t="str">
        <f t="shared" si="72"/>
        <v/>
      </c>
      <c r="DD60" s="131" t="str">
        <f t="shared" si="87"/>
        <v/>
      </c>
      <c r="DE60" s="131" t="str">
        <f t="shared" si="88"/>
        <v/>
      </c>
      <c r="DF60" s="61" t="str">
        <f t="shared" si="89"/>
        <v/>
      </c>
      <c r="DG60" s="116" t="str">
        <f t="shared" si="73"/>
        <v/>
      </c>
      <c r="DH60" s="116" t="str">
        <f t="shared" si="74"/>
        <v/>
      </c>
    </row>
    <row r="61" spans="2:112" s="17" customFormat="1" hidden="1">
      <c r="B61" s="35"/>
      <c r="C61" s="35"/>
      <c r="D61" s="36"/>
      <c r="E61" s="35"/>
      <c r="F61" s="35"/>
      <c r="G61" s="35"/>
      <c r="H61" s="35"/>
      <c r="I61" s="35"/>
      <c r="J61" s="121"/>
      <c r="K61" s="59"/>
      <c r="AC61" s="47" t="s">
        <v>240</v>
      </c>
      <c r="AD61" s="52" t="str">
        <f t="shared" si="96"/>
        <v/>
      </c>
      <c r="AE61" s="52">
        <f t="shared" si="97"/>
        <v>0</v>
      </c>
      <c r="AF61" s="52">
        <f t="shared" si="75"/>
        <v>6</v>
      </c>
      <c r="AG61" s="61" t="str">
        <f t="shared" si="3"/>
        <v/>
      </c>
      <c r="AH61" s="52">
        <f t="shared" si="98"/>
        <v>0</v>
      </c>
      <c r="AI61" s="52">
        <f t="shared" si="43"/>
        <v>7</v>
      </c>
      <c r="AJ61" s="52" t="str">
        <f t="shared" si="44"/>
        <v/>
      </c>
      <c r="AK61" s="61" t="str">
        <f t="shared" si="5"/>
        <v/>
      </c>
      <c r="AL61" s="95" t="str">
        <f t="shared" si="99"/>
        <v/>
      </c>
      <c r="AM61" s="61" t="str">
        <f t="shared" si="7"/>
        <v>if () {$("#adv_").html("Requierd");$("#").css({"background":"yellow"});} else {$("#adv_").html("");$("#").css({"background":"white"});}</v>
      </c>
      <c r="AN61" s="61" t="str">
        <f t="shared" si="8"/>
        <v>if (=="") {$("#adv_").html("Requierd");} else {$("#adv_").html("");}</v>
      </c>
      <c r="AO61" s="50" t="str">
        <f t="shared" si="100"/>
        <v/>
      </c>
      <c r="AP61" s="61" t="str">
        <f t="shared" si="10"/>
        <v>=$("#").val();</v>
      </c>
      <c r="AQ61" s="61" t="str">
        <f t="shared" si="45"/>
        <v/>
      </c>
      <c r="AR61" s="61" t="str">
        <f t="shared" si="11"/>
        <v>=document.getElementById("").checked;</v>
      </c>
      <c r="AS61" s="102" t="str">
        <f t="shared" si="12"/>
        <v>if (isset($_GET[''])) {$=($_GET['']);}else $='';</v>
      </c>
      <c r="AT61" s="52" t="str">
        <f t="shared" si="101"/>
        <v>EPS</v>
      </c>
      <c r="AU61" s="52" t="str">
        <f t="shared" si="14"/>
        <v>else if (document.getElementById("</v>
      </c>
      <c r="AV61" s="61" t="str">
        <f t="shared" si="102"/>
        <v>else if (document.getElementById("").checked==true) {EPS="";}</v>
      </c>
      <c r="AW61" s="61" t="str">
        <f t="shared" si="118"/>
        <v/>
      </c>
      <c r="AX61" s="102" t="str">
        <f t="shared" si="103"/>
        <v/>
      </c>
      <c r="AY61" s="135" t="str">
        <f t="shared" si="46"/>
        <v/>
      </c>
      <c r="AZ61" s="50" t="str">
        <f t="shared" si="104"/>
        <v>&lt;input type="checkbox" id="" name="" value="1" /&gt;</v>
      </c>
      <c r="BA61" s="105" t="str">
        <f t="shared" si="105"/>
        <v>&lt;br/&gt;&lt;textarea rows="2" cols="80" id=""&gt;&lt;/textarea&gt;&lt;br/&gt;</v>
      </c>
      <c r="BB61" s="50" t="str">
        <f t="shared" si="106"/>
        <v>&lt;input type="radio" name="EPS" id="" value="" /&gt;</v>
      </c>
      <c r="BC61" s="107" t="str">
        <f t="shared" si="107"/>
        <v>&lt;input type="text"  size="7"  id="" class="datepicker"/&gt;</v>
      </c>
      <c r="BD61" s="109" t="str">
        <f t="shared" si="47"/>
        <v/>
      </c>
      <c r="BE61" s="61" t="str">
        <f t="shared" si="108"/>
        <v/>
      </c>
      <c r="BF61" s="52">
        <f t="shared" si="83"/>
        <v>12</v>
      </c>
      <c r="BG61" s="61" t="str">
        <f t="shared" si="119"/>
        <v/>
      </c>
      <c r="BH61" s="102" t="str">
        <f t="shared" si="109"/>
        <v/>
      </c>
      <c r="BI61" s="105" t="str">
        <f t="shared" si="85"/>
        <v/>
      </c>
      <c r="BJ61" s="52" t="str">
        <f t="shared" si="49"/>
        <v/>
      </c>
      <c r="BK61" s="52">
        <f t="shared" si="50"/>
        <v>0</v>
      </c>
      <c r="BL61" s="52">
        <f t="shared" si="51"/>
        <v>2</v>
      </c>
      <c r="BM61" s="52" t="str">
        <f t="shared" si="77"/>
        <v/>
      </c>
      <c r="BN61" s="52" t="str">
        <f t="shared" si="24"/>
        <v/>
      </c>
      <c r="BO61" s="52" t="str">
        <f t="shared" si="94"/>
        <v/>
      </c>
      <c r="BP61" s="113" t="str">
        <f t="shared" si="52"/>
        <v/>
      </c>
      <c r="BQ61" s="52" t="str">
        <f t="shared" si="79"/>
        <v/>
      </c>
      <c r="BR61" s="52" t="str">
        <f t="shared" si="53"/>
        <v/>
      </c>
      <c r="BS61" s="52" t="str">
        <f t="shared" si="54"/>
        <v/>
      </c>
      <c r="BT61" s="52" t="str">
        <f t="shared" si="55"/>
        <v/>
      </c>
      <c r="BU61" s="52" t="str">
        <f t="shared" si="56"/>
        <v/>
      </c>
      <c r="BV61" s="102" t="str">
        <f t="shared" si="110"/>
        <v/>
      </c>
      <c r="BW61" s="116" t="str">
        <f t="shared" si="111"/>
        <v/>
      </c>
      <c r="BX61" s="61" t="str">
        <f t="shared" si="112"/>
        <v/>
      </c>
      <c r="BY61" s="52" t="str">
        <f t="shared" si="28"/>
        <v/>
      </c>
      <c r="BZ61" s="52" t="str">
        <f t="shared" si="29"/>
        <v/>
      </c>
      <c r="CA61" s="52" t="str">
        <f t="shared" si="57"/>
        <v/>
      </c>
      <c r="CB61" s="52" t="str">
        <f t="shared" si="30"/>
        <v/>
      </c>
      <c r="CC61" s="52" t="str">
        <f t="shared" si="31"/>
        <v/>
      </c>
      <c r="CD61" s="102" t="str">
        <f t="shared" si="113"/>
        <v/>
      </c>
      <c r="CE61" s="116" t="str">
        <f t="shared" si="114"/>
        <v/>
      </c>
      <c r="CF61" s="116" t="str">
        <f t="shared" si="92"/>
        <v/>
      </c>
      <c r="CG61" s="61" t="str">
        <f t="shared" si="115"/>
        <v/>
      </c>
      <c r="CH61" s="52">
        <f t="shared" si="80"/>
        <v>2</v>
      </c>
      <c r="CI61" s="61" t="str">
        <f t="shared" si="58"/>
        <v/>
      </c>
      <c r="CJ61" s="61" t="str">
        <f t="shared" si="59"/>
        <v/>
      </c>
      <c r="CK61" s="61" t="str">
        <f t="shared" si="60"/>
        <v/>
      </c>
      <c r="CL61" s="61" t="str">
        <f t="shared" si="116"/>
        <v/>
      </c>
      <c r="CM61" s="61" t="str">
        <f t="shared" si="117"/>
        <v/>
      </c>
      <c r="CN61" s="134" t="str">
        <f t="shared" si="86"/>
        <v/>
      </c>
      <c r="CO61" s="131" t="str">
        <f t="shared" si="84"/>
        <v/>
      </c>
      <c r="CP61" s="131" t="str">
        <f t="shared" si="61"/>
        <v/>
      </c>
      <c r="CQ61" s="131" t="str">
        <f t="shared" si="62"/>
        <v/>
      </c>
      <c r="CR61" s="116" t="str">
        <f t="shared" si="63"/>
        <v/>
      </c>
      <c r="CS61" s="116" t="str">
        <f t="shared" si="64"/>
        <v/>
      </c>
      <c r="CT61" s="116" t="str">
        <f t="shared" si="65"/>
        <v/>
      </c>
      <c r="CU61" s="52">
        <f t="shared" si="66"/>
        <v>0</v>
      </c>
      <c r="CV61" s="116" t="str">
        <f t="shared" si="67"/>
        <v/>
      </c>
      <c r="CW61" s="116" t="str">
        <f t="shared" si="68"/>
        <v/>
      </c>
      <c r="CX61" s="61" t="str">
        <f t="shared" si="69"/>
        <v/>
      </c>
      <c r="CY61" s="61" t="str">
        <f t="shared" si="70"/>
        <v/>
      </c>
      <c r="CZ61" s="61" t="str">
        <f t="shared" si="71"/>
        <v/>
      </c>
      <c r="DA61" s="116" t="str">
        <f t="shared" si="95"/>
        <v/>
      </c>
      <c r="DB61" s="6" t="str">
        <f t="shared" si="82"/>
        <v/>
      </c>
      <c r="DC61" s="61" t="str">
        <f t="shared" si="72"/>
        <v/>
      </c>
      <c r="DD61" s="131" t="str">
        <f t="shared" si="87"/>
        <v/>
      </c>
      <c r="DE61" s="131" t="str">
        <f t="shared" si="88"/>
        <v/>
      </c>
      <c r="DF61" s="61" t="str">
        <f t="shared" si="89"/>
        <v/>
      </c>
      <c r="DG61" s="116" t="str">
        <f t="shared" si="73"/>
        <v/>
      </c>
      <c r="DH61" s="116" t="str">
        <f t="shared" si="74"/>
        <v/>
      </c>
    </row>
    <row r="62" spans="2:112" s="17" customFormat="1" hidden="1">
      <c r="B62" s="35"/>
      <c r="C62" s="35"/>
      <c r="D62" s="36"/>
      <c r="E62" s="35"/>
      <c r="F62" s="35"/>
      <c r="G62" s="35"/>
      <c r="H62" s="35"/>
      <c r="I62" s="35"/>
      <c r="J62" s="121"/>
      <c r="K62" s="59"/>
      <c r="AC62" s="47" t="s">
        <v>241</v>
      </c>
      <c r="AD62" s="52" t="str">
        <f t="shared" si="96"/>
        <v/>
      </c>
      <c r="AE62" s="52">
        <f t="shared" si="97"/>
        <v>0</v>
      </c>
      <c r="AF62" s="52">
        <f t="shared" si="75"/>
        <v>6</v>
      </c>
      <c r="AG62" s="61" t="str">
        <f t="shared" si="3"/>
        <v/>
      </c>
      <c r="AH62" s="52">
        <f t="shared" si="98"/>
        <v>0</v>
      </c>
      <c r="AI62" s="52">
        <f t="shared" si="43"/>
        <v>7</v>
      </c>
      <c r="AJ62" s="52" t="str">
        <f t="shared" si="44"/>
        <v/>
      </c>
      <c r="AK62" s="61" t="str">
        <f t="shared" si="5"/>
        <v/>
      </c>
      <c r="AL62" s="95" t="str">
        <f t="shared" si="99"/>
        <v/>
      </c>
      <c r="AM62" s="61" t="str">
        <f t="shared" si="7"/>
        <v>if () {$("#adv_").html("Requierd");$("#").css({"background":"yellow"});} else {$("#adv_").html("");$("#").css({"background":"white"});}</v>
      </c>
      <c r="AN62" s="61" t="str">
        <f t="shared" si="8"/>
        <v>if (=="") {$("#adv_").html("Requierd");} else {$("#adv_").html("");}</v>
      </c>
      <c r="AO62" s="50" t="str">
        <f t="shared" si="100"/>
        <v/>
      </c>
      <c r="AP62" s="61" t="str">
        <f t="shared" si="10"/>
        <v>=$("#").val();</v>
      </c>
      <c r="AQ62" s="61" t="str">
        <f t="shared" si="45"/>
        <v/>
      </c>
      <c r="AR62" s="61" t="str">
        <f t="shared" si="11"/>
        <v>=document.getElementById("").checked;</v>
      </c>
      <c r="AS62" s="102" t="str">
        <f t="shared" si="12"/>
        <v>if (isset($_GET[''])) {$=($_GET['']);}else $='';</v>
      </c>
      <c r="AT62" s="52" t="str">
        <f t="shared" si="101"/>
        <v>EPS</v>
      </c>
      <c r="AU62" s="52" t="str">
        <f t="shared" si="14"/>
        <v>else if (document.getElementById("</v>
      </c>
      <c r="AV62" s="61" t="str">
        <f t="shared" si="102"/>
        <v>else if (document.getElementById("").checked==true) {EPS="";}</v>
      </c>
      <c r="AW62" s="61" t="str">
        <f t="shared" si="118"/>
        <v/>
      </c>
      <c r="AX62" s="102" t="str">
        <f t="shared" si="103"/>
        <v/>
      </c>
      <c r="AY62" s="135" t="str">
        <f t="shared" si="46"/>
        <v/>
      </c>
      <c r="AZ62" s="50" t="str">
        <f t="shared" si="104"/>
        <v>&lt;input type="checkbox" id="" name="" value="1" /&gt;</v>
      </c>
      <c r="BA62" s="105" t="str">
        <f t="shared" si="105"/>
        <v>&lt;br/&gt;&lt;textarea rows="2" cols="80" id=""&gt;&lt;/textarea&gt;&lt;br/&gt;</v>
      </c>
      <c r="BB62" s="50" t="str">
        <f t="shared" si="106"/>
        <v>&lt;input type="radio" name="EPS" id="" value="" /&gt;</v>
      </c>
      <c r="BC62" s="107" t="str">
        <f t="shared" si="107"/>
        <v>&lt;input type="text"  size="7"  id="" class="datepicker"/&gt;</v>
      </c>
      <c r="BD62" s="109" t="str">
        <f t="shared" si="47"/>
        <v/>
      </c>
      <c r="BE62" s="61" t="str">
        <f t="shared" si="108"/>
        <v/>
      </c>
      <c r="BF62" s="52">
        <f t="shared" si="83"/>
        <v>12</v>
      </c>
      <c r="BG62" s="61" t="str">
        <f t="shared" si="119"/>
        <v/>
      </c>
      <c r="BH62" s="102" t="str">
        <f t="shared" si="109"/>
        <v/>
      </c>
      <c r="BI62" s="105" t="str">
        <f t="shared" si="85"/>
        <v/>
      </c>
      <c r="BJ62" s="52" t="str">
        <f t="shared" si="49"/>
        <v/>
      </c>
      <c r="BK62" s="52">
        <f t="shared" si="50"/>
        <v>0</v>
      </c>
      <c r="BL62" s="52">
        <f t="shared" si="51"/>
        <v>2</v>
      </c>
      <c r="BM62" s="52" t="str">
        <f t="shared" si="77"/>
        <v/>
      </c>
      <c r="BN62" s="52" t="str">
        <f t="shared" si="24"/>
        <v/>
      </c>
      <c r="BO62" s="52" t="str">
        <f t="shared" si="94"/>
        <v/>
      </c>
      <c r="BP62" s="113" t="str">
        <f t="shared" si="52"/>
        <v/>
      </c>
      <c r="BQ62" s="52" t="str">
        <f t="shared" si="79"/>
        <v/>
      </c>
      <c r="BR62" s="52" t="str">
        <f t="shared" si="53"/>
        <v/>
      </c>
      <c r="BS62" s="52" t="str">
        <f t="shared" si="54"/>
        <v/>
      </c>
      <c r="BT62" s="52" t="str">
        <f t="shared" si="55"/>
        <v/>
      </c>
      <c r="BU62" s="52" t="str">
        <f t="shared" si="56"/>
        <v/>
      </c>
      <c r="BV62" s="102" t="str">
        <f t="shared" si="110"/>
        <v/>
      </c>
      <c r="BW62" s="116" t="str">
        <f t="shared" si="111"/>
        <v/>
      </c>
      <c r="BX62" s="61" t="str">
        <f t="shared" si="112"/>
        <v/>
      </c>
      <c r="BY62" s="52" t="str">
        <f t="shared" si="28"/>
        <v/>
      </c>
      <c r="BZ62" s="52" t="str">
        <f t="shared" si="29"/>
        <v/>
      </c>
      <c r="CA62" s="52" t="str">
        <f t="shared" si="57"/>
        <v/>
      </c>
      <c r="CB62" s="52" t="str">
        <f t="shared" si="30"/>
        <v/>
      </c>
      <c r="CC62" s="52" t="str">
        <f t="shared" si="31"/>
        <v/>
      </c>
      <c r="CD62" s="102" t="str">
        <f t="shared" si="113"/>
        <v/>
      </c>
      <c r="CE62" s="116" t="str">
        <f t="shared" si="114"/>
        <v/>
      </c>
      <c r="CF62" s="116" t="str">
        <f t="shared" si="92"/>
        <v/>
      </c>
      <c r="CG62" s="61" t="str">
        <f t="shared" si="115"/>
        <v/>
      </c>
      <c r="CH62" s="52">
        <f t="shared" si="80"/>
        <v>2</v>
      </c>
      <c r="CI62" s="61" t="str">
        <f t="shared" si="58"/>
        <v/>
      </c>
      <c r="CJ62" s="61" t="str">
        <f t="shared" si="59"/>
        <v/>
      </c>
      <c r="CK62" s="61" t="str">
        <f t="shared" si="60"/>
        <v/>
      </c>
      <c r="CL62" s="61" t="str">
        <f t="shared" si="116"/>
        <v/>
      </c>
      <c r="CM62" s="61" t="str">
        <f t="shared" si="117"/>
        <v/>
      </c>
      <c r="CN62" s="134" t="str">
        <f t="shared" si="86"/>
        <v/>
      </c>
      <c r="CO62" s="131" t="str">
        <f t="shared" si="84"/>
        <v/>
      </c>
      <c r="CP62" s="131" t="str">
        <f t="shared" si="61"/>
        <v/>
      </c>
      <c r="CQ62" s="131" t="str">
        <f t="shared" si="62"/>
        <v/>
      </c>
      <c r="CR62" s="116" t="str">
        <f t="shared" si="63"/>
        <v/>
      </c>
      <c r="CS62" s="116" t="str">
        <f t="shared" si="64"/>
        <v/>
      </c>
      <c r="CT62" s="116" t="str">
        <f t="shared" si="65"/>
        <v/>
      </c>
      <c r="CU62" s="52">
        <f t="shared" si="66"/>
        <v>0</v>
      </c>
      <c r="CV62" s="116" t="str">
        <f t="shared" si="67"/>
        <v/>
      </c>
      <c r="CW62" s="116" t="str">
        <f t="shared" si="68"/>
        <v/>
      </c>
      <c r="CX62" s="61" t="str">
        <f t="shared" si="69"/>
        <v/>
      </c>
      <c r="CY62" s="61" t="str">
        <f t="shared" si="70"/>
        <v/>
      </c>
      <c r="CZ62" s="61" t="str">
        <f t="shared" si="71"/>
        <v/>
      </c>
      <c r="DA62" s="116" t="str">
        <f t="shared" si="95"/>
        <v/>
      </c>
      <c r="DB62" s="6" t="str">
        <f t="shared" si="82"/>
        <v/>
      </c>
      <c r="DC62" s="61" t="str">
        <f t="shared" si="72"/>
        <v/>
      </c>
      <c r="DD62" s="131" t="str">
        <f t="shared" si="87"/>
        <v/>
      </c>
      <c r="DE62" s="131" t="str">
        <f t="shared" si="88"/>
        <v/>
      </c>
      <c r="DF62" s="61" t="str">
        <f t="shared" si="89"/>
        <v/>
      </c>
      <c r="DG62" s="116" t="str">
        <f t="shared" si="73"/>
        <v/>
      </c>
      <c r="DH62" s="116" t="str">
        <f t="shared" si="74"/>
        <v/>
      </c>
    </row>
    <row r="63" spans="2:112" s="17" customFormat="1" hidden="1">
      <c r="B63" s="35"/>
      <c r="C63" s="35"/>
      <c r="D63" s="36"/>
      <c r="E63" s="35"/>
      <c r="F63" s="35"/>
      <c r="G63" s="35"/>
      <c r="H63" s="35"/>
      <c r="I63" s="35"/>
      <c r="J63" s="121"/>
      <c r="K63" s="59"/>
      <c r="AC63" s="47" t="s">
        <v>242</v>
      </c>
      <c r="AD63" s="52" t="str">
        <f t="shared" si="96"/>
        <v/>
      </c>
      <c r="AE63" s="52">
        <f t="shared" si="97"/>
        <v>0</v>
      </c>
      <c r="AF63" s="52">
        <f t="shared" si="75"/>
        <v>6</v>
      </c>
      <c r="AG63" s="61" t="str">
        <f t="shared" si="3"/>
        <v/>
      </c>
      <c r="AH63" s="52">
        <f t="shared" si="98"/>
        <v>0</v>
      </c>
      <c r="AI63" s="52">
        <f t="shared" si="43"/>
        <v>7</v>
      </c>
      <c r="AJ63" s="52" t="str">
        <f t="shared" si="44"/>
        <v/>
      </c>
      <c r="AK63" s="61" t="str">
        <f t="shared" si="5"/>
        <v/>
      </c>
      <c r="AL63" s="95" t="str">
        <f t="shared" si="99"/>
        <v/>
      </c>
      <c r="AM63" s="61" t="str">
        <f t="shared" si="7"/>
        <v>if () {$("#adv_").html("Requierd");$("#").css({"background":"yellow"});} else {$("#adv_").html("");$("#").css({"background":"white"});}</v>
      </c>
      <c r="AN63" s="61" t="str">
        <f t="shared" si="8"/>
        <v>if (=="") {$("#adv_").html("Requierd");} else {$("#adv_").html("");}</v>
      </c>
      <c r="AO63" s="50" t="str">
        <f t="shared" si="100"/>
        <v/>
      </c>
      <c r="AP63" s="61" t="str">
        <f t="shared" si="10"/>
        <v>=$("#").val();</v>
      </c>
      <c r="AQ63" s="61" t="str">
        <f t="shared" si="45"/>
        <v/>
      </c>
      <c r="AR63" s="61" t="str">
        <f t="shared" si="11"/>
        <v>=document.getElementById("").checked;</v>
      </c>
      <c r="AS63" s="102" t="str">
        <f t="shared" si="12"/>
        <v>if (isset($_GET[''])) {$=($_GET['']);}else $='';</v>
      </c>
      <c r="AT63" s="52" t="str">
        <f t="shared" si="101"/>
        <v>EPS</v>
      </c>
      <c r="AU63" s="52" t="str">
        <f t="shared" si="14"/>
        <v>else if (document.getElementById("</v>
      </c>
      <c r="AV63" s="61" t="str">
        <f t="shared" si="102"/>
        <v>else if (document.getElementById("").checked==true) {EPS="";}</v>
      </c>
      <c r="AW63" s="61" t="str">
        <f t="shared" si="118"/>
        <v/>
      </c>
      <c r="AX63" s="102" t="str">
        <f t="shared" si="103"/>
        <v/>
      </c>
      <c r="AY63" s="135" t="str">
        <f t="shared" si="46"/>
        <v/>
      </c>
      <c r="AZ63" s="50" t="str">
        <f t="shared" si="104"/>
        <v>&lt;input type="checkbox" id="" name="" value="1" /&gt;</v>
      </c>
      <c r="BA63" s="105" t="str">
        <f t="shared" si="105"/>
        <v>&lt;br/&gt;&lt;textarea rows="2" cols="80" id=""&gt;&lt;/textarea&gt;&lt;br/&gt;</v>
      </c>
      <c r="BB63" s="50" t="str">
        <f t="shared" si="106"/>
        <v>&lt;input type="radio" name="EPS" id="" value="" /&gt;</v>
      </c>
      <c r="BC63" s="107" t="str">
        <f t="shared" si="107"/>
        <v>&lt;input type="text"  size="7"  id="" class="datepicker"/&gt;</v>
      </c>
      <c r="BD63" s="109" t="str">
        <f t="shared" si="47"/>
        <v/>
      </c>
      <c r="BE63" s="61" t="str">
        <f t="shared" si="108"/>
        <v/>
      </c>
      <c r="BF63" s="52">
        <f t="shared" si="83"/>
        <v>12</v>
      </c>
      <c r="BG63" s="61" t="str">
        <f t="shared" si="119"/>
        <v/>
      </c>
      <c r="BH63" s="102" t="str">
        <f t="shared" si="109"/>
        <v/>
      </c>
      <c r="BI63" s="105" t="str">
        <f t="shared" si="85"/>
        <v/>
      </c>
      <c r="BJ63" s="52" t="str">
        <f t="shared" si="49"/>
        <v/>
      </c>
      <c r="BK63" s="52">
        <f t="shared" si="50"/>
        <v>0</v>
      </c>
      <c r="BL63" s="52">
        <f t="shared" si="51"/>
        <v>2</v>
      </c>
      <c r="BM63" s="52" t="str">
        <f t="shared" si="77"/>
        <v/>
      </c>
      <c r="BN63" s="52" t="str">
        <f t="shared" si="24"/>
        <v/>
      </c>
      <c r="BO63" s="52" t="str">
        <f t="shared" si="94"/>
        <v/>
      </c>
      <c r="BP63" s="113" t="str">
        <f t="shared" si="52"/>
        <v/>
      </c>
      <c r="BQ63" s="52" t="str">
        <f t="shared" si="79"/>
        <v/>
      </c>
      <c r="BR63" s="52" t="str">
        <f t="shared" si="53"/>
        <v/>
      </c>
      <c r="BS63" s="52" t="str">
        <f t="shared" si="54"/>
        <v/>
      </c>
      <c r="BT63" s="52" t="str">
        <f t="shared" si="55"/>
        <v/>
      </c>
      <c r="BU63" s="52" t="str">
        <f t="shared" si="56"/>
        <v/>
      </c>
      <c r="BV63" s="102" t="str">
        <f t="shared" si="110"/>
        <v/>
      </c>
      <c r="BW63" s="116" t="str">
        <f t="shared" si="111"/>
        <v/>
      </c>
      <c r="BX63" s="61" t="str">
        <f t="shared" si="112"/>
        <v/>
      </c>
      <c r="BY63" s="52" t="str">
        <f t="shared" si="28"/>
        <v/>
      </c>
      <c r="BZ63" s="52" t="str">
        <f t="shared" si="29"/>
        <v/>
      </c>
      <c r="CA63" s="52" t="str">
        <f t="shared" si="57"/>
        <v/>
      </c>
      <c r="CB63" s="52" t="str">
        <f t="shared" si="30"/>
        <v/>
      </c>
      <c r="CC63" s="52" t="str">
        <f t="shared" si="31"/>
        <v/>
      </c>
      <c r="CD63" s="102" t="str">
        <f t="shared" si="113"/>
        <v/>
      </c>
      <c r="CE63" s="116" t="str">
        <f t="shared" si="114"/>
        <v/>
      </c>
      <c r="CF63" s="116" t="str">
        <f t="shared" si="92"/>
        <v/>
      </c>
      <c r="CG63" s="61" t="str">
        <f t="shared" si="115"/>
        <v/>
      </c>
      <c r="CH63" s="52">
        <f t="shared" si="80"/>
        <v>2</v>
      </c>
      <c r="CI63" s="61" t="str">
        <f t="shared" si="58"/>
        <v/>
      </c>
      <c r="CJ63" s="61" t="str">
        <f t="shared" si="59"/>
        <v/>
      </c>
      <c r="CK63" s="61" t="str">
        <f t="shared" si="60"/>
        <v/>
      </c>
      <c r="CL63" s="61" t="str">
        <f t="shared" si="116"/>
        <v/>
      </c>
      <c r="CM63" s="61" t="str">
        <f t="shared" si="117"/>
        <v/>
      </c>
      <c r="CN63" s="134" t="str">
        <f t="shared" si="86"/>
        <v/>
      </c>
      <c r="CO63" s="131" t="str">
        <f t="shared" si="84"/>
        <v/>
      </c>
      <c r="CP63" s="131" t="str">
        <f t="shared" si="61"/>
        <v/>
      </c>
      <c r="CQ63" s="131" t="str">
        <f t="shared" si="62"/>
        <v/>
      </c>
      <c r="CR63" s="116" t="str">
        <f t="shared" si="63"/>
        <v/>
      </c>
      <c r="CS63" s="116" t="str">
        <f t="shared" si="64"/>
        <v/>
      </c>
      <c r="CT63" s="116" t="str">
        <f t="shared" si="65"/>
        <v/>
      </c>
      <c r="CU63" s="52">
        <f t="shared" si="66"/>
        <v>0</v>
      </c>
      <c r="CV63" s="116" t="str">
        <f t="shared" si="67"/>
        <v/>
      </c>
      <c r="CW63" s="116" t="str">
        <f t="shared" si="68"/>
        <v/>
      </c>
      <c r="CX63" s="61" t="str">
        <f t="shared" si="69"/>
        <v/>
      </c>
      <c r="CY63" s="61" t="str">
        <f t="shared" si="70"/>
        <v/>
      </c>
      <c r="CZ63" s="61" t="str">
        <f t="shared" si="71"/>
        <v/>
      </c>
      <c r="DA63" s="116" t="str">
        <f t="shared" si="95"/>
        <v/>
      </c>
      <c r="DB63" s="6" t="str">
        <f t="shared" si="82"/>
        <v/>
      </c>
      <c r="DC63" s="61" t="str">
        <f t="shared" si="72"/>
        <v/>
      </c>
      <c r="DD63" s="131" t="str">
        <f t="shared" si="87"/>
        <v/>
      </c>
      <c r="DE63" s="131" t="str">
        <f t="shared" si="88"/>
        <v/>
      </c>
      <c r="DF63" s="61" t="str">
        <f t="shared" si="89"/>
        <v/>
      </c>
      <c r="DG63" s="116" t="str">
        <f t="shared" si="73"/>
        <v/>
      </c>
      <c r="DH63" s="116" t="str">
        <f t="shared" si="74"/>
        <v/>
      </c>
    </row>
    <row r="64" spans="2:112" s="17" customFormat="1" hidden="1">
      <c r="B64" s="35"/>
      <c r="C64" s="35"/>
      <c r="D64" s="36"/>
      <c r="E64" s="35"/>
      <c r="F64" s="35"/>
      <c r="G64" s="35"/>
      <c r="H64" s="35"/>
      <c r="I64" s="35"/>
      <c r="J64" s="121"/>
      <c r="K64" s="59"/>
      <c r="AC64" s="47" t="s">
        <v>243</v>
      </c>
      <c r="AD64" s="52" t="str">
        <f t="shared" si="96"/>
        <v/>
      </c>
      <c r="AE64" s="52">
        <f t="shared" si="97"/>
        <v>0</v>
      </c>
      <c r="AF64" s="52">
        <f t="shared" si="75"/>
        <v>6</v>
      </c>
      <c r="AG64" s="61" t="str">
        <f t="shared" si="3"/>
        <v/>
      </c>
      <c r="AH64" s="52">
        <f t="shared" si="98"/>
        <v>0</v>
      </c>
      <c r="AI64" s="52">
        <f t="shared" si="43"/>
        <v>7</v>
      </c>
      <c r="AJ64" s="52" t="str">
        <f t="shared" si="44"/>
        <v/>
      </c>
      <c r="AK64" s="61" t="str">
        <f t="shared" si="5"/>
        <v/>
      </c>
      <c r="AL64" s="95" t="str">
        <f t="shared" si="99"/>
        <v/>
      </c>
      <c r="AM64" s="61" t="str">
        <f t="shared" si="7"/>
        <v>if () {$("#adv_").html("Requierd");$("#").css({"background":"yellow"});} else {$("#adv_").html("");$("#").css({"background":"white"});}</v>
      </c>
      <c r="AN64" s="61" t="str">
        <f t="shared" si="8"/>
        <v>if (=="") {$("#adv_").html("Requierd");} else {$("#adv_").html("");}</v>
      </c>
      <c r="AO64" s="50" t="str">
        <f t="shared" si="100"/>
        <v/>
      </c>
      <c r="AP64" s="61" t="str">
        <f t="shared" si="10"/>
        <v>=$("#").val();</v>
      </c>
      <c r="AQ64" s="61" t="str">
        <f t="shared" si="45"/>
        <v/>
      </c>
      <c r="AR64" s="61" t="str">
        <f t="shared" si="11"/>
        <v>=document.getElementById("").checked;</v>
      </c>
      <c r="AS64" s="102" t="str">
        <f t="shared" si="12"/>
        <v>if (isset($_GET[''])) {$=($_GET['']);}else $='';</v>
      </c>
      <c r="AT64" s="52" t="str">
        <f t="shared" si="101"/>
        <v>EPS</v>
      </c>
      <c r="AU64" s="52" t="str">
        <f t="shared" si="14"/>
        <v>else if (document.getElementById("</v>
      </c>
      <c r="AV64" s="61" t="str">
        <f t="shared" si="102"/>
        <v>else if (document.getElementById("").checked==true) {EPS="";}</v>
      </c>
      <c r="AW64" s="61" t="str">
        <f t="shared" si="118"/>
        <v/>
      </c>
      <c r="AX64" s="102" t="str">
        <f t="shared" si="103"/>
        <v/>
      </c>
      <c r="AY64" s="135" t="str">
        <f t="shared" si="46"/>
        <v/>
      </c>
      <c r="AZ64" s="50" t="str">
        <f t="shared" si="104"/>
        <v>&lt;input type="checkbox" id="" name="" value="1" /&gt;</v>
      </c>
      <c r="BA64" s="105" t="str">
        <f t="shared" si="105"/>
        <v>&lt;br/&gt;&lt;textarea rows="2" cols="80" id=""&gt;&lt;/textarea&gt;&lt;br/&gt;</v>
      </c>
      <c r="BB64" s="50" t="str">
        <f t="shared" si="106"/>
        <v>&lt;input type="radio" name="EPS" id="" value="" /&gt;</v>
      </c>
      <c r="BC64" s="107" t="str">
        <f t="shared" si="107"/>
        <v>&lt;input type="text"  size="7"  id="" class="datepicker"/&gt;</v>
      </c>
      <c r="BD64" s="109" t="str">
        <f t="shared" si="47"/>
        <v/>
      </c>
      <c r="BE64" s="61" t="str">
        <f t="shared" si="108"/>
        <v/>
      </c>
      <c r="BF64" s="52">
        <f t="shared" si="83"/>
        <v>12</v>
      </c>
      <c r="BG64" s="61" t="str">
        <f t="shared" si="119"/>
        <v/>
      </c>
      <c r="BH64" s="102" t="str">
        <f t="shared" si="109"/>
        <v/>
      </c>
      <c r="BI64" s="105" t="str">
        <f t="shared" si="85"/>
        <v/>
      </c>
      <c r="BJ64" s="52" t="str">
        <f t="shared" si="49"/>
        <v/>
      </c>
      <c r="BK64" s="52">
        <f t="shared" si="50"/>
        <v>0</v>
      </c>
      <c r="BL64" s="52">
        <f t="shared" si="51"/>
        <v>2</v>
      </c>
      <c r="BM64" s="52" t="str">
        <f t="shared" si="77"/>
        <v/>
      </c>
      <c r="BN64" s="52" t="str">
        <f t="shared" si="24"/>
        <v/>
      </c>
      <c r="BO64" s="52" t="str">
        <f t="shared" si="94"/>
        <v/>
      </c>
      <c r="BP64" s="113" t="str">
        <f t="shared" si="52"/>
        <v/>
      </c>
      <c r="BQ64" s="52" t="str">
        <f t="shared" si="79"/>
        <v/>
      </c>
      <c r="BR64" s="52" t="str">
        <f t="shared" si="53"/>
        <v/>
      </c>
      <c r="BS64" s="52" t="str">
        <f t="shared" si="54"/>
        <v/>
      </c>
      <c r="BT64" s="52" t="str">
        <f t="shared" si="55"/>
        <v/>
      </c>
      <c r="BU64" s="52" t="str">
        <f t="shared" si="56"/>
        <v/>
      </c>
      <c r="BV64" s="102" t="str">
        <f t="shared" si="110"/>
        <v/>
      </c>
      <c r="BW64" s="116" t="str">
        <f t="shared" si="111"/>
        <v/>
      </c>
      <c r="BX64" s="61" t="str">
        <f t="shared" si="112"/>
        <v/>
      </c>
      <c r="BY64" s="52" t="str">
        <f t="shared" si="28"/>
        <v/>
      </c>
      <c r="BZ64" s="52" t="str">
        <f t="shared" si="29"/>
        <v/>
      </c>
      <c r="CA64" s="52" t="str">
        <f t="shared" si="57"/>
        <v/>
      </c>
      <c r="CB64" s="52" t="str">
        <f t="shared" si="30"/>
        <v/>
      </c>
      <c r="CC64" s="52" t="str">
        <f t="shared" si="31"/>
        <v/>
      </c>
      <c r="CD64" s="102" t="str">
        <f t="shared" si="113"/>
        <v/>
      </c>
      <c r="CE64" s="116" t="str">
        <f t="shared" si="114"/>
        <v/>
      </c>
      <c r="CF64" s="116" t="str">
        <f t="shared" si="92"/>
        <v/>
      </c>
      <c r="CG64" s="61" t="str">
        <f t="shared" si="115"/>
        <v/>
      </c>
      <c r="CH64" s="52">
        <f t="shared" si="80"/>
        <v>2</v>
      </c>
      <c r="CI64" s="61" t="str">
        <f t="shared" si="58"/>
        <v/>
      </c>
      <c r="CJ64" s="61" t="str">
        <f t="shared" si="59"/>
        <v/>
      </c>
      <c r="CK64" s="61" t="str">
        <f t="shared" si="60"/>
        <v/>
      </c>
      <c r="CL64" s="61" t="str">
        <f t="shared" si="116"/>
        <v/>
      </c>
      <c r="CM64" s="61" t="str">
        <f t="shared" si="117"/>
        <v/>
      </c>
      <c r="CN64" s="134" t="str">
        <f t="shared" si="86"/>
        <v/>
      </c>
      <c r="CO64" s="131" t="str">
        <f t="shared" si="84"/>
        <v/>
      </c>
      <c r="CP64" s="131" t="str">
        <f t="shared" si="61"/>
        <v/>
      </c>
      <c r="CQ64" s="131" t="str">
        <f t="shared" si="62"/>
        <v/>
      </c>
      <c r="CR64" s="116" t="str">
        <f t="shared" si="63"/>
        <v/>
      </c>
      <c r="CS64" s="116" t="str">
        <f t="shared" si="64"/>
        <v/>
      </c>
      <c r="CT64" s="116" t="str">
        <f t="shared" si="65"/>
        <v/>
      </c>
      <c r="CU64" s="52">
        <f t="shared" si="66"/>
        <v>0</v>
      </c>
      <c r="CV64" s="116" t="str">
        <f t="shared" si="67"/>
        <v/>
      </c>
      <c r="CW64" s="116" t="str">
        <f t="shared" si="68"/>
        <v/>
      </c>
      <c r="CX64" s="61" t="str">
        <f t="shared" si="69"/>
        <v/>
      </c>
      <c r="CY64" s="61" t="str">
        <f t="shared" si="70"/>
        <v/>
      </c>
      <c r="CZ64" s="61" t="str">
        <f t="shared" si="71"/>
        <v/>
      </c>
      <c r="DA64" s="116" t="str">
        <f t="shared" si="95"/>
        <v/>
      </c>
      <c r="DB64" s="6" t="str">
        <f t="shared" si="82"/>
        <v/>
      </c>
      <c r="DC64" s="61" t="str">
        <f t="shared" si="72"/>
        <v/>
      </c>
      <c r="DD64" s="131" t="str">
        <f t="shared" si="87"/>
        <v/>
      </c>
      <c r="DE64" s="131" t="str">
        <f t="shared" si="88"/>
        <v/>
      </c>
      <c r="DF64" s="61" t="str">
        <f t="shared" si="89"/>
        <v/>
      </c>
      <c r="DG64" s="116" t="str">
        <f t="shared" si="73"/>
        <v/>
      </c>
      <c r="DH64" s="116" t="str">
        <f t="shared" si="74"/>
        <v/>
      </c>
    </row>
    <row r="65" spans="2:112" s="17" customFormat="1" hidden="1">
      <c r="B65" s="35"/>
      <c r="C65" s="35"/>
      <c r="D65" s="36"/>
      <c r="E65" s="35"/>
      <c r="F65" s="35"/>
      <c r="G65" s="35"/>
      <c r="H65" s="35"/>
      <c r="I65" s="35"/>
      <c r="J65" s="121"/>
      <c r="K65" s="59"/>
      <c r="AC65" s="47" t="s">
        <v>244</v>
      </c>
      <c r="AD65" s="52" t="str">
        <f t="shared" si="96"/>
        <v/>
      </c>
      <c r="AE65" s="52">
        <f t="shared" si="97"/>
        <v>0</v>
      </c>
      <c r="AF65" s="52">
        <f t="shared" si="75"/>
        <v>6</v>
      </c>
      <c r="AG65" s="61" t="str">
        <f t="shared" si="3"/>
        <v/>
      </c>
      <c r="AH65" s="52">
        <f t="shared" si="98"/>
        <v>0</v>
      </c>
      <c r="AI65" s="52">
        <f t="shared" si="43"/>
        <v>7</v>
      </c>
      <c r="AJ65" s="52" t="str">
        <f t="shared" si="44"/>
        <v/>
      </c>
      <c r="AK65" s="61" t="str">
        <f t="shared" si="5"/>
        <v/>
      </c>
      <c r="AL65" s="95" t="str">
        <f t="shared" si="99"/>
        <v/>
      </c>
      <c r="AM65" s="61" t="str">
        <f t="shared" si="7"/>
        <v>if () {$("#adv_").html("Requierd");$("#").css({"background":"yellow"});} else {$("#adv_").html("");$("#").css({"background":"white"});}</v>
      </c>
      <c r="AN65" s="61" t="str">
        <f t="shared" si="8"/>
        <v>if (=="") {$("#adv_").html("Requierd");} else {$("#adv_").html("");}</v>
      </c>
      <c r="AO65" s="50" t="str">
        <f t="shared" si="100"/>
        <v/>
      </c>
      <c r="AP65" s="61" t="str">
        <f t="shared" si="10"/>
        <v>=$("#").val();</v>
      </c>
      <c r="AQ65" s="61" t="str">
        <f t="shared" si="45"/>
        <v/>
      </c>
      <c r="AR65" s="61" t="str">
        <f t="shared" si="11"/>
        <v>=document.getElementById("").checked;</v>
      </c>
      <c r="AS65" s="102" t="str">
        <f t="shared" si="12"/>
        <v>if (isset($_GET[''])) {$=($_GET['']);}else $='';</v>
      </c>
      <c r="AT65" s="52" t="str">
        <f t="shared" si="101"/>
        <v>EPS</v>
      </c>
      <c r="AU65" s="52" t="str">
        <f t="shared" si="14"/>
        <v>else if (document.getElementById("</v>
      </c>
      <c r="AV65" s="61" t="str">
        <f t="shared" si="102"/>
        <v>else if (document.getElementById("").checked==true) {EPS="";}</v>
      </c>
      <c r="AW65" s="61" t="str">
        <f t="shared" si="118"/>
        <v/>
      </c>
      <c r="AX65" s="102" t="str">
        <f t="shared" si="103"/>
        <v/>
      </c>
      <c r="AY65" s="135" t="str">
        <f t="shared" si="46"/>
        <v/>
      </c>
      <c r="AZ65" s="50" t="str">
        <f t="shared" si="104"/>
        <v>&lt;input type="checkbox" id="" name="" value="1" /&gt;</v>
      </c>
      <c r="BA65" s="105" t="str">
        <f t="shared" si="105"/>
        <v>&lt;br/&gt;&lt;textarea rows="2" cols="80" id=""&gt;&lt;/textarea&gt;&lt;br/&gt;</v>
      </c>
      <c r="BB65" s="50" t="str">
        <f t="shared" si="106"/>
        <v>&lt;input type="radio" name="EPS" id="" value="" /&gt;</v>
      </c>
      <c r="BC65" s="107" t="str">
        <f t="shared" si="107"/>
        <v>&lt;input type="text"  size="7"  id="" class="datepicker"/&gt;</v>
      </c>
      <c r="BD65" s="109" t="str">
        <f t="shared" si="47"/>
        <v/>
      </c>
      <c r="BE65" s="61" t="str">
        <f t="shared" si="108"/>
        <v/>
      </c>
      <c r="BF65" s="52">
        <f t="shared" si="83"/>
        <v>12</v>
      </c>
      <c r="BG65" s="61" t="str">
        <f t="shared" si="119"/>
        <v/>
      </c>
      <c r="BH65" s="102" t="str">
        <f t="shared" si="109"/>
        <v/>
      </c>
      <c r="BI65" s="105" t="str">
        <f t="shared" si="85"/>
        <v/>
      </c>
      <c r="BJ65" s="52" t="str">
        <f t="shared" si="49"/>
        <v/>
      </c>
      <c r="BK65" s="52">
        <f t="shared" si="50"/>
        <v>0</v>
      </c>
      <c r="BL65" s="52">
        <f t="shared" si="51"/>
        <v>2</v>
      </c>
      <c r="BM65" s="52" t="str">
        <f t="shared" si="77"/>
        <v/>
      </c>
      <c r="BN65" s="52" t="str">
        <f t="shared" si="24"/>
        <v/>
      </c>
      <c r="BO65" s="52" t="str">
        <f t="shared" si="94"/>
        <v/>
      </c>
      <c r="BP65" s="113" t="str">
        <f t="shared" si="52"/>
        <v/>
      </c>
      <c r="BQ65" s="52" t="str">
        <f t="shared" si="79"/>
        <v/>
      </c>
      <c r="BR65" s="52" t="str">
        <f t="shared" si="53"/>
        <v/>
      </c>
      <c r="BS65" s="52" t="str">
        <f t="shared" si="54"/>
        <v/>
      </c>
      <c r="BT65" s="52" t="str">
        <f t="shared" si="55"/>
        <v/>
      </c>
      <c r="BU65" s="52" t="str">
        <f t="shared" si="56"/>
        <v/>
      </c>
      <c r="BV65" s="102" t="str">
        <f t="shared" si="110"/>
        <v/>
      </c>
      <c r="BW65" s="116" t="str">
        <f t="shared" si="111"/>
        <v/>
      </c>
      <c r="BX65" s="61" t="str">
        <f t="shared" si="112"/>
        <v/>
      </c>
      <c r="BY65" s="52" t="str">
        <f t="shared" si="28"/>
        <v/>
      </c>
      <c r="BZ65" s="52" t="str">
        <f t="shared" si="29"/>
        <v/>
      </c>
      <c r="CA65" s="52" t="str">
        <f t="shared" si="57"/>
        <v/>
      </c>
      <c r="CB65" s="52" t="str">
        <f t="shared" si="30"/>
        <v/>
      </c>
      <c r="CC65" s="52" t="str">
        <f t="shared" si="31"/>
        <v/>
      </c>
      <c r="CD65" s="102" t="str">
        <f t="shared" si="113"/>
        <v/>
      </c>
      <c r="CE65" s="116" t="str">
        <f t="shared" si="114"/>
        <v/>
      </c>
      <c r="CF65" s="116" t="str">
        <f t="shared" si="92"/>
        <v/>
      </c>
      <c r="CG65" s="61" t="str">
        <f t="shared" si="115"/>
        <v/>
      </c>
      <c r="CH65" s="52">
        <f t="shared" si="80"/>
        <v>2</v>
      </c>
      <c r="CI65" s="61" t="str">
        <f t="shared" si="58"/>
        <v/>
      </c>
      <c r="CJ65" s="61" t="str">
        <f t="shared" si="59"/>
        <v/>
      </c>
      <c r="CK65" s="61" t="str">
        <f t="shared" si="60"/>
        <v/>
      </c>
      <c r="CL65" s="61" t="str">
        <f t="shared" si="116"/>
        <v/>
      </c>
      <c r="CM65" s="61" t="str">
        <f t="shared" si="117"/>
        <v/>
      </c>
      <c r="CN65" s="134" t="str">
        <f t="shared" si="86"/>
        <v/>
      </c>
      <c r="CO65" s="131" t="str">
        <f t="shared" si="84"/>
        <v/>
      </c>
      <c r="CP65" s="131" t="str">
        <f t="shared" si="61"/>
        <v/>
      </c>
      <c r="CQ65" s="131" t="str">
        <f t="shared" si="62"/>
        <v/>
      </c>
      <c r="CR65" s="116" t="str">
        <f t="shared" si="63"/>
        <v/>
      </c>
      <c r="CS65" s="116" t="str">
        <f t="shared" si="64"/>
        <v/>
      </c>
      <c r="CT65" s="116" t="str">
        <f t="shared" si="65"/>
        <v/>
      </c>
      <c r="CU65" s="52">
        <f t="shared" si="66"/>
        <v>0</v>
      </c>
      <c r="CV65" s="116" t="str">
        <f t="shared" si="67"/>
        <v/>
      </c>
      <c r="CW65" s="116" t="str">
        <f t="shared" si="68"/>
        <v/>
      </c>
      <c r="CX65" s="61" t="str">
        <f t="shared" si="69"/>
        <v/>
      </c>
      <c r="CY65" s="61" t="str">
        <f t="shared" si="70"/>
        <v/>
      </c>
      <c r="CZ65" s="61" t="str">
        <f t="shared" si="71"/>
        <v/>
      </c>
      <c r="DA65" s="116" t="str">
        <f t="shared" si="95"/>
        <v/>
      </c>
      <c r="DB65" s="6" t="str">
        <f t="shared" si="82"/>
        <v/>
      </c>
      <c r="DC65" s="61" t="str">
        <f t="shared" si="72"/>
        <v/>
      </c>
      <c r="DD65" s="131" t="str">
        <f t="shared" si="87"/>
        <v/>
      </c>
      <c r="DE65" s="131" t="str">
        <f t="shared" si="88"/>
        <v/>
      </c>
      <c r="DF65" s="61" t="str">
        <f t="shared" si="89"/>
        <v/>
      </c>
      <c r="DG65" s="116" t="str">
        <f t="shared" si="73"/>
        <v/>
      </c>
      <c r="DH65" s="116" t="str">
        <f t="shared" si="74"/>
        <v/>
      </c>
    </row>
    <row r="66" spans="2:112" s="17" customFormat="1" hidden="1">
      <c r="B66" s="35"/>
      <c r="C66" s="35"/>
      <c r="D66" s="36"/>
      <c r="E66" s="35"/>
      <c r="F66" s="35"/>
      <c r="G66" s="35"/>
      <c r="H66" s="35"/>
      <c r="I66" s="35"/>
      <c r="J66" s="121"/>
      <c r="K66" s="59"/>
      <c r="AC66" s="47" t="s">
        <v>245</v>
      </c>
      <c r="AD66" s="52" t="str">
        <f t="shared" si="96"/>
        <v/>
      </c>
      <c r="AE66" s="52">
        <f t="shared" si="97"/>
        <v>0</v>
      </c>
      <c r="AF66" s="52">
        <f t="shared" si="75"/>
        <v>6</v>
      </c>
      <c r="AG66" s="61" t="str">
        <f t="shared" si="3"/>
        <v/>
      </c>
      <c r="AH66" s="52">
        <f t="shared" si="98"/>
        <v>0</v>
      </c>
      <c r="AI66" s="52">
        <f t="shared" si="43"/>
        <v>7</v>
      </c>
      <c r="AJ66" s="52" t="str">
        <f t="shared" si="44"/>
        <v/>
      </c>
      <c r="AK66" s="61" t="str">
        <f t="shared" si="5"/>
        <v/>
      </c>
      <c r="AL66" s="95" t="str">
        <f t="shared" si="99"/>
        <v/>
      </c>
      <c r="AM66" s="61" t="str">
        <f t="shared" si="7"/>
        <v>if () {$("#adv_").html("Requierd");$("#").css({"background":"yellow"});} else {$("#adv_").html("");$("#").css({"background":"white"});}</v>
      </c>
      <c r="AN66" s="61" t="str">
        <f t="shared" si="8"/>
        <v>if (=="") {$("#adv_").html("Requierd");} else {$("#adv_").html("");}</v>
      </c>
      <c r="AO66" s="50" t="str">
        <f t="shared" si="100"/>
        <v/>
      </c>
      <c r="AP66" s="61" t="str">
        <f t="shared" si="10"/>
        <v>=$("#").val();</v>
      </c>
      <c r="AQ66" s="61" t="str">
        <f t="shared" si="45"/>
        <v/>
      </c>
      <c r="AR66" s="61" t="str">
        <f t="shared" si="11"/>
        <v>=document.getElementById("").checked;</v>
      </c>
      <c r="AS66" s="102" t="str">
        <f t="shared" si="12"/>
        <v>if (isset($_GET[''])) {$=($_GET['']);}else $='';</v>
      </c>
      <c r="AT66" s="52" t="str">
        <f t="shared" si="101"/>
        <v>EPS</v>
      </c>
      <c r="AU66" s="52" t="str">
        <f t="shared" si="14"/>
        <v>else if (document.getElementById("</v>
      </c>
      <c r="AV66" s="61" t="str">
        <f t="shared" si="102"/>
        <v>else if (document.getElementById("").checked==true) {EPS="";}</v>
      </c>
      <c r="AW66" s="61" t="str">
        <f t="shared" si="118"/>
        <v/>
      </c>
      <c r="AX66" s="102" t="str">
        <f t="shared" si="103"/>
        <v/>
      </c>
      <c r="AY66" s="135" t="str">
        <f t="shared" si="46"/>
        <v/>
      </c>
      <c r="AZ66" s="50" t="str">
        <f t="shared" si="104"/>
        <v>&lt;input type="checkbox" id="" name="" value="1" /&gt;</v>
      </c>
      <c r="BA66" s="105" t="str">
        <f t="shared" si="105"/>
        <v>&lt;br/&gt;&lt;textarea rows="2" cols="80" id=""&gt;&lt;/textarea&gt;&lt;br/&gt;</v>
      </c>
      <c r="BB66" s="50" t="str">
        <f t="shared" si="106"/>
        <v>&lt;input type="radio" name="EPS" id="" value="" /&gt;</v>
      </c>
      <c r="BC66" s="107" t="str">
        <f t="shared" si="107"/>
        <v>&lt;input type="text"  size="7"  id="" class="datepicker"/&gt;</v>
      </c>
      <c r="BD66" s="109" t="str">
        <f t="shared" si="47"/>
        <v/>
      </c>
      <c r="BE66" s="61" t="str">
        <f t="shared" si="108"/>
        <v/>
      </c>
      <c r="BF66" s="52">
        <f t="shared" si="83"/>
        <v>12</v>
      </c>
      <c r="BG66" s="61" t="str">
        <f t="shared" si="119"/>
        <v/>
      </c>
      <c r="BH66" s="102" t="str">
        <f t="shared" si="109"/>
        <v/>
      </c>
      <c r="BI66" s="105" t="str">
        <f t="shared" si="85"/>
        <v/>
      </c>
      <c r="BJ66" s="52" t="str">
        <f t="shared" si="49"/>
        <v/>
      </c>
      <c r="BK66" s="52">
        <f t="shared" si="50"/>
        <v>0</v>
      </c>
      <c r="BL66" s="52">
        <f t="shared" si="51"/>
        <v>2</v>
      </c>
      <c r="BM66" s="52" t="str">
        <f t="shared" si="77"/>
        <v/>
      </c>
      <c r="BN66" s="52" t="str">
        <f t="shared" si="24"/>
        <v/>
      </c>
      <c r="BO66" s="52" t="str">
        <f t="shared" si="94"/>
        <v/>
      </c>
      <c r="BP66" s="113" t="str">
        <f t="shared" si="52"/>
        <v/>
      </c>
      <c r="BQ66" s="52" t="str">
        <f t="shared" si="79"/>
        <v/>
      </c>
      <c r="BR66" s="52" t="str">
        <f t="shared" si="53"/>
        <v/>
      </c>
      <c r="BS66" s="52" t="str">
        <f t="shared" si="54"/>
        <v/>
      </c>
      <c r="BT66" s="52" t="str">
        <f t="shared" si="55"/>
        <v/>
      </c>
      <c r="BU66" s="52" t="str">
        <f t="shared" si="56"/>
        <v/>
      </c>
      <c r="BV66" s="102" t="str">
        <f t="shared" si="110"/>
        <v/>
      </c>
      <c r="BW66" s="116" t="str">
        <f t="shared" si="111"/>
        <v/>
      </c>
      <c r="BX66" s="61" t="str">
        <f t="shared" si="112"/>
        <v/>
      </c>
      <c r="BY66" s="52" t="str">
        <f t="shared" si="28"/>
        <v/>
      </c>
      <c r="BZ66" s="52" t="str">
        <f t="shared" si="29"/>
        <v/>
      </c>
      <c r="CA66" s="52" t="str">
        <f t="shared" si="57"/>
        <v/>
      </c>
      <c r="CB66" s="52" t="str">
        <f t="shared" si="30"/>
        <v/>
      </c>
      <c r="CC66" s="52" t="str">
        <f t="shared" si="31"/>
        <v/>
      </c>
      <c r="CD66" s="102" t="str">
        <f t="shared" si="113"/>
        <v/>
      </c>
      <c r="CE66" s="116" t="str">
        <f t="shared" si="114"/>
        <v/>
      </c>
      <c r="CF66" s="116" t="str">
        <f t="shared" si="92"/>
        <v/>
      </c>
      <c r="CG66" s="61" t="str">
        <f t="shared" si="115"/>
        <v/>
      </c>
      <c r="CH66" s="52">
        <f t="shared" si="80"/>
        <v>2</v>
      </c>
      <c r="CI66" s="61" t="str">
        <f t="shared" si="58"/>
        <v/>
      </c>
      <c r="CJ66" s="61" t="str">
        <f t="shared" si="59"/>
        <v/>
      </c>
      <c r="CK66" s="61" t="str">
        <f t="shared" si="60"/>
        <v/>
      </c>
      <c r="CL66" s="61" t="str">
        <f t="shared" si="116"/>
        <v/>
      </c>
      <c r="CM66" s="61" t="str">
        <f t="shared" si="117"/>
        <v/>
      </c>
      <c r="CN66" s="134" t="str">
        <f t="shared" si="86"/>
        <v/>
      </c>
      <c r="CO66" s="131" t="str">
        <f t="shared" si="84"/>
        <v/>
      </c>
      <c r="CP66" s="131" t="str">
        <f t="shared" si="61"/>
        <v/>
      </c>
      <c r="CQ66" s="131" t="str">
        <f t="shared" si="62"/>
        <v/>
      </c>
      <c r="CR66" s="116" t="str">
        <f t="shared" si="63"/>
        <v/>
      </c>
      <c r="CS66" s="116" t="str">
        <f t="shared" si="64"/>
        <v/>
      </c>
      <c r="CT66" s="116" t="str">
        <f t="shared" si="65"/>
        <v/>
      </c>
      <c r="CU66" s="52">
        <f t="shared" si="66"/>
        <v>0</v>
      </c>
      <c r="CV66" s="116" t="str">
        <f t="shared" si="67"/>
        <v/>
      </c>
      <c r="CW66" s="116" t="str">
        <f t="shared" si="68"/>
        <v/>
      </c>
      <c r="CX66" s="61" t="str">
        <f t="shared" si="69"/>
        <v/>
      </c>
      <c r="CY66" s="61" t="str">
        <f t="shared" si="70"/>
        <v/>
      </c>
      <c r="CZ66" s="61" t="str">
        <f t="shared" si="71"/>
        <v/>
      </c>
      <c r="DA66" s="116" t="str">
        <f t="shared" si="95"/>
        <v/>
      </c>
      <c r="DB66" s="6" t="str">
        <f t="shared" si="82"/>
        <v/>
      </c>
      <c r="DC66" s="61" t="str">
        <f t="shared" si="72"/>
        <v/>
      </c>
      <c r="DD66" s="131" t="str">
        <f t="shared" si="87"/>
        <v/>
      </c>
      <c r="DE66" s="131" t="str">
        <f t="shared" si="88"/>
        <v/>
      </c>
      <c r="DF66" s="61" t="str">
        <f t="shared" si="89"/>
        <v/>
      </c>
      <c r="DG66" s="116" t="str">
        <f t="shared" si="73"/>
        <v/>
      </c>
      <c r="DH66" s="116" t="str">
        <f t="shared" si="74"/>
        <v/>
      </c>
    </row>
    <row r="67" spans="2:112" s="17" customFormat="1" hidden="1">
      <c r="B67" s="35"/>
      <c r="C67" s="35"/>
      <c r="D67" s="36"/>
      <c r="E67" s="35"/>
      <c r="F67" s="35"/>
      <c r="G67" s="35"/>
      <c r="H67" s="35"/>
      <c r="I67" s="35"/>
      <c r="J67" s="121"/>
      <c r="K67" s="59"/>
      <c r="AC67" s="47" t="s">
        <v>246</v>
      </c>
      <c r="AD67" s="52" t="str">
        <f t="shared" si="96"/>
        <v/>
      </c>
      <c r="AE67" s="52">
        <f t="shared" si="97"/>
        <v>0</v>
      </c>
      <c r="AF67" s="52">
        <f t="shared" si="75"/>
        <v>6</v>
      </c>
      <c r="AG67" s="61" t="str">
        <f t="shared" si="3"/>
        <v/>
      </c>
      <c r="AH67" s="52">
        <f t="shared" si="98"/>
        <v>0</v>
      </c>
      <c r="AI67" s="52">
        <f t="shared" si="43"/>
        <v>7</v>
      </c>
      <c r="AJ67" s="52" t="str">
        <f t="shared" si="44"/>
        <v/>
      </c>
      <c r="AK67" s="61" t="str">
        <f t="shared" si="5"/>
        <v/>
      </c>
      <c r="AL67" s="95" t="str">
        <f t="shared" si="99"/>
        <v/>
      </c>
      <c r="AM67" s="61" t="str">
        <f t="shared" si="7"/>
        <v>if () {$("#adv_").html("Requierd");$("#").css({"background":"yellow"});} else {$("#adv_").html("");$("#").css({"background":"white"});}</v>
      </c>
      <c r="AN67" s="61" t="str">
        <f t="shared" si="8"/>
        <v>if (=="") {$("#adv_").html("Requierd");} else {$("#adv_").html("");}</v>
      </c>
      <c r="AO67" s="50" t="str">
        <f t="shared" si="100"/>
        <v/>
      </c>
      <c r="AP67" s="61" t="str">
        <f t="shared" si="10"/>
        <v>=$("#").val();</v>
      </c>
      <c r="AQ67" s="61" t="str">
        <f t="shared" si="45"/>
        <v/>
      </c>
      <c r="AR67" s="61" t="str">
        <f t="shared" si="11"/>
        <v>=document.getElementById("").checked;</v>
      </c>
      <c r="AS67" s="102" t="str">
        <f t="shared" si="12"/>
        <v>if (isset($_GET[''])) {$=($_GET['']);}else $='';</v>
      </c>
      <c r="AT67" s="52" t="str">
        <f t="shared" si="101"/>
        <v>EPS</v>
      </c>
      <c r="AU67" s="52" t="str">
        <f t="shared" si="14"/>
        <v>else if (document.getElementById("</v>
      </c>
      <c r="AV67" s="61" t="str">
        <f t="shared" si="102"/>
        <v>else if (document.getElementById("").checked==true) {EPS="";}</v>
      </c>
      <c r="AW67" s="61" t="str">
        <f t="shared" si="118"/>
        <v/>
      </c>
      <c r="AX67" s="102" t="str">
        <f t="shared" si="103"/>
        <v/>
      </c>
      <c r="AY67" s="135" t="str">
        <f t="shared" si="46"/>
        <v/>
      </c>
      <c r="AZ67" s="50" t="str">
        <f t="shared" si="104"/>
        <v>&lt;input type="checkbox" id="" name="" value="1" /&gt;</v>
      </c>
      <c r="BA67" s="105" t="str">
        <f t="shared" si="105"/>
        <v>&lt;br/&gt;&lt;textarea rows="2" cols="80" id=""&gt;&lt;/textarea&gt;&lt;br/&gt;</v>
      </c>
      <c r="BB67" s="50" t="str">
        <f t="shared" si="106"/>
        <v>&lt;input type="radio" name="EPS" id="" value="" /&gt;</v>
      </c>
      <c r="BC67" s="107" t="str">
        <f t="shared" si="107"/>
        <v>&lt;input type="text"  size="7"  id="" class="datepicker"/&gt;</v>
      </c>
      <c r="BD67" s="109" t="str">
        <f t="shared" si="47"/>
        <v/>
      </c>
      <c r="BE67" s="61" t="str">
        <f t="shared" si="108"/>
        <v/>
      </c>
      <c r="BF67" s="52">
        <f t="shared" si="83"/>
        <v>12</v>
      </c>
      <c r="BG67" s="61" t="str">
        <f t="shared" si="119"/>
        <v/>
      </c>
      <c r="BH67" s="102" t="str">
        <f t="shared" si="109"/>
        <v/>
      </c>
      <c r="BI67" s="105" t="str">
        <f t="shared" si="85"/>
        <v/>
      </c>
      <c r="BJ67" s="52" t="str">
        <f t="shared" si="49"/>
        <v/>
      </c>
      <c r="BK67" s="52">
        <f t="shared" si="50"/>
        <v>0</v>
      </c>
      <c r="BL67" s="52">
        <f t="shared" si="51"/>
        <v>2</v>
      </c>
      <c r="BM67" s="52" t="str">
        <f t="shared" si="77"/>
        <v/>
      </c>
      <c r="BN67" s="52" t="str">
        <f t="shared" si="24"/>
        <v/>
      </c>
      <c r="BO67" s="52" t="str">
        <f t="shared" si="94"/>
        <v/>
      </c>
      <c r="BP67" s="113" t="str">
        <f t="shared" si="52"/>
        <v/>
      </c>
      <c r="BQ67" s="52" t="str">
        <f t="shared" si="79"/>
        <v/>
      </c>
      <c r="BR67" s="52" t="str">
        <f t="shared" si="53"/>
        <v/>
      </c>
      <c r="BS67" s="52" t="str">
        <f t="shared" si="54"/>
        <v/>
      </c>
      <c r="BT67" s="52" t="str">
        <f t="shared" si="55"/>
        <v/>
      </c>
      <c r="BU67" s="52" t="str">
        <f t="shared" si="56"/>
        <v/>
      </c>
      <c r="BV67" s="102" t="str">
        <f t="shared" si="110"/>
        <v/>
      </c>
      <c r="BW67" s="116" t="str">
        <f t="shared" si="111"/>
        <v/>
      </c>
      <c r="BX67" s="61" t="str">
        <f t="shared" si="112"/>
        <v/>
      </c>
      <c r="BY67" s="52" t="str">
        <f t="shared" si="28"/>
        <v/>
      </c>
      <c r="BZ67" s="52" t="str">
        <f t="shared" si="29"/>
        <v/>
      </c>
      <c r="CA67" s="52" t="str">
        <f t="shared" si="57"/>
        <v/>
      </c>
      <c r="CB67" s="52" t="str">
        <f t="shared" si="30"/>
        <v/>
      </c>
      <c r="CC67" s="52" t="str">
        <f t="shared" si="31"/>
        <v/>
      </c>
      <c r="CD67" s="102" t="str">
        <f t="shared" si="113"/>
        <v/>
      </c>
      <c r="CE67" s="116" t="str">
        <f t="shared" si="114"/>
        <v/>
      </c>
      <c r="CF67" s="116" t="str">
        <f t="shared" si="92"/>
        <v/>
      </c>
      <c r="CG67" s="61" t="str">
        <f t="shared" si="115"/>
        <v/>
      </c>
      <c r="CH67" s="52">
        <f t="shared" si="80"/>
        <v>2</v>
      </c>
      <c r="CI67" s="61" t="str">
        <f t="shared" si="58"/>
        <v/>
      </c>
      <c r="CJ67" s="61" t="str">
        <f t="shared" si="59"/>
        <v/>
      </c>
      <c r="CK67" s="61" t="str">
        <f t="shared" si="60"/>
        <v/>
      </c>
      <c r="CL67" s="61" t="str">
        <f t="shared" si="116"/>
        <v/>
      </c>
      <c r="CM67" s="61" t="str">
        <f t="shared" si="117"/>
        <v/>
      </c>
      <c r="CN67" s="134" t="str">
        <f t="shared" si="86"/>
        <v/>
      </c>
      <c r="CO67" s="131" t="str">
        <f t="shared" si="84"/>
        <v/>
      </c>
      <c r="CP67" s="131" t="str">
        <f t="shared" si="61"/>
        <v/>
      </c>
      <c r="CQ67" s="131" t="str">
        <f t="shared" si="62"/>
        <v/>
      </c>
      <c r="CR67" s="116" t="str">
        <f t="shared" si="63"/>
        <v/>
      </c>
      <c r="CS67" s="116" t="str">
        <f t="shared" si="64"/>
        <v/>
      </c>
      <c r="CT67" s="116" t="str">
        <f t="shared" si="65"/>
        <v/>
      </c>
      <c r="CU67" s="52">
        <f t="shared" si="66"/>
        <v>0</v>
      </c>
      <c r="CV67" s="116" t="str">
        <f t="shared" si="67"/>
        <v/>
      </c>
      <c r="CW67" s="116" t="str">
        <f t="shared" si="68"/>
        <v/>
      </c>
      <c r="CX67" s="61" t="str">
        <f t="shared" si="69"/>
        <v/>
      </c>
      <c r="CY67" s="61" t="str">
        <f t="shared" si="70"/>
        <v/>
      </c>
      <c r="CZ67" s="61" t="str">
        <f t="shared" si="71"/>
        <v/>
      </c>
      <c r="DA67" s="116" t="str">
        <f t="shared" si="95"/>
        <v/>
      </c>
      <c r="DB67" s="6" t="str">
        <f t="shared" si="82"/>
        <v/>
      </c>
      <c r="DC67" s="61" t="str">
        <f t="shared" si="72"/>
        <v/>
      </c>
      <c r="DD67" s="131" t="str">
        <f t="shared" si="87"/>
        <v/>
      </c>
      <c r="DE67" s="131" t="str">
        <f t="shared" si="88"/>
        <v/>
      </c>
      <c r="DF67" s="61" t="str">
        <f t="shared" si="89"/>
        <v/>
      </c>
      <c r="DG67" s="116" t="str">
        <f t="shared" si="73"/>
        <v/>
      </c>
      <c r="DH67" s="116" t="str">
        <f t="shared" si="74"/>
        <v/>
      </c>
    </row>
    <row r="68" spans="2:112" s="17" customFormat="1" hidden="1">
      <c r="B68" s="35"/>
      <c r="C68" s="35"/>
      <c r="D68" s="36"/>
      <c r="E68" s="35"/>
      <c r="F68" s="35"/>
      <c r="G68" s="35"/>
      <c r="H68" s="35"/>
      <c r="I68" s="35"/>
      <c r="J68" s="121"/>
      <c r="K68" s="59"/>
      <c r="AC68" s="47" t="s">
        <v>247</v>
      </c>
      <c r="AD68" s="52" t="str">
        <f t="shared" si="96"/>
        <v/>
      </c>
      <c r="AE68" s="52">
        <f t="shared" si="97"/>
        <v>0</v>
      </c>
      <c r="AF68" s="52">
        <f t="shared" si="75"/>
        <v>6</v>
      </c>
      <c r="AG68" s="61" t="str">
        <f t="shared" si="3"/>
        <v/>
      </c>
      <c r="AH68" s="52">
        <f t="shared" si="98"/>
        <v>0</v>
      </c>
      <c r="AI68" s="52">
        <f t="shared" si="43"/>
        <v>7</v>
      </c>
      <c r="AJ68" s="52" t="str">
        <f t="shared" si="44"/>
        <v/>
      </c>
      <c r="AK68" s="61" t="str">
        <f t="shared" si="5"/>
        <v/>
      </c>
      <c r="AL68" s="95" t="str">
        <f t="shared" si="99"/>
        <v/>
      </c>
      <c r="AM68" s="61" t="str">
        <f t="shared" si="7"/>
        <v>if () {$("#adv_").html("Requierd");$("#").css({"background":"yellow"});} else {$("#adv_").html("");$("#").css({"background":"white"});}</v>
      </c>
      <c r="AN68" s="61" t="str">
        <f t="shared" si="8"/>
        <v>if (=="") {$("#adv_").html("Requierd");} else {$("#adv_").html("");}</v>
      </c>
      <c r="AO68" s="50" t="str">
        <f t="shared" si="100"/>
        <v/>
      </c>
      <c r="AP68" s="61" t="str">
        <f t="shared" si="10"/>
        <v>=$("#").val();</v>
      </c>
      <c r="AQ68" s="61" t="str">
        <f t="shared" si="45"/>
        <v/>
      </c>
      <c r="AR68" s="61" t="str">
        <f t="shared" si="11"/>
        <v>=document.getElementById("").checked;</v>
      </c>
      <c r="AS68" s="102" t="str">
        <f t="shared" si="12"/>
        <v>if (isset($_GET[''])) {$=($_GET['']);}else $='';</v>
      </c>
      <c r="AT68" s="52" t="str">
        <f t="shared" si="101"/>
        <v>EPS</v>
      </c>
      <c r="AU68" s="52" t="str">
        <f t="shared" si="14"/>
        <v>else if (document.getElementById("</v>
      </c>
      <c r="AV68" s="61" t="str">
        <f t="shared" si="102"/>
        <v>else if (document.getElementById("").checked==true) {EPS="";}</v>
      </c>
      <c r="AW68" s="61" t="str">
        <f t="shared" si="118"/>
        <v/>
      </c>
      <c r="AX68" s="102" t="str">
        <f t="shared" si="103"/>
        <v/>
      </c>
      <c r="AY68" s="135" t="str">
        <f t="shared" si="46"/>
        <v/>
      </c>
      <c r="AZ68" s="50" t="str">
        <f t="shared" si="104"/>
        <v>&lt;input type="checkbox" id="" name="" value="1" /&gt;</v>
      </c>
      <c r="BA68" s="105" t="str">
        <f t="shared" si="105"/>
        <v>&lt;br/&gt;&lt;textarea rows="2" cols="80" id=""&gt;&lt;/textarea&gt;&lt;br/&gt;</v>
      </c>
      <c r="BB68" s="50" t="str">
        <f t="shared" si="106"/>
        <v>&lt;input type="radio" name="EPS" id="" value="" /&gt;</v>
      </c>
      <c r="BC68" s="107" t="str">
        <f t="shared" si="107"/>
        <v>&lt;input type="text"  size="7"  id="" class="datepicker"/&gt;</v>
      </c>
      <c r="BD68" s="109" t="str">
        <f t="shared" si="47"/>
        <v/>
      </c>
      <c r="BE68" s="61" t="str">
        <f t="shared" si="108"/>
        <v/>
      </c>
      <c r="BF68" s="52">
        <f t="shared" si="83"/>
        <v>12</v>
      </c>
      <c r="BG68" s="61" t="str">
        <f t="shared" si="119"/>
        <v/>
      </c>
      <c r="BH68" s="102" t="str">
        <f t="shared" si="109"/>
        <v/>
      </c>
      <c r="BI68" s="105" t="str">
        <f t="shared" si="85"/>
        <v/>
      </c>
      <c r="BJ68" s="52" t="str">
        <f t="shared" si="49"/>
        <v/>
      </c>
      <c r="BK68" s="52">
        <f t="shared" si="50"/>
        <v>0</v>
      </c>
      <c r="BL68" s="52">
        <f t="shared" si="51"/>
        <v>2</v>
      </c>
      <c r="BM68" s="52" t="str">
        <f t="shared" si="77"/>
        <v/>
      </c>
      <c r="BN68" s="52" t="str">
        <f t="shared" si="24"/>
        <v/>
      </c>
      <c r="BO68" s="52" t="str">
        <f t="shared" si="94"/>
        <v/>
      </c>
      <c r="BP68" s="113" t="str">
        <f t="shared" si="52"/>
        <v/>
      </c>
      <c r="BQ68" s="52" t="str">
        <f t="shared" si="79"/>
        <v/>
      </c>
      <c r="BR68" s="52" t="str">
        <f t="shared" si="53"/>
        <v/>
      </c>
      <c r="BS68" s="52" t="str">
        <f t="shared" si="54"/>
        <v/>
      </c>
      <c r="BT68" s="52" t="str">
        <f t="shared" si="55"/>
        <v/>
      </c>
      <c r="BU68" s="52" t="str">
        <f t="shared" si="56"/>
        <v/>
      </c>
      <c r="BV68" s="102" t="str">
        <f t="shared" si="110"/>
        <v/>
      </c>
      <c r="BW68" s="116" t="str">
        <f t="shared" si="111"/>
        <v/>
      </c>
      <c r="BX68" s="61" t="str">
        <f t="shared" si="112"/>
        <v/>
      </c>
      <c r="BY68" s="52" t="str">
        <f t="shared" si="28"/>
        <v/>
      </c>
      <c r="BZ68" s="52" t="str">
        <f t="shared" si="29"/>
        <v/>
      </c>
      <c r="CA68" s="52" t="str">
        <f t="shared" si="57"/>
        <v/>
      </c>
      <c r="CB68" s="52" t="str">
        <f t="shared" si="30"/>
        <v/>
      </c>
      <c r="CC68" s="52" t="str">
        <f t="shared" si="31"/>
        <v/>
      </c>
      <c r="CD68" s="102" t="str">
        <f t="shared" si="113"/>
        <v/>
      </c>
      <c r="CE68" s="116" t="str">
        <f t="shared" si="114"/>
        <v/>
      </c>
      <c r="CF68" s="116" t="str">
        <f t="shared" si="92"/>
        <v/>
      </c>
      <c r="CG68" s="61" t="str">
        <f t="shared" si="115"/>
        <v/>
      </c>
      <c r="CH68" s="52">
        <f t="shared" si="80"/>
        <v>2</v>
      </c>
      <c r="CI68" s="61" t="str">
        <f t="shared" si="58"/>
        <v/>
      </c>
      <c r="CJ68" s="61" t="str">
        <f t="shared" si="59"/>
        <v/>
      </c>
      <c r="CK68" s="61" t="str">
        <f t="shared" si="60"/>
        <v/>
      </c>
      <c r="CL68" s="61" t="str">
        <f t="shared" si="116"/>
        <v/>
      </c>
      <c r="CM68" s="61" t="str">
        <f t="shared" si="117"/>
        <v/>
      </c>
      <c r="CN68" s="134" t="str">
        <f t="shared" si="86"/>
        <v/>
      </c>
      <c r="CO68" s="131" t="str">
        <f t="shared" si="84"/>
        <v/>
      </c>
      <c r="CP68" s="131" t="str">
        <f t="shared" si="61"/>
        <v/>
      </c>
      <c r="CQ68" s="131" t="str">
        <f t="shared" si="62"/>
        <v/>
      </c>
      <c r="CR68" s="116" t="str">
        <f t="shared" si="63"/>
        <v/>
      </c>
      <c r="CS68" s="116" t="str">
        <f t="shared" si="64"/>
        <v/>
      </c>
      <c r="CT68" s="116" t="str">
        <f t="shared" si="65"/>
        <v/>
      </c>
      <c r="CU68" s="52">
        <f t="shared" si="66"/>
        <v>0</v>
      </c>
      <c r="CV68" s="116" t="str">
        <f t="shared" si="67"/>
        <v/>
      </c>
      <c r="CW68" s="116" t="str">
        <f t="shared" si="68"/>
        <v/>
      </c>
      <c r="CX68" s="61" t="str">
        <f t="shared" si="69"/>
        <v/>
      </c>
      <c r="CY68" s="61" t="str">
        <f t="shared" si="70"/>
        <v/>
      </c>
      <c r="CZ68" s="61" t="str">
        <f t="shared" si="71"/>
        <v/>
      </c>
      <c r="DA68" s="116" t="str">
        <f t="shared" si="95"/>
        <v/>
      </c>
      <c r="DB68" s="6" t="str">
        <f t="shared" si="82"/>
        <v/>
      </c>
      <c r="DC68" s="61" t="str">
        <f t="shared" si="72"/>
        <v/>
      </c>
      <c r="DD68" s="131" t="str">
        <f t="shared" si="87"/>
        <v/>
      </c>
      <c r="DE68" s="131" t="str">
        <f t="shared" si="88"/>
        <v/>
      </c>
      <c r="DF68" s="61" t="str">
        <f t="shared" si="89"/>
        <v/>
      </c>
      <c r="DG68" s="116" t="str">
        <f t="shared" si="73"/>
        <v/>
      </c>
      <c r="DH68" s="116" t="str">
        <f t="shared" si="74"/>
        <v/>
      </c>
    </row>
    <row r="69" spans="2:112" s="17" customFormat="1" hidden="1">
      <c r="B69" s="35"/>
      <c r="C69" s="35"/>
      <c r="D69" s="36"/>
      <c r="E69" s="35"/>
      <c r="F69" s="35"/>
      <c r="G69" s="35"/>
      <c r="H69" s="35"/>
      <c r="I69" s="35"/>
      <c r="J69" s="121"/>
      <c r="K69" s="59"/>
      <c r="AC69" s="47" t="s">
        <v>248</v>
      </c>
      <c r="AD69" s="52" t="str">
        <f t="shared" si="96"/>
        <v/>
      </c>
      <c r="AE69" s="52">
        <f t="shared" si="97"/>
        <v>0</v>
      </c>
      <c r="AF69" s="52">
        <f t="shared" si="75"/>
        <v>6</v>
      </c>
      <c r="AG69" s="61" t="str">
        <f t="shared" si="3"/>
        <v/>
      </c>
      <c r="AH69" s="52">
        <f t="shared" si="98"/>
        <v>0</v>
      </c>
      <c r="AI69" s="52">
        <f t="shared" si="43"/>
        <v>7</v>
      </c>
      <c r="AJ69" s="52" t="str">
        <f t="shared" si="44"/>
        <v/>
      </c>
      <c r="AK69" s="61" t="str">
        <f t="shared" si="5"/>
        <v/>
      </c>
      <c r="AL69" s="95" t="str">
        <f t="shared" si="99"/>
        <v/>
      </c>
      <c r="AM69" s="61" t="str">
        <f t="shared" si="7"/>
        <v>if () {$("#adv_").html("Requierd");$("#").css({"background":"yellow"});} else {$("#adv_").html("");$("#").css({"background":"white"});}</v>
      </c>
      <c r="AN69" s="61" t="str">
        <f t="shared" si="8"/>
        <v>if (=="") {$("#adv_").html("Requierd");} else {$("#adv_").html("");}</v>
      </c>
      <c r="AO69" s="50" t="str">
        <f t="shared" si="100"/>
        <v/>
      </c>
      <c r="AP69" s="61" t="str">
        <f t="shared" si="10"/>
        <v>=$("#").val();</v>
      </c>
      <c r="AQ69" s="61" t="str">
        <f t="shared" si="45"/>
        <v/>
      </c>
      <c r="AR69" s="61" t="str">
        <f t="shared" si="11"/>
        <v>=document.getElementById("").checked;</v>
      </c>
      <c r="AS69" s="102" t="str">
        <f t="shared" si="12"/>
        <v>if (isset($_GET[''])) {$=($_GET['']);}else $='';</v>
      </c>
      <c r="AT69" s="52" t="str">
        <f t="shared" si="101"/>
        <v>EPS</v>
      </c>
      <c r="AU69" s="52" t="str">
        <f t="shared" si="14"/>
        <v>else if (document.getElementById("</v>
      </c>
      <c r="AV69" s="61" t="str">
        <f t="shared" si="102"/>
        <v>else if (document.getElementById("").checked==true) {EPS="";}</v>
      </c>
      <c r="AW69" s="61" t="str">
        <f t="shared" si="118"/>
        <v/>
      </c>
      <c r="AX69" s="102" t="str">
        <f t="shared" si="103"/>
        <v/>
      </c>
      <c r="AY69" s="135" t="str">
        <f t="shared" si="46"/>
        <v/>
      </c>
      <c r="AZ69" s="50" t="str">
        <f t="shared" si="104"/>
        <v>&lt;input type="checkbox" id="" name="" value="1" /&gt;</v>
      </c>
      <c r="BA69" s="105" t="str">
        <f t="shared" si="105"/>
        <v>&lt;br/&gt;&lt;textarea rows="2" cols="80" id=""&gt;&lt;/textarea&gt;&lt;br/&gt;</v>
      </c>
      <c r="BB69" s="50" t="str">
        <f t="shared" si="106"/>
        <v>&lt;input type="radio" name="EPS" id="" value="" /&gt;</v>
      </c>
      <c r="BC69" s="107" t="str">
        <f t="shared" si="107"/>
        <v>&lt;input type="text"  size="7"  id="" class="datepicker"/&gt;</v>
      </c>
      <c r="BD69" s="109" t="str">
        <f t="shared" si="47"/>
        <v/>
      </c>
      <c r="BE69" s="61" t="str">
        <f t="shared" si="108"/>
        <v/>
      </c>
      <c r="BF69" s="52">
        <f t="shared" si="83"/>
        <v>12</v>
      </c>
      <c r="BG69" s="61" t="str">
        <f t="shared" si="119"/>
        <v/>
      </c>
      <c r="BH69" s="102" t="str">
        <f t="shared" si="109"/>
        <v/>
      </c>
      <c r="BI69" s="105" t="str">
        <f t="shared" si="85"/>
        <v/>
      </c>
      <c r="BJ69" s="52" t="str">
        <f t="shared" si="49"/>
        <v/>
      </c>
      <c r="BK69" s="52">
        <f t="shared" si="50"/>
        <v>0</v>
      </c>
      <c r="BL69" s="52">
        <f t="shared" si="51"/>
        <v>2</v>
      </c>
      <c r="BM69" s="52" t="str">
        <f t="shared" si="77"/>
        <v/>
      </c>
      <c r="BN69" s="52" t="str">
        <f t="shared" si="24"/>
        <v/>
      </c>
      <c r="BO69" s="52" t="str">
        <f t="shared" si="94"/>
        <v/>
      </c>
      <c r="BP69" s="113" t="str">
        <f t="shared" si="52"/>
        <v/>
      </c>
      <c r="BQ69" s="52" t="str">
        <f t="shared" si="79"/>
        <v/>
      </c>
      <c r="BR69" s="52" t="str">
        <f t="shared" si="53"/>
        <v/>
      </c>
      <c r="BS69" s="52" t="str">
        <f t="shared" si="54"/>
        <v/>
      </c>
      <c r="BT69" s="52" t="str">
        <f t="shared" si="55"/>
        <v/>
      </c>
      <c r="BU69" s="52" t="str">
        <f t="shared" si="56"/>
        <v/>
      </c>
      <c r="BV69" s="102" t="str">
        <f t="shared" si="110"/>
        <v/>
      </c>
      <c r="BW69" s="116" t="str">
        <f t="shared" si="111"/>
        <v/>
      </c>
      <c r="BX69" s="61" t="str">
        <f t="shared" si="112"/>
        <v/>
      </c>
      <c r="BY69" s="52" t="str">
        <f t="shared" si="28"/>
        <v/>
      </c>
      <c r="BZ69" s="52" t="str">
        <f t="shared" si="29"/>
        <v/>
      </c>
      <c r="CA69" s="52" t="str">
        <f t="shared" si="57"/>
        <v/>
      </c>
      <c r="CB69" s="52" t="str">
        <f t="shared" si="30"/>
        <v/>
      </c>
      <c r="CC69" s="52" t="str">
        <f t="shared" si="31"/>
        <v/>
      </c>
      <c r="CD69" s="102" t="str">
        <f t="shared" si="113"/>
        <v/>
      </c>
      <c r="CE69" s="116" t="str">
        <f t="shared" si="114"/>
        <v/>
      </c>
      <c r="CF69" s="116" t="str">
        <f t="shared" si="92"/>
        <v/>
      </c>
      <c r="CG69" s="61" t="str">
        <f t="shared" si="115"/>
        <v/>
      </c>
      <c r="CH69" s="52">
        <f t="shared" si="80"/>
        <v>2</v>
      </c>
      <c r="CI69" s="61" t="str">
        <f t="shared" si="58"/>
        <v/>
      </c>
      <c r="CJ69" s="61" t="str">
        <f t="shared" si="59"/>
        <v/>
      </c>
      <c r="CK69" s="61" t="str">
        <f t="shared" si="60"/>
        <v/>
      </c>
      <c r="CL69" s="61" t="str">
        <f t="shared" si="116"/>
        <v/>
      </c>
      <c r="CM69" s="61" t="str">
        <f t="shared" si="117"/>
        <v/>
      </c>
      <c r="CN69" s="134" t="str">
        <f t="shared" si="86"/>
        <v/>
      </c>
      <c r="CO69" s="131" t="str">
        <f t="shared" si="84"/>
        <v/>
      </c>
      <c r="CP69" s="131" t="str">
        <f t="shared" si="61"/>
        <v/>
      </c>
      <c r="CQ69" s="131" t="str">
        <f t="shared" si="62"/>
        <v/>
      </c>
      <c r="CR69" s="116" t="str">
        <f t="shared" si="63"/>
        <v/>
      </c>
      <c r="CS69" s="116" t="str">
        <f t="shared" si="64"/>
        <v/>
      </c>
      <c r="CT69" s="116" t="str">
        <f t="shared" si="65"/>
        <v/>
      </c>
      <c r="CU69" s="52">
        <f t="shared" si="66"/>
        <v>0</v>
      </c>
      <c r="CV69" s="116" t="str">
        <f t="shared" si="67"/>
        <v/>
      </c>
      <c r="CW69" s="116" t="str">
        <f t="shared" si="68"/>
        <v/>
      </c>
      <c r="CX69" s="61" t="str">
        <f t="shared" si="69"/>
        <v/>
      </c>
      <c r="CY69" s="61" t="str">
        <f t="shared" si="70"/>
        <v/>
      </c>
      <c r="CZ69" s="61" t="str">
        <f t="shared" si="71"/>
        <v/>
      </c>
      <c r="DA69" s="116" t="str">
        <f t="shared" si="95"/>
        <v/>
      </c>
      <c r="DB69" s="6" t="str">
        <f t="shared" si="82"/>
        <v/>
      </c>
      <c r="DC69" s="61" t="str">
        <f t="shared" si="72"/>
        <v/>
      </c>
      <c r="DD69" s="131" t="str">
        <f t="shared" si="87"/>
        <v/>
      </c>
      <c r="DE69" s="131" t="str">
        <f t="shared" si="88"/>
        <v/>
      </c>
      <c r="DF69" s="61" t="str">
        <f t="shared" si="89"/>
        <v/>
      </c>
      <c r="DG69" s="116" t="str">
        <f t="shared" si="73"/>
        <v/>
      </c>
      <c r="DH69" s="116" t="str">
        <f t="shared" si="74"/>
        <v/>
      </c>
    </row>
    <row r="70" spans="2:112" s="17" customFormat="1" hidden="1">
      <c r="B70" s="35"/>
      <c r="C70" s="35"/>
      <c r="D70" s="36"/>
      <c r="E70" s="35"/>
      <c r="F70" s="35"/>
      <c r="G70" s="35"/>
      <c r="H70" s="35"/>
      <c r="I70" s="35"/>
      <c r="J70" s="121"/>
      <c r="K70" s="59"/>
      <c r="AC70" s="47" t="s">
        <v>249</v>
      </c>
      <c r="AD70" s="52" t="str">
        <f t="shared" si="96"/>
        <v/>
      </c>
      <c r="AE70" s="52">
        <f t="shared" si="97"/>
        <v>0</v>
      </c>
      <c r="AF70" s="52">
        <f t="shared" si="75"/>
        <v>6</v>
      </c>
      <c r="AG70" s="61" t="str">
        <f t="shared" si="3"/>
        <v/>
      </c>
      <c r="AH70" s="52">
        <f t="shared" si="98"/>
        <v>0</v>
      </c>
      <c r="AI70" s="52">
        <f t="shared" si="43"/>
        <v>7</v>
      </c>
      <c r="AJ70" s="52" t="str">
        <f t="shared" si="44"/>
        <v/>
      </c>
      <c r="AK70" s="61" t="str">
        <f t="shared" si="5"/>
        <v/>
      </c>
      <c r="AL70" s="95" t="str">
        <f t="shared" si="99"/>
        <v/>
      </c>
      <c r="AM70" s="61" t="str">
        <f t="shared" si="7"/>
        <v>if () {$("#adv_").html("Requierd");$("#").css({"background":"yellow"});} else {$("#adv_").html("");$("#").css({"background":"white"});}</v>
      </c>
      <c r="AN70" s="61" t="str">
        <f t="shared" si="8"/>
        <v>if (=="") {$("#adv_").html("Requierd");} else {$("#adv_").html("");}</v>
      </c>
      <c r="AO70" s="50" t="str">
        <f t="shared" si="100"/>
        <v/>
      </c>
      <c r="AP70" s="61" t="str">
        <f t="shared" si="10"/>
        <v>=$("#").val();</v>
      </c>
      <c r="AQ70" s="61" t="str">
        <f t="shared" si="45"/>
        <v/>
      </c>
      <c r="AR70" s="61" t="str">
        <f t="shared" si="11"/>
        <v>=document.getElementById("").checked;</v>
      </c>
      <c r="AS70" s="102" t="str">
        <f t="shared" si="12"/>
        <v>if (isset($_GET[''])) {$=($_GET['']);}else $='';</v>
      </c>
      <c r="AT70" s="52" t="str">
        <f t="shared" si="101"/>
        <v>EPS</v>
      </c>
      <c r="AU70" s="52" t="str">
        <f t="shared" si="14"/>
        <v>else if (document.getElementById("</v>
      </c>
      <c r="AV70" s="61" t="str">
        <f t="shared" si="102"/>
        <v>else if (document.getElementById("").checked==true) {EPS="";}</v>
      </c>
      <c r="AW70" s="61" t="str">
        <f t="shared" si="118"/>
        <v/>
      </c>
      <c r="AX70" s="102" t="str">
        <f t="shared" si="103"/>
        <v/>
      </c>
      <c r="AY70" s="135" t="str">
        <f t="shared" si="46"/>
        <v/>
      </c>
      <c r="AZ70" s="50" t="str">
        <f t="shared" si="104"/>
        <v>&lt;input type="checkbox" id="" name="" value="1" /&gt;</v>
      </c>
      <c r="BA70" s="105" t="str">
        <f t="shared" si="105"/>
        <v>&lt;br/&gt;&lt;textarea rows="2" cols="80" id=""&gt;&lt;/textarea&gt;&lt;br/&gt;</v>
      </c>
      <c r="BB70" s="50" t="str">
        <f t="shared" si="106"/>
        <v>&lt;input type="radio" name="EPS" id="" value="" /&gt;</v>
      </c>
      <c r="BC70" s="107" t="str">
        <f t="shared" si="107"/>
        <v>&lt;input type="text"  size="7"  id="" class="datepicker"/&gt;</v>
      </c>
      <c r="BD70" s="109" t="str">
        <f t="shared" si="47"/>
        <v/>
      </c>
      <c r="BE70" s="61" t="str">
        <f t="shared" si="108"/>
        <v/>
      </c>
      <c r="BF70" s="52">
        <f t="shared" si="83"/>
        <v>12</v>
      </c>
      <c r="BG70" s="61" t="str">
        <f t="shared" si="119"/>
        <v/>
      </c>
      <c r="BH70" s="102" t="str">
        <f t="shared" si="109"/>
        <v/>
      </c>
      <c r="BI70" s="105" t="str">
        <f t="shared" si="85"/>
        <v/>
      </c>
      <c r="BJ70" s="52" t="str">
        <f t="shared" si="49"/>
        <v/>
      </c>
      <c r="BK70" s="52">
        <f t="shared" si="50"/>
        <v>0</v>
      </c>
      <c r="BL70" s="52">
        <f t="shared" si="51"/>
        <v>2</v>
      </c>
      <c r="BM70" s="52" t="str">
        <f t="shared" si="77"/>
        <v/>
      </c>
      <c r="BN70" s="52" t="str">
        <f t="shared" si="24"/>
        <v/>
      </c>
      <c r="BO70" s="52" t="str">
        <f t="shared" si="94"/>
        <v/>
      </c>
      <c r="BP70" s="113" t="str">
        <f t="shared" si="52"/>
        <v/>
      </c>
      <c r="BQ70" s="52" t="str">
        <f t="shared" si="79"/>
        <v/>
      </c>
      <c r="BR70" s="52" t="str">
        <f t="shared" si="53"/>
        <v/>
      </c>
      <c r="BS70" s="52" t="str">
        <f t="shared" si="54"/>
        <v/>
      </c>
      <c r="BT70" s="52" t="str">
        <f t="shared" si="55"/>
        <v/>
      </c>
      <c r="BU70" s="52" t="str">
        <f t="shared" si="56"/>
        <v/>
      </c>
      <c r="BV70" s="102" t="str">
        <f t="shared" si="110"/>
        <v/>
      </c>
      <c r="BW70" s="116" t="str">
        <f t="shared" si="111"/>
        <v/>
      </c>
      <c r="BX70" s="61" t="str">
        <f t="shared" si="112"/>
        <v/>
      </c>
      <c r="BY70" s="52" t="str">
        <f t="shared" si="28"/>
        <v/>
      </c>
      <c r="BZ70" s="52" t="str">
        <f t="shared" si="29"/>
        <v/>
      </c>
      <c r="CA70" s="52" t="str">
        <f t="shared" si="57"/>
        <v/>
      </c>
      <c r="CB70" s="52" t="str">
        <f t="shared" si="30"/>
        <v/>
      </c>
      <c r="CC70" s="52" t="str">
        <f t="shared" si="31"/>
        <v/>
      </c>
      <c r="CD70" s="102" t="str">
        <f t="shared" si="113"/>
        <v/>
      </c>
      <c r="CE70" s="116" t="str">
        <f t="shared" si="114"/>
        <v/>
      </c>
      <c r="CF70" s="116" t="str">
        <f t="shared" si="92"/>
        <v/>
      </c>
      <c r="CG70" s="61" t="str">
        <f t="shared" si="115"/>
        <v/>
      </c>
      <c r="CH70" s="52">
        <f t="shared" si="80"/>
        <v>2</v>
      </c>
      <c r="CI70" s="61" t="str">
        <f t="shared" si="58"/>
        <v/>
      </c>
      <c r="CJ70" s="61" t="str">
        <f t="shared" si="59"/>
        <v/>
      </c>
      <c r="CK70" s="61" t="str">
        <f t="shared" si="60"/>
        <v/>
      </c>
      <c r="CL70" s="61" t="str">
        <f t="shared" si="116"/>
        <v/>
      </c>
      <c r="CM70" s="61" t="str">
        <f t="shared" si="117"/>
        <v/>
      </c>
      <c r="CN70" s="134" t="str">
        <f t="shared" si="86"/>
        <v/>
      </c>
      <c r="CO70" s="131" t="str">
        <f t="shared" si="84"/>
        <v/>
      </c>
      <c r="CP70" s="131" t="str">
        <f t="shared" si="61"/>
        <v/>
      </c>
      <c r="CQ70" s="131" t="str">
        <f t="shared" si="62"/>
        <v/>
      </c>
      <c r="CR70" s="116" t="str">
        <f t="shared" si="63"/>
        <v/>
      </c>
      <c r="CS70" s="116" t="str">
        <f t="shared" si="64"/>
        <v/>
      </c>
      <c r="CT70" s="116" t="str">
        <f t="shared" si="65"/>
        <v/>
      </c>
      <c r="CU70" s="52">
        <f t="shared" si="66"/>
        <v>0</v>
      </c>
      <c r="CV70" s="116" t="str">
        <f t="shared" si="67"/>
        <v/>
      </c>
      <c r="CW70" s="116" t="str">
        <f t="shared" si="68"/>
        <v/>
      </c>
      <c r="CX70" s="61" t="str">
        <f t="shared" si="69"/>
        <v/>
      </c>
      <c r="CY70" s="61" t="str">
        <f t="shared" si="70"/>
        <v/>
      </c>
      <c r="CZ70" s="61" t="str">
        <f t="shared" si="71"/>
        <v/>
      </c>
      <c r="DA70" s="116" t="str">
        <f t="shared" si="95"/>
        <v/>
      </c>
      <c r="DB70" s="6" t="str">
        <f t="shared" si="82"/>
        <v/>
      </c>
      <c r="DC70" s="61" t="str">
        <f t="shared" si="72"/>
        <v/>
      </c>
      <c r="DD70" s="131" t="str">
        <f t="shared" si="87"/>
        <v/>
      </c>
      <c r="DE70" s="131" t="str">
        <f t="shared" si="88"/>
        <v/>
      </c>
      <c r="DF70" s="61" t="str">
        <f t="shared" si="89"/>
        <v/>
      </c>
      <c r="DG70" s="116" t="str">
        <f t="shared" si="73"/>
        <v/>
      </c>
      <c r="DH70" s="116" t="str">
        <f t="shared" si="74"/>
        <v/>
      </c>
    </row>
    <row r="71" spans="2:112" s="17" customFormat="1" hidden="1">
      <c r="B71" s="35"/>
      <c r="C71" s="35"/>
      <c r="D71" s="36"/>
      <c r="E71" s="35"/>
      <c r="F71" s="35"/>
      <c r="G71" s="35"/>
      <c r="H71" s="35"/>
      <c r="I71" s="35"/>
      <c r="J71" s="121"/>
      <c r="K71" s="59"/>
      <c r="AC71" s="47" t="s">
        <v>250</v>
      </c>
      <c r="AD71" s="52" t="str">
        <f t="shared" si="96"/>
        <v/>
      </c>
      <c r="AE71" s="52">
        <f t="shared" si="97"/>
        <v>0</v>
      </c>
      <c r="AF71" s="52">
        <f t="shared" si="75"/>
        <v>6</v>
      </c>
      <c r="AG71" s="61" t="str">
        <f t="shared" si="3"/>
        <v/>
      </c>
      <c r="AH71" s="52">
        <f t="shared" si="98"/>
        <v>0</v>
      </c>
      <c r="AI71" s="52">
        <f t="shared" si="43"/>
        <v>7</v>
      </c>
      <c r="AJ71" s="52" t="str">
        <f t="shared" si="44"/>
        <v/>
      </c>
      <c r="AK71" s="61" t="str">
        <f t="shared" si="5"/>
        <v/>
      </c>
      <c r="AL71" s="95" t="str">
        <f t="shared" si="99"/>
        <v/>
      </c>
      <c r="AM71" s="61" t="str">
        <f t="shared" si="7"/>
        <v>if () {$("#adv_").html("Requierd");$("#").css({"background":"yellow"});} else {$("#adv_").html("");$("#").css({"background":"white"});}</v>
      </c>
      <c r="AN71" s="61" t="str">
        <f t="shared" si="8"/>
        <v>if (=="") {$("#adv_").html("Requierd");} else {$("#adv_").html("");}</v>
      </c>
      <c r="AO71" s="50" t="str">
        <f t="shared" si="100"/>
        <v/>
      </c>
      <c r="AP71" s="61" t="str">
        <f t="shared" si="10"/>
        <v>=$("#").val();</v>
      </c>
      <c r="AQ71" s="61" t="str">
        <f t="shared" si="45"/>
        <v/>
      </c>
      <c r="AR71" s="61" t="str">
        <f t="shared" si="11"/>
        <v>=document.getElementById("").checked;</v>
      </c>
      <c r="AS71" s="102" t="str">
        <f t="shared" si="12"/>
        <v>if (isset($_GET[''])) {$=($_GET['']);}else $='';</v>
      </c>
      <c r="AT71" s="52" t="str">
        <f t="shared" si="101"/>
        <v>EPS</v>
      </c>
      <c r="AU71" s="52" t="str">
        <f t="shared" si="14"/>
        <v>else if (document.getElementById("</v>
      </c>
      <c r="AV71" s="61" t="str">
        <f t="shared" si="102"/>
        <v>else if (document.getElementById("").checked==true) {EPS="";}</v>
      </c>
      <c r="AW71" s="61" t="str">
        <f t="shared" si="118"/>
        <v/>
      </c>
      <c r="AX71" s="102" t="str">
        <f t="shared" si="103"/>
        <v/>
      </c>
      <c r="AY71" s="135" t="str">
        <f t="shared" si="46"/>
        <v/>
      </c>
      <c r="AZ71" s="50" t="str">
        <f t="shared" si="104"/>
        <v>&lt;input type="checkbox" id="" name="" value="1" /&gt;</v>
      </c>
      <c r="BA71" s="105" t="str">
        <f t="shared" si="105"/>
        <v>&lt;br/&gt;&lt;textarea rows="2" cols="80" id=""&gt;&lt;/textarea&gt;&lt;br/&gt;</v>
      </c>
      <c r="BB71" s="50" t="str">
        <f t="shared" si="106"/>
        <v>&lt;input type="radio" name="EPS" id="" value="" /&gt;</v>
      </c>
      <c r="BC71" s="107" t="str">
        <f t="shared" si="107"/>
        <v>&lt;input type="text"  size="7"  id="" class="datepicker"/&gt;</v>
      </c>
      <c r="BD71" s="109" t="str">
        <f t="shared" si="47"/>
        <v/>
      </c>
      <c r="BE71" s="61" t="str">
        <f t="shared" si="108"/>
        <v/>
      </c>
      <c r="BF71" s="52">
        <f t="shared" si="83"/>
        <v>12</v>
      </c>
      <c r="BG71" s="61" t="str">
        <f t="shared" si="119"/>
        <v/>
      </c>
      <c r="BH71" s="102" t="str">
        <f t="shared" si="109"/>
        <v/>
      </c>
      <c r="BI71" s="105" t="str">
        <f t="shared" si="85"/>
        <v/>
      </c>
      <c r="BJ71" s="52" t="str">
        <f t="shared" si="49"/>
        <v/>
      </c>
      <c r="BK71" s="52">
        <f t="shared" si="50"/>
        <v>0</v>
      </c>
      <c r="BL71" s="52">
        <f t="shared" si="51"/>
        <v>2</v>
      </c>
      <c r="BM71" s="52" t="str">
        <f t="shared" si="77"/>
        <v/>
      </c>
      <c r="BN71" s="52" t="str">
        <f t="shared" si="24"/>
        <v/>
      </c>
      <c r="BO71" s="52" t="str">
        <f t="shared" si="94"/>
        <v/>
      </c>
      <c r="BP71" s="113" t="str">
        <f t="shared" si="52"/>
        <v/>
      </c>
      <c r="BQ71" s="52" t="str">
        <f t="shared" si="79"/>
        <v/>
      </c>
      <c r="BR71" s="52" t="str">
        <f t="shared" si="53"/>
        <v/>
      </c>
      <c r="BS71" s="52" t="str">
        <f t="shared" si="54"/>
        <v/>
      </c>
      <c r="BT71" s="52" t="str">
        <f t="shared" si="55"/>
        <v/>
      </c>
      <c r="BU71" s="52" t="str">
        <f t="shared" si="56"/>
        <v/>
      </c>
      <c r="BV71" s="102" t="str">
        <f t="shared" si="110"/>
        <v/>
      </c>
      <c r="BW71" s="116" t="str">
        <f t="shared" si="111"/>
        <v/>
      </c>
      <c r="BX71" s="61" t="str">
        <f t="shared" si="112"/>
        <v/>
      </c>
      <c r="BY71" s="52" t="str">
        <f t="shared" si="28"/>
        <v/>
      </c>
      <c r="BZ71" s="52" t="str">
        <f t="shared" si="29"/>
        <v/>
      </c>
      <c r="CA71" s="52" t="str">
        <f t="shared" si="57"/>
        <v/>
      </c>
      <c r="CB71" s="52" t="str">
        <f t="shared" si="30"/>
        <v/>
      </c>
      <c r="CC71" s="52" t="str">
        <f t="shared" si="31"/>
        <v/>
      </c>
      <c r="CD71" s="102" t="str">
        <f t="shared" si="113"/>
        <v/>
      </c>
      <c r="CE71" s="116" t="str">
        <f t="shared" si="114"/>
        <v/>
      </c>
      <c r="CF71" s="116" t="str">
        <f t="shared" si="92"/>
        <v/>
      </c>
      <c r="CG71" s="61" t="str">
        <f t="shared" si="115"/>
        <v/>
      </c>
      <c r="CH71" s="52">
        <f t="shared" si="80"/>
        <v>2</v>
      </c>
      <c r="CI71" s="61" t="str">
        <f t="shared" si="58"/>
        <v/>
      </c>
      <c r="CJ71" s="61" t="str">
        <f t="shared" si="59"/>
        <v/>
      </c>
      <c r="CK71" s="61" t="str">
        <f t="shared" si="60"/>
        <v/>
      </c>
      <c r="CL71" s="61" t="str">
        <f t="shared" si="116"/>
        <v/>
      </c>
      <c r="CM71" s="61" t="str">
        <f t="shared" si="117"/>
        <v/>
      </c>
      <c r="CN71" s="134" t="str">
        <f t="shared" si="86"/>
        <v/>
      </c>
      <c r="CO71" s="131" t="str">
        <f t="shared" si="84"/>
        <v/>
      </c>
      <c r="CP71" s="131" t="str">
        <f t="shared" si="61"/>
        <v/>
      </c>
      <c r="CQ71" s="131" t="str">
        <f t="shared" si="62"/>
        <v/>
      </c>
      <c r="CR71" s="116" t="str">
        <f t="shared" si="63"/>
        <v/>
      </c>
      <c r="CS71" s="116" t="str">
        <f t="shared" si="64"/>
        <v/>
      </c>
      <c r="CT71" s="116" t="str">
        <f t="shared" si="65"/>
        <v/>
      </c>
      <c r="CU71" s="52">
        <f t="shared" si="66"/>
        <v>0</v>
      </c>
      <c r="CV71" s="116" t="str">
        <f t="shared" si="67"/>
        <v/>
      </c>
      <c r="CW71" s="116" t="str">
        <f t="shared" si="68"/>
        <v/>
      </c>
      <c r="CX71" s="61" t="str">
        <f t="shared" si="69"/>
        <v/>
      </c>
      <c r="CY71" s="61" t="str">
        <f t="shared" si="70"/>
        <v/>
      </c>
      <c r="CZ71" s="61" t="str">
        <f t="shared" si="71"/>
        <v/>
      </c>
      <c r="DA71" s="116" t="str">
        <f t="shared" si="95"/>
        <v/>
      </c>
      <c r="DB71" s="6" t="str">
        <f t="shared" si="82"/>
        <v/>
      </c>
      <c r="DC71" s="61" t="str">
        <f t="shared" si="72"/>
        <v/>
      </c>
      <c r="DD71" s="131" t="str">
        <f t="shared" si="87"/>
        <v/>
      </c>
      <c r="DE71" s="131" t="str">
        <f t="shared" si="88"/>
        <v/>
      </c>
      <c r="DF71" s="61" t="str">
        <f t="shared" si="89"/>
        <v/>
      </c>
      <c r="DG71" s="116" t="str">
        <f t="shared" si="73"/>
        <v/>
      </c>
      <c r="DH71" s="116" t="str">
        <f t="shared" si="74"/>
        <v/>
      </c>
    </row>
    <row r="72" spans="2:112" s="17" customFormat="1" hidden="1">
      <c r="B72" s="35"/>
      <c r="C72" s="35"/>
      <c r="D72" s="36"/>
      <c r="E72" s="35"/>
      <c r="F72" s="35"/>
      <c r="G72" s="35"/>
      <c r="H72" s="35"/>
      <c r="I72" s="35"/>
      <c r="J72" s="121"/>
      <c r="K72" s="59"/>
      <c r="AC72" s="47" t="s">
        <v>251</v>
      </c>
      <c r="AD72" s="52" t="str">
        <f t="shared" si="96"/>
        <v/>
      </c>
      <c r="AE72" s="52">
        <f t="shared" si="97"/>
        <v>0</v>
      </c>
      <c r="AF72" s="52">
        <f t="shared" si="75"/>
        <v>6</v>
      </c>
      <c r="AG72" s="61" t="str">
        <f t="shared" si="3"/>
        <v/>
      </c>
      <c r="AH72" s="52">
        <f t="shared" si="98"/>
        <v>0</v>
      </c>
      <c r="AI72" s="52">
        <f t="shared" si="43"/>
        <v>7</v>
      </c>
      <c r="AJ72" s="52" t="str">
        <f t="shared" si="44"/>
        <v/>
      </c>
      <c r="AK72" s="61" t="str">
        <f t="shared" si="5"/>
        <v/>
      </c>
      <c r="AL72" s="95" t="str">
        <f t="shared" si="99"/>
        <v/>
      </c>
      <c r="AM72" s="61" t="str">
        <f t="shared" si="7"/>
        <v>if () {$("#adv_").html("Requierd");$("#").css({"background":"yellow"});} else {$("#adv_").html("");$("#").css({"background":"white"});}</v>
      </c>
      <c r="AN72" s="61" t="str">
        <f t="shared" si="8"/>
        <v>if (=="") {$("#adv_").html("Requierd");} else {$("#adv_").html("");}</v>
      </c>
      <c r="AO72" s="50" t="str">
        <f t="shared" si="100"/>
        <v/>
      </c>
      <c r="AP72" s="61" t="str">
        <f t="shared" si="10"/>
        <v>=$("#").val();</v>
      </c>
      <c r="AQ72" s="61" t="str">
        <f t="shared" si="45"/>
        <v/>
      </c>
      <c r="AR72" s="61" t="str">
        <f t="shared" si="11"/>
        <v>=document.getElementById("").checked;</v>
      </c>
      <c r="AS72" s="102" t="str">
        <f t="shared" si="12"/>
        <v>if (isset($_GET[''])) {$=($_GET['']);}else $='';</v>
      </c>
      <c r="AT72" s="52" t="str">
        <f t="shared" si="101"/>
        <v>EPS</v>
      </c>
      <c r="AU72" s="52" t="str">
        <f t="shared" si="14"/>
        <v>else if (document.getElementById("</v>
      </c>
      <c r="AV72" s="61" t="str">
        <f t="shared" si="102"/>
        <v>else if (document.getElementById("").checked==true) {EPS="";}</v>
      </c>
      <c r="AW72" s="61" t="str">
        <f t="shared" si="118"/>
        <v/>
      </c>
      <c r="AX72" s="102" t="str">
        <f t="shared" si="103"/>
        <v/>
      </c>
      <c r="AY72" s="135" t="str">
        <f t="shared" si="46"/>
        <v/>
      </c>
      <c r="AZ72" s="50" t="str">
        <f t="shared" si="104"/>
        <v>&lt;input type="checkbox" id="" name="" value="1" /&gt;</v>
      </c>
      <c r="BA72" s="105" t="str">
        <f t="shared" si="105"/>
        <v>&lt;br/&gt;&lt;textarea rows="2" cols="80" id=""&gt;&lt;/textarea&gt;&lt;br/&gt;</v>
      </c>
      <c r="BB72" s="50" t="str">
        <f t="shared" si="106"/>
        <v>&lt;input type="radio" name="EPS" id="" value="" /&gt;</v>
      </c>
      <c r="BC72" s="107" t="str">
        <f t="shared" si="107"/>
        <v>&lt;input type="text"  size="7"  id="" class="datepicker"/&gt;</v>
      </c>
      <c r="BD72" s="109" t="str">
        <f t="shared" si="47"/>
        <v/>
      </c>
      <c r="BE72" s="61" t="str">
        <f t="shared" si="108"/>
        <v/>
      </c>
      <c r="BF72" s="52">
        <f t="shared" si="83"/>
        <v>12</v>
      </c>
      <c r="BG72" s="61" t="str">
        <f t="shared" si="119"/>
        <v/>
      </c>
      <c r="BH72" s="102" t="str">
        <f t="shared" si="109"/>
        <v/>
      </c>
      <c r="BI72" s="105" t="str">
        <f t="shared" si="85"/>
        <v/>
      </c>
      <c r="BJ72" s="52" t="str">
        <f t="shared" si="49"/>
        <v/>
      </c>
      <c r="BK72" s="52">
        <f t="shared" si="50"/>
        <v>0</v>
      </c>
      <c r="BL72" s="52">
        <f t="shared" si="51"/>
        <v>2</v>
      </c>
      <c r="BM72" s="52" t="str">
        <f t="shared" si="77"/>
        <v/>
      </c>
      <c r="BN72" s="52" t="str">
        <f t="shared" si="24"/>
        <v/>
      </c>
      <c r="BO72" s="52" t="str">
        <f t="shared" si="94"/>
        <v/>
      </c>
      <c r="BP72" s="113" t="str">
        <f t="shared" si="52"/>
        <v/>
      </c>
      <c r="BQ72" s="52" t="str">
        <f t="shared" si="79"/>
        <v/>
      </c>
      <c r="BR72" s="52" t="str">
        <f t="shared" si="53"/>
        <v/>
      </c>
      <c r="BS72" s="52" t="str">
        <f t="shared" si="54"/>
        <v/>
      </c>
      <c r="BT72" s="52" t="str">
        <f t="shared" si="55"/>
        <v/>
      </c>
      <c r="BU72" s="52" t="str">
        <f t="shared" si="56"/>
        <v/>
      </c>
      <c r="BV72" s="102" t="str">
        <f t="shared" si="110"/>
        <v/>
      </c>
      <c r="BW72" s="116" t="str">
        <f t="shared" si="111"/>
        <v/>
      </c>
      <c r="BX72" s="61" t="str">
        <f t="shared" si="112"/>
        <v/>
      </c>
      <c r="BY72" s="52" t="str">
        <f t="shared" si="28"/>
        <v/>
      </c>
      <c r="BZ72" s="52" t="str">
        <f t="shared" si="29"/>
        <v/>
      </c>
      <c r="CA72" s="52" t="str">
        <f t="shared" si="57"/>
        <v/>
      </c>
      <c r="CB72" s="52" t="str">
        <f t="shared" si="30"/>
        <v/>
      </c>
      <c r="CC72" s="52" t="str">
        <f t="shared" si="31"/>
        <v/>
      </c>
      <c r="CD72" s="102" t="str">
        <f t="shared" si="113"/>
        <v/>
      </c>
      <c r="CE72" s="116" t="str">
        <f t="shared" si="114"/>
        <v/>
      </c>
      <c r="CF72" s="116" t="str">
        <f t="shared" si="92"/>
        <v/>
      </c>
      <c r="CG72" s="61" t="str">
        <f t="shared" si="115"/>
        <v/>
      </c>
      <c r="CH72" s="52">
        <f t="shared" si="80"/>
        <v>2</v>
      </c>
      <c r="CI72" s="61" t="str">
        <f t="shared" si="58"/>
        <v/>
      </c>
      <c r="CJ72" s="61" t="str">
        <f t="shared" si="59"/>
        <v/>
      </c>
      <c r="CK72" s="61" t="str">
        <f t="shared" si="60"/>
        <v/>
      </c>
      <c r="CL72" s="61" t="str">
        <f t="shared" si="116"/>
        <v/>
      </c>
      <c r="CM72" s="61" t="str">
        <f t="shared" si="117"/>
        <v/>
      </c>
      <c r="CN72" s="134" t="str">
        <f t="shared" si="86"/>
        <v/>
      </c>
      <c r="CO72" s="131" t="str">
        <f t="shared" si="84"/>
        <v/>
      </c>
      <c r="CP72" s="131" t="str">
        <f t="shared" si="61"/>
        <v/>
      </c>
      <c r="CQ72" s="131" t="str">
        <f t="shared" si="62"/>
        <v/>
      </c>
      <c r="CR72" s="116" t="str">
        <f t="shared" si="63"/>
        <v/>
      </c>
      <c r="CS72" s="116" t="str">
        <f t="shared" si="64"/>
        <v/>
      </c>
      <c r="CT72" s="116" t="str">
        <f t="shared" si="65"/>
        <v/>
      </c>
      <c r="CU72" s="52">
        <f t="shared" si="66"/>
        <v>0</v>
      </c>
      <c r="CV72" s="116" t="str">
        <f t="shared" si="67"/>
        <v/>
      </c>
      <c r="CW72" s="116" t="str">
        <f t="shared" si="68"/>
        <v/>
      </c>
      <c r="CX72" s="61" t="str">
        <f t="shared" si="69"/>
        <v/>
      </c>
      <c r="CY72" s="61" t="str">
        <f t="shared" si="70"/>
        <v/>
      </c>
      <c r="CZ72" s="61" t="str">
        <f t="shared" si="71"/>
        <v/>
      </c>
      <c r="DA72" s="116" t="str">
        <f t="shared" si="95"/>
        <v/>
      </c>
      <c r="DB72" s="6" t="str">
        <f t="shared" si="82"/>
        <v/>
      </c>
      <c r="DC72" s="61" t="str">
        <f t="shared" si="72"/>
        <v/>
      </c>
      <c r="DD72" s="131" t="str">
        <f t="shared" si="87"/>
        <v/>
      </c>
      <c r="DE72" s="131" t="str">
        <f t="shared" si="88"/>
        <v/>
      </c>
      <c r="DF72" s="61" t="str">
        <f t="shared" si="89"/>
        <v/>
      </c>
      <c r="DG72" s="116" t="str">
        <f t="shared" si="73"/>
        <v/>
      </c>
      <c r="DH72" s="116" t="str">
        <f t="shared" si="74"/>
        <v/>
      </c>
    </row>
    <row r="73" spans="2:112" s="17" customFormat="1" hidden="1">
      <c r="B73" s="35"/>
      <c r="C73" s="35"/>
      <c r="D73" s="36"/>
      <c r="E73" s="35"/>
      <c r="F73" s="35"/>
      <c r="G73" s="35"/>
      <c r="H73" s="35"/>
      <c r="I73" s="35"/>
      <c r="J73" s="121"/>
      <c r="K73" s="59"/>
      <c r="AC73" s="47" t="s">
        <v>252</v>
      </c>
      <c r="AD73" s="52" t="str">
        <f t="shared" si="96"/>
        <v/>
      </c>
      <c r="AE73" s="52">
        <f t="shared" si="97"/>
        <v>0</v>
      </c>
      <c r="AF73" s="52">
        <f t="shared" si="75"/>
        <v>6</v>
      </c>
      <c r="AG73" s="61" t="str">
        <f t="shared" si="3"/>
        <v/>
      </c>
      <c r="AH73" s="52">
        <f t="shared" si="98"/>
        <v>0</v>
      </c>
      <c r="AI73" s="52">
        <f t="shared" si="43"/>
        <v>7</v>
      </c>
      <c r="AJ73" s="52" t="str">
        <f t="shared" si="44"/>
        <v/>
      </c>
      <c r="AK73" s="61" t="str">
        <f t="shared" si="5"/>
        <v/>
      </c>
      <c r="AL73" s="95" t="str">
        <f t="shared" si="99"/>
        <v/>
      </c>
      <c r="AM73" s="61" t="str">
        <f t="shared" si="7"/>
        <v>if () {$("#adv_").html("Requierd");$("#").css({"background":"yellow"});} else {$("#adv_").html("");$("#").css({"background":"white"});}</v>
      </c>
      <c r="AN73" s="61" t="str">
        <f t="shared" si="8"/>
        <v>if (=="") {$("#adv_").html("Requierd");} else {$("#adv_").html("");}</v>
      </c>
      <c r="AO73" s="50" t="str">
        <f t="shared" si="100"/>
        <v/>
      </c>
      <c r="AP73" s="61" t="str">
        <f t="shared" si="10"/>
        <v>=$("#").val();</v>
      </c>
      <c r="AQ73" s="61" t="str">
        <f t="shared" si="45"/>
        <v/>
      </c>
      <c r="AR73" s="61" t="str">
        <f t="shared" si="11"/>
        <v>=document.getElementById("").checked;</v>
      </c>
      <c r="AS73" s="102" t="str">
        <f t="shared" si="12"/>
        <v>if (isset($_GET[''])) {$=($_GET['']);}else $='';</v>
      </c>
      <c r="AT73" s="52" t="str">
        <f t="shared" si="101"/>
        <v>EPS</v>
      </c>
      <c r="AU73" s="52" t="str">
        <f t="shared" si="14"/>
        <v>else if (document.getElementById("</v>
      </c>
      <c r="AV73" s="61" t="str">
        <f t="shared" si="102"/>
        <v>else if (document.getElementById("").checked==true) {EPS="";}</v>
      </c>
      <c r="AW73" s="61" t="str">
        <f t="shared" si="118"/>
        <v/>
      </c>
      <c r="AX73" s="102" t="str">
        <f t="shared" si="103"/>
        <v/>
      </c>
      <c r="AY73" s="135" t="str">
        <f t="shared" si="46"/>
        <v/>
      </c>
      <c r="AZ73" s="50" t="str">
        <f t="shared" si="104"/>
        <v>&lt;input type="checkbox" id="" name="" value="1" /&gt;</v>
      </c>
      <c r="BA73" s="105" t="str">
        <f t="shared" si="105"/>
        <v>&lt;br/&gt;&lt;textarea rows="2" cols="80" id=""&gt;&lt;/textarea&gt;&lt;br/&gt;</v>
      </c>
      <c r="BB73" s="50" t="str">
        <f t="shared" si="106"/>
        <v>&lt;input type="radio" name="EPS" id="" value="" /&gt;</v>
      </c>
      <c r="BC73" s="107" t="str">
        <f t="shared" si="107"/>
        <v>&lt;input type="text"  size="7"  id="" class="datepicker"/&gt;</v>
      </c>
      <c r="BD73" s="109" t="str">
        <f t="shared" si="47"/>
        <v/>
      </c>
      <c r="BE73" s="61" t="str">
        <f t="shared" si="108"/>
        <v/>
      </c>
      <c r="BF73" s="52">
        <f t="shared" si="83"/>
        <v>12</v>
      </c>
      <c r="BG73" s="61" t="str">
        <f t="shared" si="119"/>
        <v/>
      </c>
      <c r="BH73" s="102" t="str">
        <f t="shared" si="109"/>
        <v/>
      </c>
      <c r="BI73" s="105" t="str">
        <f t="shared" si="85"/>
        <v/>
      </c>
      <c r="BJ73" s="52" t="str">
        <f t="shared" si="49"/>
        <v/>
      </c>
      <c r="BK73" s="52">
        <f t="shared" si="50"/>
        <v>0</v>
      </c>
      <c r="BL73" s="52">
        <f t="shared" si="51"/>
        <v>2</v>
      </c>
      <c r="BM73" s="52" t="str">
        <f t="shared" si="77"/>
        <v/>
      </c>
      <c r="BN73" s="52" t="str">
        <f t="shared" si="24"/>
        <v/>
      </c>
      <c r="BO73" s="52" t="str">
        <f t="shared" si="94"/>
        <v/>
      </c>
      <c r="BP73" s="113" t="str">
        <f t="shared" si="52"/>
        <v/>
      </c>
      <c r="BQ73" s="52" t="str">
        <f t="shared" si="79"/>
        <v/>
      </c>
      <c r="BR73" s="52" t="str">
        <f t="shared" si="53"/>
        <v/>
      </c>
      <c r="BS73" s="52" t="str">
        <f t="shared" si="54"/>
        <v/>
      </c>
      <c r="BT73" s="52" t="str">
        <f t="shared" si="55"/>
        <v/>
      </c>
      <c r="BU73" s="52" t="str">
        <f t="shared" si="56"/>
        <v/>
      </c>
      <c r="BV73" s="102" t="str">
        <f t="shared" si="110"/>
        <v/>
      </c>
      <c r="BW73" s="116" t="str">
        <f t="shared" si="111"/>
        <v/>
      </c>
      <c r="BX73" s="61" t="str">
        <f t="shared" si="112"/>
        <v/>
      </c>
      <c r="BY73" s="52" t="str">
        <f t="shared" si="28"/>
        <v/>
      </c>
      <c r="BZ73" s="52" t="str">
        <f t="shared" si="29"/>
        <v/>
      </c>
      <c r="CA73" s="52" t="str">
        <f t="shared" si="57"/>
        <v/>
      </c>
      <c r="CB73" s="52" t="str">
        <f t="shared" si="30"/>
        <v/>
      </c>
      <c r="CC73" s="52" t="str">
        <f t="shared" si="31"/>
        <v/>
      </c>
      <c r="CD73" s="102" t="str">
        <f t="shared" si="113"/>
        <v/>
      </c>
      <c r="CE73" s="116" t="str">
        <f t="shared" si="114"/>
        <v/>
      </c>
      <c r="CF73" s="116" t="str">
        <f t="shared" si="92"/>
        <v/>
      </c>
      <c r="CG73" s="61" t="str">
        <f t="shared" si="115"/>
        <v/>
      </c>
      <c r="CH73" s="52">
        <f t="shared" si="80"/>
        <v>2</v>
      </c>
      <c r="CI73" s="61" t="str">
        <f t="shared" si="58"/>
        <v/>
      </c>
      <c r="CJ73" s="61" t="str">
        <f t="shared" si="59"/>
        <v/>
      </c>
      <c r="CK73" s="61" t="str">
        <f t="shared" si="60"/>
        <v/>
      </c>
      <c r="CL73" s="61" t="str">
        <f t="shared" si="116"/>
        <v/>
      </c>
      <c r="CM73" s="61" t="str">
        <f t="shared" si="117"/>
        <v/>
      </c>
      <c r="CN73" s="134" t="str">
        <f t="shared" si="86"/>
        <v/>
      </c>
      <c r="CO73" s="131" t="str">
        <f t="shared" si="84"/>
        <v/>
      </c>
      <c r="CP73" s="131" t="str">
        <f t="shared" si="61"/>
        <v/>
      </c>
      <c r="CQ73" s="131" t="str">
        <f t="shared" si="62"/>
        <v/>
      </c>
      <c r="CR73" s="116" t="str">
        <f t="shared" si="63"/>
        <v/>
      </c>
      <c r="CS73" s="116" t="str">
        <f t="shared" si="64"/>
        <v/>
      </c>
      <c r="CT73" s="116" t="str">
        <f t="shared" si="65"/>
        <v/>
      </c>
      <c r="CU73" s="52">
        <f t="shared" si="66"/>
        <v>0</v>
      </c>
      <c r="CV73" s="116" t="str">
        <f t="shared" si="67"/>
        <v/>
      </c>
      <c r="CW73" s="116" t="str">
        <f t="shared" si="68"/>
        <v/>
      </c>
      <c r="CX73" s="61" t="str">
        <f t="shared" si="69"/>
        <v/>
      </c>
      <c r="CY73" s="61" t="str">
        <f t="shared" si="70"/>
        <v/>
      </c>
      <c r="CZ73" s="61" t="str">
        <f t="shared" si="71"/>
        <v/>
      </c>
      <c r="DA73" s="116" t="str">
        <f t="shared" si="95"/>
        <v/>
      </c>
      <c r="DB73" s="6" t="str">
        <f t="shared" si="82"/>
        <v/>
      </c>
      <c r="DC73" s="61" t="str">
        <f t="shared" si="72"/>
        <v/>
      </c>
      <c r="DD73" s="131" t="str">
        <f t="shared" si="87"/>
        <v/>
      </c>
      <c r="DE73" s="131" t="str">
        <f t="shared" si="88"/>
        <v/>
      </c>
      <c r="DF73" s="61" t="str">
        <f t="shared" si="89"/>
        <v/>
      </c>
      <c r="DG73" s="116" t="str">
        <f t="shared" si="73"/>
        <v/>
      </c>
      <c r="DH73" s="116" t="str">
        <f t="shared" si="74"/>
        <v/>
      </c>
    </row>
    <row r="74" spans="2:112" s="17" customFormat="1" hidden="1">
      <c r="B74" s="35"/>
      <c r="C74" s="35"/>
      <c r="D74" s="36"/>
      <c r="E74" s="35"/>
      <c r="F74" s="35"/>
      <c r="G74" s="35"/>
      <c r="H74" s="35"/>
      <c r="I74" s="35"/>
      <c r="J74" s="121"/>
      <c r="K74" s="59"/>
      <c r="AC74" s="47" t="s">
        <v>253</v>
      </c>
      <c r="AD74" s="52" t="str">
        <f t="shared" si="96"/>
        <v/>
      </c>
      <c r="AE74" s="52">
        <f t="shared" si="97"/>
        <v>0</v>
      </c>
      <c r="AF74" s="52">
        <f t="shared" si="75"/>
        <v>6</v>
      </c>
      <c r="AG74" s="61" t="str">
        <f t="shared" si="3"/>
        <v/>
      </c>
      <c r="AH74" s="52">
        <f t="shared" si="98"/>
        <v>0</v>
      </c>
      <c r="AI74" s="52">
        <f t="shared" si="43"/>
        <v>7</v>
      </c>
      <c r="AJ74" s="52" t="str">
        <f t="shared" si="44"/>
        <v/>
      </c>
      <c r="AK74" s="61" t="str">
        <f t="shared" si="5"/>
        <v/>
      </c>
      <c r="AL74" s="95" t="str">
        <f t="shared" si="99"/>
        <v/>
      </c>
      <c r="AM74" s="61" t="str">
        <f t="shared" si="7"/>
        <v>if () {$("#adv_").html("Requierd");$("#").css({"background":"yellow"});} else {$("#adv_").html("");$("#").css({"background":"white"});}</v>
      </c>
      <c r="AN74" s="61" t="str">
        <f t="shared" si="8"/>
        <v>if (=="") {$("#adv_").html("Requierd");} else {$("#adv_").html("");}</v>
      </c>
      <c r="AO74" s="50" t="str">
        <f t="shared" si="100"/>
        <v/>
      </c>
      <c r="AP74" s="61" t="str">
        <f t="shared" si="10"/>
        <v>=$("#").val();</v>
      </c>
      <c r="AQ74" s="61" t="str">
        <f t="shared" si="45"/>
        <v/>
      </c>
      <c r="AR74" s="61" t="str">
        <f t="shared" si="11"/>
        <v>=document.getElementById("").checked;</v>
      </c>
      <c r="AS74" s="102" t="str">
        <f t="shared" si="12"/>
        <v>if (isset($_GET[''])) {$=($_GET['']);}else $='';</v>
      </c>
      <c r="AT74" s="52" t="str">
        <f t="shared" si="101"/>
        <v>EPS</v>
      </c>
      <c r="AU74" s="52" t="str">
        <f t="shared" si="14"/>
        <v>else if (document.getElementById("</v>
      </c>
      <c r="AV74" s="61" t="str">
        <f t="shared" si="102"/>
        <v>else if (document.getElementById("").checked==true) {EPS="";}</v>
      </c>
      <c r="AW74" s="61" t="str">
        <f t="shared" si="118"/>
        <v/>
      </c>
      <c r="AX74" s="102" t="str">
        <f t="shared" si="103"/>
        <v/>
      </c>
      <c r="AY74" s="135" t="str">
        <f t="shared" si="46"/>
        <v/>
      </c>
      <c r="AZ74" s="50" t="str">
        <f t="shared" si="104"/>
        <v>&lt;input type="checkbox" id="" name="" value="1" /&gt;</v>
      </c>
      <c r="BA74" s="105" t="str">
        <f t="shared" si="105"/>
        <v>&lt;br/&gt;&lt;textarea rows="2" cols="80" id=""&gt;&lt;/textarea&gt;&lt;br/&gt;</v>
      </c>
      <c r="BB74" s="50" t="str">
        <f t="shared" si="106"/>
        <v>&lt;input type="radio" name="EPS" id="" value="" /&gt;</v>
      </c>
      <c r="BC74" s="107" t="str">
        <f t="shared" si="107"/>
        <v>&lt;input type="text"  size="7"  id="" class="datepicker"/&gt;</v>
      </c>
      <c r="BD74" s="109" t="str">
        <f t="shared" si="47"/>
        <v/>
      </c>
      <c r="BE74" s="61" t="str">
        <f t="shared" si="108"/>
        <v/>
      </c>
      <c r="BF74" s="52">
        <f t="shared" si="83"/>
        <v>12</v>
      </c>
      <c r="BG74" s="61" t="str">
        <f t="shared" si="119"/>
        <v/>
      </c>
      <c r="BH74" s="102" t="str">
        <f t="shared" si="109"/>
        <v/>
      </c>
      <c r="BI74" s="105" t="str">
        <f t="shared" si="85"/>
        <v/>
      </c>
      <c r="BJ74" s="52" t="str">
        <f t="shared" si="49"/>
        <v/>
      </c>
      <c r="BK74" s="52">
        <f t="shared" si="50"/>
        <v>0</v>
      </c>
      <c r="BL74" s="52">
        <f t="shared" si="51"/>
        <v>2</v>
      </c>
      <c r="BM74" s="52" t="str">
        <f t="shared" si="77"/>
        <v/>
      </c>
      <c r="BN74" s="52" t="str">
        <f t="shared" si="24"/>
        <v/>
      </c>
      <c r="BO74" s="52" t="str">
        <f t="shared" si="94"/>
        <v/>
      </c>
      <c r="BP74" s="113" t="str">
        <f t="shared" si="52"/>
        <v/>
      </c>
      <c r="BQ74" s="52" t="str">
        <f t="shared" si="79"/>
        <v/>
      </c>
      <c r="BR74" s="52" t="str">
        <f t="shared" si="53"/>
        <v/>
      </c>
      <c r="BS74" s="52" t="str">
        <f t="shared" si="54"/>
        <v/>
      </c>
      <c r="BT74" s="52" t="str">
        <f t="shared" si="55"/>
        <v/>
      </c>
      <c r="BU74" s="52" t="str">
        <f t="shared" si="56"/>
        <v/>
      </c>
      <c r="BV74" s="102" t="str">
        <f t="shared" si="110"/>
        <v/>
      </c>
      <c r="BW74" s="116" t="str">
        <f t="shared" si="111"/>
        <v/>
      </c>
      <c r="BX74" s="61" t="str">
        <f t="shared" si="112"/>
        <v/>
      </c>
      <c r="BY74" s="52" t="str">
        <f t="shared" si="28"/>
        <v/>
      </c>
      <c r="BZ74" s="52" t="str">
        <f t="shared" si="29"/>
        <v/>
      </c>
      <c r="CA74" s="52" t="str">
        <f t="shared" si="57"/>
        <v/>
      </c>
      <c r="CB74" s="52" t="str">
        <f t="shared" si="30"/>
        <v/>
      </c>
      <c r="CC74" s="52" t="str">
        <f t="shared" si="31"/>
        <v/>
      </c>
      <c r="CD74" s="102" t="str">
        <f t="shared" si="113"/>
        <v/>
      </c>
      <c r="CE74" s="116" t="str">
        <f t="shared" si="114"/>
        <v/>
      </c>
      <c r="CF74" s="116" t="str">
        <f t="shared" si="92"/>
        <v/>
      </c>
      <c r="CG74" s="61" t="str">
        <f t="shared" si="115"/>
        <v/>
      </c>
      <c r="CH74" s="52">
        <f t="shared" si="80"/>
        <v>2</v>
      </c>
      <c r="CI74" s="61" t="str">
        <f t="shared" si="58"/>
        <v/>
      </c>
      <c r="CJ74" s="61" t="str">
        <f t="shared" si="59"/>
        <v/>
      </c>
      <c r="CK74" s="61" t="str">
        <f t="shared" si="60"/>
        <v/>
      </c>
      <c r="CL74" s="61" t="str">
        <f t="shared" si="116"/>
        <v/>
      </c>
      <c r="CM74" s="61" t="str">
        <f t="shared" si="117"/>
        <v/>
      </c>
      <c r="CN74" s="134" t="str">
        <f t="shared" si="86"/>
        <v/>
      </c>
      <c r="CO74" s="131" t="str">
        <f t="shared" si="84"/>
        <v/>
      </c>
      <c r="CP74" s="131" t="str">
        <f t="shared" si="61"/>
        <v/>
      </c>
      <c r="CQ74" s="131" t="str">
        <f t="shared" si="62"/>
        <v/>
      </c>
      <c r="CR74" s="116" t="str">
        <f t="shared" si="63"/>
        <v/>
      </c>
      <c r="CS74" s="116" t="str">
        <f t="shared" si="64"/>
        <v/>
      </c>
      <c r="CT74" s="116" t="str">
        <f t="shared" si="65"/>
        <v/>
      </c>
      <c r="CU74" s="52">
        <f t="shared" si="66"/>
        <v>0</v>
      </c>
      <c r="CV74" s="116" t="str">
        <f t="shared" si="67"/>
        <v/>
      </c>
      <c r="CW74" s="116" t="str">
        <f t="shared" si="68"/>
        <v/>
      </c>
      <c r="CX74" s="61" t="str">
        <f t="shared" si="69"/>
        <v/>
      </c>
      <c r="CY74" s="61" t="str">
        <f t="shared" si="70"/>
        <v/>
      </c>
      <c r="CZ74" s="61" t="str">
        <f t="shared" si="71"/>
        <v/>
      </c>
      <c r="DA74" s="116" t="str">
        <f t="shared" si="95"/>
        <v/>
      </c>
      <c r="DB74" s="6" t="str">
        <f t="shared" si="82"/>
        <v/>
      </c>
      <c r="DC74" s="61" t="str">
        <f t="shared" si="72"/>
        <v/>
      </c>
      <c r="DD74" s="131" t="str">
        <f t="shared" si="87"/>
        <v/>
      </c>
      <c r="DE74" s="131" t="str">
        <f t="shared" si="88"/>
        <v/>
      </c>
      <c r="DF74" s="61" t="str">
        <f t="shared" si="89"/>
        <v/>
      </c>
      <c r="DG74" s="116" t="str">
        <f t="shared" si="73"/>
        <v/>
      </c>
      <c r="DH74" s="116" t="str">
        <f t="shared" si="74"/>
        <v/>
      </c>
    </row>
    <row r="75" spans="2:112" s="17" customFormat="1" hidden="1">
      <c r="B75" s="35"/>
      <c r="C75" s="35"/>
      <c r="D75" s="36"/>
      <c r="E75" s="35"/>
      <c r="F75" s="35"/>
      <c r="G75" s="35"/>
      <c r="H75" s="35"/>
      <c r="I75" s="35"/>
      <c r="J75" s="121"/>
      <c r="K75" s="59"/>
      <c r="AC75" s="47" t="s">
        <v>254</v>
      </c>
      <c r="AD75" s="52" t="str">
        <f t="shared" si="96"/>
        <v/>
      </c>
      <c r="AE75" s="52">
        <f t="shared" si="97"/>
        <v>0</v>
      </c>
      <c r="AF75" s="52">
        <f t="shared" si="75"/>
        <v>6</v>
      </c>
      <c r="AG75" s="61" t="str">
        <f t="shared" si="3"/>
        <v/>
      </c>
      <c r="AH75" s="52">
        <f t="shared" si="98"/>
        <v>0</v>
      </c>
      <c r="AI75" s="52">
        <f t="shared" si="43"/>
        <v>7</v>
      </c>
      <c r="AJ75" s="52" t="str">
        <f t="shared" si="44"/>
        <v/>
      </c>
      <c r="AK75" s="61" t="str">
        <f t="shared" si="5"/>
        <v/>
      </c>
      <c r="AL75" s="95" t="str">
        <f t="shared" si="99"/>
        <v/>
      </c>
      <c r="AM75" s="61" t="str">
        <f t="shared" si="7"/>
        <v>if () {$("#adv_").html("Requierd");$("#").css({"background":"yellow"});} else {$("#adv_").html("");$("#").css({"background":"white"});}</v>
      </c>
      <c r="AN75" s="61" t="str">
        <f t="shared" si="8"/>
        <v>if (=="") {$("#adv_").html("Requierd");} else {$("#adv_").html("");}</v>
      </c>
      <c r="AO75" s="50" t="str">
        <f t="shared" si="100"/>
        <v/>
      </c>
      <c r="AP75" s="61" t="str">
        <f t="shared" si="10"/>
        <v>=$("#").val();</v>
      </c>
      <c r="AQ75" s="61" t="str">
        <f t="shared" si="45"/>
        <v/>
      </c>
      <c r="AR75" s="61" t="str">
        <f t="shared" si="11"/>
        <v>=document.getElementById("").checked;</v>
      </c>
      <c r="AS75" s="102" t="str">
        <f t="shared" si="12"/>
        <v>if (isset($_GET[''])) {$=($_GET['']);}else $='';</v>
      </c>
      <c r="AT75" s="52" t="str">
        <f t="shared" si="101"/>
        <v>EPS</v>
      </c>
      <c r="AU75" s="52" t="str">
        <f t="shared" si="14"/>
        <v>else if (document.getElementById("</v>
      </c>
      <c r="AV75" s="61" t="str">
        <f t="shared" si="102"/>
        <v>else if (document.getElementById("").checked==true) {EPS="";}</v>
      </c>
      <c r="AW75" s="61" t="str">
        <f t="shared" si="118"/>
        <v/>
      </c>
      <c r="AX75" s="102" t="str">
        <f t="shared" si="103"/>
        <v/>
      </c>
      <c r="AY75" s="135" t="str">
        <f t="shared" si="46"/>
        <v/>
      </c>
      <c r="AZ75" s="50" t="str">
        <f t="shared" si="104"/>
        <v>&lt;input type="checkbox" id="" name="" value="1" /&gt;</v>
      </c>
      <c r="BA75" s="105" t="str">
        <f t="shared" si="105"/>
        <v>&lt;br/&gt;&lt;textarea rows="2" cols="80" id=""&gt;&lt;/textarea&gt;&lt;br/&gt;</v>
      </c>
      <c r="BB75" s="50" t="str">
        <f t="shared" si="106"/>
        <v>&lt;input type="radio" name="EPS" id="" value="" /&gt;</v>
      </c>
      <c r="BC75" s="107" t="str">
        <f t="shared" si="107"/>
        <v>&lt;input type="text"  size="7"  id="" class="datepicker"/&gt;</v>
      </c>
      <c r="BD75" s="109" t="str">
        <f t="shared" si="47"/>
        <v/>
      </c>
      <c r="BE75" s="61" t="str">
        <f t="shared" si="108"/>
        <v/>
      </c>
      <c r="BF75" s="52">
        <f t="shared" si="83"/>
        <v>12</v>
      </c>
      <c r="BG75" s="61" t="str">
        <f t="shared" si="119"/>
        <v/>
      </c>
      <c r="BH75" s="102" t="str">
        <f t="shared" si="109"/>
        <v/>
      </c>
      <c r="BI75" s="105" t="str">
        <f t="shared" si="85"/>
        <v/>
      </c>
      <c r="BJ75" s="52" t="str">
        <f t="shared" si="49"/>
        <v/>
      </c>
      <c r="BK75" s="52">
        <f t="shared" si="50"/>
        <v>0</v>
      </c>
      <c r="BL75" s="52">
        <f t="shared" si="51"/>
        <v>2</v>
      </c>
      <c r="BM75" s="52" t="str">
        <f t="shared" si="77"/>
        <v/>
      </c>
      <c r="BN75" s="52" t="str">
        <f t="shared" si="24"/>
        <v/>
      </c>
      <c r="BO75" s="52" t="str">
        <f t="shared" si="94"/>
        <v/>
      </c>
      <c r="BP75" s="113" t="str">
        <f t="shared" si="52"/>
        <v/>
      </c>
      <c r="BQ75" s="52" t="str">
        <f t="shared" si="79"/>
        <v/>
      </c>
      <c r="BR75" s="52" t="str">
        <f t="shared" si="53"/>
        <v/>
      </c>
      <c r="BS75" s="52" t="str">
        <f t="shared" si="54"/>
        <v/>
      </c>
      <c r="BT75" s="52" t="str">
        <f t="shared" si="55"/>
        <v/>
      </c>
      <c r="BU75" s="52" t="str">
        <f t="shared" si="56"/>
        <v/>
      </c>
      <c r="BV75" s="102" t="str">
        <f t="shared" si="110"/>
        <v/>
      </c>
      <c r="BW75" s="116" t="str">
        <f t="shared" si="111"/>
        <v/>
      </c>
      <c r="BX75" s="61" t="str">
        <f t="shared" si="112"/>
        <v/>
      </c>
      <c r="BY75" s="52" t="str">
        <f t="shared" si="28"/>
        <v/>
      </c>
      <c r="BZ75" s="52" t="str">
        <f t="shared" si="29"/>
        <v/>
      </c>
      <c r="CA75" s="52" t="str">
        <f t="shared" si="57"/>
        <v/>
      </c>
      <c r="CB75" s="52" t="str">
        <f t="shared" si="30"/>
        <v/>
      </c>
      <c r="CC75" s="52" t="str">
        <f t="shared" si="31"/>
        <v/>
      </c>
      <c r="CD75" s="102" t="str">
        <f t="shared" si="113"/>
        <v/>
      </c>
      <c r="CE75" s="116" t="str">
        <f t="shared" si="114"/>
        <v/>
      </c>
      <c r="CF75" s="116" t="str">
        <f t="shared" si="92"/>
        <v/>
      </c>
      <c r="CG75" s="61" t="str">
        <f t="shared" si="115"/>
        <v/>
      </c>
      <c r="CH75" s="52">
        <f t="shared" si="80"/>
        <v>2</v>
      </c>
      <c r="CI75" s="61" t="str">
        <f t="shared" si="58"/>
        <v/>
      </c>
      <c r="CJ75" s="61" t="str">
        <f t="shared" si="59"/>
        <v/>
      </c>
      <c r="CK75" s="61" t="str">
        <f t="shared" si="60"/>
        <v/>
      </c>
      <c r="CL75" s="61" t="str">
        <f t="shared" si="116"/>
        <v/>
      </c>
      <c r="CM75" s="61" t="str">
        <f t="shared" si="117"/>
        <v/>
      </c>
      <c r="CN75" s="134" t="str">
        <f t="shared" si="86"/>
        <v/>
      </c>
      <c r="CO75" s="131" t="str">
        <f t="shared" si="84"/>
        <v/>
      </c>
      <c r="CP75" s="131" t="str">
        <f t="shared" si="61"/>
        <v/>
      </c>
      <c r="CQ75" s="131" t="str">
        <f t="shared" si="62"/>
        <v/>
      </c>
      <c r="CR75" s="116" t="str">
        <f t="shared" si="63"/>
        <v/>
      </c>
      <c r="CS75" s="116" t="str">
        <f t="shared" si="64"/>
        <v/>
      </c>
      <c r="CT75" s="116" t="str">
        <f t="shared" si="65"/>
        <v/>
      </c>
      <c r="CU75" s="52">
        <f t="shared" si="66"/>
        <v>0</v>
      </c>
      <c r="CV75" s="116" t="str">
        <f t="shared" si="67"/>
        <v/>
      </c>
      <c r="CW75" s="116" t="str">
        <f t="shared" si="68"/>
        <v/>
      </c>
      <c r="CX75" s="61" t="str">
        <f t="shared" si="69"/>
        <v/>
      </c>
      <c r="CY75" s="61" t="str">
        <f t="shared" si="70"/>
        <v/>
      </c>
      <c r="CZ75" s="61" t="str">
        <f t="shared" si="71"/>
        <v/>
      </c>
      <c r="DA75" s="116" t="str">
        <f t="shared" si="95"/>
        <v/>
      </c>
      <c r="DB75" s="6" t="str">
        <f t="shared" si="82"/>
        <v/>
      </c>
      <c r="DC75" s="61" t="str">
        <f t="shared" si="72"/>
        <v/>
      </c>
      <c r="DD75" s="131" t="str">
        <f t="shared" si="87"/>
        <v/>
      </c>
      <c r="DE75" s="131" t="str">
        <f t="shared" si="88"/>
        <v/>
      </c>
      <c r="DF75" s="61" t="str">
        <f t="shared" si="89"/>
        <v/>
      </c>
      <c r="DG75" s="116" t="str">
        <f t="shared" si="73"/>
        <v/>
      </c>
      <c r="DH75" s="116" t="str">
        <f t="shared" si="74"/>
        <v/>
      </c>
    </row>
    <row r="76" spans="2:112" s="17" customFormat="1" hidden="1">
      <c r="B76" s="35"/>
      <c r="C76" s="35"/>
      <c r="D76" s="36"/>
      <c r="E76" s="35"/>
      <c r="F76" s="35"/>
      <c r="G76" s="35"/>
      <c r="H76" s="35"/>
      <c r="I76" s="35"/>
      <c r="J76" s="121"/>
      <c r="K76" s="59"/>
      <c r="AC76" s="47" t="s">
        <v>255</v>
      </c>
      <c r="AD76" s="52" t="str">
        <f t="shared" si="96"/>
        <v/>
      </c>
      <c r="AE76" s="52">
        <f t="shared" si="97"/>
        <v>0</v>
      </c>
      <c r="AF76" s="52">
        <f t="shared" si="75"/>
        <v>6</v>
      </c>
      <c r="AG76" s="61" t="str">
        <f t="shared" si="3"/>
        <v/>
      </c>
      <c r="AH76" s="52">
        <f t="shared" si="98"/>
        <v>0</v>
      </c>
      <c r="AI76" s="52">
        <f t="shared" si="43"/>
        <v>7</v>
      </c>
      <c r="AJ76" s="52" t="str">
        <f t="shared" si="44"/>
        <v/>
      </c>
      <c r="AK76" s="61" t="str">
        <f t="shared" si="5"/>
        <v/>
      </c>
      <c r="AL76" s="95" t="str">
        <f t="shared" si="99"/>
        <v/>
      </c>
      <c r="AM76" s="61" t="str">
        <f t="shared" si="7"/>
        <v>if () {$("#adv_").html("Requierd");$("#").css({"background":"yellow"});} else {$("#adv_").html("");$("#").css({"background":"white"});}</v>
      </c>
      <c r="AN76" s="61" t="str">
        <f t="shared" si="8"/>
        <v>if (=="") {$("#adv_").html("Requierd");} else {$("#adv_").html("");}</v>
      </c>
      <c r="AO76" s="50" t="str">
        <f t="shared" si="100"/>
        <v/>
      </c>
      <c r="AP76" s="61" t="str">
        <f t="shared" si="10"/>
        <v>=$("#").val();</v>
      </c>
      <c r="AQ76" s="61" t="str">
        <f t="shared" si="45"/>
        <v/>
      </c>
      <c r="AR76" s="61" t="str">
        <f t="shared" si="11"/>
        <v>=document.getElementById("").checked;</v>
      </c>
      <c r="AS76" s="102" t="str">
        <f t="shared" si="12"/>
        <v>if (isset($_GET[''])) {$=($_GET['']);}else $='';</v>
      </c>
      <c r="AT76" s="52" t="str">
        <f t="shared" si="101"/>
        <v>EPS</v>
      </c>
      <c r="AU76" s="52" t="str">
        <f t="shared" si="14"/>
        <v>else if (document.getElementById("</v>
      </c>
      <c r="AV76" s="61" t="str">
        <f t="shared" si="102"/>
        <v>else if (document.getElementById("").checked==true) {EPS="";}</v>
      </c>
      <c r="AW76" s="61" t="str">
        <f t="shared" si="118"/>
        <v/>
      </c>
      <c r="AX76" s="102" t="str">
        <f t="shared" si="103"/>
        <v/>
      </c>
      <c r="AY76" s="135" t="str">
        <f t="shared" si="46"/>
        <v/>
      </c>
      <c r="AZ76" s="50" t="str">
        <f t="shared" si="104"/>
        <v>&lt;input type="checkbox" id="" name="" value="1" /&gt;</v>
      </c>
      <c r="BA76" s="105" t="str">
        <f t="shared" si="105"/>
        <v>&lt;br/&gt;&lt;textarea rows="2" cols="80" id=""&gt;&lt;/textarea&gt;&lt;br/&gt;</v>
      </c>
      <c r="BB76" s="50" t="str">
        <f t="shared" si="106"/>
        <v>&lt;input type="radio" name="EPS" id="" value="" /&gt;</v>
      </c>
      <c r="BC76" s="107" t="str">
        <f t="shared" si="107"/>
        <v>&lt;input type="text"  size="7"  id="" class="datepicker"/&gt;</v>
      </c>
      <c r="BD76" s="109" t="str">
        <f t="shared" si="47"/>
        <v/>
      </c>
      <c r="BE76" s="61" t="str">
        <f t="shared" si="108"/>
        <v/>
      </c>
      <c r="BF76" s="52">
        <f t="shared" si="83"/>
        <v>12</v>
      </c>
      <c r="BG76" s="61" t="str">
        <f t="shared" si="119"/>
        <v/>
      </c>
      <c r="BH76" s="102" t="str">
        <f t="shared" si="109"/>
        <v/>
      </c>
      <c r="BI76" s="105" t="str">
        <f t="shared" si="85"/>
        <v/>
      </c>
      <c r="BJ76" s="52" t="str">
        <f t="shared" si="49"/>
        <v/>
      </c>
      <c r="BK76" s="52">
        <f t="shared" si="50"/>
        <v>0</v>
      </c>
      <c r="BL76" s="52">
        <f t="shared" si="51"/>
        <v>2</v>
      </c>
      <c r="BM76" s="52" t="str">
        <f t="shared" si="77"/>
        <v/>
      </c>
      <c r="BN76" s="52" t="str">
        <f t="shared" si="24"/>
        <v/>
      </c>
      <c r="BO76" s="52" t="str">
        <f t="shared" si="94"/>
        <v/>
      </c>
      <c r="BP76" s="113" t="str">
        <f t="shared" si="52"/>
        <v/>
      </c>
      <c r="BQ76" s="52" t="str">
        <f t="shared" si="79"/>
        <v/>
      </c>
      <c r="BR76" s="52" t="str">
        <f t="shared" si="53"/>
        <v/>
      </c>
      <c r="BS76" s="52" t="str">
        <f t="shared" si="54"/>
        <v/>
      </c>
      <c r="BT76" s="52" t="str">
        <f t="shared" si="55"/>
        <v/>
      </c>
      <c r="BU76" s="52" t="str">
        <f t="shared" si="56"/>
        <v/>
      </c>
      <c r="BV76" s="102" t="str">
        <f t="shared" si="110"/>
        <v/>
      </c>
      <c r="BW76" s="116" t="str">
        <f t="shared" si="111"/>
        <v/>
      </c>
      <c r="BX76" s="61" t="str">
        <f t="shared" si="112"/>
        <v/>
      </c>
      <c r="BY76" s="52" t="str">
        <f t="shared" si="28"/>
        <v/>
      </c>
      <c r="BZ76" s="52" t="str">
        <f t="shared" si="29"/>
        <v/>
      </c>
      <c r="CA76" s="52" t="str">
        <f t="shared" si="57"/>
        <v/>
      </c>
      <c r="CB76" s="52" t="str">
        <f t="shared" si="30"/>
        <v/>
      </c>
      <c r="CC76" s="52" t="str">
        <f t="shared" si="31"/>
        <v/>
      </c>
      <c r="CD76" s="102" t="str">
        <f t="shared" si="113"/>
        <v/>
      </c>
      <c r="CE76" s="116" t="str">
        <f t="shared" si="114"/>
        <v/>
      </c>
      <c r="CF76" s="116" t="str">
        <f t="shared" si="92"/>
        <v/>
      </c>
      <c r="CG76" s="61" t="str">
        <f t="shared" si="115"/>
        <v/>
      </c>
      <c r="CH76" s="52">
        <f t="shared" si="80"/>
        <v>2</v>
      </c>
      <c r="CI76" s="61" t="str">
        <f t="shared" si="58"/>
        <v/>
      </c>
      <c r="CJ76" s="61" t="str">
        <f t="shared" si="59"/>
        <v/>
      </c>
      <c r="CK76" s="61" t="str">
        <f t="shared" si="60"/>
        <v/>
      </c>
      <c r="CL76" s="61" t="str">
        <f t="shared" si="116"/>
        <v/>
      </c>
      <c r="CM76" s="61" t="str">
        <f t="shared" si="117"/>
        <v/>
      </c>
      <c r="CN76" s="134" t="str">
        <f t="shared" si="86"/>
        <v/>
      </c>
      <c r="CO76" s="131" t="str">
        <f t="shared" si="84"/>
        <v/>
      </c>
      <c r="CP76" s="131" t="str">
        <f t="shared" si="61"/>
        <v/>
      </c>
      <c r="CQ76" s="131" t="str">
        <f t="shared" si="62"/>
        <v/>
      </c>
      <c r="CR76" s="116" t="str">
        <f t="shared" si="63"/>
        <v/>
      </c>
      <c r="CS76" s="116" t="str">
        <f t="shared" si="64"/>
        <v/>
      </c>
      <c r="CT76" s="116" t="str">
        <f t="shared" si="65"/>
        <v/>
      </c>
      <c r="CU76" s="52">
        <f t="shared" si="66"/>
        <v>0</v>
      </c>
      <c r="CV76" s="116" t="str">
        <f t="shared" si="67"/>
        <v/>
      </c>
      <c r="CW76" s="116" t="str">
        <f t="shared" si="68"/>
        <v/>
      </c>
      <c r="CX76" s="61" t="str">
        <f t="shared" si="69"/>
        <v/>
      </c>
      <c r="CY76" s="61" t="str">
        <f t="shared" si="70"/>
        <v/>
      </c>
      <c r="CZ76" s="61" t="str">
        <f t="shared" si="71"/>
        <v/>
      </c>
      <c r="DA76" s="116" t="str">
        <f t="shared" si="95"/>
        <v/>
      </c>
      <c r="DB76" s="6" t="str">
        <f t="shared" si="82"/>
        <v/>
      </c>
      <c r="DC76" s="61" t="str">
        <f t="shared" si="72"/>
        <v/>
      </c>
      <c r="DD76" s="131" t="str">
        <f t="shared" si="87"/>
        <v/>
      </c>
      <c r="DE76" s="131" t="str">
        <f t="shared" si="88"/>
        <v/>
      </c>
      <c r="DF76" s="61" t="str">
        <f t="shared" si="89"/>
        <v/>
      </c>
      <c r="DG76" s="116" t="str">
        <f t="shared" si="73"/>
        <v/>
      </c>
      <c r="DH76" s="116" t="str">
        <f t="shared" si="74"/>
        <v/>
      </c>
    </row>
    <row r="77" spans="2:112" s="17" customFormat="1" hidden="1">
      <c r="B77" s="35"/>
      <c r="C77" s="35"/>
      <c r="D77" s="36"/>
      <c r="E77" s="35"/>
      <c r="F77" s="35"/>
      <c r="G77" s="35"/>
      <c r="H77" s="35"/>
      <c r="I77" s="35"/>
      <c r="J77" s="121"/>
      <c r="K77" s="59"/>
      <c r="AC77" s="47" t="s">
        <v>256</v>
      </c>
      <c r="AD77" s="52" t="str">
        <f t="shared" si="96"/>
        <v/>
      </c>
      <c r="AE77" s="52">
        <f t="shared" si="97"/>
        <v>0</v>
      </c>
      <c r="AF77" s="52">
        <f t="shared" si="75"/>
        <v>6</v>
      </c>
      <c r="AG77" s="61" t="str">
        <f t="shared" si="3"/>
        <v/>
      </c>
      <c r="AH77" s="52">
        <f t="shared" si="98"/>
        <v>0</v>
      </c>
      <c r="AI77" s="52">
        <f t="shared" si="43"/>
        <v>7</v>
      </c>
      <c r="AJ77" s="52" t="str">
        <f t="shared" si="44"/>
        <v/>
      </c>
      <c r="AK77" s="61" t="str">
        <f t="shared" si="5"/>
        <v/>
      </c>
      <c r="AL77" s="95" t="str">
        <f t="shared" si="99"/>
        <v/>
      </c>
      <c r="AM77" s="61" t="str">
        <f t="shared" si="7"/>
        <v>if () {$("#adv_").html("Requierd");$("#").css({"background":"yellow"});} else {$("#adv_").html("");$("#").css({"background":"white"});}</v>
      </c>
      <c r="AN77" s="61" t="str">
        <f t="shared" si="8"/>
        <v>if (=="") {$("#adv_").html("Requierd");} else {$("#adv_").html("");}</v>
      </c>
      <c r="AO77" s="50" t="str">
        <f t="shared" si="100"/>
        <v/>
      </c>
      <c r="AP77" s="61" t="str">
        <f t="shared" si="10"/>
        <v>=$("#").val();</v>
      </c>
      <c r="AQ77" s="61" t="str">
        <f t="shared" si="45"/>
        <v/>
      </c>
      <c r="AR77" s="61" t="str">
        <f t="shared" si="11"/>
        <v>=document.getElementById("").checked;</v>
      </c>
      <c r="AS77" s="102" t="str">
        <f t="shared" si="12"/>
        <v>if (isset($_GET[''])) {$=($_GET['']);}else $='';</v>
      </c>
      <c r="AT77" s="52" t="str">
        <f t="shared" si="101"/>
        <v>EPS</v>
      </c>
      <c r="AU77" s="52" t="str">
        <f t="shared" si="14"/>
        <v>else if (document.getElementById("</v>
      </c>
      <c r="AV77" s="61" t="str">
        <f t="shared" si="102"/>
        <v>else if (document.getElementById("").checked==true) {EPS="";}</v>
      </c>
      <c r="AW77" s="61" t="str">
        <f t="shared" si="118"/>
        <v/>
      </c>
      <c r="AX77" s="102" t="str">
        <f t="shared" si="103"/>
        <v/>
      </c>
      <c r="AY77" s="135" t="str">
        <f t="shared" si="46"/>
        <v/>
      </c>
      <c r="AZ77" s="50" t="str">
        <f t="shared" si="104"/>
        <v>&lt;input type="checkbox" id="" name="" value="1" /&gt;</v>
      </c>
      <c r="BA77" s="105" t="str">
        <f t="shared" si="105"/>
        <v>&lt;br/&gt;&lt;textarea rows="2" cols="80" id=""&gt;&lt;/textarea&gt;&lt;br/&gt;</v>
      </c>
      <c r="BB77" s="50" t="str">
        <f t="shared" si="106"/>
        <v>&lt;input type="radio" name="EPS" id="" value="" /&gt;</v>
      </c>
      <c r="BC77" s="107" t="str">
        <f t="shared" si="107"/>
        <v>&lt;input type="text"  size="7"  id="" class="datepicker"/&gt;</v>
      </c>
      <c r="BD77" s="109" t="str">
        <f t="shared" si="47"/>
        <v/>
      </c>
      <c r="BE77" s="61" t="str">
        <f t="shared" si="108"/>
        <v/>
      </c>
      <c r="BF77" s="52">
        <f t="shared" si="83"/>
        <v>12</v>
      </c>
      <c r="BG77" s="61" t="str">
        <f t="shared" si="119"/>
        <v/>
      </c>
      <c r="BH77" s="102" t="str">
        <f t="shared" si="109"/>
        <v/>
      </c>
      <c r="BI77" s="105" t="str">
        <f t="shared" si="85"/>
        <v/>
      </c>
      <c r="BJ77" s="52" t="str">
        <f t="shared" si="49"/>
        <v/>
      </c>
      <c r="BK77" s="52">
        <f t="shared" si="50"/>
        <v>0</v>
      </c>
      <c r="BL77" s="52">
        <f t="shared" si="51"/>
        <v>2</v>
      </c>
      <c r="BM77" s="52" t="str">
        <f t="shared" si="77"/>
        <v/>
      </c>
      <c r="BN77" s="52" t="str">
        <f t="shared" si="24"/>
        <v/>
      </c>
      <c r="BO77" s="52" t="str">
        <f t="shared" si="94"/>
        <v/>
      </c>
      <c r="BP77" s="113" t="str">
        <f t="shared" si="52"/>
        <v/>
      </c>
      <c r="BQ77" s="52" t="str">
        <f t="shared" si="79"/>
        <v/>
      </c>
      <c r="BR77" s="52" t="str">
        <f t="shared" si="53"/>
        <v/>
      </c>
      <c r="BS77" s="52" t="str">
        <f t="shared" si="54"/>
        <v/>
      </c>
      <c r="BT77" s="52" t="str">
        <f t="shared" si="55"/>
        <v/>
      </c>
      <c r="BU77" s="52" t="str">
        <f t="shared" si="56"/>
        <v/>
      </c>
      <c r="BV77" s="102" t="str">
        <f t="shared" si="110"/>
        <v/>
      </c>
      <c r="BW77" s="116" t="str">
        <f t="shared" si="111"/>
        <v/>
      </c>
      <c r="BX77" s="61" t="str">
        <f t="shared" si="112"/>
        <v/>
      </c>
      <c r="BY77" s="52" t="str">
        <f t="shared" si="28"/>
        <v/>
      </c>
      <c r="BZ77" s="52" t="str">
        <f t="shared" si="29"/>
        <v/>
      </c>
      <c r="CA77" s="52" t="str">
        <f t="shared" si="57"/>
        <v/>
      </c>
      <c r="CB77" s="52" t="str">
        <f t="shared" si="30"/>
        <v/>
      </c>
      <c r="CC77" s="52" t="str">
        <f t="shared" si="31"/>
        <v/>
      </c>
      <c r="CD77" s="102" t="str">
        <f t="shared" si="113"/>
        <v/>
      </c>
      <c r="CE77" s="116" t="str">
        <f t="shared" si="114"/>
        <v/>
      </c>
      <c r="CF77" s="116" t="str">
        <f t="shared" si="92"/>
        <v/>
      </c>
      <c r="CG77" s="61" t="str">
        <f t="shared" si="115"/>
        <v/>
      </c>
      <c r="CH77" s="52">
        <f t="shared" si="80"/>
        <v>2</v>
      </c>
      <c r="CI77" s="61" t="str">
        <f t="shared" si="58"/>
        <v/>
      </c>
      <c r="CJ77" s="61" t="str">
        <f t="shared" si="59"/>
        <v/>
      </c>
      <c r="CK77" s="61" t="str">
        <f t="shared" si="60"/>
        <v/>
      </c>
      <c r="CL77" s="61" t="str">
        <f t="shared" si="116"/>
        <v/>
      </c>
      <c r="CM77" s="61" t="str">
        <f t="shared" si="117"/>
        <v/>
      </c>
      <c r="CN77" s="134" t="str">
        <f t="shared" si="86"/>
        <v/>
      </c>
      <c r="CO77" s="131" t="str">
        <f t="shared" si="84"/>
        <v/>
      </c>
      <c r="CP77" s="131" t="str">
        <f t="shared" si="61"/>
        <v/>
      </c>
      <c r="CQ77" s="131" t="str">
        <f t="shared" si="62"/>
        <v/>
      </c>
      <c r="CR77" s="116" t="str">
        <f t="shared" si="63"/>
        <v/>
      </c>
      <c r="CS77" s="116" t="str">
        <f t="shared" si="64"/>
        <v/>
      </c>
      <c r="CT77" s="116" t="str">
        <f t="shared" si="65"/>
        <v/>
      </c>
      <c r="CU77" s="52">
        <f t="shared" si="66"/>
        <v>0</v>
      </c>
      <c r="CV77" s="116" t="str">
        <f t="shared" si="67"/>
        <v/>
      </c>
      <c r="CW77" s="116" t="str">
        <f t="shared" si="68"/>
        <v/>
      </c>
      <c r="CX77" s="61" t="str">
        <f t="shared" si="69"/>
        <v/>
      </c>
      <c r="CY77" s="61" t="str">
        <f t="shared" si="70"/>
        <v/>
      </c>
      <c r="CZ77" s="61" t="str">
        <f t="shared" si="71"/>
        <v/>
      </c>
      <c r="DA77" s="116" t="str">
        <f t="shared" si="95"/>
        <v/>
      </c>
      <c r="DB77" s="6" t="str">
        <f t="shared" si="82"/>
        <v/>
      </c>
      <c r="DC77" s="61" t="str">
        <f t="shared" si="72"/>
        <v/>
      </c>
      <c r="DD77" s="131" t="str">
        <f t="shared" si="87"/>
        <v/>
      </c>
      <c r="DE77" s="131" t="str">
        <f t="shared" si="88"/>
        <v/>
      </c>
      <c r="DF77" s="61" t="str">
        <f t="shared" si="89"/>
        <v/>
      </c>
      <c r="DG77" s="116" t="str">
        <f t="shared" si="73"/>
        <v/>
      </c>
      <c r="DH77" s="116" t="str">
        <f t="shared" si="74"/>
        <v/>
      </c>
    </row>
    <row r="78" spans="2:112" s="17" customFormat="1" hidden="1">
      <c r="B78" s="35"/>
      <c r="C78" s="35"/>
      <c r="D78" s="36"/>
      <c r="E78" s="35"/>
      <c r="F78" s="35"/>
      <c r="G78" s="35"/>
      <c r="H78" s="35"/>
      <c r="I78" s="35"/>
      <c r="J78" s="121"/>
      <c r="K78" s="59"/>
      <c r="AC78" s="47" t="s">
        <v>257</v>
      </c>
      <c r="AD78" s="52" t="str">
        <f t="shared" si="96"/>
        <v/>
      </c>
      <c r="AE78" s="52">
        <f t="shared" si="97"/>
        <v>0</v>
      </c>
      <c r="AF78" s="52">
        <f t="shared" si="75"/>
        <v>6</v>
      </c>
      <c r="AG78" s="61" t="str">
        <f t="shared" si="3"/>
        <v/>
      </c>
      <c r="AH78" s="52">
        <f t="shared" si="98"/>
        <v>0</v>
      </c>
      <c r="AI78" s="52">
        <f t="shared" si="43"/>
        <v>7</v>
      </c>
      <c r="AJ78" s="52" t="str">
        <f t="shared" si="44"/>
        <v/>
      </c>
      <c r="AK78" s="61" t="str">
        <f t="shared" si="5"/>
        <v/>
      </c>
      <c r="AL78" s="95" t="str">
        <f t="shared" si="99"/>
        <v/>
      </c>
      <c r="AM78" s="61" t="str">
        <f t="shared" si="7"/>
        <v>if () {$("#adv_").html("Requierd");$("#").css({"background":"yellow"});} else {$("#adv_").html("");$("#").css({"background":"white"});}</v>
      </c>
      <c r="AN78" s="61" t="str">
        <f t="shared" si="8"/>
        <v>if (=="") {$("#adv_").html("Requierd");} else {$("#adv_").html("");}</v>
      </c>
      <c r="AO78" s="50" t="str">
        <f t="shared" si="100"/>
        <v/>
      </c>
      <c r="AP78" s="61" t="str">
        <f t="shared" si="10"/>
        <v>=$("#").val();</v>
      </c>
      <c r="AQ78" s="61" t="str">
        <f t="shared" si="45"/>
        <v/>
      </c>
      <c r="AR78" s="61" t="str">
        <f t="shared" si="11"/>
        <v>=document.getElementById("").checked;</v>
      </c>
      <c r="AS78" s="102" t="str">
        <f t="shared" si="12"/>
        <v>if (isset($_GET[''])) {$=($_GET['']);}else $='';</v>
      </c>
      <c r="AT78" s="52" t="str">
        <f t="shared" si="101"/>
        <v>EPS</v>
      </c>
      <c r="AU78" s="52" t="str">
        <f t="shared" si="14"/>
        <v>else if (document.getElementById("</v>
      </c>
      <c r="AV78" s="61" t="str">
        <f t="shared" si="102"/>
        <v>else if (document.getElementById("").checked==true) {EPS="";}</v>
      </c>
      <c r="AW78" s="61" t="str">
        <f t="shared" si="118"/>
        <v/>
      </c>
      <c r="AX78" s="102" t="str">
        <f t="shared" si="103"/>
        <v/>
      </c>
      <c r="AY78" s="135" t="str">
        <f t="shared" si="46"/>
        <v/>
      </c>
      <c r="AZ78" s="50" t="str">
        <f t="shared" si="104"/>
        <v>&lt;input type="checkbox" id="" name="" value="1" /&gt;</v>
      </c>
      <c r="BA78" s="105" t="str">
        <f t="shared" si="105"/>
        <v>&lt;br/&gt;&lt;textarea rows="2" cols="80" id=""&gt;&lt;/textarea&gt;&lt;br/&gt;</v>
      </c>
      <c r="BB78" s="50" t="str">
        <f t="shared" si="106"/>
        <v>&lt;input type="radio" name="EPS" id="" value="" /&gt;</v>
      </c>
      <c r="BC78" s="107" t="str">
        <f t="shared" si="107"/>
        <v>&lt;input type="text"  size="7"  id="" class="datepicker"/&gt;</v>
      </c>
      <c r="BD78" s="109" t="str">
        <f t="shared" si="47"/>
        <v/>
      </c>
      <c r="BE78" s="61" t="str">
        <f t="shared" si="108"/>
        <v/>
      </c>
      <c r="BF78" s="52">
        <f t="shared" si="83"/>
        <v>12</v>
      </c>
      <c r="BG78" s="61" t="str">
        <f t="shared" si="119"/>
        <v/>
      </c>
      <c r="BH78" s="102" t="str">
        <f t="shared" si="109"/>
        <v/>
      </c>
      <c r="BI78" s="105" t="str">
        <f t="shared" si="85"/>
        <v/>
      </c>
      <c r="BJ78" s="52" t="str">
        <f t="shared" si="49"/>
        <v/>
      </c>
      <c r="BK78" s="52">
        <f t="shared" si="50"/>
        <v>0</v>
      </c>
      <c r="BL78" s="52">
        <f t="shared" si="51"/>
        <v>2</v>
      </c>
      <c r="BM78" s="52" t="str">
        <f t="shared" si="77"/>
        <v/>
      </c>
      <c r="BN78" s="52" t="str">
        <f t="shared" si="24"/>
        <v/>
      </c>
      <c r="BO78" s="52" t="str">
        <f t="shared" si="94"/>
        <v/>
      </c>
      <c r="BP78" s="113" t="str">
        <f t="shared" si="52"/>
        <v/>
      </c>
      <c r="BQ78" s="52" t="str">
        <f t="shared" si="79"/>
        <v/>
      </c>
      <c r="BR78" s="52" t="str">
        <f t="shared" si="53"/>
        <v/>
      </c>
      <c r="BS78" s="52" t="str">
        <f t="shared" si="54"/>
        <v/>
      </c>
      <c r="BT78" s="52" t="str">
        <f t="shared" si="55"/>
        <v/>
      </c>
      <c r="BU78" s="52" t="str">
        <f t="shared" si="56"/>
        <v/>
      </c>
      <c r="BV78" s="102" t="str">
        <f t="shared" si="110"/>
        <v/>
      </c>
      <c r="BW78" s="116" t="str">
        <f t="shared" si="111"/>
        <v/>
      </c>
      <c r="BX78" s="61" t="str">
        <f t="shared" si="112"/>
        <v/>
      </c>
      <c r="BY78" s="52" t="str">
        <f t="shared" si="28"/>
        <v/>
      </c>
      <c r="BZ78" s="52" t="str">
        <f t="shared" si="29"/>
        <v/>
      </c>
      <c r="CA78" s="52" t="str">
        <f t="shared" si="57"/>
        <v/>
      </c>
      <c r="CB78" s="52" t="str">
        <f t="shared" si="30"/>
        <v/>
      </c>
      <c r="CC78" s="52" t="str">
        <f t="shared" si="31"/>
        <v/>
      </c>
      <c r="CD78" s="102" t="str">
        <f t="shared" si="113"/>
        <v/>
      </c>
      <c r="CE78" s="116" t="str">
        <f t="shared" si="114"/>
        <v/>
      </c>
      <c r="CF78" s="116" t="str">
        <f t="shared" si="92"/>
        <v/>
      </c>
      <c r="CG78" s="61" t="str">
        <f t="shared" si="115"/>
        <v/>
      </c>
      <c r="CH78" s="52">
        <f t="shared" si="80"/>
        <v>2</v>
      </c>
      <c r="CI78" s="61" t="str">
        <f t="shared" si="58"/>
        <v/>
      </c>
      <c r="CJ78" s="61" t="str">
        <f t="shared" si="59"/>
        <v/>
      </c>
      <c r="CK78" s="61" t="str">
        <f t="shared" si="60"/>
        <v/>
      </c>
      <c r="CL78" s="61" t="str">
        <f t="shared" si="116"/>
        <v/>
      </c>
      <c r="CM78" s="61" t="str">
        <f t="shared" si="117"/>
        <v/>
      </c>
      <c r="CN78" s="134" t="str">
        <f t="shared" si="86"/>
        <v/>
      </c>
      <c r="CO78" s="131" t="str">
        <f t="shared" si="84"/>
        <v/>
      </c>
      <c r="CP78" s="131" t="str">
        <f t="shared" si="61"/>
        <v/>
      </c>
      <c r="CQ78" s="131" t="str">
        <f t="shared" si="62"/>
        <v/>
      </c>
      <c r="CR78" s="116" t="str">
        <f t="shared" si="63"/>
        <v/>
      </c>
      <c r="CS78" s="116" t="str">
        <f t="shared" si="64"/>
        <v/>
      </c>
      <c r="CT78" s="116" t="str">
        <f t="shared" si="65"/>
        <v/>
      </c>
      <c r="CU78" s="52">
        <f t="shared" si="66"/>
        <v>0</v>
      </c>
      <c r="CV78" s="116" t="str">
        <f t="shared" si="67"/>
        <v/>
      </c>
      <c r="CW78" s="116" t="str">
        <f t="shared" si="68"/>
        <v/>
      </c>
      <c r="CX78" s="61" t="str">
        <f t="shared" si="69"/>
        <v/>
      </c>
      <c r="CY78" s="61" t="str">
        <f t="shared" si="70"/>
        <v/>
      </c>
      <c r="CZ78" s="61" t="str">
        <f t="shared" si="71"/>
        <v/>
      </c>
      <c r="DA78" s="116" t="str">
        <f t="shared" si="95"/>
        <v/>
      </c>
      <c r="DB78" s="6" t="str">
        <f t="shared" si="82"/>
        <v/>
      </c>
      <c r="DC78" s="61" t="str">
        <f t="shared" si="72"/>
        <v/>
      </c>
      <c r="DD78" s="131" t="str">
        <f t="shared" si="87"/>
        <v/>
      </c>
      <c r="DE78" s="131" t="str">
        <f t="shared" si="88"/>
        <v/>
      </c>
      <c r="DF78" s="61" t="str">
        <f t="shared" si="89"/>
        <v/>
      </c>
      <c r="DG78" s="116" t="str">
        <f t="shared" si="73"/>
        <v/>
      </c>
      <c r="DH78" s="116" t="str">
        <f t="shared" si="74"/>
        <v/>
      </c>
    </row>
    <row r="79" spans="2:112" s="17" customFormat="1" hidden="1">
      <c r="B79" s="35"/>
      <c r="C79" s="35"/>
      <c r="D79" s="36"/>
      <c r="E79" s="35"/>
      <c r="F79" s="35"/>
      <c r="G79" s="35"/>
      <c r="H79" s="35"/>
      <c r="I79" s="35"/>
      <c r="J79" s="121"/>
      <c r="K79" s="59"/>
      <c r="AC79" s="47" t="s">
        <v>258</v>
      </c>
      <c r="AD79" s="52" t="str">
        <f t="shared" ref="AD79:AD114" si="120">+IF(G79="si",C79&amp;"=="&amp;$B$4,IF(AND(F79="radio",AY79&lt;&gt;""),B79&amp;"=="&amp;$B$4,""))</f>
        <v/>
      </c>
      <c r="AE79" s="52">
        <f t="shared" ref="AE79:AE114" si="121">+IF(OR(F79=$S$2,F79=$S$6,F79=$S$7),1,0)</f>
        <v>0</v>
      </c>
      <c r="AF79" s="52">
        <f t="shared" si="75"/>
        <v>6</v>
      </c>
      <c r="AG79" s="61" t="str">
        <f t="shared" ref="AG79:AG114" si="122">+IF(AE79=0,"",IF(AF79=1,"if (","else if (")&amp;C79&amp;$I$5&amp;C79&amp;$I$6)</f>
        <v/>
      </c>
      <c r="AH79" s="52">
        <f t="shared" ref="AH79:AH114" si="123">+IF(G79="si",1,IF(AND(F79="radio",AY79&lt;&gt;""),1,0))</f>
        <v>0</v>
      </c>
      <c r="AI79" s="52">
        <f t="shared" si="43"/>
        <v>7</v>
      </c>
      <c r="AJ79" s="52" t="str">
        <f t="shared" si="44"/>
        <v/>
      </c>
      <c r="AK79" s="61" t="str">
        <f t="shared" ref="AK79:AK114" si="124">IF($B$3&lt;&gt;"",AJ79&amp;AD79,"")</f>
        <v/>
      </c>
      <c r="AL79" s="95" t="str">
        <f t="shared" ref="AL79:AL110" si="125">IF(G79="si",AM79,IF(AND(F79="radio",AY79&lt;&gt;""),AN79,""))</f>
        <v/>
      </c>
      <c r="AM79" s="61" t="str">
        <f t="shared" ref="AM79:AM114" si="126">+$F$7&amp;AD79&amp;$F$8&amp;C79&amp;$F$9&amp;$C$5&amp;C79&amp;$G$6&amp;$G$5&amp;C79&amp;$G$7&amp;C79&amp;$G$8</f>
        <v>if () {$("#adv_").html("Requierd");$("#").css({"background":"yellow"});} else {$("#adv_").html("");$("#").css({"background":"white"});}</v>
      </c>
      <c r="AN79" s="61" t="str">
        <f t="shared" ref="AN79:AN114" si="127">$F$7&amp;B79&amp;"=="&amp;$B$4&amp;$F$8&amp;B79&amp;$F$9&amp;$G$5&amp;B79&amp;$B$10&amp;$B$11&amp;$G$9</f>
        <v>if (=="") {$("#adv_").html("Requierd");} else {$("#adv_").html("");}</v>
      </c>
      <c r="AO79" s="50" t="str">
        <f t="shared" ref="AO79:AO114" si="128">IF(C79="","",AY79&amp;$C$1&amp;C79&amp;$C$2&amp;C79&amp;$C$3)</f>
        <v/>
      </c>
      <c r="AP79" s="61" t="str">
        <f t="shared" ref="AP79:AP114" si="129">+C79&amp;$A$3&amp;C79&amp;$A$4</f>
        <v>=$("#").val();</v>
      </c>
      <c r="AQ79" s="61" t="str">
        <f t="shared" si="45"/>
        <v/>
      </c>
      <c r="AR79" s="61" t="str">
        <f t="shared" ref="AR79:AR114" si="130">+C79&amp;"="&amp;$D$6&amp;C79&amp;$D$7</f>
        <v>=document.getElementById("").checked;</v>
      </c>
      <c r="AS79" s="102" t="str">
        <f t="shared" ref="AS79:AS114" si="131">+$D$8&amp;C79&amp;$D$9&amp;C79&amp;$D$10&amp;C79&amp;$D$11&amp;C79&amp;$D$12</f>
        <v>if (isset($_GET[''])) {$=($_GET['']);}else $='';</v>
      </c>
      <c r="AT79" s="52" t="str">
        <f t="shared" ref="AT79:AT114" si="132">+IF(B79="",AT78,B79)</f>
        <v>EPS</v>
      </c>
      <c r="AU79" s="52" t="str">
        <f t="shared" ref="AU79:AU114" si="133">IF(AT79&lt;&gt;AT78,$D$2,"else "&amp;$D$2)</f>
        <v>else if (document.getElementById("</v>
      </c>
      <c r="AV79" s="61" t="str">
        <f t="shared" ref="AV79:AV110" si="134">AU79&amp;C79&amp;$D$3&amp;AT79&amp;"="&amp;$D$4&amp;C79&amp;$D$5&amp;IF(AND(AY79="",AY80&lt;&gt;""),"else "&amp;AT79&amp;"="&amp;$B$4&amp;";","")</f>
        <v>else if (document.getElementById("").checked==true) {EPS="";}</v>
      </c>
      <c r="AW79" s="61" t="str">
        <f t="shared" si="118"/>
        <v/>
      </c>
      <c r="AX79" s="102" t="str">
        <f t="shared" ref="AX79:AX110" si="135">IF(AY79="","",$D$8&amp;AT79&amp;$D$9&amp;AT79&amp;$D$10&amp;AT79&amp;$D$11&amp;AT79&amp;$D$12)</f>
        <v/>
      </c>
      <c r="AY79" s="135" t="str">
        <f t="shared" si="46"/>
        <v/>
      </c>
      <c r="AZ79" s="50" t="str">
        <f t="shared" ref="AZ79:AZ110" si="136">AY79&amp;$C$4&amp;C79&amp;$C$2&amp;C79&amp;$C$10</f>
        <v>&lt;input type="checkbox" id="" name="" value="1" /&gt;</v>
      </c>
      <c r="BA79" s="105" t="str">
        <f t="shared" ref="BA79:BA114" si="137">+AY79&amp;$F$5&amp;C79&amp;$F$6</f>
        <v>&lt;br/&gt;&lt;textarea rows="2" cols="80" id=""&gt;&lt;/textarea&gt;&lt;br/&gt;</v>
      </c>
      <c r="BB79" s="50" t="str">
        <f t="shared" ref="BB79:BB114" si="138">AY79&amp;IF(AY79="","",$C$6&amp;AT79&amp;$C$7&amp;"&lt;br/&gt;")&amp;C79&amp;$C$9&amp;AT79&amp;$C$11&amp;C79&amp;$C$12&amp;C79&amp;$D$1</f>
        <v>&lt;input type="radio" name="EPS" id="" value="" /&gt;</v>
      </c>
      <c r="BC79" s="107" t="str">
        <f t="shared" ref="BC79:BC114" si="139">+AY79&amp;$F$3&amp;C79&amp;$F$4</f>
        <v>&lt;input type="text"  size="7"  id="" class="datepicker"/&gt;</v>
      </c>
      <c r="BD79" s="109" t="str">
        <f t="shared" si="47"/>
        <v/>
      </c>
      <c r="BE79" s="61" t="str">
        <f t="shared" ref="BE79:BE114" si="140">IF(C79="","",IF(F79="texto",AP79,IF(F79="check",AR79,IF(F79="radio",AV79,IF(F79="date",AP79,IF(F79="bigtext",AP79,IF(F79=$S$8,"","pending selectlist")))))))</f>
        <v/>
      </c>
      <c r="BF79" s="52">
        <f t="shared" si="83"/>
        <v>12</v>
      </c>
      <c r="BG79" s="61" t="str">
        <f t="shared" si="119"/>
        <v/>
      </c>
      <c r="BH79" s="102" t="str">
        <f t="shared" ref="BH79:BH114" si="141">IF(F79=$S$8,"",IF(C79="","",IF(OR(F79="radio",F79="selectlist"),AX79,AS79)))</f>
        <v/>
      </c>
      <c r="BI79" s="105" t="str">
        <f t="shared" si="85"/>
        <v/>
      </c>
      <c r="BJ79" s="52" t="str">
        <f t="shared" si="49"/>
        <v/>
      </c>
      <c r="BK79" s="52">
        <f t="shared" si="50"/>
        <v>0</v>
      </c>
      <c r="BL79" s="52">
        <f t="shared" si="51"/>
        <v>2</v>
      </c>
      <c r="BM79" s="52" t="str">
        <f t="shared" si="77"/>
        <v/>
      </c>
      <c r="BN79" s="52" t="str">
        <f t="shared" ref="BN79:BN114" si="142">+IF(BM79=" AND ",$E$10,"")</f>
        <v/>
      </c>
      <c r="BO79" s="52" t="str">
        <f t="shared" si="94"/>
        <v/>
      </c>
      <c r="BP79" s="113" t="str">
        <f t="shared" si="52"/>
        <v/>
      </c>
      <c r="BQ79" s="52" t="str">
        <f t="shared" si="79"/>
        <v/>
      </c>
      <c r="BR79" s="52" t="str">
        <f t="shared" si="53"/>
        <v/>
      </c>
      <c r="BS79" s="52" t="str">
        <f t="shared" si="54"/>
        <v/>
      </c>
      <c r="BT79" s="52" t="str">
        <f t="shared" si="55"/>
        <v/>
      </c>
      <c r="BU79" s="52" t="str">
        <f t="shared" si="56"/>
        <v/>
      </c>
      <c r="BV79" s="102" t="str">
        <f t="shared" ref="BV79:BV110" si="143">IF(BP79="","",IF(F79="check",$F$7&amp;"$"&amp;C79&amp;$K$6&amp;B79&amp;$K$7,$F$1&amp;B79&amp;$F$2&amp;BU79&amp;";"))</f>
        <v/>
      </c>
      <c r="BW79" s="116" t="str">
        <f t="shared" ref="BW79:BW114" si="144">IF(F79=$S$8,"$"&amp;C79&amp;"="&amp;K79&amp;";","")</f>
        <v/>
      </c>
      <c r="BX79" s="61" t="str">
        <f t="shared" ref="BX79:BX114" si="145">+IF(OR(F79="texto",F79="bigtext",F79="selectlist",F79="date"),CA79,IF(F79="check",CC79,CB79))</f>
        <v/>
      </c>
      <c r="BY79" s="52" t="str">
        <f t="shared" ref="BY79:BY114" si="146">IF(C79="","",$C$5&amp;C79&amp;$I$2)</f>
        <v/>
      </c>
      <c r="BZ79" s="52" t="str">
        <f t="shared" ref="BZ79:BZ114" si="147">IF(AND(G79="si",C79&lt;&gt;""),$G$11&amp;C79&amp;$G$12&amp;$C$5&amp;C79&amp;$I$1,"")</f>
        <v/>
      </c>
      <c r="CA79" s="52" t="str">
        <f t="shared" si="57"/>
        <v/>
      </c>
      <c r="CB79" s="52" t="str">
        <f t="shared" ref="CB79:CB114" si="148">IF(F79="radio",$D$6&amp;C79&amp;$I$3&amp;IF(B79="","",$G$11&amp;B79&amp;$G$12),"")</f>
        <v/>
      </c>
      <c r="CC79" s="52" t="str">
        <f t="shared" ref="CC79:CC114" si="149">IF(F79="check",$D$6&amp;C79&amp;$I$3,"")</f>
        <v/>
      </c>
      <c r="CD79" s="102" t="str">
        <f t="shared" ref="CD79:CD114" si="150">IF(OR(C79="",B79=""),"",$J$8&amp;BP79&amp;$J$9&amp;BP79&amp;$J$10)</f>
        <v/>
      </c>
      <c r="CE79" s="116" t="str">
        <f t="shared" ref="CE79:CE114" si="151">IF(B79="","",IF(F79="check",$K$1&amp;BP79&amp;$K$2&amp;$K$3&amp;" "&amp;$D$4&amp;B79&amp;$D$4&amp;$G$9,$K$4&amp;$D$4&amp;B79&amp;":"&amp;$D$4&amp;"."&amp;$K$5&amp;BP79&amp;$K$2&amp;"];"))</f>
        <v/>
      </c>
      <c r="CF79" s="116" t="str">
        <f t="shared" si="92"/>
        <v/>
      </c>
      <c r="CG79" s="61" t="str">
        <f t="shared" ref="CG79:CG114" si="152">+IF(J79="si",BP79&amp;"="&amp;$K$10&amp;BP79&amp;$K$11,"")</f>
        <v/>
      </c>
      <c r="CH79" s="52">
        <f t="shared" si="80"/>
        <v>2</v>
      </c>
      <c r="CI79" s="61" t="str">
        <f t="shared" si="58"/>
        <v/>
      </c>
      <c r="CJ79" s="61" t="str">
        <f t="shared" si="59"/>
        <v/>
      </c>
      <c r="CK79" s="61" t="str">
        <f t="shared" si="60"/>
        <v/>
      </c>
      <c r="CL79" s="61" t="str">
        <f t="shared" ref="CL79:CL114" si="153">IF(AND(CH79&gt;1,CH79&lt;&gt;CH78),",","")&amp;IF(J79="si",BP79&amp;":"&amp;BP79,"")</f>
        <v/>
      </c>
      <c r="CM79" s="61" t="str">
        <f t="shared" ref="CM79:CM114" si="154">IF(J79="si",BZ79,"")</f>
        <v/>
      </c>
      <c r="CN79" s="134" t="str">
        <f t="shared" si="86"/>
        <v/>
      </c>
      <c r="CO79" s="131" t="str">
        <f t="shared" si="84"/>
        <v/>
      </c>
      <c r="CP79" s="131" t="str">
        <f t="shared" si="61"/>
        <v/>
      </c>
      <c r="CQ79" s="131" t="str">
        <f t="shared" si="62"/>
        <v/>
      </c>
      <c r="CR79" s="116" t="str">
        <f t="shared" si="63"/>
        <v/>
      </c>
      <c r="CS79" s="116" t="str">
        <f t="shared" si="64"/>
        <v/>
      </c>
      <c r="CT79" s="116" t="str">
        <f t="shared" si="65"/>
        <v/>
      </c>
      <c r="CU79" s="52">
        <f t="shared" si="66"/>
        <v>0</v>
      </c>
      <c r="CV79" s="116" t="str">
        <f t="shared" si="67"/>
        <v/>
      </c>
      <c r="CW79" s="116" t="str">
        <f t="shared" si="68"/>
        <v/>
      </c>
      <c r="CX79" s="61" t="str">
        <f t="shared" si="69"/>
        <v/>
      </c>
      <c r="CY79" s="61" t="str">
        <f t="shared" si="70"/>
        <v/>
      </c>
      <c r="CZ79" s="61" t="str">
        <f t="shared" si="71"/>
        <v/>
      </c>
      <c r="DA79" s="116" t="str">
        <f t="shared" si="95"/>
        <v/>
      </c>
      <c r="DB79" s="6" t="str">
        <f t="shared" si="82"/>
        <v/>
      </c>
      <c r="DC79" s="61" t="str">
        <f t="shared" si="72"/>
        <v/>
      </c>
      <c r="DD79" s="131" t="str">
        <f t="shared" si="87"/>
        <v/>
      </c>
      <c r="DE79" s="131" t="str">
        <f t="shared" si="88"/>
        <v/>
      </c>
      <c r="DF79" s="61" t="str">
        <f t="shared" si="89"/>
        <v/>
      </c>
      <c r="DG79" s="116" t="str">
        <f t="shared" si="73"/>
        <v/>
      </c>
      <c r="DH79" s="116" t="str">
        <f t="shared" si="74"/>
        <v/>
      </c>
    </row>
    <row r="80" spans="2:112" s="17" customFormat="1" hidden="1">
      <c r="B80" s="35"/>
      <c r="C80" s="35"/>
      <c r="D80" s="36"/>
      <c r="E80" s="35"/>
      <c r="F80" s="35"/>
      <c r="G80" s="35"/>
      <c r="H80" s="35"/>
      <c r="I80" s="35"/>
      <c r="J80" s="121"/>
      <c r="K80" s="59"/>
      <c r="AC80" s="47" t="s">
        <v>259</v>
      </c>
      <c r="AD80" s="52" t="str">
        <f t="shared" si="120"/>
        <v/>
      </c>
      <c r="AE80" s="52">
        <f t="shared" si="121"/>
        <v>0</v>
      </c>
      <c r="AF80" s="52">
        <f t="shared" si="75"/>
        <v>6</v>
      </c>
      <c r="AG80" s="61" t="str">
        <f t="shared" si="122"/>
        <v/>
      </c>
      <c r="AH80" s="52">
        <f t="shared" si="123"/>
        <v>0</v>
      </c>
      <c r="AI80" s="52">
        <f t="shared" ref="AI80:AI114" si="155">+AH80+AI79</f>
        <v>7</v>
      </c>
      <c r="AJ80" s="52" t="str">
        <f t="shared" ref="AJ80:AJ114" si="156">IF(AI79=0,"",IF(AI80=AI79,"","||"))</f>
        <v/>
      </c>
      <c r="AK80" s="61" t="str">
        <f t="shared" si="124"/>
        <v/>
      </c>
      <c r="AL80" s="95" t="str">
        <f t="shared" si="125"/>
        <v/>
      </c>
      <c r="AM80" s="61" t="str">
        <f t="shared" si="126"/>
        <v>if () {$("#adv_").html("Requierd");$("#").css({"background":"yellow"});} else {$("#adv_").html("");$("#").css({"background":"white"});}</v>
      </c>
      <c r="AN80" s="61" t="str">
        <f t="shared" si="127"/>
        <v>if (=="") {$("#adv_").html("Requierd");} else {$("#adv_").html("");}</v>
      </c>
      <c r="AO80" s="50" t="str">
        <f t="shared" si="128"/>
        <v/>
      </c>
      <c r="AP80" s="61" t="str">
        <f t="shared" si="129"/>
        <v>=$("#").val();</v>
      </c>
      <c r="AQ80" s="61" t="str">
        <f t="shared" ref="AQ80:AQ114" si="157">+IF(F80="texto","highlight script","")</f>
        <v/>
      </c>
      <c r="AR80" s="61" t="str">
        <f t="shared" si="130"/>
        <v>=document.getElementById("").checked;</v>
      </c>
      <c r="AS80" s="102" t="str">
        <f t="shared" si="131"/>
        <v>if (isset($_GET[''])) {$=($_GET['']);}else $='';</v>
      </c>
      <c r="AT80" s="52" t="str">
        <f t="shared" si="132"/>
        <v>EPS</v>
      </c>
      <c r="AU80" s="52" t="str">
        <f t="shared" si="133"/>
        <v>else if (document.getElementById("</v>
      </c>
      <c r="AV80" s="61" t="str">
        <f t="shared" si="134"/>
        <v>else if (document.getElementById("").checked==true) {EPS="";}</v>
      </c>
      <c r="AW80" s="61" t="str">
        <f t="shared" ref="AW80:AW113" si="158">IF(AY80="","",","&amp;AY80&amp;LEFT(AY80,LEN(AY80)-1))</f>
        <v/>
      </c>
      <c r="AX80" s="102" t="str">
        <f t="shared" si="135"/>
        <v/>
      </c>
      <c r="AY80" s="135" t="str">
        <f t="shared" ref="AY80:AY114" si="159">IF(AT80=AT79,"",AT80&amp;":")</f>
        <v/>
      </c>
      <c r="AZ80" s="50" t="str">
        <f t="shared" si="136"/>
        <v>&lt;input type="checkbox" id="" name="" value="1" /&gt;</v>
      </c>
      <c r="BA80" s="105" t="str">
        <f t="shared" si="137"/>
        <v>&lt;br/&gt;&lt;textarea rows="2" cols="80" id=""&gt;&lt;/textarea&gt;&lt;br/&gt;</v>
      </c>
      <c r="BB80" s="50" t="str">
        <f t="shared" si="138"/>
        <v>&lt;input type="radio" name="EPS" id="" value="" /&gt;</v>
      </c>
      <c r="BC80" s="107" t="str">
        <f t="shared" si="139"/>
        <v>&lt;input type="text"  size="7"  id="" class="datepicker"/&gt;</v>
      </c>
      <c r="BD80" s="109" t="str">
        <f t="shared" ref="BD80:BD114" si="160">DD80&amp;IF(C80="","",IF(F80="check",AZ80,IF(F80="texto",AO80,IF(F80="radio",BB80,IF(F80="date",BC80,IF(F80="bigtext",BA80,IF(F80=$S$8,"","pending select")))))))&amp;DE80</f>
        <v/>
      </c>
      <c r="BE80" s="61" t="str">
        <f t="shared" si="140"/>
        <v/>
      </c>
      <c r="BF80" s="52">
        <f t="shared" si="83"/>
        <v>12</v>
      </c>
      <c r="BG80" s="61" t="str">
        <f t="shared" ref="BG80:BG111" si="161">IF(F80=$S$8,"",IF(C80="","",IF(F80="radio",AW80,IF(BF80=1,"",",")&amp;C80&amp;":"&amp;C80)))</f>
        <v/>
      </c>
      <c r="BH80" s="102" t="str">
        <f t="shared" si="141"/>
        <v/>
      </c>
      <c r="BI80" s="105" t="str">
        <f t="shared" si="85"/>
        <v/>
      </c>
      <c r="BJ80" s="52" t="str">
        <f t="shared" ref="BJ80:BJ114" si="162">+IF(G80="si","required advise","")</f>
        <v/>
      </c>
      <c r="BK80" s="52">
        <f t="shared" ref="BK80:BK114" si="163">+IF(I80="si",1,0)</f>
        <v>0</v>
      </c>
      <c r="BL80" s="52">
        <f t="shared" ref="BL80:BL114" si="164">+BK80+BL79</f>
        <v>2</v>
      </c>
      <c r="BM80" s="52" t="str">
        <f t="shared" si="77"/>
        <v/>
      </c>
      <c r="BN80" s="52" t="str">
        <f t="shared" si="142"/>
        <v/>
      </c>
      <c r="BO80" s="52" t="str">
        <f t="shared" ref="BO80:BO113" si="165">+IF(BP80="","",",")</f>
        <v/>
      </c>
      <c r="BP80" s="113" t="str">
        <f t="shared" ref="BP80:BP114" si="166">IF(B80="","",IF(OR(F80="radio",F80="selectlilst"),B80,C80))</f>
        <v/>
      </c>
      <c r="BQ80" s="52" t="str">
        <f t="shared" si="79"/>
        <v/>
      </c>
      <c r="BR80" s="52" t="str">
        <f t="shared" ref="BR80:BR114" si="167">+IF(BK80=0,"",BN80&amp;".$"&amp;BP80)</f>
        <v/>
      </c>
      <c r="BS80" s="52" t="str">
        <f t="shared" ref="BS80:BS114" si="168">+BO80&amp;BP80</f>
        <v/>
      </c>
      <c r="BT80" s="52" t="str">
        <f t="shared" ref="BT80:BT114" si="169">IF(BP80="","",BO80&amp;"'$"&amp;BP80&amp;"'")</f>
        <v/>
      </c>
      <c r="BU80" s="52" t="str">
        <f t="shared" ref="BU80:BU114" si="170">IF(BP80="","","$"&amp;BP80)</f>
        <v/>
      </c>
      <c r="BV80" s="102" t="str">
        <f t="shared" si="143"/>
        <v/>
      </c>
      <c r="BW80" s="116" t="str">
        <f t="shared" si="144"/>
        <v/>
      </c>
      <c r="BX80" s="61" t="str">
        <f t="shared" si="145"/>
        <v/>
      </c>
      <c r="BY80" s="52" t="str">
        <f t="shared" si="146"/>
        <v/>
      </c>
      <c r="BZ80" s="52" t="str">
        <f t="shared" si="147"/>
        <v/>
      </c>
      <c r="CA80" s="52" t="str">
        <f t="shared" ref="CA80:CA114" si="171">+BY80&amp;BZ80</f>
        <v/>
      </c>
      <c r="CB80" s="52" t="str">
        <f t="shared" si="148"/>
        <v/>
      </c>
      <c r="CC80" s="52" t="str">
        <f t="shared" si="149"/>
        <v/>
      </c>
      <c r="CD80" s="102" t="str">
        <f t="shared" si="150"/>
        <v/>
      </c>
      <c r="CE80" s="116" t="str">
        <f t="shared" si="151"/>
        <v/>
      </c>
      <c r="CF80" s="116" t="str">
        <f t="shared" si="92"/>
        <v/>
      </c>
      <c r="CG80" s="61" t="str">
        <f t="shared" si="152"/>
        <v/>
      </c>
      <c r="CH80" s="52">
        <f t="shared" si="80"/>
        <v>2</v>
      </c>
      <c r="CI80" s="61" t="str">
        <f t="shared" ref="CI80:CI114" si="172">+IF(AND(CH80=1,CH79=0),BP80&amp;"=="&amp;$B$4,IF(CH80&lt;&gt;CH79,"||"&amp;BP80&amp;"=="&amp;$B$4,""))</f>
        <v/>
      </c>
      <c r="CJ80" s="61" t="str">
        <f t="shared" ref="CJ80:CJ114" si="173">+IF(J80="si",AL80,"")</f>
        <v/>
      </c>
      <c r="CK80" s="61" t="str">
        <f t="shared" ref="CK80:CK114" si="174">+IF(J80="si",AG80,"")</f>
        <v/>
      </c>
      <c r="CL80" s="61" t="str">
        <f t="shared" si="153"/>
        <v/>
      </c>
      <c r="CM80" s="61" t="str">
        <f t="shared" si="154"/>
        <v/>
      </c>
      <c r="CN80" s="134" t="str">
        <f t="shared" si="86"/>
        <v/>
      </c>
      <c r="CO80" s="131" t="str">
        <f t="shared" si="84"/>
        <v/>
      </c>
      <c r="CP80" s="131" t="str">
        <f t="shared" ref="CP80:CP114" si="175">+IF(CL80="","",$K$12&amp;BP80&amp;$L$1)</f>
        <v/>
      </c>
      <c r="CQ80" s="131" t="str">
        <f t="shared" ref="CQ80:CQ114" si="176">+IF(CL80="","","&lt;/span&gt;")</f>
        <v/>
      </c>
      <c r="CR80" s="116" t="str">
        <f t="shared" ref="CR80:CR114" si="177">+IF(J80="si",BH80,"")</f>
        <v/>
      </c>
      <c r="CS80" s="116" t="str">
        <f t="shared" ref="CS80:CS114" si="178">+IF(J80="si",BQ80,"")</f>
        <v/>
      </c>
      <c r="CT80" s="116" t="str">
        <f t="shared" ref="CT80:CT114" si="179">+IF(J80="si",BR80,"")</f>
        <v/>
      </c>
      <c r="CU80" s="52">
        <f t="shared" ref="CU80:CU114" si="180">+IF(J80="si",1,0)</f>
        <v>0</v>
      </c>
      <c r="CV80" s="116" t="str">
        <f t="shared" ref="CV80:CV114" si="181">IF(CU80=1,$L$6&amp;BP80&amp;$L$7&amp;BP80&amp;";","")</f>
        <v/>
      </c>
      <c r="CW80" s="116" t="str">
        <f t="shared" ref="CW80:CW114" si="182">IF(BP80="","",IF(H80="si",$F$1&amp;" "&amp;BP80&amp;$L$8&amp;BP80&amp;$L$9,""))</f>
        <v/>
      </c>
      <c r="CX80" s="61" t="str">
        <f t="shared" ref="CX80:CX114" si="183">+IF(J80="si",$C$5&amp;"pre_"&amp;BP80&amp;$G$4,"")</f>
        <v/>
      </c>
      <c r="CY80" s="61" t="str">
        <f t="shared" ref="CY80:CY114" si="184">+IF(J80="si",$C$5&amp;BP80&amp;$G$4,"")</f>
        <v/>
      </c>
      <c r="CZ80" s="61" t="str">
        <f t="shared" ref="CZ80:CZ114" si="185">+CX80&amp;CY80&amp;DF80</f>
        <v/>
      </c>
      <c r="DA80" s="116" t="str">
        <f t="shared" ref="DA80:DA113" si="186">IF(J80="si",$H$2&amp;$O$22&amp;BP80&amp;$H$4,"")</f>
        <v/>
      </c>
      <c r="DB80" s="6" t="str">
        <f t="shared" si="82"/>
        <v/>
      </c>
      <c r="DC80" s="61" t="str">
        <f t="shared" ref="DC80:DC114" si="187">+IF(DB80="si",BE80,"")</f>
        <v/>
      </c>
      <c r="DD80" s="131" t="str">
        <f t="shared" si="87"/>
        <v/>
      </c>
      <c r="DE80" s="131" t="str">
        <f t="shared" si="88"/>
        <v/>
      </c>
      <c r="DF80" s="61" t="str">
        <f t="shared" si="89"/>
        <v/>
      </c>
      <c r="DG80" s="116" t="str">
        <f t="shared" ref="DG80:DG114" si="188">+IF(J80="si",$M$1&amp;$L$6&amp;BP80&amp;$M$2&amp;$O$15&amp;$M$3,"")</f>
        <v/>
      </c>
      <c r="DH80" s="116" t="str">
        <f t="shared" ref="DH80:DH114" si="189">IF(BP80="","",$F$1&amp;BP80&amp;": '."&amp;$N$4&amp;BP80&amp;$N$3)</f>
        <v/>
      </c>
    </row>
    <row r="81" spans="2:112" s="17" customFormat="1" hidden="1">
      <c r="B81" s="35"/>
      <c r="C81" s="35"/>
      <c r="D81" s="36"/>
      <c r="E81" s="35"/>
      <c r="F81" s="35"/>
      <c r="G81" s="35"/>
      <c r="H81" s="35"/>
      <c r="I81" s="35"/>
      <c r="J81" s="121"/>
      <c r="K81" s="59"/>
      <c r="AC81" s="47" t="s">
        <v>260</v>
      </c>
      <c r="AD81" s="52" t="str">
        <f t="shared" si="120"/>
        <v/>
      </c>
      <c r="AE81" s="52">
        <f t="shared" si="121"/>
        <v>0</v>
      </c>
      <c r="AF81" s="52">
        <f t="shared" ref="AF81:AF114" si="190">+AF80+AE81</f>
        <v>6</v>
      </c>
      <c r="AG81" s="61" t="str">
        <f t="shared" si="122"/>
        <v/>
      </c>
      <c r="AH81" s="52">
        <f t="shared" si="123"/>
        <v>0</v>
      </c>
      <c r="AI81" s="52">
        <f t="shared" si="155"/>
        <v>7</v>
      </c>
      <c r="AJ81" s="52" t="str">
        <f t="shared" si="156"/>
        <v/>
      </c>
      <c r="AK81" s="61" t="str">
        <f t="shared" si="124"/>
        <v/>
      </c>
      <c r="AL81" s="95" t="str">
        <f t="shared" si="125"/>
        <v/>
      </c>
      <c r="AM81" s="61" t="str">
        <f t="shared" si="126"/>
        <v>if () {$("#adv_").html("Requierd");$("#").css({"background":"yellow"});} else {$("#adv_").html("");$("#").css({"background":"white"});}</v>
      </c>
      <c r="AN81" s="61" t="str">
        <f t="shared" si="127"/>
        <v>if (=="") {$("#adv_").html("Requierd");} else {$("#adv_").html("");}</v>
      </c>
      <c r="AO81" s="50" t="str">
        <f t="shared" si="128"/>
        <v/>
      </c>
      <c r="AP81" s="61" t="str">
        <f t="shared" si="129"/>
        <v>=$("#").val();</v>
      </c>
      <c r="AQ81" s="61" t="str">
        <f t="shared" si="157"/>
        <v/>
      </c>
      <c r="AR81" s="61" t="str">
        <f t="shared" si="130"/>
        <v>=document.getElementById("").checked;</v>
      </c>
      <c r="AS81" s="102" t="str">
        <f t="shared" si="131"/>
        <v>if (isset($_GET[''])) {$=($_GET['']);}else $='';</v>
      </c>
      <c r="AT81" s="52" t="str">
        <f t="shared" si="132"/>
        <v>EPS</v>
      </c>
      <c r="AU81" s="52" t="str">
        <f t="shared" si="133"/>
        <v>else if (document.getElementById("</v>
      </c>
      <c r="AV81" s="61" t="str">
        <f t="shared" si="134"/>
        <v>else if (document.getElementById("").checked==true) {EPS="";}</v>
      </c>
      <c r="AW81" s="61" t="str">
        <f t="shared" si="158"/>
        <v/>
      </c>
      <c r="AX81" s="102" t="str">
        <f t="shared" si="135"/>
        <v/>
      </c>
      <c r="AY81" s="135" t="str">
        <f t="shared" si="159"/>
        <v/>
      </c>
      <c r="AZ81" s="50" t="str">
        <f t="shared" si="136"/>
        <v>&lt;input type="checkbox" id="" name="" value="1" /&gt;</v>
      </c>
      <c r="BA81" s="105" t="str">
        <f t="shared" si="137"/>
        <v>&lt;br/&gt;&lt;textarea rows="2" cols="80" id=""&gt;&lt;/textarea&gt;&lt;br/&gt;</v>
      </c>
      <c r="BB81" s="50" t="str">
        <f t="shared" si="138"/>
        <v>&lt;input type="radio" name="EPS" id="" value="" /&gt;</v>
      </c>
      <c r="BC81" s="107" t="str">
        <f t="shared" si="139"/>
        <v>&lt;input type="text"  size="7"  id="" class="datepicker"/&gt;</v>
      </c>
      <c r="BD81" s="109" t="str">
        <f t="shared" si="160"/>
        <v/>
      </c>
      <c r="BE81" s="61" t="str">
        <f t="shared" si="140"/>
        <v/>
      </c>
      <c r="BF81" s="52">
        <f t="shared" si="83"/>
        <v>12</v>
      </c>
      <c r="BG81" s="61" t="str">
        <f t="shared" si="161"/>
        <v/>
      </c>
      <c r="BH81" s="102" t="str">
        <f t="shared" si="141"/>
        <v/>
      </c>
      <c r="BI81" s="105" t="str">
        <f t="shared" si="85"/>
        <v/>
      </c>
      <c r="BJ81" s="52" t="str">
        <f t="shared" si="162"/>
        <v/>
      </c>
      <c r="BK81" s="52">
        <f t="shared" si="163"/>
        <v>0</v>
      </c>
      <c r="BL81" s="52">
        <f t="shared" si="164"/>
        <v>2</v>
      </c>
      <c r="BM81" s="52" t="str">
        <f t="shared" ref="BM81:BM114" si="191">IF(BL80=0,"",IF(BL81=BL80,""," AND "))</f>
        <v/>
      </c>
      <c r="BN81" s="52" t="str">
        <f t="shared" si="142"/>
        <v/>
      </c>
      <c r="BO81" s="52" t="str">
        <f t="shared" si="165"/>
        <v/>
      </c>
      <c r="BP81" s="113" t="str">
        <f t="shared" si="166"/>
        <v/>
      </c>
      <c r="BQ81" s="52" t="str">
        <f t="shared" ref="BQ81:BQ114" si="192">IF(BK81=0,"",IF(BP81="","",BM81&amp;BP81&amp;"='$"&amp;BP81&amp;"'"))</f>
        <v/>
      </c>
      <c r="BR81" s="52" t="str">
        <f t="shared" si="167"/>
        <v/>
      </c>
      <c r="BS81" s="52" t="str">
        <f t="shared" si="168"/>
        <v/>
      </c>
      <c r="BT81" s="52" t="str">
        <f t="shared" si="169"/>
        <v/>
      </c>
      <c r="BU81" s="52" t="str">
        <f t="shared" si="170"/>
        <v/>
      </c>
      <c r="BV81" s="102" t="str">
        <f t="shared" si="143"/>
        <v/>
      </c>
      <c r="BW81" s="116" t="str">
        <f t="shared" si="144"/>
        <v/>
      </c>
      <c r="BX81" s="61" t="str">
        <f t="shared" si="145"/>
        <v/>
      </c>
      <c r="BY81" s="52" t="str">
        <f t="shared" si="146"/>
        <v/>
      </c>
      <c r="BZ81" s="52" t="str">
        <f t="shared" si="147"/>
        <v/>
      </c>
      <c r="CA81" s="52" t="str">
        <f t="shared" si="171"/>
        <v/>
      </c>
      <c r="CB81" s="52" t="str">
        <f t="shared" si="148"/>
        <v/>
      </c>
      <c r="CC81" s="52" t="str">
        <f t="shared" si="149"/>
        <v/>
      </c>
      <c r="CD81" s="102" t="str">
        <f t="shared" si="150"/>
        <v/>
      </c>
      <c r="CE81" s="116" t="str">
        <f t="shared" si="151"/>
        <v/>
      </c>
      <c r="CF81" s="116" t="str">
        <f t="shared" si="92"/>
        <v/>
      </c>
      <c r="CG81" s="61" t="str">
        <f t="shared" si="152"/>
        <v/>
      </c>
      <c r="CH81" s="52">
        <f t="shared" ref="CH81:CH114" si="193">+IF(CG81&lt;&gt;"",1,0)+CH80</f>
        <v>2</v>
      </c>
      <c r="CI81" s="61" t="str">
        <f t="shared" si="172"/>
        <v/>
      </c>
      <c r="CJ81" s="61" t="str">
        <f t="shared" si="173"/>
        <v/>
      </c>
      <c r="CK81" s="61" t="str">
        <f t="shared" si="174"/>
        <v/>
      </c>
      <c r="CL81" s="61" t="str">
        <f t="shared" si="153"/>
        <v/>
      </c>
      <c r="CM81" s="61" t="str">
        <f t="shared" si="154"/>
        <v/>
      </c>
      <c r="CN81" s="134" t="str">
        <f t="shared" si="86"/>
        <v/>
      </c>
      <c r="CO81" s="131" t="str">
        <f t="shared" si="84"/>
        <v/>
      </c>
      <c r="CP81" s="131" t="str">
        <f t="shared" si="175"/>
        <v/>
      </c>
      <c r="CQ81" s="131" t="str">
        <f t="shared" si="176"/>
        <v/>
      </c>
      <c r="CR81" s="116" t="str">
        <f t="shared" si="177"/>
        <v/>
      </c>
      <c r="CS81" s="116" t="str">
        <f t="shared" si="178"/>
        <v/>
      </c>
      <c r="CT81" s="116" t="str">
        <f t="shared" si="179"/>
        <v/>
      </c>
      <c r="CU81" s="52">
        <f t="shared" si="180"/>
        <v>0</v>
      </c>
      <c r="CV81" s="116" t="str">
        <f t="shared" si="181"/>
        <v/>
      </c>
      <c r="CW81" s="116" t="str">
        <f t="shared" si="182"/>
        <v/>
      </c>
      <c r="CX81" s="61" t="str">
        <f t="shared" si="183"/>
        <v/>
      </c>
      <c r="CY81" s="61" t="str">
        <f t="shared" si="184"/>
        <v/>
      </c>
      <c r="CZ81" s="61" t="str">
        <f t="shared" si="185"/>
        <v/>
      </c>
      <c r="DA81" s="116" t="str">
        <f t="shared" si="186"/>
        <v/>
      </c>
      <c r="DB81" s="6" t="str">
        <f t="shared" ref="DB81:DB114" si="194">+IF(AND(F81="radio",J81="si"),J81,IF(AND(F81="radio",F80="radio",J81=""),DB80,IF(J81="si",J81,"")))</f>
        <v/>
      </c>
      <c r="DC81" s="61" t="str">
        <f t="shared" si="187"/>
        <v/>
      </c>
      <c r="DD81" s="131" t="str">
        <f t="shared" si="87"/>
        <v/>
      </c>
      <c r="DE81" s="131" t="str">
        <f t="shared" si="88"/>
        <v/>
      </c>
      <c r="DF81" s="61" t="str">
        <f t="shared" si="89"/>
        <v/>
      </c>
      <c r="DG81" s="116" t="str">
        <f t="shared" si="188"/>
        <v/>
      </c>
      <c r="DH81" s="116" t="str">
        <f t="shared" si="189"/>
        <v/>
      </c>
    </row>
    <row r="82" spans="2:112" s="17" customFormat="1" hidden="1">
      <c r="B82" s="35"/>
      <c r="C82" s="35"/>
      <c r="D82" s="36"/>
      <c r="E82" s="35"/>
      <c r="F82" s="35"/>
      <c r="G82" s="35"/>
      <c r="H82" s="35"/>
      <c r="I82" s="35"/>
      <c r="J82" s="121"/>
      <c r="K82" s="59"/>
      <c r="AC82" s="47" t="s">
        <v>261</v>
      </c>
      <c r="AD82" s="52" t="str">
        <f t="shared" si="120"/>
        <v/>
      </c>
      <c r="AE82" s="52">
        <f t="shared" si="121"/>
        <v>0</v>
      </c>
      <c r="AF82" s="52">
        <f t="shared" si="190"/>
        <v>6</v>
      </c>
      <c r="AG82" s="61" t="str">
        <f t="shared" si="122"/>
        <v/>
      </c>
      <c r="AH82" s="52">
        <f t="shared" si="123"/>
        <v>0</v>
      </c>
      <c r="AI82" s="52">
        <f t="shared" si="155"/>
        <v>7</v>
      </c>
      <c r="AJ82" s="52" t="str">
        <f t="shared" si="156"/>
        <v/>
      </c>
      <c r="AK82" s="61" t="str">
        <f t="shared" si="124"/>
        <v/>
      </c>
      <c r="AL82" s="95" t="str">
        <f t="shared" si="125"/>
        <v/>
      </c>
      <c r="AM82" s="61" t="str">
        <f t="shared" si="126"/>
        <v>if () {$("#adv_").html("Requierd");$("#").css({"background":"yellow"});} else {$("#adv_").html("");$("#").css({"background":"white"});}</v>
      </c>
      <c r="AN82" s="61" t="str">
        <f t="shared" si="127"/>
        <v>if (=="") {$("#adv_").html("Requierd");} else {$("#adv_").html("");}</v>
      </c>
      <c r="AO82" s="50" t="str">
        <f t="shared" si="128"/>
        <v/>
      </c>
      <c r="AP82" s="61" t="str">
        <f t="shared" si="129"/>
        <v>=$("#").val();</v>
      </c>
      <c r="AQ82" s="61" t="str">
        <f t="shared" si="157"/>
        <v/>
      </c>
      <c r="AR82" s="61" t="str">
        <f t="shared" si="130"/>
        <v>=document.getElementById("").checked;</v>
      </c>
      <c r="AS82" s="102" t="str">
        <f t="shared" si="131"/>
        <v>if (isset($_GET[''])) {$=($_GET['']);}else $='';</v>
      </c>
      <c r="AT82" s="52" t="str">
        <f t="shared" si="132"/>
        <v>EPS</v>
      </c>
      <c r="AU82" s="52" t="str">
        <f t="shared" si="133"/>
        <v>else if (document.getElementById("</v>
      </c>
      <c r="AV82" s="61" t="str">
        <f t="shared" si="134"/>
        <v>else if (document.getElementById("").checked==true) {EPS="";}</v>
      </c>
      <c r="AW82" s="61" t="str">
        <f t="shared" si="158"/>
        <v/>
      </c>
      <c r="AX82" s="102" t="str">
        <f t="shared" si="135"/>
        <v/>
      </c>
      <c r="AY82" s="135" t="str">
        <f t="shared" si="159"/>
        <v/>
      </c>
      <c r="AZ82" s="50" t="str">
        <f t="shared" si="136"/>
        <v>&lt;input type="checkbox" id="" name="" value="1" /&gt;</v>
      </c>
      <c r="BA82" s="105" t="str">
        <f t="shared" si="137"/>
        <v>&lt;br/&gt;&lt;textarea rows="2" cols="80" id=""&gt;&lt;/textarea&gt;&lt;br/&gt;</v>
      </c>
      <c r="BB82" s="50" t="str">
        <f t="shared" si="138"/>
        <v>&lt;input type="radio" name="EPS" id="" value="" /&gt;</v>
      </c>
      <c r="BC82" s="107" t="str">
        <f t="shared" si="139"/>
        <v>&lt;input type="text"  size="7"  id="" class="datepicker"/&gt;</v>
      </c>
      <c r="BD82" s="109" t="str">
        <f t="shared" si="160"/>
        <v/>
      </c>
      <c r="BE82" s="61" t="str">
        <f t="shared" si="140"/>
        <v/>
      </c>
      <c r="BF82" s="52">
        <f t="shared" si="83"/>
        <v>12</v>
      </c>
      <c r="BG82" s="61" t="str">
        <f t="shared" si="161"/>
        <v/>
      </c>
      <c r="BH82" s="102" t="str">
        <f t="shared" si="141"/>
        <v/>
      </c>
      <c r="BI82" s="105" t="str">
        <f t="shared" si="85"/>
        <v/>
      </c>
      <c r="BJ82" s="52" t="str">
        <f t="shared" si="162"/>
        <v/>
      </c>
      <c r="BK82" s="52">
        <f t="shared" si="163"/>
        <v>0</v>
      </c>
      <c r="BL82" s="52">
        <f t="shared" si="164"/>
        <v>2</v>
      </c>
      <c r="BM82" s="52" t="str">
        <f t="shared" si="191"/>
        <v/>
      </c>
      <c r="BN82" s="52" t="str">
        <f t="shared" si="142"/>
        <v/>
      </c>
      <c r="BO82" s="52" t="str">
        <f t="shared" si="165"/>
        <v/>
      </c>
      <c r="BP82" s="113" t="str">
        <f t="shared" si="166"/>
        <v/>
      </c>
      <c r="BQ82" s="52" t="str">
        <f t="shared" si="192"/>
        <v/>
      </c>
      <c r="BR82" s="52" t="str">
        <f t="shared" si="167"/>
        <v/>
      </c>
      <c r="BS82" s="52" t="str">
        <f t="shared" si="168"/>
        <v/>
      </c>
      <c r="BT82" s="52" t="str">
        <f t="shared" si="169"/>
        <v/>
      </c>
      <c r="BU82" s="52" t="str">
        <f t="shared" si="170"/>
        <v/>
      </c>
      <c r="BV82" s="102" t="str">
        <f t="shared" si="143"/>
        <v/>
      </c>
      <c r="BW82" s="116" t="str">
        <f t="shared" si="144"/>
        <v/>
      </c>
      <c r="BX82" s="61" t="str">
        <f t="shared" si="145"/>
        <v/>
      </c>
      <c r="BY82" s="52" t="str">
        <f t="shared" si="146"/>
        <v/>
      </c>
      <c r="BZ82" s="52" t="str">
        <f t="shared" si="147"/>
        <v/>
      </c>
      <c r="CA82" s="52" t="str">
        <f t="shared" si="171"/>
        <v/>
      </c>
      <c r="CB82" s="52" t="str">
        <f t="shared" si="148"/>
        <v/>
      </c>
      <c r="CC82" s="52" t="str">
        <f t="shared" si="149"/>
        <v/>
      </c>
      <c r="CD82" s="102" t="str">
        <f t="shared" si="150"/>
        <v/>
      </c>
      <c r="CE82" s="116" t="str">
        <f t="shared" si="151"/>
        <v/>
      </c>
      <c r="CF82" s="116" t="str">
        <f t="shared" si="92"/>
        <v/>
      </c>
      <c r="CG82" s="61" t="str">
        <f t="shared" si="152"/>
        <v/>
      </c>
      <c r="CH82" s="52">
        <f t="shared" si="193"/>
        <v>2</v>
      </c>
      <c r="CI82" s="61" t="str">
        <f t="shared" si="172"/>
        <v/>
      </c>
      <c r="CJ82" s="61" t="str">
        <f t="shared" si="173"/>
        <v/>
      </c>
      <c r="CK82" s="61" t="str">
        <f t="shared" si="174"/>
        <v/>
      </c>
      <c r="CL82" s="61" t="str">
        <f t="shared" si="153"/>
        <v/>
      </c>
      <c r="CM82" s="61" t="str">
        <f t="shared" si="154"/>
        <v/>
      </c>
      <c r="CN82" s="134" t="str">
        <f t="shared" si="86"/>
        <v/>
      </c>
      <c r="CO82" s="131" t="str">
        <f t="shared" si="84"/>
        <v/>
      </c>
      <c r="CP82" s="131" t="str">
        <f t="shared" si="175"/>
        <v/>
      </c>
      <c r="CQ82" s="131" t="str">
        <f t="shared" si="176"/>
        <v/>
      </c>
      <c r="CR82" s="116" t="str">
        <f t="shared" si="177"/>
        <v/>
      </c>
      <c r="CS82" s="116" t="str">
        <f t="shared" si="178"/>
        <v/>
      </c>
      <c r="CT82" s="116" t="str">
        <f t="shared" si="179"/>
        <v/>
      </c>
      <c r="CU82" s="52">
        <f t="shared" si="180"/>
        <v>0</v>
      </c>
      <c r="CV82" s="116" t="str">
        <f t="shared" si="181"/>
        <v/>
      </c>
      <c r="CW82" s="116" t="str">
        <f t="shared" si="182"/>
        <v/>
      </c>
      <c r="CX82" s="61" t="str">
        <f t="shared" si="183"/>
        <v/>
      </c>
      <c r="CY82" s="61" t="str">
        <f t="shared" si="184"/>
        <v/>
      </c>
      <c r="CZ82" s="61" t="str">
        <f t="shared" si="185"/>
        <v/>
      </c>
      <c r="DA82" s="116" t="str">
        <f t="shared" si="186"/>
        <v/>
      </c>
      <c r="DB82" s="6" t="str">
        <f t="shared" si="194"/>
        <v/>
      </c>
      <c r="DC82" s="61" t="str">
        <f t="shared" si="187"/>
        <v/>
      </c>
      <c r="DD82" s="131" t="str">
        <f t="shared" si="87"/>
        <v/>
      </c>
      <c r="DE82" s="131" t="str">
        <f t="shared" si="88"/>
        <v/>
      </c>
      <c r="DF82" s="61" t="str">
        <f t="shared" si="89"/>
        <v/>
      </c>
      <c r="DG82" s="116" t="str">
        <f t="shared" si="188"/>
        <v/>
      </c>
      <c r="DH82" s="116" t="str">
        <f t="shared" si="189"/>
        <v/>
      </c>
    </row>
    <row r="83" spans="2:112" s="17" customFormat="1" hidden="1">
      <c r="B83" s="35"/>
      <c r="C83" s="35"/>
      <c r="D83" s="36"/>
      <c r="E83" s="35"/>
      <c r="F83" s="35"/>
      <c r="G83" s="35"/>
      <c r="H83" s="35"/>
      <c r="I83" s="35"/>
      <c r="J83" s="121"/>
      <c r="K83" s="59"/>
      <c r="AC83" s="47" t="s">
        <v>262</v>
      </c>
      <c r="AD83" s="52" t="str">
        <f t="shared" si="120"/>
        <v/>
      </c>
      <c r="AE83" s="52">
        <f t="shared" si="121"/>
        <v>0</v>
      </c>
      <c r="AF83" s="52">
        <f t="shared" si="190"/>
        <v>6</v>
      </c>
      <c r="AG83" s="61" t="str">
        <f t="shared" si="122"/>
        <v/>
      </c>
      <c r="AH83" s="52">
        <f t="shared" si="123"/>
        <v>0</v>
      </c>
      <c r="AI83" s="52">
        <f t="shared" si="155"/>
        <v>7</v>
      </c>
      <c r="AJ83" s="52" t="str">
        <f t="shared" si="156"/>
        <v/>
      </c>
      <c r="AK83" s="61" t="str">
        <f t="shared" si="124"/>
        <v/>
      </c>
      <c r="AL83" s="95" t="str">
        <f t="shared" si="125"/>
        <v/>
      </c>
      <c r="AM83" s="61" t="str">
        <f t="shared" si="126"/>
        <v>if () {$("#adv_").html("Requierd");$("#").css({"background":"yellow"});} else {$("#adv_").html("");$("#").css({"background":"white"});}</v>
      </c>
      <c r="AN83" s="61" t="str">
        <f t="shared" si="127"/>
        <v>if (=="") {$("#adv_").html("Requierd");} else {$("#adv_").html("");}</v>
      </c>
      <c r="AO83" s="50" t="str">
        <f t="shared" si="128"/>
        <v/>
      </c>
      <c r="AP83" s="61" t="str">
        <f t="shared" si="129"/>
        <v>=$("#").val();</v>
      </c>
      <c r="AQ83" s="61" t="str">
        <f t="shared" si="157"/>
        <v/>
      </c>
      <c r="AR83" s="61" t="str">
        <f t="shared" si="130"/>
        <v>=document.getElementById("").checked;</v>
      </c>
      <c r="AS83" s="102" t="str">
        <f t="shared" si="131"/>
        <v>if (isset($_GET[''])) {$=($_GET['']);}else $='';</v>
      </c>
      <c r="AT83" s="52" t="str">
        <f t="shared" si="132"/>
        <v>EPS</v>
      </c>
      <c r="AU83" s="52" t="str">
        <f t="shared" si="133"/>
        <v>else if (document.getElementById("</v>
      </c>
      <c r="AV83" s="61" t="str">
        <f t="shared" si="134"/>
        <v>else if (document.getElementById("").checked==true) {EPS="";}</v>
      </c>
      <c r="AW83" s="61" t="str">
        <f t="shared" si="158"/>
        <v/>
      </c>
      <c r="AX83" s="102" t="str">
        <f t="shared" si="135"/>
        <v/>
      </c>
      <c r="AY83" s="135" t="str">
        <f t="shared" si="159"/>
        <v/>
      </c>
      <c r="AZ83" s="50" t="str">
        <f t="shared" si="136"/>
        <v>&lt;input type="checkbox" id="" name="" value="1" /&gt;</v>
      </c>
      <c r="BA83" s="105" t="str">
        <f t="shared" si="137"/>
        <v>&lt;br/&gt;&lt;textarea rows="2" cols="80" id=""&gt;&lt;/textarea&gt;&lt;br/&gt;</v>
      </c>
      <c r="BB83" s="50" t="str">
        <f t="shared" si="138"/>
        <v>&lt;input type="radio" name="EPS" id="" value="" /&gt;</v>
      </c>
      <c r="BC83" s="107" t="str">
        <f t="shared" si="139"/>
        <v>&lt;input type="text"  size="7"  id="" class="datepicker"/&gt;</v>
      </c>
      <c r="BD83" s="109" t="str">
        <f t="shared" si="160"/>
        <v/>
      </c>
      <c r="BE83" s="61" t="str">
        <f t="shared" si="140"/>
        <v/>
      </c>
      <c r="BF83" s="52">
        <f t="shared" ref="BF83:BF114" si="195">+IF(BE83="",0,1)+BF82</f>
        <v>12</v>
      </c>
      <c r="BG83" s="61" t="str">
        <f t="shared" si="161"/>
        <v/>
      </c>
      <c r="BH83" s="102" t="str">
        <f t="shared" si="141"/>
        <v/>
      </c>
      <c r="BI83" s="105" t="str">
        <f t="shared" si="85"/>
        <v/>
      </c>
      <c r="BJ83" s="52" t="str">
        <f t="shared" si="162"/>
        <v/>
      </c>
      <c r="BK83" s="52">
        <f t="shared" si="163"/>
        <v>0</v>
      </c>
      <c r="BL83" s="52">
        <f t="shared" si="164"/>
        <v>2</v>
      </c>
      <c r="BM83" s="52" t="str">
        <f t="shared" si="191"/>
        <v/>
      </c>
      <c r="BN83" s="52" t="str">
        <f t="shared" si="142"/>
        <v/>
      </c>
      <c r="BO83" s="52" t="str">
        <f t="shared" si="165"/>
        <v/>
      </c>
      <c r="BP83" s="113" t="str">
        <f t="shared" si="166"/>
        <v/>
      </c>
      <c r="BQ83" s="52" t="str">
        <f t="shared" si="192"/>
        <v/>
      </c>
      <c r="BR83" s="52" t="str">
        <f t="shared" si="167"/>
        <v/>
      </c>
      <c r="BS83" s="52" t="str">
        <f t="shared" si="168"/>
        <v/>
      </c>
      <c r="BT83" s="52" t="str">
        <f t="shared" si="169"/>
        <v/>
      </c>
      <c r="BU83" s="52" t="str">
        <f t="shared" si="170"/>
        <v/>
      </c>
      <c r="BV83" s="102" t="str">
        <f t="shared" si="143"/>
        <v/>
      </c>
      <c r="BW83" s="116" t="str">
        <f t="shared" si="144"/>
        <v/>
      </c>
      <c r="BX83" s="61" t="str">
        <f t="shared" si="145"/>
        <v/>
      </c>
      <c r="BY83" s="52" t="str">
        <f t="shared" si="146"/>
        <v/>
      </c>
      <c r="BZ83" s="52" t="str">
        <f t="shared" si="147"/>
        <v/>
      </c>
      <c r="CA83" s="52" t="str">
        <f t="shared" si="171"/>
        <v/>
      </c>
      <c r="CB83" s="52" t="str">
        <f t="shared" si="148"/>
        <v/>
      </c>
      <c r="CC83" s="52" t="str">
        <f t="shared" si="149"/>
        <v/>
      </c>
      <c r="CD83" s="102" t="str">
        <f t="shared" si="150"/>
        <v/>
      </c>
      <c r="CE83" s="116" t="str">
        <f t="shared" si="151"/>
        <v/>
      </c>
      <c r="CF83" s="116" t="str">
        <f t="shared" si="92"/>
        <v/>
      </c>
      <c r="CG83" s="61" t="str">
        <f t="shared" si="152"/>
        <v/>
      </c>
      <c r="CH83" s="52">
        <f t="shared" si="193"/>
        <v>2</v>
      </c>
      <c r="CI83" s="61" t="str">
        <f t="shared" si="172"/>
        <v/>
      </c>
      <c r="CJ83" s="61" t="str">
        <f t="shared" si="173"/>
        <v/>
      </c>
      <c r="CK83" s="61" t="str">
        <f t="shared" si="174"/>
        <v/>
      </c>
      <c r="CL83" s="61" t="str">
        <f t="shared" si="153"/>
        <v/>
      </c>
      <c r="CM83" s="61" t="str">
        <f t="shared" si="154"/>
        <v/>
      </c>
      <c r="CN83" s="134" t="str">
        <f t="shared" si="86"/>
        <v/>
      </c>
      <c r="CO83" s="131" t="str">
        <f t="shared" si="84"/>
        <v/>
      </c>
      <c r="CP83" s="131" t="str">
        <f t="shared" si="175"/>
        <v/>
      </c>
      <c r="CQ83" s="131" t="str">
        <f t="shared" si="176"/>
        <v/>
      </c>
      <c r="CR83" s="116" t="str">
        <f t="shared" si="177"/>
        <v/>
      </c>
      <c r="CS83" s="116" t="str">
        <f t="shared" si="178"/>
        <v/>
      </c>
      <c r="CT83" s="116" t="str">
        <f t="shared" si="179"/>
        <v/>
      </c>
      <c r="CU83" s="52">
        <f t="shared" si="180"/>
        <v>0</v>
      </c>
      <c r="CV83" s="116" t="str">
        <f t="shared" si="181"/>
        <v/>
      </c>
      <c r="CW83" s="116" t="str">
        <f t="shared" si="182"/>
        <v/>
      </c>
      <c r="CX83" s="61" t="str">
        <f t="shared" si="183"/>
        <v/>
      </c>
      <c r="CY83" s="61" t="str">
        <f t="shared" si="184"/>
        <v/>
      </c>
      <c r="CZ83" s="61" t="str">
        <f t="shared" si="185"/>
        <v/>
      </c>
      <c r="DA83" s="116" t="str">
        <f t="shared" si="186"/>
        <v/>
      </c>
      <c r="DB83" s="6" t="str">
        <f t="shared" si="194"/>
        <v/>
      </c>
      <c r="DC83" s="61" t="str">
        <f t="shared" si="187"/>
        <v/>
      </c>
      <c r="DD83" s="131" t="str">
        <f t="shared" si="87"/>
        <v/>
      </c>
      <c r="DE83" s="131" t="str">
        <f t="shared" si="88"/>
        <v/>
      </c>
      <c r="DF83" s="61" t="str">
        <f t="shared" si="89"/>
        <v/>
      </c>
      <c r="DG83" s="116" t="str">
        <f t="shared" si="188"/>
        <v/>
      </c>
      <c r="DH83" s="116" t="str">
        <f t="shared" si="189"/>
        <v/>
      </c>
    </row>
    <row r="84" spans="2:112" s="17" customFormat="1" hidden="1">
      <c r="B84" s="35"/>
      <c r="C84" s="35"/>
      <c r="D84" s="36"/>
      <c r="E84" s="35"/>
      <c r="F84" s="35"/>
      <c r="G84" s="35"/>
      <c r="H84" s="35"/>
      <c r="I84" s="35"/>
      <c r="J84" s="121"/>
      <c r="K84" s="59"/>
      <c r="AC84" s="47" t="s">
        <v>263</v>
      </c>
      <c r="AD84" s="52" t="str">
        <f t="shared" si="120"/>
        <v/>
      </c>
      <c r="AE84" s="52">
        <f t="shared" si="121"/>
        <v>0</v>
      </c>
      <c r="AF84" s="52">
        <f t="shared" si="190"/>
        <v>6</v>
      </c>
      <c r="AG84" s="61" t="str">
        <f t="shared" si="122"/>
        <v/>
      </c>
      <c r="AH84" s="52">
        <f t="shared" si="123"/>
        <v>0</v>
      </c>
      <c r="AI84" s="52">
        <f t="shared" si="155"/>
        <v>7</v>
      </c>
      <c r="AJ84" s="52" t="str">
        <f t="shared" si="156"/>
        <v/>
      </c>
      <c r="AK84" s="61" t="str">
        <f t="shared" si="124"/>
        <v/>
      </c>
      <c r="AL84" s="95" t="str">
        <f t="shared" si="125"/>
        <v/>
      </c>
      <c r="AM84" s="61" t="str">
        <f t="shared" si="126"/>
        <v>if () {$("#adv_").html("Requierd");$("#").css({"background":"yellow"});} else {$("#adv_").html("");$("#").css({"background":"white"});}</v>
      </c>
      <c r="AN84" s="61" t="str">
        <f t="shared" si="127"/>
        <v>if (=="") {$("#adv_").html("Requierd");} else {$("#adv_").html("");}</v>
      </c>
      <c r="AO84" s="50" t="str">
        <f t="shared" si="128"/>
        <v/>
      </c>
      <c r="AP84" s="61" t="str">
        <f t="shared" si="129"/>
        <v>=$("#").val();</v>
      </c>
      <c r="AQ84" s="61" t="str">
        <f t="shared" si="157"/>
        <v/>
      </c>
      <c r="AR84" s="61" t="str">
        <f t="shared" si="130"/>
        <v>=document.getElementById("").checked;</v>
      </c>
      <c r="AS84" s="102" t="str">
        <f t="shared" si="131"/>
        <v>if (isset($_GET[''])) {$=($_GET['']);}else $='';</v>
      </c>
      <c r="AT84" s="52" t="str">
        <f t="shared" si="132"/>
        <v>EPS</v>
      </c>
      <c r="AU84" s="52" t="str">
        <f t="shared" si="133"/>
        <v>else if (document.getElementById("</v>
      </c>
      <c r="AV84" s="61" t="str">
        <f t="shared" si="134"/>
        <v>else if (document.getElementById("").checked==true) {EPS="";}</v>
      </c>
      <c r="AW84" s="61" t="str">
        <f t="shared" si="158"/>
        <v/>
      </c>
      <c r="AX84" s="102" t="str">
        <f t="shared" si="135"/>
        <v/>
      </c>
      <c r="AY84" s="135" t="str">
        <f t="shared" si="159"/>
        <v/>
      </c>
      <c r="AZ84" s="50" t="str">
        <f t="shared" si="136"/>
        <v>&lt;input type="checkbox" id="" name="" value="1" /&gt;</v>
      </c>
      <c r="BA84" s="105" t="str">
        <f t="shared" si="137"/>
        <v>&lt;br/&gt;&lt;textarea rows="2" cols="80" id=""&gt;&lt;/textarea&gt;&lt;br/&gt;</v>
      </c>
      <c r="BB84" s="50" t="str">
        <f t="shared" si="138"/>
        <v>&lt;input type="radio" name="EPS" id="" value="" /&gt;</v>
      </c>
      <c r="BC84" s="107" t="str">
        <f t="shared" si="139"/>
        <v>&lt;input type="text"  size="7"  id="" class="datepicker"/&gt;</v>
      </c>
      <c r="BD84" s="109" t="str">
        <f t="shared" si="160"/>
        <v/>
      </c>
      <c r="BE84" s="61" t="str">
        <f t="shared" si="140"/>
        <v/>
      </c>
      <c r="BF84" s="52">
        <f t="shared" si="195"/>
        <v>12</v>
      </c>
      <c r="BG84" s="61" t="str">
        <f t="shared" si="161"/>
        <v/>
      </c>
      <c r="BH84" s="102" t="str">
        <f t="shared" si="141"/>
        <v/>
      </c>
      <c r="BI84" s="105" t="str">
        <f t="shared" si="85"/>
        <v/>
      </c>
      <c r="BJ84" s="52" t="str">
        <f t="shared" si="162"/>
        <v/>
      </c>
      <c r="BK84" s="52">
        <f t="shared" si="163"/>
        <v>0</v>
      </c>
      <c r="BL84" s="52">
        <f t="shared" si="164"/>
        <v>2</v>
      </c>
      <c r="BM84" s="52" t="str">
        <f t="shared" si="191"/>
        <v/>
      </c>
      <c r="BN84" s="52" t="str">
        <f t="shared" si="142"/>
        <v/>
      </c>
      <c r="BO84" s="52" t="str">
        <f t="shared" si="165"/>
        <v/>
      </c>
      <c r="BP84" s="113" t="str">
        <f t="shared" si="166"/>
        <v/>
      </c>
      <c r="BQ84" s="52" t="str">
        <f t="shared" si="192"/>
        <v/>
      </c>
      <c r="BR84" s="52" t="str">
        <f t="shared" si="167"/>
        <v/>
      </c>
      <c r="BS84" s="52" t="str">
        <f t="shared" si="168"/>
        <v/>
      </c>
      <c r="BT84" s="52" t="str">
        <f t="shared" si="169"/>
        <v/>
      </c>
      <c r="BU84" s="52" t="str">
        <f t="shared" si="170"/>
        <v/>
      </c>
      <c r="BV84" s="102" t="str">
        <f t="shared" si="143"/>
        <v/>
      </c>
      <c r="BW84" s="116" t="str">
        <f t="shared" si="144"/>
        <v/>
      </c>
      <c r="BX84" s="61" t="str">
        <f t="shared" si="145"/>
        <v/>
      </c>
      <c r="BY84" s="52" t="str">
        <f t="shared" si="146"/>
        <v/>
      </c>
      <c r="BZ84" s="52" t="str">
        <f t="shared" si="147"/>
        <v/>
      </c>
      <c r="CA84" s="52" t="str">
        <f t="shared" si="171"/>
        <v/>
      </c>
      <c r="CB84" s="52" t="str">
        <f t="shared" si="148"/>
        <v/>
      </c>
      <c r="CC84" s="52" t="str">
        <f t="shared" si="149"/>
        <v/>
      </c>
      <c r="CD84" s="102" t="str">
        <f t="shared" si="150"/>
        <v/>
      </c>
      <c r="CE84" s="116" t="str">
        <f t="shared" si="151"/>
        <v/>
      </c>
      <c r="CF84" s="116" t="str">
        <f t="shared" si="92"/>
        <v/>
      </c>
      <c r="CG84" s="61" t="str">
        <f t="shared" si="152"/>
        <v/>
      </c>
      <c r="CH84" s="52">
        <f t="shared" si="193"/>
        <v>2</v>
      </c>
      <c r="CI84" s="61" t="str">
        <f t="shared" si="172"/>
        <v/>
      </c>
      <c r="CJ84" s="61" t="str">
        <f t="shared" si="173"/>
        <v/>
      </c>
      <c r="CK84" s="61" t="str">
        <f t="shared" si="174"/>
        <v/>
      </c>
      <c r="CL84" s="61" t="str">
        <f t="shared" si="153"/>
        <v/>
      </c>
      <c r="CM84" s="61" t="str">
        <f t="shared" si="154"/>
        <v/>
      </c>
      <c r="CN84" s="134" t="str">
        <f t="shared" si="86"/>
        <v/>
      </c>
      <c r="CO84" s="131" t="str">
        <f t="shared" si="84"/>
        <v/>
      </c>
      <c r="CP84" s="131" t="str">
        <f t="shared" si="175"/>
        <v/>
      </c>
      <c r="CQ84" s="131" t="str">
        <f t="shared" si="176"/>
        <v/>
      </c>
      <c r="CR84" s="116" t="str">
        <f t="shared" si="177"/>
        <v/>
      </c>
      <c r="CS84" s="116" t="str">
        <f t="shared" si="178"/>
        <v/>
      </c>
      <c r="CT84" s="116" t="str">
        <f t="shared" si="179"/>
        <v/>
      </c>
      <c r="CU84" s="52">
        <f t="shared" si="180"/>
        <v>0</v>
      </c>
      <c r="CV84" s="116" t="str">
        <f t="shared" si="181"/>
        <v/>
      </c>
      <c r="CW84" s="116" t="str">
        <f t="shared" si="182"/>
        <v/>
      </c>
      <c r="CX84" s="61" t="str">
        <f t="shared" si="183"/>
        <v/>
      </c>
      <c r="CY84" s="61" t="str">
        <f t="shared" si="184"/>
        <v/>
      </c>
      <c r="CZ84" s="61" t="str">
        <f t="shared" si="185"/>
        <v/>
      </c>
      <c r="DA84" s="116" t="str">
        <f t="shared" si="186"/>
        <v/>
      </c>
      <c r="DB84" s="6" t="str">
        <f t="shared" si="194"/>
        <v/>
      </c>
      <c r="DC84" s="61" t="str">
        <f t="shared" si="187"/>
        <v/>
      </c>
      <c r="DD84" s="131" t="str">
        <f t="shared" si="87"/>
        <v/>
      </c>
      <c r="DE84" s="131" t="str">
        <f t="shared" si="88"/>
        <v/>
      </c>
      <c r="DF84" s="61" t="str">
        <f t="shared" si="89"/>
        <v/>
      </c>
      <c r="DG84" s="116" t="str">
        <f t="shared" si="188"/>
        <v/>
      </c>
      <c r="DH84" s="116" t="str">
        <f t="shared" si="189"/>
        <v/>
      </c>
    </row>
    <row r="85" spans="2:112" s="17" customFormat="1" hidden="1">
      <c r="B85" s="35"/>
      <c r="C85" s="35"/>
      <c r="D85" s="36"/>
      <c r="E85" s="35"/>
      <c r="F85" s="35"/>
      <c r="G85" s="35"/>
      <c r="H85" s="35"/>
      <c r="I85" s="35"/>
      <c r="J85" s="121"/>
      <c r="K85" s="59"/>
      <c r="AC85" s="47" t="s">
        <v>264</v>
      </c>
      <c r="AD85" s="52" t="str">
        <f t="shared" si="120"/>
        <v/>
      </c>
      <c r="AE85" s="52">
        <f t="shared" si="121"/>
        <v>0</v>
      </c>
      <c r="AF85" s="52">
        <f t="shared" si="190"/>
        <v>6</v>
      </c>
      <c r="AG85" s="61" t="str">
        <f t="shared" si="122"/>
        <v/>
      </c>
      <c r="AH85" s="52">
        <f t="shared" si="123"/>
        <v>0</v>
      </c>
      <c r="AI85" s="52">
        <f t="shared" si="155"/>
        <v>7</v>
      </c>
      <c r="AJ85" s="52" t="str">
        <f t="shared" si="156"/>
        <v/>
      </c>
      <c r="AK85" s="61" t="str">
        <f t="shared" si="124"/>
        <v/>
      </c>
      <c r="AL85" s="95" t="str">
        <f t="shared" si="125"/>
        <v/>
      </c>
      <c r="AM85" s="61" t="str">
        <f t="shared" si="126"/>
        <v>if () {$("#adv_").html("Requierd");$("#").css({"background":"yellow"});} else {$("#adv_").html("");$("#").css({"background":"white"});}</v>
      </c>
      <c r="AN85" s="61" t="str">
        <f t="shared" si="127"/>
        <v>if (=="") {$("#adv_").html("Requierd");} else {$("#adv_").html("");}</v>
      </c>
      <c r="AO85" s="50" t="str">
        <f t="shared" si="128"/>
        <v/>
      </c>
      <c r="AP85" s="61" t="str">
        <f t="shared" si="129"/>
        <v>=$("#").val();</v>
      </c>
      <c r="AQ85" s="61" t="str">
        <f t="shared" si="157"/>
        <v/>
      </c>
      <c r="AR85" s="61" t="str">
        <f t="shared" si="130"/>
        <v>=document.getElementById("").checked;</v>
      </c>
      <c r="AS85" s="102" t="str">
        <f t="shared" si="131"/>
        <v>if (isset($_GET[''])) {$=($_GET['']);}else $='';</v>
      </c>
      <c r="AT85" s="52" t="str">
        <f t="shared" si="132"/>
        <v>EPS</v>
      </c>
      <c r="AU85" s="52" t="str">
        <f t="shared" si="133"/>
        <v>else if (document.getElementById("</v>
      </c>
      <c r="AV85" s="61" t="str">
        <f t="shared" si="134"/>
        <v>else if (document.getElementById("").checked==true) {EPS="";}</v>
      </c>
      <c r="AW85" s="61" t="str">
        <f t="shared" si="158"/>
        <v/>
      </c>
      <c r="AX85" s="102" t="str">
        <f t="shared" si="135"/>
        <v/>
      </c>
      <c r="AY85" s="135" t="str">
        <f t="shared" si="159"/>
        <v/>
      </c>
      <c r="AZ85" s="50" t="str">
        <f t="shared" si="136"/>
        <v>&lt;input type="checkbox" id="" name="" value="1" /&gt;</v>
      </c>
      <c r="BA85" s="105" t="str">
        <f t="shared" si="137"/>
        <v>&lt;br/&gt;&lt;textarea rows="2" cols="80" id=""&gt;&lt;/textarea&gt;&lt;br/&gt;</v>
      </c>
      <c r="BB85" s="50" t="str">
        <f t="shared" si="138"/>
        <v>&lt;input type="radio" name="EPS" id="" value="" /&gt;</v>
      </c>
      <c r="BC85" s="107" t="str">
        <f t="shared" si="139"/>
        <v>&lt;input type="text"  size="7"  id="" class="datepicker"/&gt;</v>
      </c>
      <c r="BD85" s="109" t="str">
        <f t="shared" si="160"/>
        <v/>
      </c>
      <c r="BE85" s="61" t="str">
        <f t="shared" si="140"/>
        <v/>
      </c>
      <c r="BF85" s="52">
        <f t="shared" si="195"/>
        <v>12</v>
      </c>
      <c r="BG85" s="61" t="str">
        <f t="shared" si="161"/>
        <v/>
      </c>
      <c r="BH85" s="102" t="str">
        <f t="shared" si="141"/>
        <v/>
      </c>
      <c r="BI85" s="105" t="str">
        <f t="shared" si="85"/>
        <v/>
      </c>
      <c r="BJ85" s="52" t="str">
        <f t="shared" si="162"/>
        <v/>
      </c>
      <c r="BK85" s="52">
        <f t="shared" si="163"/>
        <v>0</v>
      </c>
      <c r="BL85" s="52">
        <f t="shared" si="164"/>
        <v>2</v>
      </c>
      <c r="BM85" s="52" t="str">
        <f t="shared" si="191"/>
        <v/>
      </c>
      <c r="BN85" s="52" t="str">
        <f t="shared" si="142"/>
        <v/>
      </c>
      <c r="BO85" s="52" t="str">
        <f t="shared" si="165"/>
        <v/>
      </c>
      <c r="BP85" s="113" t="str">
        <f t="shared" si="166"/>
        <v/>
      </c>
      <c r="BQ85" s="52" t="str">
        <f t="shared" si="192"/>
        <v/>
      </c>
      <c r="BR85" s="52" t="str">
        <f t="shared" si="167"/>
        <v/>
      </c>
      <c r="BS85" s="52" t="str">
        <f t="shared" si="168"/>
        <v/>
      </c>
      <c r="BT85" s="52" t="str">
        <f t="shared" si="169"/>
        <v/>
      </c>
      <c r="BU85" s="52" t="str">
        <f t="shared" si="170"/>
        <v/>
      </c>
      <c r="BV85" s="102" t="str">
        <f t="shared" si="143"/>
        <v/>
      </c>
      <c r="BW85" s="116" t="str">
        <f t="shared" si="144"/>
        <v/>
      </c>
      <c r="BX85" s="61" t="str">
        <f t="shared" si="145"/>
        <v/>
      </c>
      <c r="BY85" s="52" t="str">
        <f t="shared" si="146"/>
        <v/>
      </c>
      <c r="BZ85" s="52" t="str">
        <f t="shared" si="147"/>
        <v/>
      </c>
      <c r="CA85" s="52" t="str">
        <f t="shared" si="171"/>
        <v/>
      </c>
      <c r="CB85" s="52" t="str">
        <f t="shared" si="148"/>
        <v/>
      </c>
      <c r="CC85" s="52" t="str">
        <f t="shared" si="149"/>
        <v/>
      </c>
      <c r="CD85" s="102" t="str">
        <f t="shared" si="150"/>
        <v/>
      </c>
      <c r="CE85" s="116" t="str">
        <f t="shared" si="151"/>
        <v/>
      </c>
      <c r="CF85" s="116" t="str">
        <f t="shared" si="92"/>
        <v/>
      </c>
      <c r="CG85" s="61" t="str">
        <f t="shared" si="152"/>
        <v/>
      </c>
      <c r="CH85" s="52">
        <f t="shared" si="193"/>
        <v>2</v>
      </c>
      <c r="CI85" s="61" t="str">
        <f t="shared" si="172"/>
        <v/>
      </c>
      <c r="CJ85" s="61" t="str">
        <f t="shared" si="173"/>
        <v/>
      </c>
      <c r="CK85" s="61" t="str">
        <f t="shared" si="174"/>
        <v/>
      </c>
      <c r="CL85" s="61" t="str">
        <f t="shared" si="153"/>
        <v/>
      </c>
      <c r="CM85" s="61" t="str">
        <f t="shared" si="154"/>
        <v/>
      </c>
      <c r="CN85" s="134" t="str">
        <f t="shared" si="86"/>
        <v/>
      </c>
      <c r="CO85" s="131" t="str">
        <f t="shared" ref="CO85:CO114" si="196">IF(CN85="","",IF(AND(CN85="u_id",CN86=""),$A$9&amp;"hiden"&amp;$M$19&amp;$J$12,""))</f>
        <v/>
      </c>
      <c r="CP85" s="131" t="str">
        <f t="shared" si="175"/>
        <v/>
      </c>
      <c r="CQ85" s="131" t="str">
        <f t="shared" si="176"/>
        <v/>
      </c>
      <c r="CR85" s="116" t="str">
        <f t="shared" si="177"/>
        <v/>
      </c>
      <c r="CS85" s="116" t="str">
        <f t="shared" si="178"/>
        <v/>
      </c>
      <c r="CT85" s="116" t="str">
        <f t="shared" si="179"/>
        <v/>
      </c>
      <c r="CU85" s="52">
        <f t="shared" si="180"/>
        <v>0</v>
      </c>
      <c r="CV85" s="116" t="str">
        <f t="shared" si="181"/>
        <v/>
      </c>
      <c r="CW85" s="116" t="str">
        <f t="shared" si="182"/>
        <v/>
      </c>
      <c r="CX85" s="61" t="str">
        <f t="shared" si="183"/>
        <v/>
      </c>
      <c r="CY85" s="61" t="str">
        <f t="shared" si="184"/>
        <v/>
      </c>
      <c r="CZ85" s="61" t="str">
        <f t="shared" si="185"/>
        <v/>
      </c>
      <c r="DA85" s="116" t="str">
        <f t="shared" si="186"/>
        <v/>
      </c>
      <c r="DB85" s="6" t="str">
        <f t="shared" si="194"/>
        <v/>
      </c>
      <c r="DC85" s="61" t="str">
        <f t="shared" si="187"/>
        <v/>
      </c>
      <c r="DD85" s="131" t="str">
        <f t="shared" si="87"/>
        <v/>
      </c>
      <c r="DE85" s="131" t="str">
        <f t="shared" si="88"/>
        <v/>
      </c>
      <c r="DF85" s="61" t="str">
        <f t="shared" si="89"/>
        <v/>
      </c>
      <c r="DG85" s="116" t="str">
        <f t="shared" si="188"/>
        <v/>
      </c>
      <c r="DH85" s="116" t="str">
        <f t="shared" si="189"/>
        <v/>
      </c>
    </row>
    <row r="86" spans="2:112" s="17" customFormat="1" hidden="1">
      <c r="B86" s="35"/>
      <c r="C86" s="35"/>
      <c r="D86" s="36"/>
      <c r="E86" s="35"/>
      <c r="F86" s="35"/>
      <c r="G86" s="35"/>
      <c r="H86" s="35"/>
      <c r="I86" s="35"/>
      <c r="J86" s="121"/>
      <c r="K86" s="59"/>
      <c r="AC86" s="47" t="s">
        <v>265</v>
      </c>
      <c r="AD86" s="52" t="str">
        <f t="shared" si="120"/>
        <v/>
      </c>
      <c r="AE86" s="52">
        <f t="shared" si="121"/>
        <v>0</v>
      </c>
      <c r="AF86" s="52">
        <f t="shared" si="190"/>
        <v>6</v>
      </c>
      <c r="AG86" s="61" t="str">
        <f t="shared" si="122"/>
        <v/>
      </c>
      <c r="AH86" s="52">
        <f t="shared" si="123"/>
        <v>0</v>
      </c>
      <c r="AI86" s="52">
        <f t="shared" si="155"/>
        <v>7</v>
      </c>
      <c r="AJ86" s="52" t="str">
        <f t="shared" si="156"/>
        <v/>
      </c>
      <c r="AK86" s="61" t="str">
        <f t="shared" si="124"/>
        <v/>
      </c>
      <c r="AL86" s="95" t="str">
        <f t="shared" si="125"/>
        <v/>
      </c>
      <c r="AM86" s="61" t="str">
        <f t="shared" si="126"/>
        <v>if () {$("#adv_").html("Requierd");$("#").css({"background":"yellow"});} else {$("#adv_").html("");$("#").css({"background":"white"});}</v>
      </c>
      <c r="AN86" s="61" t="str">
        <f t="shared" si="127"/>
        <v>if (=="") {$("#adv_").html("Requierd");} else {$("#adv_").html("");}</v>
      </c>
      <c r="AO86" s="50" t="str">
        <f t="shared" si="128"/>
        <v/>
      </c>
      <c r="AP86" s="61" t="str">
        <f t="shared" si="129"/>
        <v>=$("#").val();</v>
      </c>
      <c r="AQ86" s="61" t="str">
        <f t="shared" si="157"/>
        <v/>
      </c>
      <c r="AR86" s="61" t="str">
        <f t="shared" si="130"/>
        <v>=document.getElementById("").checked;</v>
      </c>
      <c r="AS86" s="102" t="str">
        <f t="shared" si="131"/>
        <v>if (isset($_GET[''])) {$=($_GET['']);}else $='';</v>
      </c>
      <c r="AT86" s="52" t="str">
        <f t="shared" si="132"/>
        <v>EPS</v>
      </c>
      <c r="AU86" s="52" t="str">
        <f t="shared" si="133"/>
        <v>else if (document.getElementById("</v>
      </c>
      <c r="AV86" s="61" t="str">
        <f t="shared" si="134"/>
        <v>else if (document.getElementById("").checked==true) {EPS="";}</v>
      </c>
      <c r="AW86" s="61" t="str">
        <f t="shared" si="158"/>
        <v/>
      </c>
      <c r="AX86" s="102" t="str">
        <f t="shared" si="135"/>
        <v/>
      </c>
      <c r="AY86" s="135" t="str">
        <f t="shared" si="159"/>
        <v/>
      </c>
      <c r="AZ86" s="50" t="str">
        <f t="shared" si="136"/>
        <v>&lt;input type="checkbox" id="" name="" value="1" /&gt;</v>
      </c>
      <c r="BA86" s="105" t="str">
        <f t="shared" si="137"/>
        <v>&lt;br/&gt;&lt;textarea rows="2" cols="80" id=""&gt;&lt;/textarea&gt;&lt;br/&gt;</v>
      </c>
      <c r="BB86" s="50" t="str">
        <f t="shared" si="138"/>
        <v>&lt;input type="radio" name="EPS" id="" value="" /&gt;</v>
      </c>
      <c r="BC86" s="107" t="str">
        <f t="shared" si="139"/>
        <v>&lt;input type="text"  size="7"  id="" class="datepicker"/&gt;</v>
      </c>
      <c r="BD86" s="109" t="str">
        <f t="shared" si="160"/>
        <v/>
      </c>
      <c r="BE86" s="61" t="str">
        <f t="shared" si="140"/>
        <v/>
      </c>
      <c r="BF86" s="52">
        <f t="shared" si="195"/>
        <v>12</v>
      </c>
      <c r="BG86" s="61" t="str">
        <f t="shared" si="161"/>
        <v/>
      </c>
      <c r="BH86" s="102" t="str">
        <f t="shared" si="141"/>
        <v/>
      </c>
      <c r="BI86" s="105" t="str">
        <f t="shared" ref="BI86:BI114" si="197">IF(BD86="","",IF(G86="si",$C$6&amp;C86&amp;$C$7,"")&amp;"&lt;br/&gt;")&amp;CO86</f>
        <v/>
      </c>
      <c r="BJ86" s="52" t="str">
        <f t="shared" si="162"/>
        <v/>
      </c>
      <c r="BK86" s="52">
        <f t="shared" si="163"/>
        <v>0</v>
      </c>
      <c r="BL86" s="52">
        <f t="shared" si="164"/>
        <v>2</v>
      </c>
      <c r="BM86" s="52" t="str">
        <f t="shared" si="191"/>
        <v/>
      </c>
      <c r="BN86" s="52" t="str">
        <f t="shared" si="142"/>
        <v/>
      </c>
      <c r="BO86" s="52" t="str">
        <f t="shared" si="165"/>
        <v/>
      </c>
      <c r="BP86" s="113" t="str">
        <f t="shared" si="166"/>
        <v/>
      </c>
      <c r="BQ86" s="52" t="str">
        <f t="shared" si="192"/>
        <v/>
      </c>
      <c r="BR86" s="52" t="str">
        <f t="shared" si="167"/>
        <v/>
      </c>
      <c r="BS86" s="52" t="str">
        <f t="shared" si="168"/>
        <v/>
      </c>
      <c r="BT86" s="52" t="str">
        <f t="shared" si="169"/>
        <v/>
      </c>
      <c r="BU86" s="52" t="str">
        <f t="shared" si="170"/>
        <v/>
      </c>
      <c r="BV86" s="102" t="str">
        <f t="shared" si="143"/>
        <v/>
      </c>
      <c r="BW86" s="116" t="str">
        <f t="shared" si="144"/>
        <v/>
      </c>
      <c r="BX86" s="61" t="str">
        <f t="shared" si="145"/>
        <v/>
      </c>
      <c r="BY86" s="52" t="str">
        <f t="shared" si="146"/>
        <v/>
      </c>
      <c r="BZ86" s="52" t="str">
        <f t="shared" si="147"/>
        <v/>
      </c>
      <c r="CA86" s="52" t="str">
        <f t="shared" si="171"/>
        <v/>
      </c>
      <c r="CB86" s="52" t="str">
        <f t="shared" si="148"/>
        <v/>
      </c>
      <c r="CC86" s="52" t="str">
        <f t="shared" si="149"/>
        <v/>
      </c>
      <c r="CD86" s="102" t="str">
        <f t="shared" si="150"/>
        <v/>
      </c>
      <c r="CE86" s="116" t="str">
        <f t="shared" si="151"/>
        <v/>
      </c>
      <c r="CF86" s="116" t="str">
        <f t="shared" si="92"/>
        <v/>
      </c>
      <c r="CG86" s="61" t="str">
        <f t="shared" si="152"/>
        <v/>
      </c>
      <c r="CH86" s="52">
        <f t="shared" si="193"/>
        <v>2</v>
      </c>
      <c r="CI86" s="61" t="str">
        <f t="shared" si="172"/>
        <v/>
      </c>
      <c r="CJ86" s="61" t="str">
        <f t="shared" si="173"/>
        <v/>
      </c>
      <c r="CK86" s="61" t="str">
        <f t="shared" si="174"/>
        <v/>
      </c>
      <c r="CL86" s="61" t="str">
        <f t="shared" si="153"/>
        <v/>
      </c>
      <c r="CM86" s="61" t="str">
        <f t="shared" si="154"/>
        <v/>
      </c>
      <c r="CN86" s="134" t="str">
        <f t="shared" ref="CN86:CN114" si="198">+IF(F86="radio",IF(AND(B86&lt;&gt;"",B86&lt;&gt;B85),IF(J86="si","u_id",""),IF(CN85="u_id","u_id","")),IF(J86="si","u_id",""))</f>
        <v/>
      </c>
      <c r="CO86" s="131" t="str">
        <f t="shared" si="196"/>
        <v/>
      </c>
      <c r="CP86" s="131" t="str">
        <f t="shared" si="175"/>
        <v/>
      </c>
      <c r="CQ86" s="131" t="str">
        <f t="shared" si="176"/>
        <v/>
      </c>
      <c r="CR86" s="116" t="str">
        <f t="shared" si="177"/>
        <v/>
      </c>
      <c r="CS86" s="116" t="str">
        <f t="shared" si="178"/>
        <v/>
      </c>
      <c r="CT86" s="116" t="str">
        <f t="shared" si="179"/>
        <v/>
      </c>
      <c r="CU86" s="52">
        <f t="shared" si="180"/>
        <v>0</v>
      </c>
      <c r="CV86" s="116" t="str">
        <f t="shared" si="181"/>
        <v/>
      </c>
      <c r="CW86" s="116" t="str">
        <f t="shared" si="182"/>
        <v/>
      </c>
      <c r="CX86" s="61" t="str">
        <f t="shared" si="183"/>
        <v/>
      </c>
      <c r="CY86" s="61" t="str">
        <f t="shared" si="184"/>
        <v/>
      </c>
      <c r="CZ86" s="61" t="str">
        <f t="shared" si="185"/>
        <v/>
      </c>
      <c r="DA86" s="116" t="str">
        <f t="shared" si="186"/>
        <v/>
      </c>
      <c r="DB86" s="6" t="str">
        <f t="shared" si="194"/>
        <v/>
      </c>
      <c r="DC86" s="61" t="str">
        <f t="shared" si="187"/>
        <v/>
      </c>
      <c r="DD86" s="131" t="str">
        <f t="shared" ref="DD86:DD114" si="199">IF(AND(F86="texto",J86="si"),"&lt;div id='uniq_"&amp;C86&amp;"'&gt;",IF(AND(B86&lt;&gt;"",F86="radio",J86="si"),"&lt;div id='uniq_"&amp;B86&amp;"'&gt;",""))</f>
        <v/>
      </c>
      <c r="DE86" s="131" t="str">
        <f t="shared" ref="DE86:DE114" si="200">IF(AND(F86="texto",J86="si"),"&lt;/div&gt;",IF(AND(F86="radio",B87&lt;&gt;"",DB86="si"),"&lt;/div&gt;",""))</f>
        <v/>
      </c>
      <c r="DF86" s="61" t="str">
        <f t="shared" ref="DF86:DF114" si="201">+IF(DD86&lt;&gt;"",IF(F86="texto",$C$5&amp;"uniq_"&amp;C86&amp;$G$4,$C$5&amp;"uniq_"&amp;B86&amp;$G$4),"")</f>
        <v/>
      </c>
      <c r="DG86" s="116" t="str">
        <f t="shared" si="188"/>
        <v/>
      </c>
      <c r="DH86" s="116" t="str">
        <f t="shared" si="189"/>
        <v/>
      </c>
    </row>
    <row r="87" spans="2:112" s="17" customFormat="1" hidden="1">
      <c r="B87" s="35"/>
      <c r="C87" s="35"/>
      <c r="D87" s="36"/>
      <c r="E87" s="35"/>
      <c r="F87" s="35"/>
      <c r="G87" s="35"/>
      <c r="H87" s="35"/>
      <c r="I87" s="35"/>
      <c r="J87" s="121"/>
      <c r="K87" s="59"/>
      <c r="AC87" s="47" t="s">
        <v>266</v>
      </c>
      <c r="AD87" s="52" t="str">
        <f t="shared" si="120"/>
        <v/>
      </c>
      <c r="AE87" s="52">
        <f t="shared" si="121"/>
        <v>0</v>
      </c>
      <c r="AF87" s="52">
        <f t="shared" si="190"/>
        <v>6</v>
      </c>
      <c r="AG87" s="61" t="str">
        <f t="shared" si="122"/>
        <v/>
      </c>
      <c r="AH87" s="52">
        <f t="shared" si="123"/>
        <v>0</v>
      </c>
      <c r="AI87" s="52">
        <f t="shared" si="155"/>
        <v>7</v>
      </c>
      <c r="AJ87" s="52" t="str">
        <f t="shared" si="156"/>
        <v/>
      </c>
      <c r="AK87" s="61" t="str">
        <f t="shared" si="124"/>
        <v/>
      </c>
      <c r="AL87" s="95" t="str">
        <f t="shared" si="125"/>
        <v/>
      </c>
      <c r="AM87" s="61" t="str">
        <f t="shared" si="126"/>
        <v>if () {$("#adv_").html("Requierd");$("#").css({"background":"yellow"});} else {$("#adv_").html("");$("#").css({"background":"white"});}</v>
      </c>
      <c r="AN87" s="61" t="str">
        <f t="shared" si="127"/>
        <v>if (=="") {$("#adv_").html("Requierd");} else {$("#adv_").html("");}</v>
      </c>
      <c r="AO87" s="50" t="str">
        <f t="shared" si="128"/>
        <v/>
      </c>
      <c r="AP87" s="61" t="str">
        <f t="shared" si="129"/>
        <v>=$("#").val();</v>
      </c>
      <c r="AQ87" s="61" t="str">
        <f t="shared" si="157"/>
        <v/>
      </c>
      <c r="AR87" s="61" t="str">
        <f t="shared" si="130"/>
        <v>=document.getElementById("").checked;</v>
      </c>
      <c r="AS87" s="102" t="str">
        <f t="shared" si="131"/>
        <v>if (isset($_GET[''])) {$=($_GET['']);}else $='';</v>
      </c>
      <c r="AT87" s="52" t="str">
        <f t="shared" si="132"/>
        <v>EPS</v>
      </c>
      <c r="AU87" s="52" t="str">
        <f t="shared" si="133"/>
        <v>else if (document.getElementById("</v>
      </c>
      <c r="AV87" s="61" t="str">
        <f t="shared" si="134"/>
        <v>else if (document.getElementById("").checked==true) {EPS="";}</v>
      </c>
      <c r="AW87" s="61" t="str">
        <f t="shared" si="158"/>
        <v/>
      </c>
      <c r="AX87" s="102" t="str">
        <f t="shared" si="135"/>
        <v/>
      </c>
      <c r="AY87" s="135" t="str">
        <f t="shared" si="159"/>
        <v/>
      </c>
      <c r="AZ87" s="50" t="str">
        <f t="shared" si="136"/>
        <v>&lt;input type="checkbox" id="" name="" value="1" /&gt;</v>
      </c>
      <c r="BA87" s="105" t="str">
        <f t="shared" si="137"/>
        <v>&lt;br/&gt;&lt;textarea rows="2" cols="80" id=""&gt;&lt;/textarea&gt;&lt;br/&gt;</v>
      </c>
      <c r="BB87" s="50" t="str">
        <f t="shared" si="138"/>
        <v>&lt;input type="radio" name="EPS" id="" value="" /&gt;</v>
      </c>
      <c r="BC87" s="107" t="str">
        <f t="shared" si="139"/>
        <v>&lt;input type="text"  size="7"  id="" class="datepicker"/&gt;</v>
      </c>
      <c r="BD87" s="109" t="str">
        <f t="shared" si="160"/>
        <v/>
      </c>
      <c r="BE87" s="61" t="str">
        <f t="shared" si="140"/>
        <v/>
      </c>
      <c r="BF87" s="52">
        <f t="shared" si="195"/>
        <v>12</v>
      </c>
      <c r="BG87" s="61" t="str">
        <f t="shared" si="161"/>
        <v/>
      </c>
      <c r="BH87" s="102" t="str">
        <f t="shared" si="141"/>
        <v/>
      </c>
      <c r="BI87" s="105" t="str">
        <f t="shared" si="197"/>
        <v/>
      </c>
      <c r="BJ87" s="52" t="str">
        <f t="shared" si="162"/>
        <v/>
      </c>
      <c r="BK87" s="52">
        <f t="shared" si="163"/>
        <v>0</v>
      </c>
      <c r="BL87" s="52">
        <f t="shared" si="164"/>
        <v>2</v>
      </c>
      <c r="BM87" s="52" t="str">
        <f t="shared" si="191"/>
        <v/>
      </c>
      <c r="BN87" s="52" t="str">
        <f t="shared" si="142"/>
        <v/>
      </c>
      <c r="BO87" s="52" t="str">
        <f t="shared" si="165"/>
        <v/>
      </c>
      <c r="BP87" s="113" t="str">
        <f t="shared" si="166"/>
        <v/>
      </c>
      <c r="BQ87" s="52" t="str">
        <f t="shared" si="192"/>
        <v/>
      </c>
      <c r="BR87" s="52" t="str">
        <f t="shared" si="167"/>
        <v/>
      </c>
      <c r="BS87" s="52" t="str">
        <f t="shared" si="168"/>
        <v/>
      </c>
      <c r="BT87" s="52" t="str">
        <f t="shared" si="169"/>
        <v/>
      </c>
      <c r="BU87" s="52" t="str">
        <f t="shared" si="170"/>
        <v/>
      </c>
      <c r="BV87" s="102" t="str">
        <f t="shared" si="143"/>
        <v/>
      </c>
      <c r="BW87" s="116" t="str">
        <f t="shared" si="144"/>
        <v/>
      </c>
      <c r="BX87" s="61" t="str">
        <f t="shared" si="145"/>
        <v/>
      </c>
      <c r="BY87" s="52" t="str">
        <f t="shared" si="146"/>
        <v/>
      </c>
      <c r="BZ87" s="52" t="str">
        <f t="shared" si="147"/>
        <v/>
      </c>
      <c r="CA87" s="52" t="str">
        <f t="shared" si="171"/>
        <v/>
      </c>
      <c r="CB87" s="52" t="str">
        <f t="shared" si="148"/>
        <v/>
      </c>
      <c r="CC87" s="52" t="str">
        <f t="shared" si="149"/>
        <v/>
      </c>
      <c r="CD87" s="102" t="str">
        <f t="shared" si="150"/>
        <v/>
      </c>
      <c r="CE87" s="116" t="str">
        <f t="shared" si="151"/>
        <v/>
      </c>
      <c r="CF87" s="116" t="str">
        <f t="shared" si="92"/>
        <v/>
      </c>
      <c r="CG87" s="61" t="str">
        <f t="shared" si="152"/>
        <v/>
      </c>
      <c r="CH87" s="52">
        <f t="shared" si="193"/>
        <v>2</v>
      </c>
      <c r="CI87" s="61" t="str">
        <f t="shared" si="172"/>
        <v/>
      </c>
      <c r="CJ87" s="61" t="str">
        <f t="shared" si="173"/>
        <v/>
      </c>
      <c r="CK87" s="61" t="str">
        <f t="shared" si="174"/>
        <v/>
      </c>
      <c r="CL87" s="61" t="str">
        <f t="shared" si="153"/>
        <v/>
      </c>
      <c r="CM87" s="61" t="str">
        <f t="shared" si="154"/>
        <v/>
      </c>
      <c r="CN87" s="134" t="str">
        <f t="shared" si="198"/>
        <v/>
      </c>
      <c r="CO87" s="131" t="str">
        <f t="shared" si="196"/>
        <v/>
      </c>
      <c r="CP87" s="131" t="str">
        <f t="shared" si="175"/>
        <v/>
      </c>
      <c r="CQ87" s="131" t="str">
        <f t="shared" si="176"/>
        <v/>
      </c>
      <c r="CR87" s="116" t="str">
        <f t="shared" si="177"/>
        <v/>
      </c>
      <c r="CS87" s="116" t="str">
        <f t="shared" si="178"/>
        <v/>
      </c>
      <c r="CT87" s="116" t="str">
        <f t="shared" si="179"/>
        <v/>
      </c>
      <c r="CU87" s="52">
        <f t="shared" si="180"/>
        <v>0</v>
      </c>
      <c r="CV87" s="116" t="str">
        <f t="shared" si="181"/>
        <v/>
      </c>
      <c r="CW87" s="116" t="str">
        <f t="shared" si="182"/>
        <v/>
      </c>
      <c r="CX87" s="61" t="str">
        <f t="shared" si="183"/>
        <v/>
      </c>
      <c r="CY87" s="61" t="str">
        <f t="shared" si="184"/>
        <v/>
      </c>
      <c r="CZ87" s="61" t="str">
        <f t="shared" si="185"/>
        <v/>
      </c>
      <c r="DA87" s="116" t="str">
        <f t="shared" si="186"/>
        <v/>
      </c>
      <c r="DB87" s="6" t="str">
        <f t="shared" si="194"/>
        <v/>
      </c>
      <c r="DC87" s="61" t="str">
        <f t="shared" si="187"/>
        <v/>
      </c>
      <c r="DD87" s="131" t="str">
        <f t="shared" si="199"/>
        <v/>
      </c>
      <c r="DE87" s="131" t="str">
        <f t="shared" si="200"/>
        <v/>
      </c>
      <c r="DF87" s="61" t="str">
        <f t="shared" si="201"/>
        <v/>
      </c>
      <c r="DG87" s="116" t="str">
        <f t="shared" si="188"/>
        <v/>
      </c>
      <c r="DH87" s="116" t="str">
        <f t="shared" si="189"/>
        <v/>
      </c>
    </row>
    <row r="88" spans="2:112" s="17" customFormat="1" hidden="1">
      <c r="B88" s="35"/>
      <c r="C88" s="35"/>
      <c r="D88" s="36"/>
      <c r="E88" s="35"/>
      <c r="F88" s="35"/>
      <c r="G88" s="35"/>
      <c r="H88" s="35"/>
      <c r="I88" s="35"/>
      <c r="J88" s="121"/>
      <c r="K88" s="59"/>
      <c r="AC88" s="47" t="s">
        <v>267</v>
      </c>
      <c r="AD88" s="52" t="str">
        <f t="shared" si="120"/>
        <v/>
      </c>
      <c r="AE88" s="52">
        <f t="shared" si="121"/>
        <v>0</v>
      </c>
      <c r="AF88" s="52">
        <f t="shared" si="190"/>
        <v>6</v>
      </c>
      <c r="AG88" s="61" t="str">
        <f t="shared" si="122"/>
        <v/>
      </c>
      <c r="AH88" s="52">
        <f t="shared" si="123"/>
        <v>0</v>
      </c>
      <c r="AI88" s="52">
        <f t="shared" si="155"/>
        <v>7</v>
      </c>
      <c r="AJ88" s="52" t="str">
        <f t="shared" si="156"/>
        <v/>
      </c>
      <c r="AK88" s="61" t="str">
        <f t="shared" si="124"/>
        <v/>
      </c>
      <c r="AL88" s="95" t="str">
        <f t="shared" si="125"/>
        <v/>
      </c>
      <c r="AM88" s="61" t="str">
        <f t="shared" si="126"/>
        <v>if () {$("#adv_").html("Requierd");$("#").css({"background":"yellow"});} else {$("#adv_").html("");$("#").css({"background":"white"});}</v>
      </c>
      <c r="AN88" s="61" t="str">
        <f t="shared" si="127"/>
        <v>if (=="") {$("#adv_").html("Requierd");} else {$("#adv_").html("");}</v>
      </c>
      <c r="AO88" s="50" t="str">
        <f t="shared" si="128"/>
        <v/>
      </c>
      <c r="AP88" s="61" t="str">
        <f t="shared" si="129"/>
        <v>=$("#").val();</v>
      </c>
      <c r="AQ88" s="61" t="str">
        <f t="shared" si="157"/>
        <v/>
      </c>
      <c r="AR88" s="61" t="str">
        <f t="shared" si="130"/>
        <v>=document.getElementById("").checked;</v>
      </c>
      <c r="AS88" s="102" t="str">
        <f t="shared" si="131"/>
        <v>if (isset($_GET[''])) {$=($_GET['']);}else $='';</v>
      </c>
      <c r="AT88" s="52" t="str">
        <f t="shared" si="132"/>
        <v>EPS</v>
      </c>
      <c r="AU88" s="52" t="str">
        <f t="shared" si="133"/>
        <v>else if (document.getElementById("</v>
      </c>
      <c r="AV88" s="61" t="str">
        <f t="shared" si="134"/>
        <v>else if (document.getElementById("").checked==true) {EPS="";}</v>
      </c>
      <c r="AW88" s="61" t="str">
        <f t="shared" si="158"/>
        <v/>
      </c>
      <c r="AX88" s="102" t="str">
        <f t="shared" si="135"/>
        <v/>
      </c>
      <c r="AY88" s="135" t="str">
        <f t="shared" si="159"/>
        <v/>
      </c>
      <c r="AZ88" s="50" t="str">
        <f t="shared" si="136"/>
        <v>&lt;input type="checkbox" id="" name="" value="1" /&gt;</v>
      </c>
      <c r="BA88" s="105" t="str">
        <f t="shared" si="137"/>
        <v>&lt;br/&gt;&lt;textarea rows="2" cols="80" id=""&gt;&lt;/textarea&gt;&lt;br/&gt;</v>
      </c>
      <c r="BB88" s="50" t="str">
        <f t="shared" si="138"/>
        <v>&lt;input type="radio" name="EPS" id="" value="" /&gt;</v>
      </c>
      <c r="BC88" s="107" t="str">
        <f t="shared" si="139"/>
        <v>&lt;input type="text"  size="7"  id="" class="datepicker"/&gt;</v>
      </c>
      <c r="BD88" s="109" t="str">
        <f t="shared" si="160"/>
        <v/>
      </c>
      <c r="BE88" s="61" t="str">
        <f t="shared" si="140"/>
        <v/>
      </c>
      <c r="BF88" s="52">
        <f t="shared" si="195"/>
        <v>12</v>
      </c>
      <c r="BG88" s="61" t="str">
        <f t="shared" si="161"/>
        <v/>
      </c>
      <c r="BH88" s="102" t="str">
        <f t="shared" si="141"/>
        <v/>
      </c>
      <c r="BI88" s="105" t="str">
        <f t="shared" si="197"/>
        <v/>
      </c>
      <c r="BJ88" s="52" t="str">
        <f t="shared" si="162"/>
        <v/>
      </c>
      <c r="BK88" s="52">
        <f t="shared" si="163"/>
        <v>0</v>
      </c>
      <c r="BL88" s="52">
        <f t="shared" si="164"/>
        <v>2</v>
      </c>
      <c r="BM88" s="52" t="str">
        <f t="shared" si="191"/>
        <v/>
      </c>
      <c r="BN88" s="52" t="str">
        <f t="shared" si="142"/>
        <v/>
      </c>
      <c r="BO88" s="52" t="str">
        <f t="shared" si="165"/>
        <v/>
      </c>
      <c r="BP88" s="113" t="str">
        <f t="shared" si="166"/>
        <v/>
      </c>
      <c r="BQ88" s="52" t="str">
        <f t="shared" si="192"/>
        <v/>
      </c>
      <c r="BR88" s="52" t="str">
        <f t="shared" si="167"/>
        <v/>
      </c>
      <c r="BS88" s="52" t="str">
        <f t="shared" si="168"/>
        <v/>
      </c>
      <c r="BT88" s="52" t="str">
        <f t="shared" si="169"/>
        <v/>
      </c>
      <c r="BU88" s="52" t="str">
        <f t="shared" si="170"/>
        <v/>
      </c>
      <c r="BV88" s="102" t="str">
        <f t="shared" si="143"/>
        <v/>
      </c>
      <c r="BW88" s="116" t="str">
        <f t="shared" si="144"/>
        <v/>
      </c>
      <c r="BX88" s="61" t="str">
        <f t="shared" si="145"/>
        <v/>
      </c>
      <c r="BY88" s="52" t="str">
        <f t="shared" si="146"/>
        <v/>
      </c>
      <c r="BZ88" s="52" t="str">
        <f t="shared" si="147"/>
        <v/>
      </c>
      <c r="CA88" s="52" t="str">
        <f t="shared" si="171"/>
        <v/>
      </c>
      <c r="CB88" s="52" t="str">
        <f t="shared" si="148"/>
        <v/>
      </c>
      <c r="CC88" s="52" t="str">
        <f t="shared" si="149"/>
        <v/>
      </c>
      <c r="CD88" s="102" t="str">
        <f t="shared" si="150"/>
        <v/>
      </c>
      <c r="CE88" s="116" t="str">
        <f t="shared" si="151"/>
        <v/>
      </c>
      <c r="CF88" s="116" t="str">
        <f t="shared" si="92"/>
        <v/>
      </c>
      <c r="CG88" s="61" t="str">
        <f t="shared" si="152"/>
        <v/>
      </c>
      <c r="CH88" s="52">
        <f t="shared" si="193"/>
        <v>2</v>
      </c>
      <c r="CI88" s="61" t="str">
        <f t="shared" si="172"/>
        <v/>
      </c>
      <c r="CJ88" s="61" t="str">
        <f t="shared" si="173"/>
        <v/>
      </c>
      <c r="CK88" s="61" t="str">
        <f t="shared" si="174"/>
        <v/>
      </c>
      <c r="CL88" s="61" t="str">
        <f t="shared" si="153"/>
        <v/>
      </c>
      <c r="CM88" s="61" t="str">
        <f t="shared" si="154"/>
        <v/>
      </c>
      <c r="CN88" s="134" t="str">
        <f t="shared" si="198"/>
        <v/>
      </c>
      <c r="CO88" s="131" t="str">
        <f t="shared" si="196"/>
        <v/>
      </c>
      <c r="CP88" s="131" t="str">
        <f t="shared" si="175"/>
        <v/>
      </c>
      <c r="CQ88" s="131" t="str">
        <f t="shared" si="176"/>
        <v/>
      </c>
      <c r="CR88" s="116" t="str">
        <f t="shared" si="177"/>
        <v/>
      </c>
      <c r="CS88" s="116" t="str">
        <f t="shared" si="178"/>
        <v/>
      </c>
      <c r="CT88" s="116" t="str">
        <f t="shared" si="179"/>
        <v/>
      </c>
      <c r="CU88" s="52">
        <f t="shared" si="180"/>
        <v>0</v>
      </c>
      <c r="CV88" s="116" t="str">
        <f t="shared" si="181"/>
        <v/>
      </c>
      <c r="CW88" s="116" t="str">
        <f t="shared" si="182"/>
        <v/>
      </c>
      <c r="CX88" s="61" t="str">
        <f t="shared" si="183"/>
        <v/>
      </c>
      <c r="CY88" s="61" t="str">
        <f t="shared" si="184"/>
        <v/>
      </c>
      <c r="CZ88" s="61" t="str">
        <f t="shared" si="185"/>
        <v/>
      </c>
      <c r="DA88" s="116" t="str">
        <f t="shared" si="186"/>
        <v/>
      </c>
      <c r="DB88" s="6" t="str">
        <f t="shared" si="194"/>
        <v/>
      </c>
      <c r="DC88" s="61" t="str">
        <f t="shared" si="187"/>
        <v/>
      </c>
      <c r="DD88" s="131" t="str">
        <f t="shared" si="199"/>
        <v/>
      </c>
      <c r="DE88" s="131" t="str">
        <f t="shared" si="200"/>
        <v/>
      </c>
      <c r="DF88" s="61" t="str">
        <f t="shared" si="201"/>
        <v/>
      </c>
      <c r="DG88" s="116" t="str">
        <f t="shared" si="188"/>
        <v/>
      </c>
      <c r="DH88" s="116" t="str">
        <f t="shared" si="189"/>
        <v/>
      </c>
    </row>
    <row r="89" spans="2:112" s="17" customFormat="1" hidden="1">
      <c r="B89" s="35"/>
      <c r="C89" s="35"/>
      <c r="D89" s="36"/>
      <c r="E89" s="35"/>
      <c r="F89" s="35"/>
      <c r="G89" s="35"/>
      <c r="H89" s="35"/>
      <c r="I89" s="35"/>
      <c r="J89" s="121"/>
      <c r="K89" s="59"/>
      <c r="AC89" s="47" t="s">
        <v>268</v>
      </c>
      <c r="AD89" s="52" t="str">
        <f t="shared" si="120"/>
        <v/>
      </c>
      <c r="AE89" s="52">
        <f t="shared" si="121"/>
        <v>0</v>
      </c>
      <c r="AF89" s="52">
        <f t="shared" si="190"/>
        <v>6</v>
      </c>
      <c r="AG89" s="61" t="str">
        <f t="shared" si="122"/>
        <v/>
      </c>
      <c r="AH89" s="52">
        <f t="shared" si="123"/>
        <v>0</v>
      </c>
      <c r="AI89" s="52">
        <f t="shared" si="155"/>
        <v>7</v>
      </c>
      <c r="AJ89" s="52" t="str">
        <f t="shared" si="156"/>
        <v/>
      </c>
      <c r="AK89" s="61" t="str">
        <f t="shared" si="124"/>
        <v/>
      </c>
      <c r="AL89" s="95" t="str">
        <f t="shared" si="125"/>
        <v/>
      </c>
      <c r="AM89" s="61" t="str">
        <f t="shared" si="126"/>
        <v>if () {$("#adv_").html("Requierd");$("#").css({"background":"yellow"});} else {$("#adv_").html("");$("#").css({"background":"white"});}</v>
      </c>
      <c r="AN89" s="61" t="str">
        <f t="shared" si="127"/>
        <v>if (=="") {$("#adv_").html("Requierd");} else {$("#adv_").html("");}</v>
      </c>
      <c r="AO89" s="50" t="str">
        <f t="shared" si="128"/>
        <v/>
      </c>
      <c r="AP89" s="61" t="str">
        <f t="shared" si="129"/>
        <v>=$("#").val();</v>
      </c>
      <c r="AQ89" s="61" t="str">
        <f t="shared" si="157"/>
        <v/>
      </c>
      <c r="AR89" s="61" t="str">
        <f t="shared" si="130"/>
        <v>=document.getElementById("").checked;</v>
      </c>
      <c r="AS89" s="102" t="str">
        <f t="shared" si="131"/>
        <v>if (isset($_GET[''])) {$=($_GET['']);}else $='';</v>
      </c>
      <c r="AT89" s="52" t="str">
        <f t="shared" si="132"/>
        <v>EPS</v>
      </c>
      <c r="AU89" s="52" t="str">
        <f t="shared" si="133"/>
        <v>else if (document.getElementById("</v>
      </c>
      <c r="AV89" s="61" t="str">
        <f t="shared" si="134"/>
        <v>else if (document.getElementById("").checked==true) {EPS="";}</v>
      </c>
      <c r="AW89" s="61" t="str">
        <f t="shared" si="158"/>
        <v/>
      </c>
      <c r="AX89" s="102" t="str">
        <f t="shared" si="135"/>
        <v/>
      </c>
      <c r="AY89" s="135" t="str">
        <f t="shared" si="159"/>
        <v/>
      </c>
      <c r="AZ89" s="50" t="str">
        <f t="shared" si="136"/>
        <v>&lt;input type="checkbox" id="" name="" value="1" /&gt;</v>
      </c>
      <c r="BA89" s="105" t="str">
        <f t="shared" si="137"/>
        <v>&lt;br/&gt;&lt;textarea rows="2" cols="80" id=""&gt;&lt;/textarea&gt;&lt;br/&gt;</v>
      </c>
      <c r="BB89" s="50" t="str">
        <f t="shared" si="138"/>
        <v>&lt;input type="radio" name="EPS" id="" value="" /&gt;</v>
      </c>
      <c r="BC89" s="107" t="str">
        <f t="shared" si="139"/>
        <v>&lt;input type="text"  size="7"  id="" class="datepicker"/&gt;</v>
      </c>
      <c r="BD89" s="109" t="str">
        <f t="shared" si="160"/>
        <v/>
      </c>
      <c r="BE89" s="61" t="str">
        <f t="shared" si="140"/>
        <v/>
      </c>
      <c r="BF89" s="52">
        <f t="shared" si="195"/>
        <v>12</v>
      </c>
      <c r="BG89" s="61" t="str">
        <f t="shared" si="161"/>
        <v/>
      </c>
      <c r="BH89" s="102" t="str">
        <f t="shared" si="141"/>
        <v/>
      </c>
      <c r="BI89" s="105" t="str">
        <f t="shared" si="197"/>
        <v/>
      </c>
      <c r="BJ89" s="52" t="str">
        <f t="shared" si="162"/>
        <v/>
      </c>
      <c r="BK89" s="52">
        <f t="shared" si="163"/>
        <v>0</v>
      </c>
      <c r="BL89" s="52">
        <f t="shared" si="164"/>
        <v>2</v>
      </c>
      <c r="BM89" s="52" t="str">
        <f t="shared" si="191"/>
        <v/>
      </c>
      <c r="BN89" s="52" t="str">
        <f t="shared" si="142"/>
        <v/>
      </c>
      <c r="BO89" s="52" t="str">
        <f t="shared" si="165"/>
        <v/>
      </c>
      <c r="BP89" s="113" t="str">
        <f t="shared" si="166"/>
        <v/>
      </c>
      <c r="BQ89" s="52" t="str">
        <f t="shared" si="192"/>
        <v/>
      </c>
      <c r="BR89" s="52" t="str">
        <f t="shared" si="167"/>
        <v/>
      </c>
      <c r="BS89" s="52" t="str">
        <f t="shared" si="168"/>
        <v/>
      </c>
      <c r="BT89" s="52" t="str">
        <f t="shared" si="169"/>
        <v/>
      </c>
      <c r="BU89" s="52" t="str">
        <f t="shared" si="170"/>
        <v/>
      </c>
      <c r="BV89" s="102" t="str">
        <f t="shared" si="143"/>
        <v/>
      </c>
      <c r="BW89" s="116" t="str">
        <f t="shared" si="144"/>
        <v/>
      </c>
      <c r="BX89" s="61" t="str">
        <f t="shared" si="145"/>
        <v/>
      </c>
      <c r="BY89" s="52" t="str">
        <f t="shared" si="146"/>
        <v/>
      </c>
      <c r="BZ89" s="52" t="str">
        <f t="shared" si="147"/>
        <v/>
      </c>
      <c r="CA89" s="52" t="str">
        <f t="shared" si="171"/>
        <v/>
      </c>
      <c r="CB89" s="52" t="str">
        <f t="shared" si="148"/>
        <v/>
      </c>
      <c r="CC89" s="52" t="str">
        <f t="shared" si="149"/>
        <v/>
      </c>
      <c r="CD89" s="102" t="str">
        <f t="shared" si="150"/>
        <v/>
      </c>
      <c r="CE89" s="116" t="str">
        <f t="shared" si="151"/>
        <v/>
      </c>
      <c r="CF89" s="116" t="str">
        <f t="shared" si="92"/>
        <v/>
      </c>
      <c r="CG89" s="61" t="str">
        <f t="shared" si="152"/>
        <v/>
      </c>
      <c r="CH89" s="52">
        <f t="shared" si="193"/>
        <v>2</v>
      </c>
      <c r="CI89" s="61" t="str">
        <f t="shared" si="172"/>
        <v/>
      </c>
      <c r="CJ89" s="61" t="str">
        <f t="shared" si="173"/>
        <v/>
      </c>
      <c r="CK89" s="61" t="str">
        <f t="shared" si="174"/>
        <v/>
      </c>
      <c r="CL89" s="61" t="str">
        <f t="shared" si="153"/>
        <v/>
      </c>
      <c r="CM89" s="61" t="str">
        <f t="shared" si="154"/>
        <v/>
      </c>
      <c r="CN89" s="134" t="str">
        <f t="shared" si="198"/>
        <v/>
      </c>
      <c r="CO89" s="131" t="str">
        <f t="shared" si="196"/>
        <v/>
      </c>
      <c r="CP89" s="131" t="str">
        <f t="shared" si="175"/>
        <v/>
      </c>
      <c r="CQ89" s="131" t="str">
        <f t="shared" si="176"/>
        <v/>
      </c>
      <c r="CR89" s="116" t="str">
        <f t="shared" si="177"/>
        <v/>
      </c>
      <c r="CS89" s="116" t="str">
        <f t="shared" si="178"/>
        <v/>
      </c>
      <c r="CT89" s="116" t="str">
        <f t="shared" si="179"/>
        <v/>
      </c>
      <c r="CU89" s="52">
        <f t="shared" si="180"/>
        <v>0</v>
      </c>
      <c r="CV89" s="116" t="str">
        <f t="shared" si="181"/>
        <v/>
      </c>
      <c r="CW89" s="116" t="str">
        <f t="shared" si="182"/>
        <v/>
      </c>
      <c r="CX89" s="61" t="str">
        <f t="shared" si="183"/>
        <v/>
      </c>
      <c r="CY89" s="61" t="str">
        <f t="shared" si="184"/>
        <v/>
      </c>
      <c r="CZ89" s="61" t="str">
        <f t="shared" si="185"/>
        <v/>
      </c>
      <c r="DA89" s="116" t="str">
        <f t="shared" si="186"/>
        <v/>
      </c>
      <c r="DB89" s="6" t="str">
        <f t="shared" si="194"/>
        <v/>
      </c>
      <c r="DC89" s="61" t="str">
        <f t="shared" si="187"/>
        <v/>
      </c>
      <c r="DD89" s="131" t="str">
        <f t="shared" si="199"/>
        <v/>
      </c>
      <c r="DE89" s="131" t="str">
        <f t="shared" si="200"/>
        <v/>
      </c>
      <c r="DF89" s="61" t="str">
        <f t="shared" si="201"/>
        <v/>
      </c>
      <c r="DG89" s="116" t="str">
        <f t="shared" si="188"/>
        <v/>
      </c>
      <c r="DH89" s="116" t="str">
        <f t="shared" si="189"/>
        <v/>
      </c>
    </row>
    <row r="90" spans="2:112" s="17" customFormat="1" hidden="1">
      <c r="B90" s="35"/>
      <c r="C90" s="35"/>
      <c r="D90" s="36"/>
      <c r="E90" s="35"/>
      <c r="F90" s="35"/>
      <c r="G90" s="35"/>
      <c r="H90" s="35"/>
      <c r="I90" s="35"/>
      <c r="J90" s="121"/>
      <c r="K90" s="59"/>
      <c r="AC90" s="47" t="s">
        <v>269</v>
      </c>
      <c r="AD90" s="52" t="str">
        <f t="shared" si="120"/>
        <v/>
      </c>
      <c r="AE90" s="52">
        <f t="shared" si="121"/>
        <v>0</v>
      </c>
      <c r="AF90" s="52">
        <f t="shared" si="190"/>
        <v>6</v>
      </c>
      <c r="AG90" s="61" t="str">
        <f t="shared" si="122"/>
        <v/>
      </c>
      <c r="AH90" s="52">
        <f t="shared" si="123"/>
        <v>0</v>
      </c>
      <c r="AI90" s="52">
        <f t="shared" si="155"/>
        <v>7</v>
      </c>
      <c r="AJ90" s="52" t="str">
        <f t="shared" si="156"/>
        <v/>
      </c>
      <c r="AK90" s="61" t="str">
        <f t="shared" si="124"/>
        <v/>
      </c>
      <c r="AL90" s="95" t="str">
        <f t="shared" si="125"/>
        <v/>
      </c>
      <c r="AM90" s="61" t="str">
        <f t="shared" si="126"/>
        <v>if () {$("#adv_").html("Requierd");$("#").css({"background":"yellow"});} else {$("#adv_").html("");$("#").css({"background":"white"});}</v>
      </c>
      <c r="AN90" s="61" t="str">
        <f t="shared" si="127"/>
        <v>if (=="") {$("#adv_").html("Requierd");} else {$("#adv_").html("");}</v>
      </c>
      <c r="AO90" s="50" t="str">
        <f t="shared" si="128"/>
        <v/>
      </c>
      <c r="AP90" s="61" t="str">
        <f t="shared" si="129"/>
        <v>=$("#").val();</v>
      </c>
      <c r="AQ90" s="61" t="str">
        <f t="shared" si="157"/>
        <v/>
      </c>
      <c r="AR90" s="61" t="str">
        <f t="shared" si="130"/>
        <v>=document.getElementById("").checked;</v>
      </c>
      <c r="AS90" s="102" t="str">
        <f t="shared" si="131"/>
        <v>if (isset($_GET[''])) {$=($_GET['']);}else $='';</v>
      </c>
      <c r="AT90" s="52" t="str">
        <f t="shared" si="132"/>
        <v>EPS</v>
      </c>
      <c r="AU90" s="52" t="str">
        <f t="shared" si="133"/>
        <v>else if (document.getElementById("</v>
      </c>
      <c r="AV90" s="61" t="str">
        <f t="shared" si="134"/>
        <v>else if (document.getElementById("").checked==true) {EPS="";}</v>
      </c>
      <c r="AW90" s="61" t="str">
        <f t="shared" si="158"/>
        <v/>
      </c>
      <c r="AX90" s="102" t="str">
        <f t="shared" si="135"/>
        <v/>
      </c>
      <c r="AY90" s="135" t="str">
        <f t="shared" si="159"/>
        <v/>
      </c>
      <c r="AZ90" s="50" t="str">
        <f t="shared" si="136"/>
        <v>&lt;input type="checkbox" id="" name="" value="1" /&gt;</v>
      </c>
      <c r="BA90" s="105" t="str">
        <f t="shared" si="137"/>
        <v>&lt;br/&gt;&lt;textarea rows="2" cols="80" id=""&gt;&lt;/textarea&gt;&lt;br/&gt;</v>
      </c>
      <c r="BB90" s="50" t="str">
        <f t="shared" si="138"/>
        <v>&lt;input type="radio" name="EPS" id="" value="" /&gt;</v>
      </c>
      <c r="BC90" s="107" t="str">
        <f t="shared" si="139"/>
        <v>&lt;input type="text"  size="7"  id="" class="datepicker"/&gt;</v>
      </c>
      <c r="BD90" s="109" t="str">
        <f t="shared" si="160"/>
        <v/>
      </c>
      <c r="BE90" s="61" t="str">
        <f t="shared" si="140"/>
        <v/>
      </c>
      <c r="BF90" s="52">
        <f t="shared" si="195"/>
        <v>12</v>
      </c>
      <c r="BG90" s="61" t="str">
        <f t="shared" si="161"/>
        <v/>
      </c>
      <c r="BH90" s="102" t="str">
        <f t="shared" si="141"/>
        <v/>
      </c>
      <c r="BI90" s="105" t="str">
        <f t="shared" si="197"/>
        <v/>
      </c>
      <c r="BJ90" s="52" t="str">
        <f t="shared" si="162"/>
        <v/>
      </c>
      <c r="BK90" s="52">
        <f t="shared" si="163"/>
        <v>0</v>
      </c>
      <c r="BL90" s="52">
        <f t="shared" si="164"/>
        <v>2</v>
      </c>
      <c r="BM90" s="52" t="str">
        <f t="shared" si="191"/>
        <v/>
      </c>
      <c r="BN90" s="52" t="str">
        <f t="shared" si="142"/>
        <v/>
      </c>
      <c r="BO90" s="52" t="str">
        <f t="shared" si="165"/>
        <v/>
      </c>
      <c r="BP90" s="113" t="str">
        <f t="shared" si="166"/>
        <v/>
      </c>
      <c r="BQ90" s="52" t="str">
        <f t="shared" si="192"/>
        <v/>
      </c>
      <c r="BR90" s="52" t="str">
        <f t="shared" si="167"/>
        <v/>
      </c>
      <c r="BS90" s="52" t="str">
        <f t="shared" si="168"/>
        <v/>
      </c>
      <c r="BT90" s="52" t="str">
        <f t="shared" si="169"/>
        <v/>
      </c>
      <c r="BU90" s="52" t="str">
        <f t="shared" si="170"/>
        <v/>
      </c>
      <c r="BV90" s="102" t="str">
        <f t="shared" si="143"/>
        <v/>
      </c>
      <c r="BW90" s="116" t="str">
        <f t="shared" si="144"/>
        <v/>
      </c>
      <c r="BX90" s="61" t="str">
        <f t="shared" si="145"/>
        <v/>
      </c>
      <c r="BY90" s="52" t="str">
        <f t="shared" si="146"/>
        <v/>
      </c>
      <c r="BZ90" s="52" t="str">
        <f t="shared" si="147"/>
        <v/>
      </c>
      <c r="CA90" s="52" t="str">
        <f t="shared" si="171"/>
        <v/>
      </c>
      <c r="CB90" s="52" t="str">
        <f t="shared" si="148"/>
        <v/>
      </c>
      <c r="CC90" s="52" t="str">
        <f t="shared" si="149"/>
        <v/>
      </c>
      <c r="CD90" s="102" t="str">
        <f t="shared" si="150"/>
        <v/>
      </c>
      <c r="CE90" s="116" t="str">
        <f t="shared" si="151"/>
        <v/>
      </c>
      <c r="CF90" s="116" t="str">
        <f t="shared" si="92"/>
        <v/>
      </c>
      <c r="CG90" s="61" t="str">
        <f t="shared" si="152"/>
        <v/>
      </c>
      <c r="CH90" s="52">
        <f t="shared" si="193"/>
        <v>2</v>
      </c>
      <c r="CI90" s="61" t="str">
        <f t="shared" si="172"/>
        <v/>
      </c>
      <c r="CJ90" s="61" t="str">
        <f t="shared" si="173"/>
        <v/>
      </c>
      <c r="CK90" s="61" t="str">
        <f t="shared" si="174"/>
        <v/>
      </c>
      <c r="CL90" s="61" t="str">
        <f t="shared" si="153"/>
        <v/>
      </c>
      <c r="CM90" s="61" t="str">
        <f t="shared" si="154"/>
        <v/>
      </c>
      <c r="CN90" s="134" t="str">
        <f t="shared" si="198"/>
        <v/>
      </c>
      <c r="CO90" s="131" t="str">
        <f t="shared" si="196"/>
        <v/>
      </c>
      <c r="CP90" s="131" t="str">
        <f t="shared" si="175"/>
        <v/>
      </c>
      <c r="CQ90" s="131" t="str">
        <f t="shared" si="176"/>
        <v/>
      </c>
      <c r="CR90" s="116" t="str">
        <f t="shared" si="177"/>
        <v/>
      </c>
      <c r="CS90" s="116" t="str">
        <f t="shared" si="178"/>
        <v/>
      </c>
      <c r="CT90" s="116" t="str">
        <f t="shared" si="179"/>
        <v/>
      </c>
      <c r="CU90" s="52">
        <f t="shared" si="180"/>
        <v>0</v>
      </c>
      <c r="CV90" s="116" t="str">
        <f t="shared" si="181"/>
        <v/>
      </c>
      <c r="CW90" s="116" t="str">
        <f t="shared" si="182"/>
        <v/>
      </c>
      <c r="CX90" s="61" t="str">
        <f t="shared" si="183"/>
        <v/>
      </c>
      <c r="CY90" s="61" t="str">
        <f t="shared" si="184"/>
        <v/>
      </c>
      <c r="CZ90" s="61" t="str">
        <f t="shared" si="185"/>
        <v/>
      </c>
      <c r="DA90" s="116" t="str">
        <f t="shared" si="186"/>
        <v/>
      </c>
      <c r="DB90" s="6" t="str">
        <f t="shared" si="194"/>
        <v/>
      </c>
      <c r="DC90" s="61" t="str">
        <f t="shared" si="187"/>
        <v/>
      </c>
      <c r="DD90" s="131" t="str">
        <f t="shared" si="199"/>
        <v/>
      </c>
      <c r="DE90" s="131" t="str">
        <f t="shared" si="200"/>
        <v/>
      </c>
      <c r="DF90" s="61" t="str">
        <f t="shared" si="201"/>
        <v/>
      </c>
      <c r="DG90" s="116" t="str">
        <f t="shared" si="188"/>
        <v/>
      </c>
      <c r="DH90" s="116" t="str">
        <f t="shared" si="189"/>
        <v/>
      </c>
    </row>
    <row r="91" spans="2:112" s="17" customFormat="1" hidden="1">
      <c r="B91" s="35"/>
      <c r="C91" s="35"/>
      <c r="D91" s="36"/>
      <c r="E91" s="35"/>
      <c r="F91" s="35"/>
      <c r="G91" s="35"/>
      <c r="H91" s="35"/>
      <c r="I91" s="35"/>
      <c r="J91" s="121"/>
      <c r="K91" s="59"/>
      <c r="AC91" s="47" t="s">
        <v>270</v>
      </c>
      <c r="AD91" s="52" t="str">
        <f t="shared" si="120"/>
        <v/>
      </c>
      <c r="AE91" s="52">
        <f t="shared" si="121"/>
        <v>0</v>
      </c>
      <c r="AF91" s="52">
        <f t="shared" si="190"/>
        <v>6</v>
      </c>
      <c r="AG91" s="61" t="str">
        <f t="shared" si="122"/>
        <v/>
      </c>
      <c r="AH91" s="52">
        <f t="shared" si="123"/>
        <v>0</v>
      </c>
      <c r="AI91" s="52">
        <f t="shared" si="155"/>
        <v>7</v>
      </c>
      <c r="AJ91" s="52" t="str">
        <f t="shared" si="156"/>
        <v/>
      </c>
      <c r="AK91" s="61" t="str">
        <f t="shared" si="124"/>
        <v/>
      </c>
      <c r="AL91" s="95" t="str">
        <f t="shared" si="125"/>
        <v/>
      </c>
      <c r="AM91" s="61" t="str">
        <f t="shared" si="126"/>
        <v>if () {$("#adv_").html("Requierd");$("#").css({"background":"yellow"});} else {$("#adv_").html("");$("#").css({"background":"white"});}</v>
      </c>
      <c r="AN91" s="61" t="str">
        <f t="shared" si="127"/>
        <v>if (=="") {$("#adv_").html("Requierd");} else {$("#adv_").html("");}</v>
      </c>
      <c r="AO91" s="50" t="str">
        <f t="shared" si="128"/>
        <v/>
      </c>
      <c r="AP91" s="61" t="str">
        <f t="shared" si="129"/>
        <v>=$("#").val();</v>
      </c>
      <c r="AQ91" s="61" t="str">
        <f t="shared" si="157"/>
        <v/>
      </c>
      <c r="AR91" s="61" t="str">
        <f t="shared" si="130"/>
        <v>=document.getElementById("").checked;</v>
      </c>
      <c r="AS91" s="102" t="str">
        <f t="shared" si="131"/>
        <v>if (isset($_GET[''])) {$=($_GET['']);}else $='';</v>
      </c>
      <c r="AT91" s="52" t="str">
        <f t="shared" si="132"/>
        <v>EPS</v>
      </c>
      <c r="AU91" s="52" t="str">
        <f t="shared" si="133"/>
        <v>else if (document.getElementById("</v>
      </c>
      <c r="AV91" s="61" t="str">
        <f t="shared" si="134"/>
        <v>else if (document.getElementById("").checked==true) {EPS="";}</v>
      </c>
      <c r="AW91" s="61" t="str">
        <f t="shared" si="158"/>
        <v/>
      </c>
      <c r="AX91" s="102" t="str">
        <f t="shared" si="135"/>
        <v/>
      </c>
      <c r="AY91" s="135" t="str">
        <f t="shared" si="159"/>
        <v/>
      </c>
      <c r="AZ91" s="50" t="str">
        <f t="shared" si="136"/>
        <v>&lt;input type="checkbox" id="" name="" value="1" /&gt;</v>
      </c>
      <c r="BA91" s="105" t="str">
        <f t="shared" si="137"/>
        <v>&lt;br/&gt;&lt;textarea rows="2" cols="80" id=""&gt;&lt;/textarea&gt;&lt;br/&gt;</v>
      </c>
      <c r="BB91" s="50" t="str">
        <f t="shared" si="138"/>
        <v>&lt;input type="radio" name="EPS" id="" value="" /&gt;</v>
      </c>
      <c r="BC91" s="107" t="str">
        <f t="shared" si="139"/>
        <v>&lt;input type="text"  size="7"  id="" class="datepicker"/&gt;</v>
      </c>
      <c r="BD91" s="109" t="str">
        <f t="shared" si="160"/>
        <v/>
      </c>
      <c r="BE91" s="61" t="str">
        <f t="shared" si="140"/>
        <v/>
      </c>
      <c r="BF91" s="52">
        <f t="shared" si="195"/>
        <v>12</v>
      </c>
      <c r="BG91" s="61" t="str">
        <f t="shared" si="161"/>
        <v/>
      </c>
      <c r="BH91" s="102" t="str">
        <f t="shared" si="141"/>
        <v/>
      </c>
      <c r="BI91" s="105" t="str">
        <f t="shared" si="197"/>
        <v/>
      </c>
      <c r="BJ91" s="52" t="str">
        <f t="shared" si="162"/>
        <v/>
      </c>
      <c r="BK91" s="52">
        <f t="shared" si="163"/>
        <v>0</v>
      </c>
      <c r="BL91" s="52">
        <f t="shared" si="164"/>
        <v>2</v>
      </c>
      <c r="BM91" s="52" t="str">
        <f t="shared" si="191"/>
        <v/>
      </c>
      <c r="BN91" s="52" t="str">
        <f t="shared" si="142"/>
        <v/>
      </c>
      <c r="BO91" s="52" t="str">
        <f t="shared" si="165"/>
        <v/>
      </c>
      <c r="BP91" s="113" t="str">
        <f t="shared" si="166"/>
        <v/>
      </c>
      <c r="BQ91" s="52" t="str">
        <f t="shared" si="192"/>
        <v/>
      </c>
      <c r="BR91" s="52" t="str">
        <f t="shared" si="167"/>
        <v/>
      </c>
      <c r="BS91" s="52" t="str">
        <f t="shared" si="168"/>
        <v/>
      </c>
      <c r="BT91" s="52" t="str">
        <f t="shared" si="169"/>
        <v/>
      </c>
      <c r="BU91" s="52" t="str">
        <f t="shared" si="170"/>
        <v/>
      </c>
      <c r="BV91" s="102" t="str">
        <f t="shared" si="143"/>
        <v/>
      </c>
      <c r="BW91" s="116" t="str">
        <f t="shared" si="144"/>
        <v/>
      </c>
      <c r="BX91" s="61" t="str">
        <f t="shared" si="145"/>
        <v/>
      </c>
      <c r="BY91" s="52" t="str">
        <f t="shared" si="146"/>
        <v/>
      </c>
      <c r="BZ91" s="52" t="str">
        <f t="shared" si="147"/>
        <v/>
      </c>
      <c r="CA91" s="52" t="str">
        <f t="shared" si="171"/>
        <v/>
      </c>
      <c r="CB91" s="52" t="str">
        <f t="shared" si="148"/>
        <v/>
      </c>
      <c r="CC91" s="52" t="str">
        <f t="shared" si="149"/>
        <v/>
      </c>
      <c r="CD91" s="102" t="str">
        <f t="shared" si="150"/>
        <v/>
      </c>
      <c r="CE91" s="116" t="str">
        <f t="shared" si="151"/>
        <v/>
      </c>
      <c r="CF91" s="116" t="str">
        <f t="shared" ref="CF91:CF114" si="202">IF(BP91="","",IF(E91="date",","&amp;C91&amp;" "&amp;E91,","&amp;BP91&amp;" "&amp;E91&amp;"("&amp;D91&amp;")"))</f>
        <v/>
      </c>
      <c r="CG91" s="61" t="str">
        <f t="shared" si="152"/>
        <v/>
      </c>
      <c r="CH91" s="52">
        <f t="shared" si="193"/>
        <v>2</v>
      </c>
      <c r="CI91" s="61" t="str">
        <f t="shared" si="172"/>
        <v/>
      </c>
      <c r="CJ91" s="61" t="str">
        <f t="shared" si="173"/>
        <v/>
      </c>
      <c r="CK91" s="61" t="str">
        <f t="shared" si="174"/>
        <v/>
      </c>
      <c r="CL91" s="61" t="str">
        <f t="shared" si="153"/>
        <v/>
      </c>
      <c r="CM91" s="61" t="str">
        <f t="shared" si="154"/>
        <v/>
      </c>
      <c r="CN91" s="134" t="str">
        <f t="shared" si="198"/>
        <v/>
      </c>
      <c r="CO91" s="131" t="str">
        <f t="shared" si="196"/>
        <v/>
      </c>
      <c r="CP91" s="131" t="str">
        <f t="shared" si="175"/>
        <v/>
      </c>
      <c r="CQ91" s="131" t="str">
        <f t="shared" si="176"/>
        <v/>
      </c>
      <c r="CR91" s="116" t="str">
        <f t="shared" si="177"/>
        <v/>
      </c>
      <c r="CS91" s="116" t="str">
        <f t="shared" si="178"/>
        <v/>
      </c>
      <c r="CT91" s="116" t="str">
        <f t="shared" si="179"/>
        <v/>
      </c>
      <c r="CU91" s="52">
        <f t="shared" si="180"/>
        <v>0</v>
      </c>
      <c r="CV91" s="116" t="str">
        <f t="shared" si="181"/>
        <v/>
      </c>
      <c r="CW91" s="116" t="str">
        <f t="shared" si="182"/>
        <v/>
      </c>
      <c r="CX91" s="61" t="str">
        <f t="shared" si="183"/>
        <v/>
      </c>
      <c r="CY91" s="61" t="str">
        <f t="shared" si="184"/>
        <v/>
      </c>
      <c r="CZ91" s="61" t="str">
        <f t="shared" si="185"/>
        <v/>
      </c>
      <c r="DA91" s="116" t="str">
        <f t="shared" si="186"/>
        <v/>
      </c>
      <c r="DB91" s="6" t="str">
        <f t="shared" si="194"/>
        <v/>
      </c>
      <c r="DC91" s="61" t="str">
        <f t="shared" si="187"/>
        <v/>
      </c>
      <c r="DD91" s="131" t="str">
        <f t="shared" si="199"/>
        <v/>
      </c>
      <c r="DE91" s="131" t="str">
        <f t="shared" si="200"/>
        <v/>
      </c>
      <c r="DF91" s="61" t="str">
        <f t="shared" si="201"/>
        <v/>
      </c>
      <c r="DG91" s="116" t="str">
        <f t="shared" si="188"/>
        <v/>
      </c>
      <c r="DH91" s="116" t="str">
        <f t="shared" si="189"/>
        <v/>
      </c>
    </row>
    <row r="92" spans="2:112" s="17" customFormat="1" hidden="1">
      <c r="B92" s="35"/>
      <c r="C92" s="35"/>
      <c r="D92" s="36"/>
      <c r="E92" s="35"/>
      <c r="F92" s="35"/>
      <c r="G92" s="35"/>
      <c r="H92" s="35"/>
      <c r="I92" s="35"/>
      <c r="J92" s="121"/>
      <c r="K92" s="59"/>
      <c r="AC92" s="47" t="s">
        <v>271</v>
      </c>
      <c r="AD92" s="52" t="str">
        <f t="shared" si="120"/>
        <v/>
      </c>
      <c r="AE92" s="52">
        <f t="shared" si="121"/>
        <v>0</v>
      </c>
      <c r="AF92" s="52">
        <f t="shared" si="190"/>
        <v>6</v>
      </c>
      <c r="AG92" s="61" t="str">
        <f t="shared" si="122"/>
        <v/>
      </c>
      <c r="AH92" s="52">
        <f t="shared" si="123"/>
        <v>0</v>
      </c>
      <c r="AI92" s="52">
        <f t="shared" si="155"/>
        <v>7</v>
      </c>
      <c r="AJ92" s="52" t="str">
        <f t="shared" si="156"/>
        <v/>
      </c>
      <c r="AK92" s="61" t="str">
        <f t="shared" si="124"/>
        <v/>
      </c>
      <c r="AL92" s="95" t="str">
        <f t="shared" si="125"/>
        <v/>
      </c>
      <c r="AM92" s="61" t="str">
        <f t="shared" si="126"/>
        <v>if () {$("#adv_").html("Requierd");$("#").css({"background":"yellow"});} else {$("#adv_").html("");$("#").css({"background":"white"});}</v>
      </c>
      <c r="AN92" s="61" t="str">
        <f t="shared" si="127"/>
        <v>if (=="") {$("#adv_").html("Requierd");} else {$("#adv_").html("");}</v>
      </c>
      <c r="AO92" s="50" t="str">
        <f t="shared" si="128"/>
        <v/>
      </c>
      <c r="AP92" s="61" t="str">
        <f t="shared" si="129"/>
        <v>=$("#").val();</v>
      </c>
      <c r="AQ92" s="61" t="str">
        <f t="shared" si="157"/>
        <v/>
      </c>
      <c r="AR92" s="61" t="str">
        <f t="shared" si="130"/>
        <v>=document.getElementById("").checked;</v>
      </c>
      <c r="AS92" s="102" t="str">
        <f t="shared" si="131"/>
        <v>if (isset($_GET[''])) {$=($_GET['']);}else $='';</v>
      </c>
      <c r="AT92" s="52" t="str">
        <f t="shared" si="132"/>
        <v>EPS</v>
      </c>
      <c r="AU92" s="52" t="str">
        <f t="shared" si="133"/>
        <v>else if (document.getElementById("</v>
      </c>
      <c r="AV92" s="61" t="str">
        <f t="shared" si="134"/>
        <v>else if (document.getElementById("").checked==true) {EPS="";}</v>
      </c>
      <c r="AW92" s="61" t="str">
        <f t="shared" si="158"/>
        <v/>
      </c>
      <c r="AX92" s="102" t="str">
        <f t="shared" si="135"/>
        <v/>
      </c>
      <c r="AY92" s="135" t="str">
        <f t="shared" si="159"/>
        <v/>
      </c>
      <c r="AZ92" s="50" t="str">
        <f t="shared" si="136"/>
        <v>&lt;input type="checkbox" id="" name="" value="1" /&gt;</v>
      </c>
      <c r="BA92" s="105" t="str">
        <f t="shared" si="137"/>
        <v>&lt;br/&gt;&lt;textarea rows="2" cols="80" id=""&gt;&lt;/textarea&gt;&lt;br/&gt;</v>
      </c>
      <c r="BB92" s="50" t="str">
        <f t="shared" si="138"/>
        <v>&lt;input type="radio" name="EPS" id="" value="" /&gt;</v>
      </c>
      <c r="BC92" s="107" t="str">
        <f t="shared" si="139"/>
        <v>&lt;input type="text"  size="7"  id="" class="datepicker"/&gt;</v>
      </c>
      <c r="BD92" s="109" t="str">
        <f t="shared" si="160"/>
        <v/>
      </c>
      <c r="BE92" s="61" t="str">
        <f t="shared" si="140"/>
        <v/>
      </c>
      <c r="BF92" s="52">
        <f t="shared" si="195"/>
        <v>12</v>
      </c>
      <c r="BG92" s="61" t="str">
        <f t="shared" si="161"/>
        <v/>
      </c>
      <c r="BH92" s="102" t="str">
        <f t="shared" si="141"/>
        <v/>
      </c>
      <c r="BI92" s="105" t="str">
        <f t="shared" si="197"/>
        <v/>
      </c>
      <c r="BJ92" s="52" t="str">
        <f t="shared" si="162"/>
        <v/>
      </c>
      <c r="BK92" s="52">
        <f t="shared" si="163"/>
        <v>0</v>
      </c>
      <c r="BL92" s="52">
        <f t="shared" si="164"/>
        <v>2</v>
      </c>
      <c r="BM92" s="52" t="str">
        <f t="shared" si="191"/>
        <v/>
      </c>
      <c r="BN92" s="52" t="str">
        <f t="shared" si="142"/>
        <v/>
      </c>
      <c r="BO92" s="52" t="str">
        <f t="shared" si="165"/>
        <v/>
      </c>
      <c r="BP92" s="113" t="str">
        <f t="shared" si="166"/>
        <v/>
      </c>
      <c r="BQ92" s="52" t="str">
        <f t="shared" si="192"/>
        <v/>
      </c>
      <c r="BR92" s="52" t="str">
        <f t="shared" si="167"/>
        <v/>
      </c>
      <c r="BS92" s="52" t="str">
        <f t="shared" si="168"/>
        <v/>
      </c>
      <c r="BT92" s="52" t="str">
        <f t="shared" si="169"/>
        <v/>
      </c>
      <c r="BU92" s="52" t="str">
        <f t="shared" si="170"/>
        <v/>
      </c>
      <c r="BV92" s="102" t="str">
        <f t="shared" si="143"/>
        <v/>
      </c>
      <c r="BW92" s="116" t="str">
        <f t="shared" si="144"/>
        <v/>
      </c>
      <c r="BX92" s="61" t="str">
        <f t="shared" si="145"/>
        <v/>
      </c>
      <c r="BY92" s="52" t="str">
        <f t="shared" si="146"/>
        <v/>
      </c>
      <c r="BZ92" s="52" t="str">
        <f t="shared" si="147"/>
        <v/>
      </c>
      <c r="CA92" s="52" t="str">
        <f t="shared" si="171"/>
        <v/>
      </c>
      <c r="CB92" s="52" t="str">
        <f t="shared" si="148"/>
        <v/>
      </c>
      <c r="CC92" s="52" t="str">
        <f t="shared" si="149"/>
        <v/>
      </c>
      <c r="CD92" s="102" t="str">
        <f t="shared" si="150"/>
        <v/>
      </c>
      <c r="CE92" s="116" t="str">
        <f t="shared" si="151"/>
        <v/>
      </c>
      <c r="CF92" s="116" t="str">
        <f t="shared" si="202"/>
        <v/>
      </c>
      <c r="CG92" s="61" t="str">
        <f t="shared" si="152"/>
        <v/>
      </c>
      <c r="CH92" s="52">
        <f t="shared" si="193"/>
        <v>2</v>
      </c>
      <c r="CI92" s="61" t="str">
        <f t="shared" si="172"/>
        <v/>
      </c>
      <c r="CJ92" s="61" t="str">
        <f t="shared" si="173"/>
        <v/>
      </c>
      <c r="CK92" s="61" t="str">
        <f t="shared" si="174"/>
        <v/>
      </c>
      <c r="CL92" s="61" t="str">
        <f t="shared" si="153"/>
        <v/>
      </c>
      <c r="CM92" s="61" t="str">
        <f t="shared" si="154"/>
        <v/>
      </c>
      <c r="CN92" s="134" t="str">
        <f t="shared" si="198"/>
        <v/>
      </c>
      <c r="CO92" s="131" t="str">
        <f t="shared" si="196"/>
        <v/>
      </c>
      <c r="CP92" s="131" t="str">
        <f t="shared" si="175"/>
        <v/>
      </c>
      <c r="CQ92" s="131" t="str">
        <f t="shared" si="176"/>
        <v/>
      </c>
      <c r="CR92" s="116" t="str">
        <f t="shared" si="177"/>
        <v/>
      </c>
      <c r="CS92" s="116" t="str">
        <f t="shared" si="178"/>
        <v/>
      </c>
      <c r="CT92" s="116" t="str">
        <f t="shared" si="179"/>
        <v/>
      </c>
      <c r="CU92" s="52">
        <f t="shared" si="180"/>
        <v>0</v>
      </c>
      <c r="CV92" s="116" t="str">
        <f t="shared" si="181"/>
        <v/>
      </c>
      <c r="CW92" s="116" t="str">
        <f t="shared" si="182"/>
        <v/>
      </c>
      <c r="CX92" s="61" t="str">
        <f t="shared" si="183"/>
        <v/>
      </c>
      <c r="CY92" s="61" t="str">
        <f t="shared" si="184"/>
        <v/>
      </c>
      <c r="CZ92" s="61" t="str">
        <f t="shared" si="185"/>
        <v/>
      </c>
      <c r="DA92" s="116" t="str">
        <f t="shared" si="186"/>
        <v/>
      </c>
      <c r="DB92" s="6" t="str">
        <f t="shared" si="194"/>
        <v/>
      </c>
      <c r="DC92" s="61" t="str">
        <f t="shared" si="187"/>
        <v/>
      </c>
      <c r="DD92" s="131" t="str">
        <f t="shared" si="199"/>
        <v/>
      </c>
      <c r="DE92" s="131" t="str">
        <f t="shared" si="200"/>
        <v/>
      </c>
      <c r="DF92" s="61" t="str">
        <f t="shared" si="201"/>
        <v/>
      </c>
      <c r="DG92" s="116" t="str">
        <f t="shared" si="188"/>
        <v/>
      </c>
      <c r="DH92" s="116" t="str">
        <f t="shared" si="189"/>
        <v/>
      </c>
    </row>
    <row r="93" spans="2:112" s="17" customFormat="1" hidden="1">
      <c r="B93" s="35"/>
      <c r="C93" s="35"/>
      <c r="D93" s="36"/>
      <c r="E93" s="35"/>
      <c r="F93" s="35"/>
      <c r="G93" s="35"/>
      <c r="H93" s="35"/>
      <c r="I93" s="35"/>
      <c r="J93" s="121"/>
      <c r="K93" s="59"/>
      <c r="AC93" s="47" t="s">
        <v>272</v>
      </c>
      <c r="AD93" s="52" t="str">
        <f t="shared" si="120"/>
        <v/>
      </c>
      <c r="AE93" s="52">
        <f t="shared" si="121"/>
        <v>0</v>
      </c>
      <c r="AF93" s="52">
        <f t="shared" si="190"/>
        <v>6</v>
      </c>
      <c r="AG93" s="61" t="str">
        <f t="shared" si="122"/>
        <v/>
      </c>
      <c r="AH93" s="52">
        <f t="shared" si="123"/>
        <v>0</v>
      </c>
      <c r="AI93" s="52">
        <f t="shared" si="155"/>
        <v>7</v>
      </c>
      <c r="AJ93" s="52" t="str">
        <f t="shared" si="156"/>
        <v/>
      </c>
      <c r="AK93" s="61" t="str">
        <f t="shared" si="124"/>
        <v/>
      </c>
      <c r="AL93" s="95" t="str">
        <f t="shared" si="125"/>
        <v/>
      </c>
      <c r="AM93" s="61" t="str">
        <f t="shared" si="126"/>
        <v>if () {$("#adv_").html("Requierd");$("#").css({"background":"yellow"});} else {$("#adv_").html("");$("#").css({"background":"white"});}</v>
      </c>
      <c r="AN93" s="61" t="str">
        <f t="shared" si="127"/>
        <v>if (=="") {$("#adv_").html("Requierd");} else {$("#adv_").html("");}</v>
      </c>
      <c r="AO93" s="50" t="str">
        <f t="shared" si="128"/>
        <v/>
      </c>
      <c r="AP93" s="61" t="str">
        <f t="shared" si="129"/>
        <v>=$("#").val();</v>
      </c>
      <c r="AQ93" s="61" t="str">
        <f t="shared" si="157"/>
        <v/>
      </c>
      <c r="AR93" s="61" t="str">
        <f t="shared" si="130"/>
        <v>=document.getElementById("").checked;</v>
      </c>
      <c r="AS93" s="102" t="str">
        <f t="shared" si="131"/>
        <v>if (isset($_GET[''])) {$=($_GET['']);}else $='';</v>
      </c>
      <c r="AT93" s="52" t="str">
        <f t="shared" si="132"/>
        <v>EPS</v>
      </c>
      <c r="AU93" s="52" t="str">
        <f t="shared" si="133"/>
        <v>else if (document.getElementById("</v>
      </c>
      <c r="AV93" s="61" t="str">
        <f t="shared" si="134"/>
        <v>else if (document.getElementById("").checked==true) {EPS="";}</v>
      </c>
      <c r="AW93" s="61" t="str">
        <f t="shared" si="158"/>
        <v/>
      </c>
      <c r="AX93" s="102" t="str">
        <f t="shared" si="135"/>
        <v/>
      </c>
      <c r="AY93" s="135" t="str">
        <f t="shared" si="159"/>
        <v/>
      </c>
      <c r="AZ93" s="50" t="str">
        <f t="shared" si="136"/>
        <v>&lt;input type="checkbox" id="" name="" value="1" /&gt;</v>
      </c>
      <c r="BA93" s="105" t="str">
        <f t="shared" si="137"/>
        <v>&lt;br/&gt;&lt;textarea rows="2" cols="80" id=""&gt;&lt;/textarea&gt;&lt;br/&gt;</v>
      </c>
      <c r="BB93" s="50" t="str">
        <f t="shared" si="138"/>
        <v>&lt;input type="radio" name="EPS" id="" value="" /&gt;</v>
      </c>
      <c r="BC93" s="107" t="str">
        <f t="shared" si="139"/>
        <v>&lt;input type="text"  size="7"  id="" class="datepicker"/&gt;</v>
      </c>
      <c r="BD93" s="109" t="str">
        <f t="shared" si="160"/>
        <v/>
      </c>
      <c r="BE93" s="61" t="str">
        <f t="shared" si="140"/>
        <v/>
      </c>
      <c r="BF93" s="52">
        <f t="shared" si="195"/>
        <v>12</v>
      </c>
      <c r="BG93" s="61" t="str">
        <f t="shared" si="161"/>
        <v/>
      </c>
      <c r="BH93" s="102" t="str">
        <f t="shared" si="141"/>
        <v/>
      </c>
      <c r="BI93" s="105" t="str">
        <f t="shared" si="197"/>
        <v/>
      </c>
      <c r="BJ93" s="52" t="str">
        <f t="shared" si="162"/>
        <v/>
      </c>
      <c r="BK93" s="52">
        <f t="shared" si="163"/>
        <v>0</v>
      </c>
      <c r="BL93" s="52">
        <f t="shared" si="164"/>
        <v>2</v>
      </c>
      <c r="BM93" s="52" t="str">
        <f t="shared" si="191"/>
        <v/>
      </c>
      <c r="BN93" s="52" t="str">
        <f t="shared" si="142"/>
        <v/>
      </c>
      <c r="BO93" s="52" t="str">
        <f t="shared" si="165"/>
        <v/>
      </c>
      <c r="BP93" s="113" t="str">
        <f t="shared" si="166"/>
        <v/>
      </c>
      <c r="BQ93" s="52" t="str">
        <f t="shared" si="192"/>
        <v/>
      </c>
      <c r="BR93" s="52" t="str">
        <f t="shared" si="167"/>
        <v/>
      </c>
      <c r="BS93" s="52" t="str">
        <f t="shared" si="168"/>
        <v/>
      </c>
      <c r="BT93" s="52" t="str">
        <f t="shared" si="169"/>
        <v/>
      </c>
      <c r="BU93" s="52" t="str">
        <f t="shared" si="170"/>
        <v/>
      </c>
      <c r="BV93" s="102" t="str">
        <f t="shared" si="143"/>
        <v/>
      </c>
      <c r="BW93" s="116" t="str">
        <f t="shared" si="144"/>
        <v/>
      </c>
      <c r="BX93" s="61" t="str">
        <f t="shared" si="145"/>
        <v/>
      </c>
      <c r="BY93" s="52" t="str">
        <f t="shared" si="146"/>
        <v/>
      </c>
      <c r="BZ93" s="52" t="str">
        <f t="shared" si="147"/>
        <v/>
      </c>
      <c r="CA93" s="52" t="str">
        <f t="shared" si="171"/>
        <v/>
      </c>
      <c r="CB93" s="52" t="str">
        <f t="shared" si="148"/>
        <v/>
      </c>
      <c r="CC93" s="52" t="str">
        <f t="shared" si="149"/>
        <v/>
      </c>
      <c r="CD93" s="102" t="str">
        <f t="shared" si="150"/>
        <v/>
      </c>
      <c r="CE93" s="116" t="str">
        <f t="shared" si="151"/>
        <v/>
      </c>
      <c r="CF93" s="116" t="str">
        <f t="shared" si="202"/>
        <v/>
      </c>
      <c r="CG93" s="61" t="str">
        <f t="shared" si="152"/>
        <v/>
      </c>
      <c r="CH93" s="52">
        <f t="shared" si="193"/>
        <v>2</v>
      </c>
      <c r="CI93" s="61" t="str">
        <f t="shared" si="172"/>
        <v/>
      </c>
      <c r="CJ93" s="61" t="str">
        <f t="shared" si="173"/>
        <v/>
      </c>
      <c r="CK93" s="61" t="str">
        <f t="shared" si="174"/>
        <v/>
      </c>
      <c r="CL93" s="61" t="str">
        <f t="shared" si="153"/>
        <v/>
      </c>
      <c r="CM93" s="61" t="str">
        <f t="shared" si="154"/>
        <v/>
      </c>
      <c r="CN93" s="134" t="str">
        <f t="shared" si="198"/>
        <v/>
      </c>
      <c r="CO93" s="131" t="str">
        <f t="shared" si="196"/>
        <v/>
      </c>
      <c r="CP93" s="131" t="str">
        <f t="shared" si="175"/>
        <v/>
      </c>
      <c r="CQ93" s="131" t="str">
        <f t="shared" si="176"/>
        <v/>
      </c>
      <c r="CR93" s="116" t="str">
        <f t="shared" si="177"/>
        <v/>
      </c>
      <c r="CS93" s="116" t="str">
        <f t="shared" si="178"/>
        <v/>
      </c>
      <c r="CT93" s="116" t="str">
        <f t="shared" si="179"/>
        <v/>
      </c>
      <c r="CU93" s="52">
        <f t="shared" si="180"/>
        <v>0</v>
      </c>
      <c r="CV93" s="116" t="str">
        <f t="shared" si="181"/>
        <v/>
      </c>
      <c r="CW93" s="116" t="str">
        <f t="shared" si="182"/>
        <v/>
      </c>
      <c r="CX93" s="61" t="str">
        <f t="shared" si="183"/>
        <v/>
      </c>
      <c r="CY93" s="61" t="str">
        <f t="shared" si="184"/>
        <v/>
      </c>
      <c r="CZ93" s="61" t="str">
        <f t="shared" si="185"/>
        <v/>
      </c>
      <c r="DA93" s="116" t="str">
        <f t="shared" si="186"/>
        <v/>
      </c>
      <c r="DB93" s="6" t="str">
        <f t="shared" si="194"/>
        <v/>
      </c>
      <c r="DC93" s="61" t="str">
        <f t="shared" si="187"/>
        <v/>
      </c>
      <c r="DD93" s="131" t="str">
        <f t="shared" si="199"/>
        <v/>
      </c>
      <c r="DE93" s="131" t="str">
        <f t="shared" si="200"/>
        <v/>
      </c>
      <c r="DF93" s="61" t="str">
        <f t="shared" si="201"/>
        <v/>
      </c>
      <c r="DG93" s="116" t="str">
        <f t="shared" si="188"/>
        <v/>
      </c>
      <c r="DH93" s="116" t="str">
        <f t="shared" si="189"/>
        <v/>
      </c>
    </row>
    <row r="94" spans="2:112" s="17" customFormat="1" hidden="1">
      <c r="B94" s="35"/>
      <c r="C94" s="35"/>
      <c r="D94" s="36"/>
      <c r="E94" s="35"/>
      <c r="F94" s="35"/>
      <c r="G94" s="35"/>
      <c r="H94" s="35"/>
      <c r="I94" s="35"/>
      <c r="J94" s="121"/>
      <c r="K94" s="59"/>
      <c r="AC94" s="47" t="s">
        <v>273</v>
      </c>
      <c r="AD94" s="52" t="str">
        <f t="shared" si="120"/>
        <v/>
      </c>
      <c r="AE94" s="52">
        <f t="shared" si="121"/>
        <v>0</v>
      </c>
      <c r="AF94" s="52">
        <f t="shared" si="190"/>
        <v>6</v>
      </c>
      <c r="AG94" s="61" t="str">
        <f t="shared" si="122"/>
        <v/>
      </c>
      <c r="AH94" s="52">
        <f t="shared" si="123"/>
        <v>0</v>
      </c>
      <c r="AI94" s="52">
        <f t="shared" si="155"/>
        <v>7</v>
      </c>
      <c r="AJ94" s="52" t="str">
        <f t="shared" si="156"/>
        <v/>
      </c>
      <c r="AK94" s="61" t="str">
        <f t="shared" si="124"/>
        <v/>
      </c>
      <c r="AL94" s="95" t="str">
        <f t="shared" si="125"/>
        <v/>
      </c>
      <c r="AM94" s="61" t="str">
        <f t="shared" si="126"/>
        <v>if () {$("#adv_").html("Requierd");$("#").css({"background":"yellow"});} else {$("#adv_").html("");$("#").css({"background":"white"});}</v>
      </c>
      <c r="AN94" s="61" t="str">
        <f t="shared" si="127"/>
        <v>if (=="") {$("#adv_").html("Requierd");} else {$("#adv_").html("");}</v>
      </c>
      <c r="AO94" s="50" t="str">
        <f t="shared" si="128"/>
        <v/>
      </c>
      <c r="AP94" s="61" t="str">
        <f t="shared" si="129"/>
        <v>=$("#").val();</v>
      </c>
      <c r="AQ94" s="61" t="str">
        <f t="shared" si="157"/>
        <v/>
      </c>
      <c r="AR94" s="61" t="str">
        <f t="shared" si="130"/>
        <v>=document.getElementById("").checked;</v>
      </c>
      <c r="AS94" s="102" t="str">
        <f t="shared" si="131"/>
        <v>if (isset($_GET[''])) {$=($_GET['']);}else $='';</v>
      </c>
      <c r="AT94" s="52" t="str">
        <f t="shared" si="132"/>
        <v>EPS</v>
      </c>
      <c r="AU94" s="52" t="str">
        <f t="shared" si="133"/>
        <v>else if (document.getElementById("</v>
      </c>
      <c r="AV94" s="61" t="str">
        <f t="shared" si="134"/>
        <v>else if (document.getElementById("").checked==true) {EPS="";}</v>
      </c>
      <c r="AW94" s="61" t="str">
        <f t="shared" si="158"/>
        <v/>
      </c>
      <c r="AX94" s="102" t="str">
        <f t="shared" si="135"/>
        <v/>
      </c>
      <c r="AY94" s="135" t="str">
        <f t="shared" si="159"/>
        <v/>
      </c>
      <c r="AZ94" s="50" t="str">
        <f t="shared" si="136"/>
        <v>&lt;input type="checkbox" id="" name="" value="1" /&gt;</v>
      </c>
      <c r="BA94" s="105" t="str">
        <f t="shared" si="137"/>
        <v>&lt;br/&gt;&lt;textarea rows="2" cols="80" id=""&gt;&lt;/textarea&gt;&lt;br/&gt;</v>
      </c>
      <c r="BB94" s="50" t="str">
        <f t="shared" si="138"/>
        <v>&lt;input type="radio" name="EPS" id="" value="" /&gt;</v>
      </c>
      <c r="BC94" s="107" t="str">
        <f t="shared" si="139"/>
        <v>&lt;input type="text"  size="7"  id="" class="datepicker"/&gt;</v>
      </c>
      <c r="BD94" s="109" t="str">
        <f t="shared" si="160"/>
        <v/>
      </c>
      <c r="BE94" s="61" t="str">
        <f t="shared" si="140"/>
        <v/>
      </c>
      <c r="BF94" s="52">
        <f t="shared" si="195"/>
        <v>12</v>
      </c>
      <c r="BG94" s="61" t="str">
        <f t="shared" si="161"/>
        <v/>
      </c>
      <c r="BH94" s="102" t="str">
        <f t="shared" si="141"/>
        <v/>
      </c>
      <c r="BI94" s="105" t="str">
        <f t="shared" si="197"/>
        <v/>
      </c>
      <c r="BJ94" s="52" t="str">
        <f t="shared" si="162"/>
        <v/>
      </c>
      <c r="BK94" s="52">
        <f t="shared" si="163"/>
        <v>0</v>
      </c>
      <c r="BL94" s="52">
        <f t="shared" si="164"/>
        <v>2</v>
      </c>
      <c r="BM94" s="52" t="str">
        <f t="shared" si="191"/>
        <v/>
      </c>
      <c r="BN94" s="52" t="str">
        <f t="shared" si="142"/>
        <v/>
      </c>
      <c r="BO94" s="52" t="str">
        <f t="shared" si="165"/>
        <v/>
      </c>
      <c r="BP94" s="113" t="str">
        <f t="shared" si="166"/>
        <v/>
      </c>
      <c r="BQ94" s="52" t="str">
        <f t="shared" si="192"/>
        <v/>
      </c>
      <c r="BR94" s="52" t="str">
        <f t="shared" si="167"/>
        <v/>
      </c>
      <c r="BS94" s="52" t="str">
        <f t="shared" si="168"/>
        <v/>
      </c>
      <c r="BT94" s="52" t="str">
        <f t="shared" si="169"/>
        <v/>
      </c>
      <c r="BU94" s="52" t="str">
        <f t="shared" si="170"/>
        <v/>
      </c>
      <c r="BV94" s="102" t="str">
        <f t="shared" si="143"/>
        <v/>
      </c>
      <c r="BW94" s="116" t="str">
        <f t="shared" si="144"/>
        <v/>
      </c>
      <c r="BX94" s="61" t="str">
        <f t="shared" si="145"/>
        <v/>
      </c>
      <c r="BY94" s="52" t="str">
        <f t="shared" si="146"/>
        <v/>
      </c>
      <c r="BZ94" s="52" t="str">
        <f t="shared" si="147"/>
        <v/>
      </c>
      <c r="CA94" s="52" t="str">
        <f t="shared" si="171"/>
        <v/>
      </c>
      <c r="CB94" s="52" t="str">
        <f t="shared" si="148"/>
        <v/>
      </c>
      <c r="CC94" s="52" t="str">
        <f t="shared" si="149"/>
        <v/>
      </c>
      <c r="CD94" s="102" t="str">
        <f t="shared" si="150"/>
        <v/>
      </c>
      <c r="CE94" s="116" t="str">
        <f t="shared" si="151"/>
        <v/>
      </c>
      <c r="CF94" s="116" t="str">
        <f t="shared" si="202"/>
        <v/>
      </c>
      <c r="CG94" s="61" t="str">
        <f t="shared" si="152"/>
        <v/>
      </c>
      <c r="CH94" s="52">
        <f t="shared" si="193"/>
        <v>2</v>
      </c>
      <c r="CI94" s="61" t="str">
        <f t="shared" si="172"/>
        <v/>
      </c>
      <c r="CJ94" s="61" t="str">
        <f t="shared" si="173"/>
        <v/>
      </c>
      <c r="CK94" s="61" t="str">
        <f t="shared" si="174"/>
        <v/>
      </c>
      <c r="CL94" s="61" t="str">
        <f t="shared" si="153"/>
        <v/>
      </c>
      <c r="CM94" s="61" t="str">
        <f t="shared" si="154"/>
        <v/>
      </c>
      <c r="CN94" s="134" t="str">
        <f t="shared" si="198"/>
        <v/>
      </c>
      <c r="CO94" s="131" t="str">
        <f t="shared" si="196"/>
        <v/>
      </c>
      <c r="CP94" s="131" t="str">
        <f t="shared" si="175"/>
        <v/>
      </c>
      <c r="CQ94" s="131" t="str">
        <f t="shared" si="176"/>
        <v/>
      </c>
      <c r="CR94" s="116" t="str">
        <f t="shared" si="177"/>
        <v/>
      </c>
      <c r="CS94" s="116" t="str">
        <f t="shared" si="178"/>
        <v/>
      </c>
      <c r="CT94" s="116" t="str">
        <f t="shared" si="179"/>
        <v/>
      </c>
      <c r="CU94" s="52">
        <f t="shared" si="180"/>
        <v>0</v>
      </c>
      <c r="CV94" s="116" t="str">
        <f t="shared" si="181"/>
        <v/>
      </c>
      <c r="CW94" s="116" t="str">
        <f t="shared" si="182"/>
        <v/>
      </c>
      <c r="CX94" s="61" t="str">
        <f t="shared" si="183"/>
        <v/>
      </c>
      <c r="CY94" s="61" t="str">
        <f t="shared" si="184"/>
        <v/>
      </c>
      <c r="CZ94" s="61" t="str">
        <f t="shared" si="185"/>
        <v/>
      </c>
      <c r="DA94" s="116" t="str">
        <f t="shared" si="186"/>
        <v/>
      </c>
      <c r="DB94" s="6" t="str">
        <f t="shared" si="194"/>
        <v/>
      </c>
      <c r="DC94" s="61" t="str">
        <f t="shared" si="187"/>
        <v/>
      </c>
      <c r="DD94" s="131" t="str">
        <f t="shared" si="199"/>
        <v/>
      </c>
      <c r="DE94" s="131" t="str">
        <f t="shared" si="200"/>
        <v/>
      </c>
      <c r="DF94" s="61" t="str">
        <f t="shared" si="201"/>
        <v/>
      </c>
      <c r="DG94" s="116" t="str">
        <f t="shared" si="188"/>
        <v/>
      </c>
      <c r="DH94" s="116" t="str">
        <f t="shared" si="189"/>
        <v/>
      </c>
    </row>
    <row r="95" spans="2:112" s="17" customFormat="1" hidden="1">
      <c r="B95" s="35"/>
      <c r="C95" s="35"/>
      <c r="D95" s="36"/>
      <c r="E95" s="35"/>
      <c r="F95" s="35"/>
      <c r="G95" s="35"/>
      <c r="H95" s="35"/>
      <c r="I95" s="35"/>
      <c r="J95" s="121"/>
      <c r="K95" s="59"/>
      <c r="AC95" s="47" t="s">
        <v>274</v>
      </c>
      <c r="AD95" s="52" t="str">
        <f t="shared" si="120"/>
        <v/>
      </c>
      <c r="AE95" s="52">
        <f t="shared" si="121"/>
        <v>0</v>
      </c>
      <c r="AF95" s="52">
        <f t="shared" si="190"/>
        <v>6</v>
      </c>
      <c r="AG95" s="61" t="str">
        <f t="shared" si="122"/>
        <v/>
      </c>
      <c r="AH95" s="52">
        <f t="shared" si="123"/>
        <v>0</v>
      </c>
      <c r="AI95" s="52">
        <f t="shared" si="155"/>
        <v>7</v>
      </c>
      <c r="AJ95" s="52" t="str">
        <f t="shared" si="156"/>
        <v/>
      </c>
      <c r="AK95" s="61" t="str">
        <f t="shared" si="124"/>
        <v/>
      </c>
      <c r="AL95" s="95" t="str">
        <f t="shared" si="125"/>
        <v/>
      </c>
      <c r="AM95" s="61" t="str">
        <f t="shared" si="126"/>
        <v>if () {$("#adv_").html("Requierd");$("#").css({"background":"yellow"});} else {$("#adv_").html("");$("#").css({"background":"white"});}</v>
      </c>
      <c r="AN95" s="61" t="str">
        <f t="shared" si="127"/>
        <v>if (=="") {$("#adv_").html("Requierd");} else {$("#adv_").html("");}</v>
      </c>
      <c r="AO95" s="50" t="str">
        <f t="shared" si="128"/>
        <v/>
      </c>
      <c r="AP95" s="61" t="str">
        <f t="shared" si="129"/>
        <v>=$("#").val();</v>
      </c>
      <c r="AQ95" s="61" t="str">
        <f t="shared" si="157"/>
        <v/>
      </c>
      <c r="AR95" s="61" t="str">
        <f t="shared" si="130"/>
        <v>=document.getElementById("").checked;</v>
      </c>
      <c r="AS95" s="102" t="str">
        <f t="shared" si="131"/>
        <v>if (isset($_GET[''])) {$=($_GET['']);}else $='';</v>
      </c>
      <c r="AT95" s="52" t="str">
        <f t="shared" si="132"/>
        <v>EPS</v>
      </c>
      <c r="AU95" s="52" t="str">
        <f t="shared" si="133"/>
        <v>else if (document.getElementById("</v>
      </c>
      <c r="AV95" s="61" t="str">
        <f t="shared" si="134"/>
        <v>else if (document.getElementById("").checked==true) {EPS="";}</v>
      </c>
      <c r="AW95" s="61" t="str">
        <f t="shared" si="158"/>
        <v/>
      </c>
      <c r="AX95" s="102" t="str">
        <f t="shared" si="135"/>
        <v/>
      </c>
      <c r="AY95" s="135" t="str">
        <f t="shared" si="159"/>
        <v/>
      </c>
      <c r="AZ95" s="50" t="str">
        <f t="shared" si="136"/>
        <v>&lt;input type="checkbox" id="" name="" value="1" /&gt;</v>
      </c>
      <c r="BA95" s="105" t="str">
        <f t="shared" si="137"/>
        <v>&lt;br/&gt;&lt;textarea rows="2" cols="80" id=""&gt;&lt;/textarea&gt;&lt;br/&gt;</v>
      </c>
      <c r="BB95" s="50" t="str">
        <f t="shared" si="138"/>
        <v>&lt;input type="radio" name="EPS" id="" value="" /&gt;</v>
      </c>
      <c r="BC95" s="107" t="str">
        <f t="shared" si="139"/>
        <v>&lt;input type="text"  size="7"  id="" class="datepicker"/&gt;</v>
      </c>
      <c r="BD95" s="109" t="str">
        <f t="shared" si="160"/>
        <v/>
      </c>
      <c r="BE95" s="61" t="str">
        <f t="shared" si="140"/>
        <v/>
      </c>
      <c r="BF95" s="52">
        <f t="shared" si="195"/>
        <v>12</v>
      </c>
      <c r="BG95" s="61" t="str">
        <f t="shared" si="161"/>
        <v/>
      </c>
      <c r="BH95" s="102" t="str">
        <f t="shared" si="141"/>
        <v/>
      </c>
      <c r="BI95" s="105" t="str">
        <f t="shared" si="197"/>
        <v/>
      </c>
      <c r="BJ95" s="52" t="str">
        <f t="shared" si="162"/>
        <v/>
      </c>
      <c r="BK95" s="52">
        <f t="shared" si="163"/>
        <v>0</v>
      </c>
      <c r="BL95" s="52">
        <f t="shared" si="164"/>
        <v>2</v>
      </c>
      <c r="BM95" s="52" t="str">
        <f t="shared" si="191"/>
        <v/>
      </c>
      <c r="BN95" s="52" t="str">
        <f t="shared" si="142"/>
        <v/>
      </c>
      <c r="BO95" s="52" t="str">
        <f t="shared" si="165"/>
        <v/>
      </c>
      <c r="BP95" s="113" t="str">
        <f t="shared" si="166"/>
        <v/>
      </c>
      <c r="BQ95" s="52" t="str">
        <f t="shared" si="192"/>
        <v/>
      </c>
      <c r="BR95" s="52" t="str">
        <f t="shared" si="167"/>
        <v/>
      </c>
      <c r="BS95" s="52" t="str">
        <f t="shared" si="168"/>
        <v/>
      </c>
      <c r="BT95" s="52" t="str">
        <f t="shared" si="169"/>
        <v/>
      </c>
      <c r="BU95" s="52" t="str">
        <f t="shared" si="170"/>
        <v/>
      </c>
      <c r="BV95" s="102" t="str">
        <f t="shared" si="143"/>
        <v/>
      </c>
      <c r="BW95" s="116" t="str">
        <f t="shared" si="144"/>
        <v/>
      </c>
      <c r="BX95" s="61" t="str">
        <f t="shared" si="145"/>
        <v/>
      </c>
      <c r="BY95" s="52" t="str">
        <f t="shared" si="146"/>
        <v/>
      </c>
      <c r="BZ95" s="52" t="str">
        <f t="shared" si="147"/>
        <v/>
      </c>
      <c r="CA95" s="52" t="str">
        <f t="shared" si="171"/>
        <v/>
      </c>
      <c r="CB95" s="52" t="str">
        <f t="shared" si="148"/>
        <v/>
      </c>
      <c r="CC95" s="52" t="str">
        <f t="shared" si="149"/>
        <v/>
      </c>
      <c r="CD95" s="102" t="str">
        <f t="shared" si="150"/>
        <v/>
      </c>
      <c r="CE95" s="116" t="str">
        <f t="shared" si="151"/>
        <v/>
      </c>
      <c r="CF95" s="116" t="str">
        <f t="shared" si="202"/>
        <v/>
      </c>
      <c r="CG95" s="61" t="str">
        <f t="shared" si="152"/>
        <v/>
      </c>
      <c r="CH95" s="52">
        <f t="shared" si="193"/>
        <v>2</v>
      </c>
      <c r="CI95" s="61" t="str">
        <f t="shared" si="172"/>
        <v/>
      </c>
      <c r="CJ95" s="61" t="str">
        <f t="shared" si="173"/>
        <v/>
      </c>
      <c r="CK95" s="61" t="str">
        <f t="shared" si="174"/>
        <v/>
      </c>
      <c r="CL95" s="61" t="str">
        <f t="shared" si="153"/>
        <v/>
      </c>
      <c r="CM95" s="61" t="str">
        <f t="shared" si="154"/>
        <v/>
      </c>
      <c r="CN95" s="134" t="str">
        <f t="shared" si="198"/>
        <v/>
      </c>
      <c r="CO95" s="131" t="str">
        <f t="shared" si="196"/>
        <v/>
      </c>
      <c r="CP95" s="131" t="str">
        <f t="shared" si="175"/>
        <v/>
      </c>
      <c r="CQ95" s="131" t="str">
        <f t="shared" si="176"/>
        <v/>
      </c>
      <c r="CR95" s="116" t="str">
        <f t="shared" si="177"/>
        <v/>
      </c>
      <c r="CS95" s="116" t="str">
        <f t="shared" si="178"/>
        <v/>
      </c>
      <c r="CT95" s="116" t="str">
        <f t="shared" si="179"/>
        <v/>
      </c>
      <c r="CU95" s="52">
        <f t="shared" si="180"/>
        <v>0</v>
      </c>
      <c r="CV95" s="116" t="str">
        <f t="shared" si="181"/>
        <v/>
      </c>
      <c r="CW95" s="116" t="str">
        <f t="shared" si="182"/>
        <v/>
      </c>
      <c r="CX95" s="61" t="str">
        <f t="shared" si="183"/>
        <v/>
      </c>
      <c r="CY95" s="61" t="str">
        <f t="shared" si="184"/>
        <v/>
      </c>
      <c r="CZ95" s="61" t="str">
        <f t="shared" si="185"/>
        <v/>
      </c>
      <c r="DA95" s="116" t="str">
        <f t="shared" si="186"/>
        <v/>
      </c>
      <c r="DB95" s="6" t="str">
        <f t="shared" si="194"/>
        <v/>
      </c>
      <c r="DC95" s="61" t="str">
        <f t="shared" si="187"/>
        <v/>
      </c>
      <c r="DD95" s="131" t="str">
        <f t="shared" si="199"/>
        <v/>
      </c>
      <c r="DE95" s="131" t="str">
        <f t="shared" si="200"/>
        <v/>
      </c>
      <c r="DF95" s="61" t="str">
        <f t="shared" si="201"/>
        <v/>
      </c>
      <c r="DG95" s="116" t="str">
        <f t="shared" si="188"/>
        <v/>
      </c>
      <c r="DH95" s="116" t="str">
        <f t="shared" si="189"/>
        <v/>
      </c>
    </row>
    <row r="96" spans="2:112" s="17" customFormat="1" hidden="1">
      <c r="B96" s="35"/>
      <c r="C96" s="35"/>
      <c r="D96" s="36"/>
      <c r="E96" s="35"/>
      <c r="F96" s="35"/>
      <c r="G96" s="35"/>
      <c r="H96" s="35"/>
      <c r="I96" s="35"/>
      <c r="J96" s="121"/>
      <c r="K96" s="59"/>
      <c r="AC96" s="47" t="s">
        <v>275</v>
      </c>
      <c r="AD96" s="52" t="str">
        <f t="shared" si="120"/>
        <v/>
      </c>
      <c r="AE96" s="52">
        <f t="shared" si="121"/>
        <v>0</v>
      </c>
      <c r="AF96" s="52">
        <f t="shared" si="190"/>
        <v>6</v>
      </c>
      <c r="AG96" s="61" t="str">
        <f t="shared" si="122"/>
        <v/>
      </c>
      <c r="AH96" s="52">
        <f t="shared" si="123"/>
        <v>0</v>
      </c>
      <c r="AI96" s="52">
        <f t="shared" si="155"/>
        <v>7</v>
      </c>
      <c r="AJ96" s="52" t="str">
        <f t="shared" si="156"/>
        <v/>
      </c>
      <c r="AK96" s="61" t="str">
        <f t="shared" si="124"/>
        <v/>
      </c>
      <c r="AL96" s="95" t="str">
        <f t="shared" si="125"/>
        <v/>
      </c>
      <c r="AM96" s="61" t="str">
        <f t="shared" si="126"/>
        <v>if () {$("#adv_").html("Requierd");$("#").css({"background":"yellow"});} else {$("#adv_").html("");$("#").css({"background":"white"});}</v>
      </c>
      <c r="AN96" s="61" t="str">
        <f t="shared" si="127"/>
        <v>if (=="") {$("#adv_").html("Requierd");} else {$("#adv_").html("");}</v>
      </c>
      <c r="AO96" s="50" t="str">
        <f t="shared" si="128"/>
        <v/>
      </c>
      <c r="AP96" s="61" t="str">
        <f t="shared" si="129"/>
        <v>=$("#").val();</v>
      </c>
      <c r="AQ96" s="61" t="str">
        <f t="shared" si="157"/>
        <v/>
      </c>
      <c r="AR96" s="61" t="str">
        <f t="shared" si="130"/>
        <v>=document.getElementById("").checked;</v>
      </c>
      <c r="AS96" s="102" t="str">
        <f t="shared" si="131"/>
        <v>if (isset($_GET[''])) {$=($_GET['']);}else $='';</v>
      </c>
      <c r="AT96" s="52" t="str">
        <f t="shared" si="132"/>
        <v>EPS</v>
      </c>
      <c r="AU96" s="52" t="str">
        <f t="shared" si="133"/>
        <v>else if (document.getElementById("</v>
      </c>
      <c r="AV96" s="61" t="str">
        <f t="shared" si="134"/>
        <v>else if (document.getElementById("").checked==true) {EPS="";}</v>
      </c>
      <c r="AW96" s="61" t="str">
        <f t="shared" si="158"/>
        <v/>
      </c>
      <c r="AX96" s="102" t="str">
        <f t="shared" si="135"/>
        <v/>
      </c>
      <c r="AY96" s="135" t="str">
        <f t="shared" si="159"/>
        <v/>
      </c>
      <c r="AZ96" s="50" t="str">
        <f t="shared" si="136"/>
        <v>&lt;input type="checkbox" id="" name="" value="1" /&gt;</v>
      </c>
      <c r="BA96" s="105" t="str">
        <f t="shared" si="137"/>
        <v>&lt;br/&gt;&lt;textarea rows="2" cols="80" id=""&gt;&lt;/textarea&gt;&lt;br/&gt;</v>
      </c>
      <c r="BB96" s="50" t="str">
        <f t="shared" si="138"/>
        <v>&lt;input type="radio" name="EPS" id="" value="" /&gt;</v>
      </c>
      <c r="BC96" s="107" t="str">
        <f t="shared" si="139"/>
        <v>&lt;input type="text"  size="7"  id="" class="datepicker"/&gt;</v>
      </c>
      <c r="BD96" s="109" t="str">
        <f t="shared" si="160"/>
        <v/>
      </c>
      <c r="BE96" s="61" t="str">
        <f t="shared" si="140"/>
        <v/>
      </c>
      <c r="BF96" s="52">
        <f t="shared" si="195"/>
        <v>12</v>
      </c>
      <c r="BG96" s="61" t="str">
        <f t="shared" si="161"/>
        <v/>
      </c>
      <c r="BH96" s="102" t="str">
        <f t="shared" si="141"/>
        <v/>
      </c>
      <c r="BI96" s="105" t="str">
        <f t="shared" si="197"/>
        <v/>
      </c>
      <c r="BJ96" s="52" t="str">
        <f t="shared" si="162"/>
        <v/>
      </c>
      <c r="BK96" s="52">
        <f t="shared" si="163"/>
        <v>0</v>
      </c>
      <c r="BL96" s="52">
        <f t="shared" si="164"/>
        <v>2</v>
      </c>
      <c r="BM96" s="52" t="str">
        <f t="shared" si="191"/>
        <v/>
      </c>
      <c r="BN96" s="52" t="str">
        <f t="shared" si="142"/>
        <v/>
      </c>
      <c r="BO96" s="52" t="str">
        <f t="shared" si="165"/>
        <v/>
      </c>
      <c r="BP96" s="113" t="str">
        <f t="shared" si="166"/>
        <v/>
      </c>
      <c r="BQ96" s="52" t="str">
        <f t="shared" si="192"/>
        <v/>
      </c>
      <c r="BR96" s="52" t="str">
        <f t="shared" si="167"/>
        <v/>
      </c>
      <c r="BS96" s="52" t="str">
        <f t="shared" si="168"/>
        <v/>
      </c>
      <c r="BT96" s="52" t="str">
        <f t="shared" si="169"/>
        <v/>
      </c>
      <c r="BU96" s="52" t="str">
        <f t="shared" si="170"/>
        <v/>
      </c>
      <c r="BV96" s="102" t="str">
        <f t="shared" si="143"/>
        <v/>
      </c>
      <c r="BW96" s="116" t="str">
        <f t="shared" si="144"/>
        <v/>
      </c>
      <c r="BX96" s="61" t="str">
        <f t="shared" si="145"/>
        <v/>
      </c>
      <c r="BY96" s="52" t="str">
        <f t="shared" si="146"/>
        <v/>
      </c>
      <c r="BZ96" s="52" t="str">
        <f t="shared" si="147"/>
        <v/>
      </c>
      <c r="CA96" s="52" t="str">
        <f t="shared" si="171"/>
        <v/>
      </c>
      <c r="CB96" s="52" t="str">
        <f t="shared" si="148"/>
        <v/>
      </c>
      <c r="CC96" s="52" t="str">
        <f t="shared" si="149"/>
        <v/>
      </c>
      <c r="CD96" s="102" t="str">
        <f t="shared" si="150"/>
        <v/>
      </c>
      <c r="CE96" s="116" t="str">
        <f t="shared" si="151"/>
        <v/>
      </c>
      <c r="CF96" s="116" t="str">
        <f t="shared" si="202"/>
        <v/>
      </c>
      <c r="CG96" s="61" t="str">
        <f t="shared" si="152"/>
        <v/>
      </c>
      <c r="CH96" s="52">
        <f t="shared" si="193"/>
        <v>2</v>
      </c>
      <c r="CI96" s="61" t="str">
        <f t="shared" si="172"/>
        <v/>
      </c>
      <c r="CJ96" s="61" t="str">
        <f t="shared" si="173"/>
        <v/>
      </c>
      <c r="CK96" s="61" t="str">
        <f t="shared" si="174"/>
        <v/>
      </c>
      <c r="CL96" s="61" t="str">
        <f t="shared" si="153"/>
        <v/>
      </c>
      <c r="CM96" s="61" t="str">
        <f t="shared" si="154"/>
        <v/>
      </c>
      <c r="CN96" s="134" t="str">
        <f t="shared" si="198"/>
        <v/>
      </c>
      <c r="CO96" s="131" t="str">
        <f t="shared" si="196"/>
        <v/>
      </c>
      <c r="CP96" s="131" t="str">
        <f t="shared" si="175"/>
        <v/>
      </c>
      <c r="CQ96" s="131" t="str">
        <f t="shared" si="176"/>
        <v/>
      </c>
      <c r="CR96" s="116" t="str">
        <f t="shared" si="177"/>
        <v/>
      </c>
      <c r="CS96" s="116" t="str">
        <f t="shared" si="178"/>
        <v/>
      </c>
      <c r="CT96" s="116" t="str">
        <f t="shared" si="179"/>
        <v/>
      </c>
      <c r="CU96" s="52">
        <f t="shared" si="180"/>
        <v>0</v>
      </c>
      <c r="CV96" s="116" t="str">
        <f t="shared" si="181"/>
        <v/>
      </c>
      <c r="CW96" s="116" t="str">
        <f t="shared" si="182"/>
        <v/>
      </c>
      <c r="CX96" s="61" t="str">
        <f t="shared" si="183"/>
        <v/>
      </c>
      <c r="CY96" s="61" t="str">
        <f t="shared" si="184"/>
        <v/>
      </c>
      <c r="CZ96" s="61" t="str">
        <f t="shared" si="185"/>
        <v/>
      </c>
      <c r="DA96" s="116" t="str">
        <f t="shared" si="186"/>
        <v/>
      </c>
      <c r="DB96" s="6" t="str">
        <f t="shared" si="194"/>
        <v/>
      </c>
      <c r="DC96" s="61" t="str">
        <f t="shared" si="187"/>
        <v/>
      </c>
      <c r="DD96" s="131" t="str">
        <f t="shared" si="199"/>
        <v/>
      </c>
      <c r="DE96" s="131" t="str">
        <f t="shared" si="200"/>
        <v/>
      </c>
      <c r="DF96" s="61" t="str">
        <f t="shared" si="201"/>
        <v/>
      </c>
      <c r="DG96" s="116" t="str">
        <f t="shared" si="188"/>
        <v/>
      </c>
      <c r="DH96" s="116" t="str">
        <f t="shared" si="189"/>
        <v/>
      </c>
    </row>
    <row r="97" spans="2:112" s="17" customFormat="1" hidden="1">
      <c r="B97" s="35"/>
      <c r="C97" s="35"/>
      <c r="D97" s="36"/>
      <c r="E97" s="35"/>
      <c r="F97" s="35"/>
      <c r="G97" s="35"/>
      <c r="H97" s="35"/>
      <c r="I97" s="35"/>
      <c r="J97" s="121"/>
      <c r="K97" s="59"/>
      <c r="AC97" s="47" t="s">
        <v>276</v>
      </c>
      <c r="AD97" s="52" t="str">
        <f t="shared" si="120"/>
        <v/>
      </c>
      <c r="AE97" s="52">
        <f t="shared" si="121"/>
        <v>0</v>
      </c>
      <c r="AF97" s="52">
        <f t="shared" si="190"/>
        <v>6</v>
      </c>
      <c r="AG97" s="61" t="str">
        <f t="shared" si="122"/>
        <v/>
      </c>
      <c r="AH97" s="52">
        <f t="shared" si="123"/>
        <v>0</v>
      </c>
      <c r="AI97" s="52">
        <f t="shared" si="155"/>
        <v>7</v>
      </c>
      <c r="AJ97" s="52" t="str">
        <f t="shared" si="156"/>
        <v/>
      </c>
      <c r="AK97" s="61" t="str">
        <f t="shared" si="124"/>
        <v/>
      </c>
      <c r="AL97" s="95" t="str">
        <f t="shared" si="125"/>
        <v/>
      </c>
      <c r="AM97" s="61" t="str">
        <f t="shared" si="126"/>
        <v>if () {$("#adv_").html("Requierd");$("#").css({"background":"yellow"});} else {$("#adv_").html("");$("#").css({"background":"white"});}</v>
      </c>
      <c r="AN97" s="61" t="str">
        <f t="shared" si="127"/>
        <v>if (=="") {$("#adv_").html("Requierd");} else {$("#adv_").html("");}</v>
      </c>
      <c r="AO97" s="50" t="str">
        <f t="shared" si="128"/>
        <v/>
      </c>
      <c r="AP97" s="61" t="str">
        <f t="shared" si="129"/>
        <v>=$("#").val();</v>
      </c>
      <c r="AQ97" s="61" t="str">
        <f t="shared" si="157"/>
        <v/>
      </c>
      <c r="AR97" s="61" t="str">
        <f t="shared" si="130"/>
        <v>=document.getElementById("").checked;</v>
      </c>
      <c r="AS97" s="102" t="str">
        <f t="shared" si="131"/>
        <v>if (isset($_GET[''])) {$=($_GET['']);}else $='';</v>
      </c>
      <c r="AT97" s="52" t="str">
        <f t="shared" si="132"/>
        <v>EPS</v>
      </c>
      <c r="AU97" s="52" t="str">
        <f t="shared" si="133"/>
        <v>else if (document.getElementById("</v>
      </c>
      <c r="AV97" s="61" t="str">
        <f t="shared" si="134"/>
        <v>else if (document.getElementById("").checked==true) {EPS="";}</v>
      </c>
      <c r="AW97" s="61" t="str">
        <f t="shared" si="158"/>
        <v/>
      </c>
      <c r="AX97" s="102" t="str">
        <f t="shared" si="135"/>
        <v/>
      </c>
      <c r="AY97" s="135" t="str">
        <f t="shared" si="159"/>
        <v/>
      </c>
      <c r="AZ97" s="50" t="str">
        <f t="shared" si="136"/>
        <v>&lt;input type="checkbox" id="" name="" value="1" /&gt;</v>
      </c>
      <c r="BA97" s="105" t="str">
        <f t="shared" si="137"/>
        <v>&lt;br/&gt;&lt;textarea rows="2" cols="80" id=""&gt;&lt;/textarea&gt;&lt;br/&gt;</v>
      </c>
      <c r="BB97" s="50" t="str">
        <f t="shared" si="138"/>
        <v>&lt;input type="radio" name="EPS" id="" value="" /&gt;</v>
      </c>
      <c r="BC97" s="107" t="str">
        <f t="shared" si="139"/>
        <v>&lt;input type="text"  size="7"  id="" class="datepicker"/&gt;</v>
      </c>
      <c r="BD97" s="109" t="str">
        <f t="shared" si="160"/>
        <v/>
      </c>
      <c r="BE97" s="61" t="str">
        <f t="shared" si="140"/>
        <v/>
      </c>
      <c r="BF97" s="52">
        <f t="shared" si="195"/>
        <v>12</v>
      </c>
      <c r="BG97" s="61" t="str">
        <f t="shared" si="161"/>
        <v/>
      </c>
      <c r="BH97" s="102" t="str">
        <f t="shared" si="141"/>
        <v/>
      </c>
      <c r="BI97" s="105" t="str">
        <f t="shared" si="197"/>
        <v/>
      </c>
      <c r="BJ97" s="52" t="str">
        <f t="shared" si="162"/>
        <v/>
      </c>
      <c r="BK97" s="52">
        <f t="shared" si="163"/>
        <v>0</v>
      </c>
      <c r="BL97" s="52">
        <f t="shared" si="164"/>
        <v>2</v>
      </c>
      <c r="BM97" s="52" t="str">
        <f t="shared" si="191"/>
        <v/>
      </c>
      <c r="BN97" s="52" t="str">
        <f t="shared" si="142"/>
        <v/>
      </c>
      <c r="BO97" s="52" t="str">
        <f t="shared" si="165"/>
        <v/>
      </c>
      <c r="BP97" s="113" t="str">
        <f t="shared" si="166"/>
        <v/>
      </c>
      <c r="BQ97" s="52" t="str">
        <f t="shared" si="192"/>
        <v/>
      </c>
      <c r="BR97" s="52" t="str">
        <f t="shared" si="167"/>
        <v/>
      </c>
      <c r="BS97" s="52" t="str">
        <f t="shared" si="168"/>
        <v/>
      </c>
      <c r="BT97" s="52" t="str">
        <f t="shared" si="169"/>
        <v/>
      </c>
      <c r="BU97" s="52" t="str">
        <f t="shared" si="170"/>
        <v/>
      </c>
      <c r="BV97" s="102" t="str">
        <f t="shared" si="143"/>
        <v/>
      </c>
      <c r="BW97" s="116" t="str">
        <f t="shared" si="144"/>
        <v/>
      </c>
      <c r="BX97" s="61" t="str">
        <f t="shared" si="145"/>
        <v/>
      </c>
      <c r="BY97" s="52" t="str">
        <f t="shared" si="146"/>
        <v/>
      </c>
      <c r="BZ97" s="52" t="str">
        <f t="shared" si="147"/>
        <v/>
      </c>
      <c r="CA97" s="52" t="str">
        <f t="shared" si="171"/>
        <v/>
      </c>
      <c r="CB97" s="52" t="str">
        <f t="shared" si="148"/>
        <v/>
      </c>
      <c r="CC97" s="52" t="str">
        <f t="shared" si="149"/>
        <v/>
      </c>
      <c r="CD97" s="102" t="str">
        <f t="shared" si="150"/>
        <v/>
      </c>
      <c r="CE97" s="116" t="str">
        <f t="shared" si="151"/>
        <v/>
      </c>
      <c r="CF97" s="116" t="str">
        <f t="shared" si="202"/>
        <v/>
      </c>
      <c r="CG97" s="61" t="str">
        <f t="shared" si="152"/>
        <v/>
      </c>
      <c r="CH97" s="52">
        <f t="shared" si="193"/>
        <v>2</v>
      </c>
      <c r="CI97" s="61" t="str">
        <f t="shared" si="172"/>
        <v/>
      </c>
      <c r="CJ97" s="61" t="str">
        <f t="shared" si="173"/>
        <v/>
      </c>
      <c r="CK97" s="61" t="str">
        <f t="shared" si="174"/>
        <v/>
      </c>
      <c r="CL97" s="61" t="str">
        <f t="shared" si="153"/>
        <v/>
      </c>
      <c r="CM97" s="61" t="str">
        <f t="shared" si="154"/>
        <v/>
      </c>
      <c r="CN97" s="134" t="str">
        <f t="shared" si="198"/>
        <v/>
      </c>
      <c r="CO97" s="131" t="str">
        <f t="shared" si="196"/>
        <v/>
      </c>
      <c r="CP97" s="131" t="str">
        <f t="shared" si="175"/>
        <v/>
      </c>
      <c r="CQ97" s="131" t="str">
        <f t="shared" si="176"/>
        <v/>
      </c>
      <c r="CR97" s="116" t="str">
        <f t="shared" si="177"/>
        <v/>
      </c>
      <c r="CS97" s="116" t="str">
        <f t="shared" si="178"/>
        <v/>
      </c>
      <c r="CT97" s="116" t="str">
        <f t="shared" si="179"/>
        <v/>
      </c>
      <c r="CU97" s="52">
        <f t="shared" si="180"/>
        <v>0</v>
      </c>
      <c r="CV97" s="116" t="str">
        <f t="shared" si="181"/>
        <v/>
      </c>
      <c r="CW97" s="116" t="str">
        <f t="shared" si="182"/>
        <v/>
      </c>
      <c r="CX97" s="61" t="str">
        <f t="shared" si="183"/>
        <v/>
      </c>
      <c r="CY97" s="61" t="str">
        <f t="shared" si="184"/>
        <v/>
      </c>
      <c r="CZ97" s="61" t="str">
        <f t="shared" si="185"/>
        <v/>
      </c>
      <c r="DA97" s="116" t="str">
        <f t="shared" si="186"/>
        <v/>
      </c>
      <c r="DB97" s="6" t="str">
        <f t="shared" si="194"/>
        <v/>
      </c>
      <c r="DC97" s="61" t="str">
        <f t="shared" si="187"/>
        <v/>
      </c>
      <c r="DD97" s="131" t="str">
        <f t="shared" si="199"/>
        <v/>
      </c>
      <c r="DE97" s="131" t="str">
        <f t="shared" si="200"/>
        <v/>
      </c>
      <c r="DF97" s="61" t="str">
        <f t="shared" si="201"/>
        <v/>
      </c>
      <c r="DG97" s="116" t="str">
        <f t="shared" si="188"/>
        <v/>
      </c>
      <c r="DH97" s="116" t="str">
        <f t="shared" si="189"/>
        <v/>
      </c>
    </row>
    <row r="98" spans="2:112" s="17" customFormat="1" hidden="1">
      <c r="B98" s="35"/>
      <c r="C98" s="35"/>
      <c r="D98" s="36"/>
      <c r="E98" s="35"/>
      <c r="F98" s="35"/>
      <c r="G98" s="35"/>
      <c r="H98" s="35"/>
      <c r="I98" s="35"/>
      <c r="J98" s="121"/>
      <c r="K98" s="59"/>
      <c r="AC98" s="47" t="s">
        <v>277</v>
      </c>
      <c r="AD98" s="52" t="str">
        <f t="shared" si="120"/>
        <v/>
      </c>
      <c r="AE98" s="52">
        <f t="shared" si="121"/>
        <v>0</v>
      </c>
      <c r="AF98" s="52">
        <f t="shared" si="190"/>
        <v>6</v>
      </c>
      <c r="AG98" s="61" t="str">
        <f t="shared" si="122"/>
        <v/>
      </c>
      <c r="AH98" s="52">
        <f t="shared" si="123"/>
        <v>0</v>
      </c>
      <c r="AI98" s="52">
        <f t="shared" si="155"/>
        <v>7</v>
      </c>
      <c r="AJ98" s="52" t="str">
        <f t="shared" si="156"/>
        <v/>
      </c>
      <c r="AK98" s="61" t="str">
        <f t="shared" si="124"/>
        <v/>
      </c>
      <c r="AL98" s="95" t="str">
        <f t="shared" si="125"/>
        <v/>
      </c>
      <c r="AM98" s="61" t="str">
        <f t="shared" si="126"/>
        <v>if () {$("#adv_").html("Requierd");$("#").css({"background":"yellow"});} else {$("#adv_").html("");$("#").css({"background":"white"});}</v>
      </c>
      <c r="AN98" s="61" t="str">
        <f t="shared" si="127"/>
        <v>if (=="") {$("#adv_").html("Requierd");} else {$("#adv_").html("");}</v>
      </c>
      <c r="AO98" s="50" t="str">
        <f t="shared" si="128"/>
        <v/>
      </c>
      <c r="AP98" s="61" t="str">
        <f t="shared" si="129"/>
        <v>=$("#").val();</v>
      </c>
      <c r="AQ98" s="61" t="str">
        <f t="shared" si="157"/>
        <v/>
      </c>
      <c r="AR98" s="61" t="str">
        <f t="shared" si="130"/>
        <v>=document.getElementById("").checked;</v>
      </c>
      <c r="AS98" s="102" t="str">
        <f t="shared" si="131"/>
        <v>if (isset($_GET[''])) {$=($_GET['']);}else $='';</v>
      </c>
      <c r="AT98" s="52" t="str">
        <f t="shared" si="132"/>
        <v>EPS</v>
      </c>
      <c r="AU98" s="52" t="str">
        <f t="shared" si="133"/>
        <v>else if (document.getElementById("</v>
      </c>
      <c r="AV98" s="61" t="str">
        <f t="shared" si="134"/>
        <v>else if (document.getElementById("").checked==true) {EPS="";}</v>
      </c>
      <c r="AW98" s="61" t="str">
        <f t="shared" si="158"/>
        <v/>
      </c>
      <c r="AX98" s="102" t="str">
        <f t="shared" si="135"/>
        <v/>
      </c>
      <c r="AY98" s="135" t="str">
        <f t="shared" si="159"/>
        <v/>
      </c>
      <c r="AZ98" s="50" t="str">
        <f t="shared" si="136"/>
        <v>&lt;input type="checkbox" id="" name="" value="1" /&gt;</v>
      </c>
      <c r="BA98" s="105" t="str">
        <f t="shared" si="137"/>
        <v>&lt;br/&gt;&lt;textarea rows="2" cols="80" id=""&gt;&lt;/textarea&gt;&lt;br/&gt;</v>
      </c>
      <c r="BB98" s="50" t="str">
        <f t="shared" si="138"/>
        <v>&lt;input type="radio" name="EPS" id="" value="" /&gt;</v>
      </c>
      <c r="BC98" s="107" t="str">
        <f t="shared" si="139"/>
        <v>&lt;input type="text"  size="7"  id="" class="datepicker"/&gt;</v>
      </c>
      <c r="BD98" s="109" t="str">
        <f t="shared" si="160"/>
        <v/>
      </c>
      <c r="BE98" s="61" t="str">
        <f t="shared" si="140"/>
        <v/>
      </c>
      <c r="BF98" s="52">
        <f t="shared" si="195"/>
        <v>12</v>
      </c>
      <c r="BG98" s="61" t="str">
        <f t="shared" si="161"/>
        <v/>
      </c>
      <c r="BH98" s="102" t="str">
        <f t="shared" si="141"/>
        <v/>
      </c>
      <c r="BI98" s="105" t="str">
        <f t="shared" si="197"/>
        <v/>
      </c>
      <c r="BJ98" s="52" t="str">
        <f t="shared" si="162"/>
        <v/>
      </c>
      <c r="BK98" s="52">
        <f t="shared" si="163"/>
        <v>0</v>
      </c>
      <c r="BL98" s="52">
        <f t="shared" si="164"/>
        <v>2</v>
      </c>
      <c r="BM98" s="52" t="str">
        <f t="shared" si="191"/>
        <v/>
      </c>
      <c r="BN98" s="52" t="str">
        <f t="shared" si="142"/>
        <v/>
      </c>
      <c r="BO98" s="52" t="str">
        <f t="shared" si="165"/>
        <v/>
      </c>
      <c r="BP98" s="113" t="str">
        <f t="shared" si="166"/>
        <v/>
      </c>
      <c r="BQ98" s="52" t="str">
        <f t="shared" si="192"/>
        <v/>
      </c>
      <c r="BR98" s="52" t="str">
        <f t="shared" si="167"/>
        <v/>
      </c>
      <c r="BS98" s="52" t="str">
        <f t="shared" si="168"/>
        <v/>
      </c>
      <c r="BT98" s="52" t="str">
        <f t="shared" si="169"/>
        <v/>
      </c>
      <c r="BU98" s="52" t="str">
        <f t="shared" si="170"/>
        <v/>
      </c>
      <c r="BV98" s="102" t="str">
        <f t="shared" si="143"/>
        <v/>
      </c>
      <c r="BW98" s="116" t="str">
        <f t="shared" si="144"/>
        <v/>
      </c>
      <c r="BX98" s="61" t="str">
        <f t="shared" si="145"/>
        <v/>
      </c>
      <c r="BY98" s="52" t="str">
        <f t="shared" si="146"/>
        <v/>
      </c>
      <c r="BZ98" s="52" t="str">
        <f t="shared" si="147"/>
        <v/>
      </c>
      <c r="CA98" s="52" t="str">
        <f t="shared" si="171"/>
        <v/>
      </c>
      <c r="CB98" s="52" t="str">
        <f t="shared" si="148"/>
        <v/>
      </c>
      <c r="CC98" s="52" t="str">
        <f t="shared" si="149"/>
        <v/>
      </c>
      <c r="CD98" s="102" t="str">
        <f t="shared" si="150"/>
        <v/>
      </c>
      <c r="CE98" s="116" t="str">
        <f t="shared" si="151"/>
        <v/>
      </c>
      <c r="CF98" s="116" t="str">
        <f t="shared" si="202"/>
        <v/>
      </c>
      <c r="CG98" s="61" t="str">
        <f t="shared" si="152"/>
        <v/>
      </c>
      <c r="CH98" s="52">
        <f t="shared" si="193"/>
        <v>2</v>
      </c>
      <c r="CI98" s="61" t="str">
        <f t="shared" si="172"/>
        <v/>
      </c>
      <c r="CJ98" s="61" t="str">
        <f t="shared" si="173"/>
        <v/>
      </c>
      <c r="CK98" s="61" t="str">
        <f t="shared" si="174"/>
        <v/>
      </c>
      <c r="CL98" s="61" t="str">
        <f t="shared" si="153"/>
        <v/>
      </c>
      <c r="CM98" s="61" t="str">
        <f t="shared" si="154"/>
        <v/>
      </c>
      <c r="CN98" s="134" t="str">
        <f t="shared" si="198"/>
        <v/>
      </c>
      <c r="CO98" s="131" t="str">
        <f t="shared" si="196"/>
        <v/>
      </c>
      <c r="CP98" s="131" t="str">
        <f t="shared" si="175"/>
        <v/>
      </c>
      <c r="CQ98" s="131" t="str">
        <f t="shared" si="176"/>
        <v/>
      </c>
      <c r="CR98" s="116" t="str">
        <f t="shared" si="177"/>
        <v/>
      </c>
      <c r="CS98" s="116" t="str">
        <f t="shared" si="178"/>
        <v/>
      </c>
      <c r="CT98" s="116" t="str">
        <f t="shared" si="179"/>
        <v/>
      </c>
      <c r="CU98" s="52">
        <f t="shared" si="180"/>
        <v>0</v>
      </c>
      <c r="CV98" s="116" t="str">
        <f t="shared" si="181"/>
        <v/>
      </c>
      <c r="CW98" s="116" t="str">
        <f t="shared" si="182"/>
        <v/>
      </c>
      <c r="CX98" s="61" t="str">
        <f t="shared" si="183"/>
        <v/>
      </c>
      <c r="CY98" s="61" t="str">
        <f t="shared" si="184"/>
        <v/>
      </c>
      <c r="CZ98" s="61" t="str">
        <f t="shared" si="185"/>
        <v/>
      </c>
      <c r="DA98" s="116" t="str">
        <f t="shared" si="186"/>
        <v/>
      </c>
      <c r="DB98" s="6" t="str">
        <f t="shared" si="194"/>
        <v/>
      </c>
      <c r="DC98" s="61" t="str">
        <f t="shared" si="187"/>
        <v/>
      </c>
      <c r="DD98" s="131" t="str">
        <f t="shared" si="199"/>
        <v/>
      </c>
      <c r="DE98" s="131" t="str">
        <f t="shared" si="200"/>
        <v/>
      </c>
      <c r="DF98" s="61" t="str">
        <f t="shared" si="201"/>
        <v/>
      </c>
      <c r="DG98" s="116" t="str">
        <f t="shared" si="188"/>
        <v/>
      </c>
      <c r="DH98" s="116" t="str">
        <f t="shared" si="189"/>
        <v/>
      </c>
    </row>
    <row r="99" spans="2:112" s="17" customFormat="1" hidden="1">
      <c r="B99" s="35"/>
      <c r="C99" s="35"/>
      <c r="D99" s="36"/>
      <c r="E99" s="35"/>
      <c r="F99" s="35"/>
      <c r="G99" s="35"/>
      <c r="H99" s="35"/>
      <c r="I99" s="35"/>
      <c r="J99" s="121"/>
      <c r="K99" s="59"/>
      <c r="AC99" s="47" t="s">
        <v>278</v>
      </c>
      <c r="AD99" s="52" t="str">
        <f t="shared" si="120"/>
        <v/>
      </c>
      <c r="AE99" s="52">
        <f t="shared" si="121"/>
        <v>0</v>
      </c>
      <c r="AF99" s="52">
        <f t="shared" si="190"/>
        <v>6</v>
      </c>
      <c r="AG99" s="61" t="str">
        <f t="shared" si="122"/>
        <v/>
      </c>
      <c r="AH99" s="52">
        <f t="shared" si="123"/>
        <v>0</v>
      </c>
      <c r="AI99" s="52">
        <f t="shared" si="155"/>
        <v>7</v>
      </c>
      <c r="AJ99" s="52" t="str">
        <f t="shared" si="156"/>
        <v/>
      </c>
      <c r="AK99" s="61" t="str">
        <f t="shared" si="124"/>
        <v/>
      </c>
      <c r="AL99" s="95" t="str">
        <f t="shared" si="125"/>
        <v/>
      </c>
      <c r="AM99" s="61" t="str">
        <f t="shared" si="126"/>
        <v>if () {$("#adv_").html("Requierd");$("#").css({"background":"yellow"});} else {$("#adv_").html("");$("#").css({"background":"white"});}</v>
      </c>
      <c r="AN99" s="61" t="str">
        <f t="shared" si="127"/>
        <v>if (=="") {$("#adv_").html("Requierd");} else {$("#adv_").html("");}</v>
      </c>
      <c r="AO99" s="50" t="str">
        <f t="shared" si="128"/>
        <v/>
      </c>
      <c r="AP99" s="61" t="str">
        <f t="shared" si="129"/>
        <v>=$("#").val();</v>
      </c>
      <c r="AQ99" s="61" t="str">
        <f t="shared" si="157"/>
        <v/>
      </c>
      <c r="AR99" s="61" t="str">
        <f t="shared" si="130"/>
        <v>=document.getElementById("").checked;</v>
      </c>
      <c r="AS99" s="102" t="str">
        <f t="shared" si="131"/>
        <v>if (isset($_GET[''])) {$=($_GET['']);}else $='';</v>
      </c>
      <c r="AT99" s="52" t="str">
        <f t="shared" si="132"/>
        <v>EPS</v>
      </c>
      <c r="AU99" s="52" t="str">
        <f t="shared" si="133"/>
        <v>else if (document.getElementById("</v>
      </c>
      <c r="AV99" s="61" t="str">
        <f t="shared" si="134"/>
        <v>else if (document.getElementById("").checked==true) {EPS="";}</v>
      </c>
      <c r="AW99" s="61" t="str">
        <f t="shared" si="158"/>
        <v/>
      </c>
      <c r="AX99" s="102" t="str">
        <f t="shared" si="135"/>
        <v/>
      </c>
      <c r="AY99" s="135" t="str">
        <f t="shared" si="159"/>
        <v/>
      </c>
      <c r="AZ99" s="50" t="str">
        <f t="shared" si="136"/>
        <v>&lt;input type="checkbox" id="" name="" value="1" /&gt;</v>
      </c>
      <c r="BA99" s="105" t="str">
        <f t="shared" si="137"/>
        <v>&lt;br/&gt;&lt;textarea rows="2" cols="80" id=""&gt;&lt;/textarea&gt;&lt;br/&gt;</v>
      </c>
      <c r="BB99" s="50" t="str">
        <f t="shared" si="138"/>
        <v>&lt;input type="radio" name="EPS" id="" value="" /&gt;</v>
      </c>
      <c r="BC99" s="107" t="str">
        <f t="shared" si="139"/>
        <v>&lt;input type="text"  size="7"  id="" class="datepicker"/&gt;</v>
      </c>
      <c r="BD99" s="109" t="str">
        <f t="shared" si="160"/>
        <v/>
      </c>
      <c r="BE99" s="61" t="str">
        <f t="shared" si="140"/>
        <v/>
      </c>
      <c r="BF99" s="52">
        <f t="shared" si="195"/>
        <v>12</v>
      </c>
      <c r="BG99" s="61" t="str">
        <f t="shared" si="161"/>
        <v/>
      </c>
      <c r="BH99" s="102" t="str">
        <f t="shared" si="141"/>
        <v/>
      </c>
      <c r="BI99" s="105" t="str">
        <f t="shared" si="197"/>
        <v/>
      </c>
      <c r="BJ99" s="52" t="str">
        <f t="shared" si="162"/>
        <v/>
      </c>
      <c r="BK99" s="52">
        <f t="shared" si="163"/>
        <v>0</v>
      </c>
      <c r="BL99" s="52">
        <f t="shared" si="164"/>
        <v>2</v>
      </c>
      <c r="BM99" s="52" t="str">
        <f t="shared" si="191"/>
        <v/>
      </c>
      <c r="BN99" s="52" t="str">
        <f t="shared" si="142"/>
        <v/>
      </c>
      <c r="BO99" s="52" t="str">
        <f t="shared" si="165"/>
        <v/>
      </c>
      <c r="BP99" s="113" t="str">
        <f t="shared" si="166"/>
        <v/>
      </c>
      <c r="BQ99" s="52" t="str">
        <f t="shared" si="192"/>
        <v/>
      </c>
      <c r="BR99" s="52" t="str">
        <f t="shared" si="167"/>
        <v/>
      </c>
      <c r="BS99" s="52" t="str">
        <f t="shared" si="168"/>
        <v/>
      </c>
      <c r="BT99" s="52" t="str">
        <f t="shared" si="169"/>
        <v/>
      </c>
      <c r="BU99" s="52" t="str">
        <f t="shared" si="170"/>
        <v/>
      </c>
      <c r="BV99" s="102" t="str">
        <f t="shared" si="143"/>
        <v/>
      </c>
      <c r="BW99" s="116" t="str">
        <f t="shared" si="144"/>
        <v/>
      </c>
      <c r="BX99" s="61" t="str">
        <f t="shared" si="145"/>
        <v/>
      </c>
      <c r="BY99" s="52" t="str">
        <f t="shared" si="146"/>
        <v/>
      </c>
      <c r="BZ99" s="52" t="str">
        <f t="shared" si="147"/>
        <v/>
      </c>
      <c r="CA99" s="52" t="str">
        <f t="shared" si="171"/>
        <v/>
      </c>
      <c r="CB99" s="52" t="str">
        <f t="shared" si="148"/>
        <v/>
      </c>
      <c r="CC99" s="52" t="str">
        <f t="shared" si="149"/>
        <v/>
      </c>
      <c r="CD99" s="102" t="str">
        <f t="shared" si="150"/>
        <v/>
      </c>
      <c r="CE99" s="116" t="str">
        <f t="shared" si="151"/>
        <v/>
      </c>
      <c r="CF99" s="116" t="str">
        <f t="shared" si="202"/>
        <v/>
      </c>
      <c r="CG99" s="61" t="str">
        <f t="shared" si="152"/>
        <v/>
      </c>
      <c r="CH99" s="52">
        <f t="shared" si="193"/>
        <v>2</v>
      </c>
      <c r="CI99" s="61" t="str">
        <f t="shared" si="172"/>
        <v/>
      </c>
      <c r="CJ99" s="61" t="str">
        <f t="shared" si="173"/>
        <v/>
      </c>
      <c r="CK99" s="61" t="str">
        <f t="shared" si="174"/>
        <v/>
      </c>
      <c r="CL99" s="61" t="str">
        <f t="shared" si="153"/>
        <v/>
      </c>
      <c r="CM99" s="61" t="str">
        <f t="shared" si="154"/>
        <v/>
      </c>
      <c r="CN99" s="134" t="str">
        <f t="shared" si="198"/>
        <v/>
      </c>
      <c r="CO99" s="131" t="str">
        <f t="shared" si="196"/>
        <v/>
      </c>
      <c r="CP99" s="131" t="str">
        <f t="shared" si="175"/>
        <v/>
      </c>
      <c r="CQ99" s="131" t="str">
        <f t="shared" si="176"/>
        <v/>
      </c>
      <c r="CR99" s="116" t="str">
        <f t="shared" si="177"/>
        <v/>
      </c>
      <c r="CS99" s="116" t="str">
        <f t="shared" si="178"/>
        <v/>
      </c>
      <c r="CT99" s="116" t="str">
        <f t="shared" si="179"/>
        <v/>
      </c>
      <c r="CU99" s="52">
        <f t="shared" si="180"/>
        <v>0</v>
      </c>
      <c r="CV99" s="116" t="str">
        <f t="shared" si="181"/>
        <v/>
      </c>
      <c r="CW99" s="116" t="str">
        <f t="shared" si="182"/>
        <v/>
      </c>
      <c r="CX99" s="61" t="str">
        <f t="shared" si="183"/>
        <v/>
      </c>
      <c r="CY99" s="61" t="str">
        <f t="shared" si="184"/>
        <v/>
      </c>
      <c r="CZ99" s="61" t="str">
        <f t="shared" si="185"/>
        <v/>
      </c>
      <c r="DA99" s="116" t="str">
        <f t="shared" si="186"/>
        <v/>
      </c>
      <c r="DB99" s="6" t="str">
        <f t="shared" si="194"/>
        <v/>
      </c>
      <c r="DC99" s="61" t="str">
        <f t="shared" si="187"/>
        <v/>
      </c>
      <c r="DD99" s="131" t="str">
        <f t="shared" si="199"/>
        <v/>
      </c>
      <c r="DE99" s="131" t="str">
        <f t="shared" si="200"/>
        <v/>
      </c>
      <c r="DF99" s="61" t="str">
        <f t="shared" si="201"/>
        <v/>
      </c>
      <c r="DG99" s="116" t="str">
        <f t="shared" si="188"/>
        <v/>
      </c>
      <c r="DH99" s="116" t="str">
        <f t="shared" si="189"/>
        <v/>
      </c>
    </row>
    <row r="100" spans="2:112" s="17" customFormat="1" hidden="1">
      <c r="B100" s="35"/>
      <c r="C100" s="35"/>
      <c r="D100" s="36"/>
      <c r="E100" s="35"/>
      <c r="F100" s="35"/>
      <c r="G100" s="35"/>
      <c r="H100" s="35"/>
      <c r="I100" s="35"/>
      <c r="J100" s="121"/>
      <c r="K100" s="59"/>
      <c r="AC100" s="47" t="s">
        <v>279</v>
      </c>
      <c r="AD100" s="52" t="str">
        <f t="shared" si="120"/>
        <v/>
      </c>
      <c r="AE100" s="52">
        <f t="shared" si="121"/>
        <v>0</v>
      </c>
      <c r="AF100" s="52">
        <f t="shared" si="190"/>
        <v>6</v>
      </c>
      <c r="AG100" s="61" t="str">
        <f t="shared" si="122"/>
        <v/>
      </c>
      <c r="AH100" s="52">
        <f t="shared" si="123"/>
        <v>0</v>
      </c>
      <c r="AI100" s="52">
        <f t="shared" si="155"/>
        <v>7</v>
      </c>
      <c r="AJ100" s="52" t="str">
        <f t="shared" si="156"/>
        <v/>
      </c>
      <c r="AK100" s="61" t="str">
        <f t="shared" si="124"/>
        <v/>
      </c>
      <c r="AL100" s="95" t="str">
        <f t="shared" si="125"/>
        <v/>
      </c>
      <c r="AM100" s="61" t="str">
        <f t="shared" si="126"/>
        <v>if () {$("#adv_").html("Requierd");$("#").css({"background":"yellow"});} else {$("#adv_").html("");$("#").css({"background":"white"});}</v>
      </c>
      <c r="AN100" s="61" t="str">
        <f t="shared" si="127"/>
        <v>if (=="") {$("#adv_").html("Requierd");} else {$("#adv_").html("");}</v>
      </c>
      <c r="AO100" s="50" t="str">
        <f t="shared" si="128"/>
        <v/>
      </c>
      <c r="AP100" s="61" t="str">
        <f t="shared" si="129"/>
        <v>=$("#").val();</v>
      </c>
      <c r="AQ100" s="61" t="str">
        <f t="shared" si="157"/>
        <v/>
      </c>
      <c r="AR100" s="61" t="str">
        <f t="shared" si="130"/>
        <v>=document.getElementById("").checked;</v>
      </c>
      <c r="AS100" s="102" t="str">
        <f t="shared" si="131"/>
        <v>if (isset($_GET[''])) {$=($_GET['']);}else $='';</v>
      </c>
      <c r="AT100" s="52" t="str">
        <f t="shared" si="132"/>
        <v>EPS</v>
      </c>
      <c r="AU100" s="52" t="str">
        <f t="shared" si="133"/>
        <v>else if (document.getElementById("</v>
      </c>
      <c r="AV100" s="61" t="str">
        <f t="shared" si="134"/>
        <v>else if (document.getElementById("").checked==true) {EPS="";}</v>
      </c>
      <c r="AW100" s="61" t="str">
        <f t="shared" si="158"/>
        <v/>
      </c>
      <c r="AX100" s="102" t="str">
        <f t="shared" si="135"/>
        <v/>
      </c>
      <c r="AY100" s="135" t="str">
        <f t="shared" si="159"/>
        <v/>
      </c>
      <c r="AZ100" s="50" t="str">
        <f t="shared" si="136"/>
        <v>&lt;input type="checkbox" id="" name="" value="1" /&gt;</v>
      </c>
      <c r="BA100" s="105" t="str">
        <f t="shared" si="137"/>
        <v>&lt;br/&gt;&lt;textarea rows="2" cols="80" id=""&gt;&lt;/textarea&gt;&lt;br/&gt;</v>
      </c>
      <c r="BB100" s="50" t="str">
        <f t="shared" si="138"/>
        <v>&lt;input type="radio" name="EPS" id="" value="" /&gt;</v>
      </c>
      <c r="BC100" s="107" t="str">
        <f t="shared" si="139"/>
        <v>&lt;input type="text"  size="7"  id="" class="datepicker"/&gt;</v>
      </c>
      <c r="BD100" s="109" t="str">
        <f t="shared" si="160"/>
        <v/>
      </c>
      <c r="BE100" s="61" t="str">
        <f t="shared" si="140"/>
        <v/>
      </c>
      <c r="BF100" s="52">
        <f t="shared" si="195"/>
        <v>12</v>
      </c>
      <c r="BG100" s="61" t="str">
        <f t="shared" si="161"/>
        <v/>
      </c>
      <c r="BH100" s="102" t="str">
        <f t="shared" si="141"/>
        <v/>
      </c>
      <c r="BI100" s="105" t="str">
        <f t="shared" si="197"/>
        <v/>
      </c>
      <c r="BJ100" s="52" t="str">
        <f t="shared" si="162"/>
        <v/>
      </c>
      <c r="BK100" s="52">
        <f t="shared" si="163"/>
        <v>0</v>
      </c>
      <c r="BL100" s="52">
        <f t="shared" si="164"/>
        <v>2</v>
      </c>
      <c r="BM100" s="52" t="str">
        <f t="shared" si="191"/>
        <v/>
      </c>
      <c r="BN100" s="52" t="str">
        <f t="shared" si="142"/>
        <v/>
      </c>
      <c r="BO100" s="52" t="str">
        <f t="shared" si="165"/>
        <v/>
      </c>
      <c r="BP100" s="113" t="str">
        <f t="shared" si="166"/>
        <v/>
      </c>
      <c r="BQ100" s="52" t="str">
        <f t="shared" si="192"/>
        <v/>
      </c>
      <c r="BR100" s="52" t="str">
        <f t="shared" si="167"/>
        <v/>
      </c>
      <c r="BS100" s="52" t="str">
        <f t="shared" si="168"/>
        <v/>
      </c>
      <c r="BT100" s="52" t="str">
        <f t="shared" si="169"/>
        <v/>
      </c>
      <c r="BU100" s="52" t="str">
        <f t="shared" si="170"/>
        <v/>
      </c>
      <c r="BV100" s="102" t="str">
        <f t="shared" si="143"/>
        <v/>
      </c>
      <c r="BW100" s="116" t="str">
        <f t="shared" si="144"/>
        <v/>
      </c>
      <c r="BX100" s="61" t="str">
        <f t="shared" si="145"/>
        <v/>
      </c>
      <c r="BY100" s="52" t="str">
        <f t="shared" si="146"/>
        <v/>
      </c>
      <c r="BZ100" s="52" t="str">
        <f t="shared" si="147"/>
        <v/>
      </c>
      <c r="CA100" s="52" t="str">
        <f t="shared" si="171"/>
        <v/>
      </c>
      <c r="CB100" s="52" t="str">
        <f t="shared" si="148"/>
        <v/>
      </c>
      <c r="CC100" s="52" t="str">
        <f t="shared" si="149"/>
        <v/>
      </c>
      <c r="CD100" s="102" t="str">
        <f t="shared" si="150"/>
        <v/>
      </c>
      <c r="CE100" s="116" t="str">
        <f t="shared" si="151"/>
        <v/>
      </c>
      <c r="CF100" s="116" t="str">
        <f t="shared" si="202"/>
        <v/>
      </c>
      <c r="CG100" s="61" t="str">
        <f t="shared" si="152"/>
        <v/>
      </c>
      <c r="CH100" s="52">
        <f t="shared" si="193"/>
        <v>2</v>
      </c>
      <c r="CI100" s="61" t="str">
        <f t="shared" si="172"/>
        <v/>
      </c>
      <c r="CJ100" s="61" t="str">
        <f t="shared" si="173"/>
        <v/>
      </c>
      <c r="CK100" s="61" t="str">
        <f t="shared" si="174"/>
        <v/>
      </c>
      <c r="CL100" s="61" t="str">
        <f t="shared" si="153"/>
        <v/>
      </c>
      <c r="CM100" s="61" t="str">
        <f t="shared" si="154"/>
        <v/>
      </c>
      <c r="CN100" s="134" t="str">
        <f t="shared" si="198"/>
        <v/>
      </c>
      <c r="CO100" s="131" t="str">
        <f t="shared" si="196"/>
        <v/>
      </c>
      <c r="CP100" s="131" t="str">
        <f t="shared" si="175"/>
        <v/>
      </c>
      <c r="CQ100" s="131" t="str">
        <f t="shared" si="176"/>
        <v/>
      </c>
      <c r="CR100" s="116" t="str">
        <f t="shared" si="177"/>
        <v/>
      </c>
      <c r="CS100" s="116" t="str">
        <f t="shared" si="178"/>
        <v/>
      </c>
      <c r="CT100" s="116" t="str">
        <f t="shared" si="179"/>
        <v/>
      </c>
      <c r="CU100" s="52">
        <f t="shared" si="180"/>
        <v>0</v>
      </c>
      <c r="CV100" s="116" t="str">
        <f t="shared" si="181"/>
        <v/>
      </c>
      <c r="CW100" s="116" t="str">
        <f t="shared" si="182"/>
        <v/>
      </c>
      <c r="CX100" s="61" t="str">
        <f t="shared" si="183"/>
        <v/>
      </c>
      <c r="CY100" s="61" t="str">
        <f t="shared" si="184"/>
        <v/>
      </c>
      <c r="CZ100" s="61" t="str">
        <f t="shared" si="185"/>
        <v/>
      </c>
      <c r="DA100" s="116" t="str">
        <f t="shared" si="186"/>
        <v/>
      </c>
      <c r="DB100" s="6" t="str">
        <f t="shared" si="194"/>
        <v/>
      </c>
      <c r="DC100" s="61" t="str">
        <f t="shared" si="187"/>
        <v/>
      </c>
      <c r="DD100" s="131" t="str">
        <f t="shared" si="199"/>
        <v/>
      </c>
      <c r="DE100" s="131" t="str">
        <f t="shared" si="200"/>
        <v/>
      </c>
      <c r="DF100" s="61" t="str">
        <f t="shared" si="201"/>
        <v/>
      </c>
      <c r="DG100" s="116" t="str">
        <f t="shared" si="188"/>
        <v/>
      </c>
      <c r="DH100" s="116" t="str">
        <f t="shared" si="189"/>
        <v/>
      </c>
    </row>
    <row r="101" spans="2:112" s="17" customFormat="1" hidden="1">
      <c r="B101" s="35"/>
      <c r="C101" s="35"/>
      <c r="D101" s="36"/>
      <c r="E101" s="35"/>
      <c r="F101" s="35"/>
      <c r="G101" s="35"/>
      <c r="H101" s="35"/>
      <c r="I101" s="35"/>
      <c r="J101" s="121"/>
      <c r="K101" s="59"/>
      <c r="AC101" s="47" t="s">
        <v>280</v>
      </c>
      <c r="AD101" s="52" t="str">
        <f t="shared" si="120"/>
        <v/>
      </c>
      <c r="AE101" s="52">
        <f t="shared" si="121"/>
        <v>0</v>
      </c>
      <c r="AF101" s="52">
        <f t="shared" si="190"/>
        <v>6</v>
      </c>
      <c r="AG101" s="61" t="str">
        <f t="shared" si="122"/>
        <v/>
      </c>
      <c r="AH101" s="52">
        <f t="shared" si="123"/>
        <v>0</v>
      </c>
      <c r="AI101" s="52">
        <f t="shared" si="155"/>
        <v>7</v>
      </c>
      <c r="AJ101" s="52" t="str">
        <f t="shared" si="156"/>
        <v/>
      </c>
      <c r="AK101" s="61" t="str">
        <f t="shared" si="124"/>
        <v/>
      </c>
      <c r="AL101" s="95" t="str">
        <f t="shared" si="125"/>
        <v/>
      </c>
      <c r="AM101" s="61" t="str">
        <f t="shared" si="126"/>
        <v>if () {$("#adv_").html("Requierd");$("#").css({"background":"yellow"});} else {$("#adv_").html("");$("#").css({"background":"white"});}</v>
      </c>
      <c r="AN101" s="61" t="str">
        <f t="shared" si="127"/>
        <v>if (=="") {$("#adv_").html("Requierd");} else {$("#adv_").html("");}</v>
      </c>
      <c r="AO101" s="50" t="str">
        <f t="shared" si="128"/>
        <v/>
      </c>
      <c r="AP101" s="61" t="str">
        <f t="shared" si="129"/>
        <v>=$("#").val();</v>
      </c>
      <c r="AQ101" s="61" t="str">
        <f t="shared" si="157"/>
        <v/>
      </c>
      <c r="AR101" s="61" t="str">
        <f t="shared" si="130"/>
        <v>=document.getElementById("").checked;</v>
      </c>
      <c r="AS101" s="102" t="str">
        <f t="shared" si="131"/>
        <v>if (isset($_GET[''])) {$=($_GET['']);}else $='';</v>
      </c>
      <c r="AT101" s="52" t="str">
        <f t="shared" si="132"/>
        <v>EPS</v>
      </c>
      <c r="AU101" s="52" t="str">
        <f t="shared" si="133"/>
        <v>else if (document.getElementById("</v>
      </c>
      <c r="AV101" s="61" t="str">
        <f t="shared" si="134"/>
        <v>else if (document.getElementById("").checked==true) {EPS="";}</v>
      </c>
      <c r="AW101" s="61" t="str">
        <f t="shared" si="158"/>
        <v/>
      </c>
      <c r="AX101" s="102" t="str">
        <f t="shared" si="135"/>
        <v/>
      </c>
      <c r="AY101" s="135" t="str">
        <f t="shared" si="159"/>
        <v/>
      </c>
      <c r="AZ101" s="50" t="str">
        <f t="shared" si="136"/>
        <v>&lt;input type="checkbox" id="" name="" value="1" /&gt;</v>
      </c>
      <c r="BA101" s="105" t="str">
        <f t="shared" si="137"/>
        <v>&lt;br/&gt;&lt;textarea rows="2" cols="80" id=""&gt;&lt;/textarea&gt;&lt;br/&gt;</v>
      </c>
      <c r="BB101" s="50" t="str">
        <f t="shared" si="138"/>
        <v>&lt;input type="radio" name="EPS" id="" value="" /&gt;</v>
      </c>
      <c r="BC101" s="107" t="str">
        <f t="shared" si="139"/>
        <v>&lt;input type="text"  size="7"  id="" class="datepicker"/&gt;</v>
      </c>
      <c r="BD101" s="109" t="str">
        <f t="shared" si="160"/>
        <v/>
      </c>
      <c r="BE101" s="61" t="str">
        <f t="shared" si="140"/>
        <v/>
      </c>
      <c r="BF101" s="52">
        <f t="shared" si="195"/>
        <v>12</v>
      </c>
      <c r="BG101" s="61" t="str">
        <f t="shared" si="161"/>
        <v/>
      </c>
      <c r="BH101" s="102" t="str">
        <f t="shared" si="141"/>
        <v/>
      </c>
      <c r="BI101" s="105" t="str">
        <f t="shared" si="197"/>
        <v/>
      </c>
      <c r="BJ101" s="52" t="str">
        <f t="shared" si="162"/>
        <v/>
      </c>
      <c r="BK101" s="52">
        <f t="shared" si="163"/>
        <v>0</v>
      </c>
      <c r="BL101" s="52">
        <f t="shared" si="164"/>
        <v>2</v>
      </c>
      <c r="BM101" s="52" t="str">
        <f t="shared" si="191"/>
        <v/>
      </c>
      <c r="BN101" s="52" t="str">
        <f t="shared" si="142"/>
        <v/>
      </c>
      <c r="BO101" s="52" t="str">
        <f t="shared" si="165"/>
        <v/>
      </c>
      <c r="BP101" s="113" t="str">
        <f t="shared" si="166"/>
        <v/>
      </c>
      <c r="BQ101" s="52" t="str">
        <f t="shared" si="192"/>
        <v/>
      </c>
      <c r="BR101" s="52" t="str">
        <f t="shared" si="167"/>
        <v/>
      </c>
      <c r="BS101" s="52" t="str">
        <f t="shared" si="168"/>
        <v/>
      </c>
      <c r="BT101" s="52" t="str">
        <f t="shared" si="169"/>
        <v/>
      </c>
      <c r="BU101" s="52" t="str">
        <f t="shared" si="170"/>
        <v/>
      </c>
      <c r="BV101" s="102" t="str">
        <f t="shared" si="143"/>
        <v/>
      </c>
      <c r="BW101" s="116" t="str">
        <f t="shared" si="144"/>
        <v/>
      </c>
      <c r="BX101" s="61" t="str">
        <f t="shared" si="145"/>
        <v/>
      </c>
      <c r="BY101" s="52" t="str">
        <f t="shared" si="146"/>
        <v/>
      </c>
      <c r="BZ101" s="52" t="str">
        <f t="shared" si="147"/>
        <v/>
      </c>
      <c r="CA101" s="52" t="str">
        <f t="shared" si="171"/>
        <v/>
      </c>
      <c r="CB101" s="52" t="str">
        <f t="shared" si="148"/>
        <v/>
      </c>
      <c r="CC101" s="52" t="str">
        <f t="shared" si="149"/>
        <v/>
      </c>
      <c r="CD101" s="102" t="str">
        <f t="shared" si="150"/>
        <v/>
      </c>
      <c r="CE101" s="116" t="str">
        <f t="shared" si="151"/>
        <v/>
      </c>
      <c r="CF101" s="116" t="str">
        <f t="shared" si="202"/>
        <v/>
      </c>
      <c r="CG101" s="61" t="str">
        <f t="shared" si="152"/>
        <v/>
      </c>
      <c r="CH101" s="52">
        <f t="shared" si="193"/>
        <v>2</v>
      </c>
      <c r="CI101" s="61" t="str">
        <f t="shared" si="172"/>
        <v/>
      </c>
      <c r="CJ101" s="61" t="str">
        <f t="shared" si="173"/>
        <v/>
      </c>
      <c r="CK101" s="61" t="str">
        <f t="shared" si="174"/>
        <v/>
      </c>
      <c r="CL101" s="61" t="str">
        <f t="shared" si="153"/>
        <v/>
      </c>
      <c r="CM101" s="61" t="str">
        <f t="shared" si="154"/>
        <v/>
      </c>
      <c r="CN101" s="134" t="str">
        <f t="shared" si="198"/>
        <v/>
      </c>
      <c r="CO101" s="131" t="str">
        <f t="shared" si="196"/>
        <v/>
      </c>
      <c r="CP101" s="131" t="str">
        <f t="shared" si="175"/>
        <v/>
      </c>
      <c r="CQ101" s="131" t="str">
        <f t="shared" si="176"/>
        <v/>
      </c>
      <c r="CR101" s="116" t="str">
        <f t="shared" si="177"/>
        <v/>
      </c>
      <c r="CS101" s="116" t="str">
        <f t="shared" si="178"/>
        <v/>
      </c>
      <c r="CT101" s="116" t="str">
        <f t="shared" si="179"/>
        <v/>
      </c>
      <c r="CU101" s="52">
        <f t="shared" si="180"/>
        <v>0</v>
      </c>
      <c r="CV101" s="116" t="str">
        <f t="shared" si="181"/>
        <v/>
      </c>
      <c r="CW101" s="116" t="str">
        <f t="shared" si="182"/>
        <v/>
      </c>
      <c r="CX101" s="61" t="str">
        <f t="shared" si="183"/>
        <v/>
      </c>
      <c r="CY101" s="61" t="str">
        <f t="shared" si="184"/>
        <v/>
      </c>
      <c r="CZ101" s="61" t="str">
        <f t="shared" si="185"/>
        <v/>
      </c>
      <c r="DA101" s="116" t="str">
        <f t="shared" si="186"/>
        <v/>
      </c>
      <c r="DB101" s="6" t="str">
        <f t="shared" si="194"/>
        <v/>
      </c>
      <c r="DC101" s="61" t="str">
        <f t="shared" si="187"/>
        <v/>
      </c>
      <c r="DD101" s="131" t="str">
        <f t="shared" si="199"/>
        <v/>
      </c>
      <c r="DE101" s="131" t="str">
        <f t="shared" si="200"/>
        <v/>
      </c>
      <c r="DF101" s="61" t="str">
        <f t="shared" si="201"/>
        <v/>
      </c>
      <c r="DG101" s="116" t="str">
        <f t="shared" si="188"/>
        <v/>
      </c>
      <c r="DH101" s="116" t="str">
        <f t="shared" si="189"/>
        <v/>
      </c>
    </row>
    <row r="102" spans="2:112" s="17" customFormat="1" hidden="1">
      <c r="B102" s="35"/>
      <c r="C102" s="35"/>
      <c r="D102" s="36"/>
      <c r="E102" s="35"/>
      <c r="F102" s="35"/>
      <c r="G102" s="35"/>
      <c r="H102" s="35"/>
      <c r="I102" s="35"/>
      <c r="J102" s="121"/>
      <c r="K102" s="59"/>
      <c r="AC102" s="47" t="s">
        <v>281</v>
      </c>
      <c r="AD102" s="52" t="str">
        <f t="shared" si="120"/>
        <v/>
      </c>
      <c r="AE102" s="52">
        <f t="shared" si="121"/>
        <v>0</v>
      </c>
      <c r="AF102" s="52">
        <f t="shared" si="190"/>
        <v>6</v>
      </c>
      <c r="AG102" s="61" t="str">
        <f t="shared" si="122"/>
        <v/>
      </c>
      <c r="AH102" s="52">
        <f t="shared" si="123"/>
        <v>0</v>
      </c>
      <c r="AI102" s="52">
        <f t="shared" si="155"/>
        <v>7</v>
      </c>
      <c r="AJ102" s="52" t="str">
        <f t="shared" si="156"/>
        <v/>
      </c>
      <c r="AK102" s="61" t="str">
        <f t="shared" si="124"/>
        <v/>
      </c>
      <c r="AL102" s="95" t="str">
        <f t="shared" si="125"/>
        <v/>
      </c>
      <c r="AM102" s="61" t="str">
        <f t="shared" si="126"/>
        <v>if () {$("#adv_").html("Requierd");$("#").css({"background":"yellow"});} else {$("#adv_").html("");$("#").css({"background":"white"});}</v>
      </c>
      <c r="AN102" s="61" t="str">
        <f t="shared" si="127"/>
        <v>if (=="") {$("#adv_").html("Requierd");} else {$("#adv_").html("");}</v>
      </c>
      <c r="AO102" s="50" t="str">
        <f t="shared" si="128"/>
        <v/>
      </c>
      <c r="AP102" s="61" t="str">
        <f t="shared" si="129"/>
        <v>=$("#").val();</v>
      </c>
      <c r="AQ102" s="61" t="str">
        <f t="shared" si="157"/>
        <v/>
      </c>
      <c r="AR102" s="61" t="str">
        <f t="shared" si="130"/>
        <v>=document.getElementById("").checked;</v>
      </c>
      <c r="AS102" s="102" t="str">
        <f t="shared" si="131"/>
        <v>if (isset($_GET[''])) {$=($_GET['']);}else $='';</v>
      </c>
      <c r="AT102" s="52" t="str">
        <f t="shared" si="132"/>
        <v>EPS</v>
      </c>
      <c r="AU102" s="52" t="str">
        <f t="shared" si="133"/>
        <v>else if (document.getElementById("</v>
      </c>
      <c r="AV102" s="61" t="str">
        <f t="shared" si="134"/>
        <v>else if (document.getElementById("").checked==true) {EPS="";}</v>
      </c>
      <c r="AW102" s="61" t="str">
        <f t="shared" si="158"/>
        <v/>
      </c>
      <c r="AX102" s="102" t="str">
        <f t="shared" si="135"/>
        <v/>
      </c>
      <c r="AY102" s="135" t="str">
        <f t="shared" si="159"/>
        <v/>
      </c>
      <c r="AZ102" s="50" t="str">
        <f t="shared" si="136"/>
        <v>&lt;input type="checkbox" id="" name="" value="1" /&gt;</v>
      </c>
      <c r="BA102" s="105" t="str">
        <f t="shared" si="137"/>
        <v>&lt;br/&gt;&lt;textarea rows="2" cols="80" id=""&gt;&lt;/textarea&gt;&lt;br/&gt;</v>
      </c>
      <c r="BB102" s="50" t="str">
        <f t="shared" si="138"/>
        <v>&lt;input type="radio" name="EPS" id="" value="" /&gt;</v>
      </c>
      <c r="BC102" s="107" t="str">
        <f t="shared" si="139"/>
        <v>&lt;input type="text"  size="7"  id="" class="datepicker"/&gt;</v>
      </c>
      <c r="BD102" s="109" t="str">
        <f t="shared" si="160"/>
        <v/>
      </c>
      <c r="BE102" s="61" t="str">
        <f t="shared" si="140"/>
        <v/>
      </c>
      <c r="BF102" s="52">
        <f t="shared" si="195"/>
        <v>12</v>
      </c>
      <c r="BG102" s="61" t="str">
        <f t="shared" si="161"/>
        <v/>
      </c>
      <c r="BH102" s="102" t="str">
        <f t="shared" si="141"/>
        <v/>
      </c>
      <c r="BI102" s="105" t="str">
        <f t="shared" si="197"/>
        <v/>
      </c>
      <c r="BJ102" s="52" t="str">
        <f t="shared" si="162"/>
        <v/>
      </c>
      <c r="BK102" s="52">
        <f t="shared" si="163"/>
        <v>0</v>
      </c>
      <c r="BL102" s="52">
        <f t="shared" si="164"/>
        <v>2</v>
      </c>
      <c r="BM102" s="52" t="str">
        <f t="shared" si="191"/>
        <v/>
      </c>
      <c r="BN102" s="52" t="str">
        <f t="shared" si="142"/>
        <v/>
      </c>
      <c r="BO102" s="52" t="str">
        <f t="shared" si="165"/>
        <v/>
      </c>
      <c r="BP102" s="113" t="str">
        <f t="shared" si="166"/>
        <v/>
      </c>
      <c r="BQ102" s="52" t="str">
        <f t="shared" si="192"/>
        <v/>
      </c>
      <c r="BR102" s="52" t="str">
        <f t="shared" si="167"/>
        <v/>
      </c>
      <c r="BS102" s="52" t="str">
        <f t="shared" si="168"/>
        <v/>
      </c>
      <c r="BT102" s="52" t="str">
        <f t="shared" si="169"/>
        <v/>
      </c>
      <c r="BU102" s="52" t="str">
        <f t="shared" si="170"/>
        <v/>
      </c>
      <c r="BV102" s="102" t="str">
        <f t="shared" si="143"/>
        <v/>
      </c>
      <c r="BW102" s="116" t="str">
        <f t="shared" si="144"/>
        <v/>
      </c>
      <c r="BX102" s="61" t="str">
        <f t="shared" si="145"/>
        <v/>
      </c>
      <c r="BY102" s="52" t="str">
        <f t="shared" si="146"/>
        <v/>
      </c>
      <c r="BZ102" s="52" t="str">
        <f t="shared" si="147"/>
        <v/>
      </c>
      <c r="CA102" s="52" t="str">
        <f t="shared" si="171"/>
        <v/>
      </c>
      <c r="CB102" s="52" t="str">
        <f t="shared" si="148"/>
        <v/>
      </c>
      <c r="CC102" s="52" t="str">
        <f t="shared" si="149"/>
        <v/>
      </c>
      <c r="CD102" s="102" t="str">
        <f t="shared" si="150"/>
        <v/>
      </c>
      <c r="CE102" s="116" t="str">
        <f t="shared" si="151"/>
        <v/>
      </c>
      <c r="CF102" s="116" t="str">
        <f t="shared" si="202"/>
        <v/>
      </c>
      <c r="CG102" s="61" t="str">
        <f t="shared" si="152"/>
        <v/>
      </c>
      <c r="CH102" s="52">
        <f t="shared" si="193"/>
        <v>2</v>
      </c>
      <c r="CI102" s="61" t="str">
        <f t="shared" si="172"/>
        <v/>
      </c>
      <c r="CJ102" s="61" t="str">
        <f t="shared" si="173"/>
        <v/>
      </c>
      <c r="CK102" s="61" t="str">
        <f t="shared" si="174"/>
        <v/>
      </c>
      <c r="CL102" s="61" t="str">
        <f t="shared" si="153"/>
        <v/>
      </c>
      <c r="CM102" s="61" t="str">
        <f t="shared" si="154"/>
        <v/>
      </c>
      <c r="CN102" s="134" t="str">
        <f t="shared" si="198"/>
        <v/>
      </c>
      <c r="CO102" s="131" t="str">
        <f t="shared" si="196"/>
        <v/>
      </c>
      <c r="CP102" s="131" t="str">
        <f t="shared" si="175"/>
        <v/>
      </c>
      <c r="CQ102" s="131" t="str">
        <f t="shared" si="176"/>
        <v/>
      </c>
      <c r="CR102" s="116" t="str">
        <f t="shared" si="177"/>
        <v/>
      </c>
      <c r="CS102" s="116" t="str">
        <f t="shared" si="178"/>
        <v/>
      </c>
      <c r="CT102" s="116" t="str">
        <f t="shared" si="179"/>
        <v/>
      </c>
      <c r="CU102" s="52">
        <f t="shared" si="180"/>
        <v>0</v>
      </c>
      <c r="CV102" s="116" t="str">
        <f t="shared" si="181"/>
        <v/>
      </c>
      <c r="CW102" s="116" t="str">
        <f t="shared" si="182"/>
        <v/>
      </c>
      <c r="CX102" s="61" t="str">
        <f t="shared" si="183"/>
        <v/>
      </c>
      <c r="CY102" s="61" t="str">
        <f t="shared" si="184"/>
        <v/>
      </c>
      <c r="CZ102" s="61" t="str">
        <f t="shared" si="185"/>
        <v/>
      </c>
      <c r="DA102" s="116" t="str">
        <f t="shared" si="186"/>
        <v/>
      </c>
      <c r="DB102" s="6" t="str">
        <f t="shared" si="194"/>
        <v/>
      </c>
      <c r="DC102" s="61" t="str">
        <f t="shared" si="187"/>
        <v/>
      </c>
      <c r="DD102" s="131" t="str">
        <f t="shared" si="199"/>
        <v/>
      </c>
      <c r="DE102" s="131" t="str">
        <f t="shared" si="200"/>
        <v/>
      </c>
      <c r="DF102" s="61" t="str">
        <f t="shared" si="201"/>
        <v/>
      </c>
      <c r="DG102" s="116" t="str">
        <f t="shared" si="188"/>
        <v/>
      </c>
      <c r="DH102" s="116" t="str">
        <f t="shared" si="189"/>
        <v/>
      </c>
    </row>
    <row r="103" spans="2:112" s="17" customFormat="1" hidden="1">
      <c r="B103" s="35"/>
      <c r="C103" s="35"/>
      <c r="D103" s="36"/>
      <c r="E103" s="35"/>
      <c r="F103" s="35"/>
      <c r="G103" s="35"/>
      <c r="H103" s="35"/>
      <c r="I103" s="35"/>
      <c r="J103" s="121"/>
      <c r="K103" s="59"/>
      <c r="AC103" s="47" t="s">
        <v>282</v>
      </c>
      <c r="AD103" s="52" t="str">
        <f t="shared" si="120"/>
        <v/>
      </c>
      <c r="AE103" s="52">
        <f t="shared" si="121"/>
        <v>0</v>
      </c>
      <c r="AF103" s="52">
        <f t="shared" si="190"/>
        <v>6</v>
      </c>
      <c r="AG103" s="61" t="str">
        <f t="shared" si="122"/>
        <v/>
      </c>
      <c r="AH103" s="52">
        <f t="shared" si="123"/>
        <v>0</v>
      </c>
      <c r="AI103" s="52">
        <f t="shared" si="155"/>
        <v>7</v>
      </c>
      <c r="AJ103" s="52" t="str">
        <f t="shared" si="156"/>
        <v/>
      </c>
      <c r="AK103" s="61" t="str">
        <f t="shared" si="124"/>
        <v/>
      </c>
      <c r="AL103" s="95" t="str">
        <f t="shared" si="125"/>
        <v/>
      </c>
      <c r="AM103" s="61" t="str">
        <f t="shared" si="126"/>
        <v>if () {$("#adv_").html("Requierd");$("#").css({"background":"yellow"});} else {$("#adv_").html("");$("#").css({"background":"white"});}</v>
      </c>
      <c r="AN103" s="61" t="str">
        <f t="shared" si="127"/>
        <v>if (=="") {$("#adv_").html("Requierd");} else {$("#adv_").html("");}</v>
      </c>
      <c r="AO103" s="50" t="str">
        <f t="shared" si="128"/>
        <v/>
      </c>
      <c r="AP103" s="61" t="str">
        <f t="shared" si="129"/>
        <v>=$("#").val();</v>
      </c>
      <c r="AQ103" s="61" t="str">
        <f t="shared" si="157"/>
        <v/>
      </c>
      <c r="AR103" s="61" t="str">
        <f t="shared" si="130"/>
        <v>=document.getElementById("").checked;</v>
      </c>
      <c r="AS103" s="102" t="str">
        <f t="shared" si="131"/>
        <v>if (isset($_GET[''])) {$=($_GET['']);}else $='';</v>
      </c>
      <c r="AT103" s="52" t="str">
        <f t="shared" si="132"/>
        <v>EPS</v>
      </c>
      <c r="AU103" s="52" t="str">
        <f t="shared" si="133"/>
        <v>else if (document.getElementById("</v>
      </c>
      <c r="AV103" s="61" t="str">
        <f t="shared" si="134"/>
        <v>else if (document.getElementById("").checked==true) {EPS="";}</v>
      </c>
      <c r="AW103" s="61" t="str">
        <f t="shared" si="158"/>
        <v/>
      </c>
      <c r="AX103" s="102" t="str">
        <f t="shared" si="135"/>
        <v/>
      </c>
      <c r="AY103" s="135" t="str">
        <f t="shared" si="159"/>
        <v/>
      </c>
      <c r="AZ103" s="50" t="str">
        <f t="shared" si="136"/>
        <v>&lt;input type="checkbox" id="" name="" value="1" /&gt;</v>
      </c>
      <c r="BA103" s="105" t="str">
        <f t="shared" si="137"/>
        <v>&lt;br/&gt;&lt;textarea rows="2" cols="80" id=""&gt;&lt;/textarea&gt;&lt;br/&gt;</v>
      </c>
      <c r="BB103" s="50" t="str">
        <f t="shared" si="138"/>
        <v>&lt;input type="radio" name="EPS" id="" value="" /&gt;</v>
      </c>
      <c r="BC103" s="107" t="str">
        <f t="shared" si="139"/>
        <v>&lt;input type="text"  size="7"  id="" class="datepicker"/&gt;</v>
      </c>
      <c r="BD103" s="109" t="str">
        <f t="shared" si="160"/>
        <v/>
      </c>
      <c r="BE103" s="61" t="str">
        <f t="shared" si="140"/>
        <v/>
      </c>
      <c r="BF103" s="52">
        <f t="shared" si="195"/>
        <v>12</v>
      </c>
      <c r="BG103" s="61" t="str">
        <f t="shared" si="161"/>
        <v/>
      </c>
      <c r="BH103" s="102" t="str">
        <f t="shared" si="141"/>
        <v/>
      </c>
      <c r="BI103" s="105" t="str">
        <f t="shared" si="197"/>
        <v/>
      </c>
      <c r="BJ103" s="52" t="str">
        <f t="shared" si="162"/>
        <v/>
      </c>
      <c r="BK103" s="52">
        <f t="shared" si="163"/>
        <v>0</v>
      </c>
      <c r="BL103" s="52">
        <f t="shared" si="164"/>
        <v>2</v>
      </c>
      <c r="BM103" s="52" t="str">
        <f t="shared" si="191"/>
        <v/>
      </c>
      <c r="BN103" s="52" t="str">
        <f t="shared" si="142"/>
        <v/>
      </c>
      <c r="BO103" s="52" t="str">
        <f t="shared" si="165"/>
        <v/>
      </c>
      <c r="BP103" s="113" t="str">
        <f t="shared" si="166"/>
        <v/>
      </c>
      <c r="BQ103" s="52" t="str">
        <f t="shared" si="192"/>
        <v/>
      </c>
      <c r="BR103" s="52" t="str">
        <f t="shared" si="167"/>
        <v/>
      </c>
      <c r="BS103" s="52" t="str">
        <f t="shared" si="168"/>
        <v/>
      </c>
      <c r="BT103" s="52" t="str">
        <f t="shared" si="169"/>
        <v/>
      </c>
      <c r="BU103" s="52" t="str">
        <f t="shared" si="170"/>
        <v/>
      </c>
      <c r="BV103" s="102" t="str">
        <f t="shared" si="143"/>
        <v/>
      </c>
      <c r="BW103" s="116" t="str">
        <f t="shared" si="144"/>
        <v/>
      </c>
      <c r="BX103" s="61" t="str">
        <f t="shared" si="145"/>
        <v/>
      </c>
      <c r="BY103" s="52" t="str">
        <f t="shared" si="146"/>
        <v/>
      </c>
      <c r="BZ103" s="52" t="str">
        <f t="shared" si="147"/>
        <v/>
      </c>
      <c r="CA103" s="52" t="str">
        <f t="shared" si="171"/>
        <v/>
      </c>
      <c r="CB103" s="52" t="str">
        <f t="shared" si="148"/>
        <v/>
      </c>
      <c r="CC103" s="52" t="str">
        <f t="shared" si="149"/>
        <v/>
      </c>
      <c r="CD103" s="102" t="str">
        <f t="shared" si="150"/>
        <v/>
      </c>
      <c r="CE103" s="116" t="str">
        <f t="shared" si="151"/>
        <v/>
      </c>
      <c r="CF103" s="116" t="str">
        <f t="shared" si="202"/>
        <v/>
      </c>
      <c r="CG103" s="61" t="str">
        <f t="shared" si="152"/>
        <v/>
      </c>
      <c r="CH103" s="52">
        <f t="shared" si="193"/>
        <v>2</v>
      </c>
      <c r="CI103" s="61" t="str">
        <f t="shared" si="172"/>
        <v/>
      </c>
      <c r="CJ103" s="61" t="str">
        <f t="shared" si="173"/>
        <v/>
      </c>
      <c r="CK103" s="61" t="str">
        <f t="shared" si="174"/>
        <v/>
      </c>
      <c r="CL103" s="61" t="str">
        <f t="shared" si="153"/>
        <v/>
      </c>
      <c r="CM103" s="61" t="str">
        <f t="shared" si="154"/>
        <v/>
      </c>
      <c r="CN103" s="134" t="str">
        <f t="shared" si="198"/>
        <v/>
      </c>
      <c r="CO103" s="131" t="str">
        <f t="shared" si="196"/>
        <v/>
      </c>
      <c r="CP103" s="131" t="str">
        <f t="shared" si="175"/>
        <v/>
      </c>
      <c r="CQ103" s="131" t="str">
        <f t="shared" si="176"/>
        <v/>
      </c>
      <c r="CR103" s="116" t="str">
        <f t="shared" si="177"/>
        <v/>
      </c>
      <c r="CS103" s="116" t="str">
        <f t="shared" si="178"/>
        <v/>
      </c>
      <c r="CT103" s="116" t="str">
        <f t="shared" si="179"/>
        <v/>
      </c>
      <c r="CU103" s="52">
        <f t="shared" si="180"/>
        <v>0</v>
      </c>
      <c r="CV103" s="116" t="str">
        <f t="shared" si="181"/>
        <v/>
      </c>
      <c r="CW103" s="116" t="str">
        <f t="shared" si="182"/>
        <v/>
      </c>
      <c r="CX103" s="61" t="str">
        <f t="shared" si="183"/>
        <v/>
      </c>
      <c r="CY103" s="61" t="str">
        <f t="shared" si="184"/>
        <v/>
      </c>
      <c r="CZ103" s="61" t="str">
        <f t="shared" si="185"/>
        <v/>
      </c>
      <c r="DA103" s="116" t="str">
        <f t="shared" si="186"/>
        <v/>
      </c>
      <c r="DB103" s="6" t="str">
        <f t="shared" si="194"/>
        <v/>
      </c>
      <c r="DC103" s="61" t="str">
        <f t="shared" si="187"/>
        <v/>
      </c>
      <c r="DD103" s="131" t="str">
        <f t="shared" si="199"/>
        <v/>
      </c>
      <c r="DE103" s="131" t="str">
        <f t="shared" si="200"/>
        <v/>
      </c>
      <c r="DF103" s="61" t="str">
        <f t="shared" si="201"/>
        <v/>
      </c>
      <c r="DG103" s="116" t="str">
        <f t="shared" si="188"/>
        <v/>
      </c>
      <c r="DH103" s="116" t="str">
        <f t="shared" si="189"/>
        <v/>
      </c>
    </row>
    <row r="104" spans="2:112" s="17" customFormat="1" hidden="1">
      <c r="B104" s="35"/>
      <c r="C104" s="35"/>
      <c r="D104" s="36"/>
      <c r="E104" s="35"/>
      <c r="F104" s="35"/>
      <c r="G104" s="35"/>
      <c r="H104" s="35"/>
      <c r="I104" s="35"/>
      <c r="J104" s="121"/>
      <c r="K104" s="59"/>
      <c r="AC104" s="47" t="s">
        <v>283</v>
      </c>
      <c r="AD104" s="52" t="str">
        <f t="shared" si="120"/>
        <v/>
      </c>
      <c r="AE104" s="52">
        <f t="shared" si="121"/>
        <v>0</v>
      </c>
      <c r="AF104" s="52">
        <f t="shared" si="190"/>
        <v>6</v>
      </c>
      <c r="AG104" s="61" t="str">
        <f t="shared" si="122"/>
        <v/>
      </c>
      <c r="AH104" s="52">
        <f t="shared" si="123"/>
        <v>0</v>
      </c>
      <c r="AI104" s="52">
        <f t="shared" si="155"/>
        <v>7</v>
      </c>
      <c r="AJ104" s="52" t="str">
        <f t="shared" si="156"/>
        <v/>
      </c>
      <c r="AK104" s="61" t="str">
        <f t="shared" si="124"/>
        <v/>
      </c>
      <c r="AL104" s="95" t="str">
        <f t="shared" si="125"/>
        <v/>
      </c>
      <c r="AM104" s="61" t="str">
        <f t="shared" si="126"/>
        <v>if () {$("#adv_").html("Requierd");$("#").css({"background":"yellow"});} else {$("#adv_").html("");$("#").css({"background":"white"});}</v>
      </c>
      <c r="AN104" s="61" t="str">
        <f t="shared" si="127"/>
        <v>if (=="") {$("#adv_").html("Requierd");} else {$("#adv_").html("");}</v>
      </c>
      <c r="AO104" s="50" t="str">
        <f t="shared" si="128"/>
        <v/>
      </c>
      <c r="AP104" s="61" t="str">
        <f t="shared" si="129"/>
        <v>=$("#").val();</v>
      </c>
      <c r="AQ104" s="61" t="str">
        <f t="shared" si="157"/>
        <v/>
      </c>
      <c r="AR104" s="61" t="str">
        <f t="shared" si="130"/>
        <v>=document.getElementById("").checked;</v>
      </c>
      <c r="AS104" s="102" t="str">
        <f t="shared" si="131"/>
        <v>if (isset($_GET[''])) {$=($_GET['']);}else $='';</v>
      </c>
      <c r="AT104" s="52" t="str">
        <f t="shared" si="132"/>
        <v>EPS</v>
      </c>
      <c r="AU104" s="52" t="str">
        <f t="shared" si="133"/>
        <v>else if (document.getElementById("</v>
      </c>
      <c r="AV104" s="61" t="str">
        <f t="shared" si="134"/>
        <v>else if (document.getElementById("").checked==true) {EPS="";}</v>
      </c>
      <c r="AW104" s="61" t="str">
        <f t="shared" si="158"/>
        <v/>
      </c>
      <c r="AX104" s="102" t="str">
        <f t="shared" si="135"/>
        <v/>
      </c>
      <c r="AY104" s="135" t="str">
        <f t="shared" si="159"/>
        <v/>
      </c>
      <c r="AZ104" s="50" t="str">
        <f t="shared" si="136"/>
        <v>&lt;input type="checkbox" id="" name="" value="1" /&gt;</v>
      </c>
      <c r="BA104" s="105" t="str">
        <f t="shared" si="137"/>
        <v>&lt;br/&gt;&lt;textarea rows="2" cols="80" id=""&gt;&lt;/textarea&gt;&lt;br/&gt;</v>
      </c>
      <c r="BB104" s="50" t="str">
        <f t="shared" si="138"/>
        <v>&lt;input type="radio" name="EPS" id="" value="" /&gt;</v>
      </c>
      <c r="BC104" s="107" t="str">
        <f t="shared" si="139"/>
        <v>&lt;input type="text"  size="7"  id="" class="datepicker"/&gt;</v>
      </c>
      <c r="BD104" s="109" t="str">
        <f t="shared" si="160"/>
        <v/>
      </c>
      <c r="BE104" s="61" t="str">
        <f t="shared" si="140"/>
        <v/>
      </c>
      <c r="BF104" s="52">
        <f t="shared" si="195"/>
        <v>12</v>
      </c>
      <c r="BG104" s="61" t="str">
        <f t="shared" si="161"/>
        <v/>
      </c>
      <c r="BH104" s="102" t="str">
        <f t="shared" si="141"/>
        <v/>
      </c>
      <c r="BI104" s="105" t="str">
        <f t="shared" si="197"/>
        <v/>
      </c>
      <c r="BJ104" s="52" t="str">
        <f t="shared" si="162"/>
        <v/>
      </c>
      <c r="BK104" s="52">
        <f t="shared" si="163"/>
        <v>0</v>
      </c>
      <c r="BL104" s="52">
        <f t="shared" si="164"/>
        <v>2</v>
      </c>
      <c r="BM104" s="52" t="str">
        <f t="shared" si="191"/>
        <v/>
      </c>
      <c r="BN104" s="52" t="str">
        <f t="shared" si="142"/>
        <v/>
      </c>
      <c r="BO104" s="52" t="str">
        <f t="shared" si="165"/>
        <v/>
      </c>
      <c r="BP104" s="113" t="str">
        <f t="shared" si="166"/>
        <v/>
      </c>
      <c r="BQ104" s="52" t="str">
        <f t="shared" si="192"/>
        <v/>
      </c>
      <c r="BR104" s="52" t="str">
        <f t="shared" si="167"/>
        <v/>
      </c>
      <c r="BS104" s="52" t="str">
        <f t="shared" si="168"/>
        <v/>
      </c>
      <c r="BT104" s="52" t="str">
        <f t="shared" si="169"/>
        <v/>
      </c>
      <c r="BU104" s="52" t="str">
        <f t="shared" si="170"/>
        <v/>
      </c>
      <c r="BV104" s="102" t="str">
        <f t="shared" si="143"/>
        <v/>
      </c>
      <c r="BW104" s="116" t="str">
        <f t="shared" si="144"/>
        <v/>
      </c>
      <c r="BX104" s="61" t="str">
        <f t="shared" si="145"/>
        <v/>
      </c>
      <c r="BY104" s="52" t="str">
        <f t="shared" si="146"/>
        <v/>
      </c>
      <c r="BZ104" s="52" t="str">
        <f t="shared" si="147"/>
        <v/>
      </c>
      <c r="CA104" s="52" t="str">
        <f t="shared" si="171"/>
        <v/>
      </c>
      <c r="CB104" s="52" t="str">
        <f t="shared" si="148"/>
        <v/>
      </c>
      <c r="CC104" s="52" t="str">
        <f t="shared" si="149"/>
        <v/>
      </c>
      <c r="CD104" s="102" t="str">
        <f t="shared" si="150"/>
        <v/>
      </c>
      <c r="CE104" s="116" t="str">
        <f t="shared" si="151"/>
        <v/>
      </c>
      <c r="CF104" s="116" t="str">
        <f t="shared" si="202"/>
        <v/>
      </c>
      <c r="CG104" s="61" t="str">
        <f t="shared" si="152"/>
        <v/>
      </c>
      <c r="CH104" s="52">
        <f t="shared" si="193"/>
        <v>2</v>
      </c>
      <c r="CI104" s="61" t="str">
        <f t="shared" si="172"/>
        <v/>
      </c>
      <c r="CJ104" s="61" t="str">
        <f t="shared" si="173"/>
        <v/>
      </c>
      <c r="CK104" s="61" t="str">
        <f t="shared" si="174"/>
        <v/>
      </c>
      <c r="CL104" s="61" t="str">
        <f t="shared" si="153"/>
        <v/>
      </c>
      <c r="CM104" s="61" t="str">
        <f t="shared" si="154"/>
        <v/>
      </c>
      <c r="CN104" s="134" t="str">
        <f t="shared" si="198"/>
        <v/>
      </c>
      <c r="CO104" s="131" t="str">
        <f t="shared" si="196"/>
        <v/>
      </c>
      <c r="CP104" s="131" t="str">
        <f t="shared" si="175"/>
        <v/>
      </c>
      <c r="CQ104" s="131" t="str">
        <f t="shared" si="176"/>
        <v/>
      </c>
      <c r="CR104" s="116" t="str">
        <f t="shared" si="177"/>
        <v/>
      </c>
      <c r="CS104" s="116" t="str">
        <f t="shared" si="178"/>
        <v/>
      </c>
      <c r="CT104" s="116" t="str">
        <f t="shared" si="179"/>
        <v/>
      </c>
      <c r="CU104" s="52">
        <f t="shared" si="180"/>
        <v>0</v>
      </c>
      <c r="CV104" s="116" t="str">
        <f t="shared" si="181"/>
        <v/>
      </c>
      <c r="CW104" s="116" t="str">
        <f t="shared" si="182"/>
        <v/>
      </c>
      <c r="CX104" s="61" t="str">
        <f t="shared" si="183"/>
        <v/>
      </c>
      <c r="CY104" s="61" t="str">
        <f t="shared" si="184"/>
        <v/>
      </c>
      <c r="CZ104" s="61" t="str">
        <f t="shared" si="185"/>
        <v/>
      </c>
      <c r="DA104" s="116" t="str">
        <f t="shared" si="186"/>
        <v/>
      </c>
      <c r="DB104" s="6" t="str">
        <f t="shared" si="194"/>
        <v/>
      </c>
      <c r="DC104" s="61" t="str">
        <f t="shared" si="187"/>
        <v/>
      </c>
      <c r="DD104" s="131" t="str">
        <f t="shared" si="199"/>
        <v/>
      </c>
      <c r="DE104" s="131" t="str">
        <f t="shared" si="200"/>
        <v/>
      </c>
      <c r="DF104" s="61" t="str">
        <f t="shared" si="201"/>
        <v/>
      </c>
      <c r="DG104" s="116" t="str">
        <f t="shared" si="188"/>
        <v/>
      </c>
      <c r="DH104" s="116" t="str">
        <f t="shared" si="189"/>
        <v/>
      </c>
    </row>
    <row r="105" spans="2:112" s="17" customFormat="1" hidden="1">
      <c r="B105" s="35"/>
      <c r="C105" s="35"/>
      <c r="D105" s="36"/>
      <c r="E105" s="35"/>
      <c r="F105" s="35"/>
      <c r="G105" s="35"/>
      <c r="H105" s="35"/>
      <c r="I105" s="35"/>
      <c r="J105" s="121"/>
      <c r="K105" s="59"/>
      <c r="AC105" s="47" t="s">
        <v>284</v>
      </c>
      <c r="AD105" s="52" t="str">
        <f t="shared" si="120"/>
        <v/>
      </c>
      <c r="AE105" s="52">
        <f t="shared" si="121"/>
        <v>0</v>
      </c>
      <c r="AF105" s="52">
        <f t="shared" si="190"/>
        <v>6</v>
      </c>
      <c r="AG105" s="61" t="str">
        <f t="shared" si="122"/>
        <v/>
      </c>
      <c r="AH105" s="52">
        <f t="shared" si="123"/>
        <v>0</v>
      </c>
      <c r="AI105" s="52">
        <f t="shared" si="155"/>
        <v>7</v>
      </c>
      <c r="AJ105" s="52" t="str">
        <f t="shared" si="156"/>
        <v/>
      </c>
      <c r="AK105" s="61" t="str">
        <f t="shared" si="124"/>
        <v/>
      </c>
      <c r="AL105" s="95" t="str">
        <f t="shared" si="125"/>
        <v/>
      </c>
      <c r="AM105" s="61" t="str">
        <f t="shared" si="126"/>
        <v>if () {$("#adv_").html("Requierd");$("#").css({"background":"yellow"});} else {$("#adv_").html("");$("#").css({"background":"white"});}</v>
      </c>
      <c r="AN105" s="61" t="str">
        <f t="shared" si="127"/>
        <v>if (=="") {$("#adv_").html("Requierd");} else {$("#adv_").html("");}</v>
      </c>
      <c r="AO105" s="50" t="str">
        <f t="shared" si="128"/>
        <v/>
      </c>
      <c r="AP105" s="61" t="str">
        <f t="shared" si="129"/>
        <v>=$("#").val();</v>
      </c>
      <c r="AQ105" s="61" t="str">
        <f t="shared" si="157"/>
        <v/>
      </c>
      <c r="AR105" s="61" t="str">
        <f t="shared" si="130"/>
        <v>=document.getElementById("").checked;</v>
      </c>
      <c r="AS105" s="102" t="str">
        <f t="shared" si="131"/>
        <v>if (isset($_GET[''])) {$=($_GET['']);}else $='';</v>
      </c>
      <c r="AT105" s="52" t="str">
        <f t="shared" si="132"/>
        <v>EPS</v>
      </c>
      <c r="AU105" s="52" t="str">
        <f t="shared" si="133"/>
        <v>else if (document.getElementById("</v>
      </c>
      <c r="AV105" s="61" t="str">
        <f t="shared" si="134"/>
        <v>else if (document.getElementById("").checked==true) {EPS="";}</v>
      </c>
      <c r="AW105" s="61" t="str">
        <f t="shared" si="158"/>
        <v/>
      </c>
      <c r="AX105" s="102" t="str">
        <f t="shared" si="135"/>
        <v/>
      </c>
      <c r="AY105" s="135" t="str">
        <f t="shared" si="159"/>
        <v/>
      </c>
      <c r="AZ105" s="50" t="str">
        <f t="shared" si="136"/>
        <v>&lt;input type="checkbox" id="" name="" value="1" /&gt;</v>
      </c>
      <c r="BA105" s="105" t="str">
        <f t="shared" si="137"/>
        <v>&lt;br/&gt;&lt;textarea rows="2" cols="80" id=""&gt;&lt;/textarea&gt;&lt;br/&gt;</v>
      </c>
      <c r="BB105" s="50" t="str">
        <f t="shared" si="138"/>
        <v>&lt;input type="radio" name="EPS" id="" value="" /&gt;</v>
      </c>
      <c r="BC105" s="107" t="str">
        <f t="shared" si="139"/>
        <v>&lt;input type="text"  size="7"  id="" class="datepicker"/&gt;</v>
      </c>
      <c r="BD105" s="109" t="str">
        <f t="shared" si="160"/>
        <v/>
      </c>
      <c r="BE105" s="61" t="str">
        <f t="shared" si="140"/>
        <v/>
      </c>
      <c r="BF105" s="52">
        <f t="shared" si="195"/>
        <v>12</v>
      </c>
      <c r="BG105" s="61" t="str">
        <f t="shared" si="161"/>
        <v/>
      </c>
      <c r="BH105" s="102" t="str">
        <f t="shared" si="141"/>
        <v/>
      </c>
      <c r="BI105" s="105" t="str">
        <f t="shared" si="197"/>
        <v/>
      </c>
      <c r="BJ105" s="52" t="str">
        <f t="shared" si="162"/>
        <v/>
      </c>
      <c r="BK105" s="52">
        <f t="shared" si="163"/>
        <v>0</v>
      </c>
      <c r="BL105" s="52">
        <f t="shared" si="164"/>
        <v>2</v>
      </c>
      <c r="BM105" s="52" t="str">
        <f t="shared" si="191"/>
        <v/>
      </c>
      <c r="BN105" s="52" t="str">
        <f t="shared" si="142"/>
        <v/>
      </c>
      <c r="BO105" s="52" t="str">
        <f t="shared" si="165"/>
        <v/>
      </c>
      <c r="BP105" s="113" t="str">
        <f t="shared" si="166"/>
        <v/>
      </c>
      <c r="BQ105" s="52" t="str">
        <f t="shared" si="192"/>
        <v/>
      </c>
      <c r="BR105" s="52" t="str">
        <f t="shared" si="167"/>
        <v/>
      </c>
      <c r="BS105" s="52" t="str">
        <f t="shared" si="168"/>
        <v/>
      </c>
      <c r="BT105" s="52" t="str">
        <f t="shared" si="169"/>
        <v/>
      </c>
      <c r="BU105" s="52" t="str">
        <f t="shared" si="170"/>
        <v/>
      </c>
      <c r="BV105" s="102" t="str">
        <f t="shared" si="143"/>
        <v/>
      </c>
      <c r="BW105" s="116" t="str">
        <f t="shared" si="144"/>
        <v/>
      </c>
      <c r="BX105" s="61" t="str">
        <f t="shared" si="145"/>
        <v/>
      </c>
      <c r="BY105" s="52" t="str">
        <f t="shared" si="146"/>
        <v/>
      </c>
      <c r="BZ105" s="52" t="str">
        <f t="shared" si="147"/>
        <v/>
      </c>
      <c r="CA105" s="52" t="str">
        <f t="shared" si="171"/>
        <v/>
      </c>
      <c r="CB105" s="52" t="str">
        <f t="shared" si="148"/>
        <v/>
      </c>
      <c r="CC105" s="52" t="str">
        <f t="shared" si="149"/>
        <v/>
      </c>
      <c r="CD105" s="102" t="str">
        <f t="shared" si="150"/>
        <v/>
      </c>
      <c r="CE105" s="116" t="str">
        <f t="shared" si="151"/>
        <v/>
      </c>
      <c r="CF105" s="116" t="str">
        <f t="shared" si="202"/>
        <v/>
      </c>
      <c r="CG105" s="61" t="str">
        <f t="shared" si="152"/>
        <v/>
      </c>
      <c r="CH105" s="52">
        <f t="shared" si="193"/>
        <v>2</v>
      </c>
      <c r="CI105" s="61" t="str">
        <f t="shared" si="172"/>
        <v/>
      </c>
      <c r="CJ105" s="61" t="str">
        <f t="shared" si="173"/>
        <v/>
      </c>
      <c r="CK105" s="61" t="str">
        <f t="shared" si="174"/>
        <v/>
      </c>
      <c r="CL105" s="61" t="str">
        <f t="shared" si="153"/>
        <v/>
      </c>
      <c r="CM105" s="61" t="str">
        <f t="shared" si="154"/>
        <v/>
      </c>
      <c r="CN105" s="134" t="str">
        <f t="shared" si="198"/>
        <v/>
      </c>
      <c r="CO105" s="131" t="str">
        <f t="shared" si="196"/>
        <v/>
      </c>
      <c r="CP105" s="131" t="str">
        <f t="shared" si="175"/>
        <v/>
      </c>
      <c r="CQ105" s="131" t="str">
        <f t="shared" si="176"/>
        <v/>
      </c>
      <c r="CR105" s="116" t="str">
        <f t="shared" si="177"/>
        <v/>
      </c>
      <c r="CS105" s="116" t="str">
        <f t="shared" si="178"/>
        <v/>
      </c>
      <c r="CT105" s="116" t="str">
        <f t="shared" si="179"/>
        <v/>
      </c>
      <c r="CU105" s="52">
        <f t="shared" si="180"/>
        <v>0</v>
      </c>
      <c r="CV105" s="116" t="str">
        <f t="shared" si="181"/>
        <v/>
      </c>
      <c r="CW105" s="116" t="str">
        <f t="shared" si="182"/>
        <v/>
      </c>
      <c r="CX105" s="61" t="str">
        <f t="shared" si="183"/>
        <v/>
      </c>
      <c r="CY105" s="61" t="str">
        <f t="shared" si="184"/>
        <v/>
      </c>
      <c r="CZ105" s="61" t="str">
        <f t="shared" si="185"/>
        <v/>
      </c>
      <c r="DA105" s="116" t="str">
        <f t="shared" si="186"/>
        <v/>
      </c>
      <c r="DB105" s="6" t="str">
        <f t="shared" si="194"/>
        <v/>
      </c>
      <c r="DC105" s="61" t="str">
        <f t="shared" si="187"/>
        <v/>
      </c>
      <c r="DD105" s="131" t="str">
        <f t="shared" si="199"/>
        <v/>
      </c>
      <c r="DE105" s="131" t="str">
        <f t="shared" si="200"/>
        <v/>
      </c>
      <c r="DF105" s="61" t="str">
        <f t="shared" si="201"/>
        <v/>
      </c>
      <c r="DG105" s="116" t="str">
        <f t="shared" si="188"/>
        <v/>
      </c>
      <c r="DH105" s="116" t="str">
        <f t="shared" si="189"/>
        <v/>
      </c>
    </row>
    <row r="106" spans="2:112" s="17" customFormat="1" hidden="1">
      <c r="B106" s="35"/>
      <c r="C106" s="35"/>
      <c r="D106" s="36"/>
      <c r="E106" s="35"/>
      <c r="F106" s="35"/>
      <c r="G106" s="35"/>
      <c r="H106" s="35"/>
      <c r="I106" s="35"/>
      <c r="J106" s="121"/>
      <c r="K106" s="59"/>
      <c r="AC106" s="47" t="s">
        <v>285</v>
      </c>
      <c r="AD106" s="52" t="str">
        <f t="shared" si="120"/>
        <v/>
      </c>
      <c r="AE106" s="52">
        <f t="shared" si="121"/>
        <v>0</v>
      </c>
      <c r="AF106" s="52">
        <f t="shared" si="190"/>
        <v>6</v>
      </c>
      <c r="AG106" s="61" t="str">
        <f t="shared" si="122"/>
        <v/>
      </c>
      <c r="AH106" s="52">
        <f t="shared" si="123"/>
        <v>0</v>
      </c>
      <c r="AI106" s="52">
        <f t="shared" si="155"/>
        <v>7</v>
      </c>
      <c r="AJ106" s="52" t="str">
        <f t="shared" si="156"/>
        <v/>
      </c>
      <c r="AK106" s="61" t="str">
        <f t="shared" si="124"/>
        <v/>
      </c>
      <c r="AL106" s="95" t="str">
        <f t="shared" si="125"/>
        <v/>
      </c>
      <c r="AM106" s="61" t="str">
        <f t="shared" si="126"/>
        <v>if () {$("#adv_").html("Requierd");$("#").css({"background":"yellow"});} else {$("#adv_").html("");$("#").css({"background":"white"});}</v>
      </c>
      <c r="AN106" s="61" t="str">
        <f t="shared" si="127"/>
        <v>if (=="") {$("#adv_").html("Requierd");} else {$("#adv_").html("");}</v>
      </c>
      <c r="AO106" s="50" t="str">
        <f t="shared" si="128"/>
        <v/>
      </c>
      <c r="AP106" s="61" t="str">
        <f t="shared" si="129"/>
        <v>=$("#").val();</v>
      </c>
      <c r="AQ106" s="61" t="str">
        <f t="shared" si="157"/>
        <v/>
      </c>
      <c r="AR106" s="61" t="str">
        <f t="shared" si="130"/>
        <v>=document.getElementById("").checked;</v>
      </c>
      <c r="AS106" s="102" t="str">
        <f t="shared" si="131"/>
        <v>if (isset($_GET[''])) {$=($_GET['']);}else $='';</v>
      </c>
      <c r="AT106" s="52" t="str">
        <f t="shared" si="132"/>
        <v>EPS</v>
      </c>
      <c r="AU106" s="52" t="str">
        <f t="shared" si="133"/>
        <v>else if (document.getElementById("</v>
      </c>
      <c r="AV106" s="61" t="str">
        <f t="shared" si="134"/>
        <v>else if (document.getElementById("").checked==true) {EPS="";}</v>
      </c>
      <c r="AW106" s="61" t="str">
        <f t="shared" si="158"/>
        <v/>
      </c>
      <c r="AX106" s="102" t="str">
        <f t="shared" si="135"/>
        <v/>
      </c>
      <c r="AY106" s="135" t="str">
        <f t="shared" si="159"/>
        <v/>
      </c>
      <c r="AZ106" s="50" t="str">
        <f t="shared" si="136"/>
        <v>&lt;input type="checkbox" id="" name="" value="1" /&gt;</v>
      </c>
      <c r="BA106" s="105" t="str">
        <f t="shared" si="137"/>
        <v>&lt;br/&gt;&lt;textarea rows="2" cols="80" id=""&gt;&lt;/textarea&gt;&lt;br/&gt;</v>
      </c>
      <c r="BB106" s="50" t="str">
        <f t="shared" si="138"/>
        <v>&lt;input type="radio" name="EPS" id="" value="" /&gt;</v>
      </c>
      <c r="BC106" s="107" t="str">
        <f t="shared" si="139"/>
        <v>&lt;input type="text"  size="7"  id="" class="datepicker"/&gt;</v>
      </c>
      <c r="BD106" s="109" t="str">
        <f t="shared" si="160"/>
        <v/>
      </c>
      <c r="BE106" s="61" t="str">
        <f t="shared" si="140"/>
        <v/>
      </c>
      <c r="BF106" s="52">
        <f t="shared" si="195"/>
        <v>12</v>
      </c>
      <c r="BG106" s="61" t="str">
        <f t="shared" si="161"/>
        <v/>
      </c>
      <c r="BH106" s="102" t="str">
        <f t="shared" si="141"/>
        <v/>
      </c>
      <c r="BI106" s="105" t="str">
        <f t="shared" si="197"/>
        <v/>
      </c>
      <c r="BJ106" s="52" t="str">
        <f t="shared" si="162"/>
        <v/>
      </c>
      <c r="BK106" s="52">
        <f t="shared" si="163"/>
        <v>0</v>
      </c>
      <c r="BL106" s="52">
        <f t="shared" si="164"/>
        <v>2</v>
      </c>
      <c r="BM106" s="52" t="str">
        <f t="shared" si="191"/>
        <v/>
      </c>
      <c r="BN106" s="52" t="str">
        <f t="shared" si="142"/>
        <v/>
      </c>
      <c r="BO106" s="52" t="str">
        <f t="shared" si="165"/>
        <v/>
      </c>
      <c r="BP106" s="113" t="str">
        <f t="shared" si="166"/>
        <v/>
      </c>
      <c r="BQ106" s="52" t="str">
        <f t="shared" si="192"/>
        <v/>
      </c>
      <c r="BR106" s="52" t="str">
        <f t="shared" si="167"/>
        <v/>
      </c>
      <c r="BS106" s="52" t="str">
        <f t="shared" si="168"/>
        <v/>
      </c>
      <c r="BT106" s="52" t="str">
        <f t="shared" si="169"/>
        <v/>
      </c>
      <c r="BU106" s="52" t="str">
        <f t="shared" si="170"/>
        <v/>
      </c>
      <c r="BV106" s="102" t="str">
        <f t="shared" si="143"/>
        <v/>
      </c>
      <c r="BW106" s="116" t="str">
        <f t="shared" si="144"/>
        <v/>
      </c>
      <c r="BX106" s="61" t="str">
        <f t="shared" si="145"/>
        <v/>
      </c>
      <c r="BY106" s="52" t="str">
        <f t="shared" si="146"/>
        <v/>
      </c>
      <c r="BZ106" s="52" t="str">
        <f t="shared" si="147"/>
        <v/>
      </c>
      <c r="CA106" s="52" t="str">
        <f t="shared" si="171"/>
        <v/>
      </c>
      <c r="CB106" s="52" t="str">
        <f t="shared" si="148"/>
        <v/>
      </c>
      <c r="CC106" s="52" t="str">
        <f t="shared" si="149"/>
        <v/>
      </c>
      <c r="CD106" s="102" t="str">
        <f t="shared" si="150"/>
        <v/>
      </c>
      <c r="CE106" s="116" t="str">
        <f t="shared" si="151"/>
        <v/>
      </c>
      <c r="CF106" s="116" t="str">
        <f t="shared" si="202"/>
        <v/>
      </c>
      <c r="CG106" s="61" t="str">
        <f t="shared" si="152"/>
        <v/>
      </c>
      <c r="CH106" s="52">
        <f t="shared" si="193"/>
        <v>2</v>
      </c>
      <c r="CI106" s="61" t="str">
        <f t="shared" si="172"/>
        <v/>
      </c>
      <c r="CJ106" s="61" t="str">
        <f t="shared" si="173"/>
        <v/>
      </c>
      <c r="CK106" s="61" t="str">
        <f t="shared" si="174"/>
        <v/>
      </c>
      <c r="CL106" s="61" t="str">
        <f t="shared" si="153"/>
        <v/>
      </c>
      <c r="CM106" s="61" t="str">
        <f t="shared" si="154"/>
        <v/>
      </c>
      <c r="CN106" s="134" t="str">
        <f t="shared" si="198"/>
        <v/>
      </c>
      <c r="CO106" s="131" t="str">
        <f t="shared" si="196"/>
        <v/>
      </c>
      <c r="CP106" s="131" t="str">
        <f t="shared" si="175"/>
        <v/>
      </c>
      <c r="CQ106" s="131" t="str">
        <f t="shared" si="176"/>
        <v/>
      </c>
      <c r="CR106" s="116" t="str">
        <f t="shared" si="177"/>
        <v/>
      </c>
      <c r="CS106" s="116" t="str">
        <f t="shared" si="178"/>
        <v/>
      </c>
      <c r="CT106" s="116" t="str">
        <f t="shared" si="179"/>
        <v/>
      </c>
      <c r="CU106" s="52">
        <f t="shared" si="180"/>
        <v>0</v>
      </c>
      <c r="CV106" s="116" t="str">
        <f t="shared" si="181"/>
        <v/>
      </c>
      <c r="CW106" s="116" t="str">
        <f t="shared" si="182"/>
        <v/>
      </c>
      <c r="CX106" s="61" t="str">
        <f t="shared" si="183"/>
        <v/>
      </c>
      <c r="CY106" s="61" t="str">
        <f t="shared" si="184"/>
        <v/>
      </c>
      <c r="CZ106" s="61" t="str">
        <f t="shared" si="185"/>
        <v/>
      </c>
      <c r="DA106" s="116" t="str">
        <f t="shared" si="186"/>
        <v/>
      </c>
      <c r="DB106" s="6" t="str">
        <f t="shared" si="194"/>
        <v/>
      </c>
      <c r="DC106" s="61" t="str">
        <f t="shared" si="187"/>
        <v/>
      </c>
      <c r="DD106" s="131" t="str">
        <f t="shared" si="199"/>
        <v/>
      </c>
      <c r="DE106" s="131" t="str">
        <f t="shared" si="200"/>
        <v/>
      </c>
      <c r="DF106" s="61" t="str">
        <f t="shared" si="201"/>
        <v/>
      </c>
      <c r="DG106" s="116" t="str">
        <f t="shared" si="188"/>
        <v/>
      </c>
      <c r="DH106" s="116" t="str">
        <f t="shared" si="189"/>
        <v/>
      </c>
    </row>
    <row r="107" spans="2:112" s="17" customFormat="1" hidden="1">
      <c r="B107" s="35"/>
      <c r="C107" s="35"/>
      <c r="D107" s="36"/>
      <c r="E107" s="35"/>
      <c r="F107" s="35"/>
      <c r="G107" s="35"/>
      <c r="H107" s="35"/>
      <c r="I107" s="35"/>
      <c r="J107" s="121"/>
      <c r="K107" s="59"/>
      <c r="AC107" s="47" t="s">
        <v>286</v>
      </c>
      <c r="AD107" s="52" t="str">
        <f t="shared" si="120"/>
        <v/>
      </c>
      <c r="AE107" s="52">
        <f t="shared" si="121"/>
        <v>0</v>
      </c>
      <c r="AF107" s="52">
        <f t="shared" si="190"/>
        <v>6</v>
      </c>
      <c r="AG107" s="61" t="str">
        <f t="shared" si="122"/>
        <v/>
      </c>
      <c r="AH107" s="52">
        <f t="shared" si="123"/>
        <v>0</v>
      </c>
      <c r="AI107" s="52">
        <f t="shared" si="155"/>
        <v>7</v>
      </c>
      <c r="AJ107" s="52" t="str">
        <f t="shared" si="156"/>
        <v/>
      </c>
      <c r="AK107" s="61" t="str">
        <f t="shared" si="124"/>
        <v/>
      </c>
      <c r="AL107" s="95" t="str">
        <f t="shared" si="125"/>
        <v/>
      </c>
      <c r="AM107" s="61" t="str">
        <f t="shared" si="126"/>
        <v>if () {$("#adv_").html("Requierd");$("#").css({"background":"yellow"});} else {$("#adv_").html("");$("#").css({"background":"white"});}</v>
      </c>
      <c r="AN107" s="61" t="str">
        <f t="shared" si="127"/>
        <v>if (=="") {$("#adv_").html("Requierd");} else {$("#adv_").html("");}</v>
      </c>
      <c r="AO107" s="50" t="str">
        <f t="shared" si="128"/>
        <v/>
      </c>
      <c r="AP107" s="61" t="str">
        <f t="shared" si="129"/>
        <v>=$("#").val();</v>
      </c>
      <c r="AQ107" s="61" t="str">
        <f t="shared" si="157"/>
        <v/>
      </c>
      <c r="AR107" s="61" t="str">
        <f t="shared" si="130"/>
        <v>=document.getElementById("").checked;</v>
      </c>
      <c r="AS107" s="102" t="str">
        <f t="shared" si="131"/>
        <v>if (isset($_GET[''])) {$=($_GET['']);}else $='';</v>
      </c>
      <c r="AT107" s="52" t="str">
        <f t="shared" si="132"/>
        <v>EPS</v>
      </c>
      <c r="AU107" s="52" t="str">
        <f t="shared" si="133"/>
        <v>else if (document.getElementById("</v>
      </c>
      <c r="AV107" s="61" t="str">
        <f t="shared" si="134"/>
        <v>else if (document.getElementById("").checked==true) {EPS="";}</v>
      </c>
      <c r="AW107" s="61" t="str">
        <f t="shared" si="158"/>
        <v/>
      </c>
      <c r="AX107" s="102" t="str">
        <f t="shared" si="135"/>
        <v/>
      </c>
      <c r="AY107" s="135" t="str">
        <f t="shared" si="159"/>
        <v/>
      </c>
      <c r="AZ107" s="50" t="str">
        <f t="shared" si="136"/>
        <v>&lt;input type="checkbox" id="" name="" value="1" /&gt;</v>
      </c>
      <c r="BA107" s="105" t="str">
        <f t="shared" si="137"/>
        <v>&lt;br/&gt;&lt;textarea rows="2" cols="80" id=""&gt;&lt;/textarea&gt;&lt;br/&gt;</v>
      </c>
      <c r="BB107" s="50" t="str">
        <f t="shared" si="138"/>
        <v>&lt;input type="radio" name="EPS" id="" value="" /&gt;</v>
      </c>
      <c r="BC107" s="107" t="str">
        <f t="shared" si="139"/>
        <v>&lt;input type="text"  size="7"  id="" class="datepicker"/&gt;</v>
      </c>
      <c r="BD107" s="109" t="str">
        <f t="shared" si="160"/>
        <v/>
      </c>
      <c r="BE107" s="61" t="str">
        <f t="shared" si="140"/>
        <v/>
      </c>
      <c r="BF107" s="52">
        <f t="shared" si="195"/>
        <v>12</v>
      </c>
      <c r="BG107" s="61" t="str">
        <f t="shared" si="161"/>
        <v/>
      </c>
      <c r="BH107" s="102" t="str">
        <f t="shared" si="141"/>
        <v/>
      </c>
      <c r="BI107" s="105" t="str">
        <f t="shared" si="197"/>
        <v/>
      </c>
      <c r="BJ107" s="52" t="str">
        <f t="shared" si="162"/>
        <v/>
      </c>
      <c r="BK107" s="52">
        <f t="shared" si="163"/>
        <v>0</v>
      </c>
      <c r="BL107" s="52">
        <f t="shared" si="164"/>
        <v>2</v>
      </c>
      <c r="BM107" s="52" t="str">
        <f t="shared" si="191"/>
        <v/>
      </c>
      <c r="BN107" s="52" t="str">
        <f t="shared" si="142"/>
        <v/>
      </c>
      <c r="BO107" s="52" t="str">
        <f t="shared" si="165"/>
        <v/>
      </c>
      <c r="BP107" s="113" t="str">
        <f t="shared" si="166"/>
        <v/>
      </c>
      <c r="BQ107" s="52" t="str">
        <f t="shared" si="192"/>
        <v/>
      </c>
      <c r="BR107" s="52" t="str">
        <f t="shared" si="167"/>
        <v/>
      </c>
      <c r="BS107" s="52" t="str">
        <f t="shared" si="168"/>
        <v/>
      </c>
      <c r="BT107" s="52" t="str">
        <f t="shared" si="169"/>
        <v/>
      </c>
      <c r="BU107" s="52" t="str">
        <f t="shared" si="170"/>
        <v/>
      </c>
      <c r="BV107" s="102" t="str">
        <f t="shared" si="143"/>
        <v/>
      </c>
      <c r="BW107" s="116" t="str">
        <f t="shared" si="144"/>
        <v/>
      </c>
      <c r="BX107" s="61" t="str">
        <f t="shared" si="145"/>
        <v/>
      </c>
      <c r="BY107" s="52" t="str">
        <f t="shared" si="146"/>
        <v/>
      </c>
      <c r="BZ107" s="52" t="str">
        <f t="shared" si="147"/>
        <v/>
      </c>
      <c r="CA107" s="52" t="str">
        <f t="shared" si="171"/>
        <v/>
      </c>
      <c r="CB107" s="52" t="str">
        <f t="shared" si="148"/>
        <v/>
      </c>
      <c r="CC107" s="52" t="str">
        <f t="shared" si="149"/>
        <v/>
      </c>
      <c r="CD107" s="102" t="str">
        <f t="shared" si="150"/>
        <v/>
      </c>
      <c r="CE107" s="116" t="str">
        <f t="shared" si="151"/>
        <v/>
      </c>
      <c r="CF107" s="116" t="str">
        <f t="shared" si="202"/>
        <v/>
      </c>
      <c r="CG107" s="61" t="str">
        <f t="shared" si="152"/>
        <v/>
      </c>
      <c r="CH107" s="52">
        <f t="shared" si="193"/>
        <v>2</v>
      </c>
      <c r="CI107" s="61" t="str">
        <f t="shared" si="172"/>
        <v/>
      </c>
      <c r="CJ107" s="61" t="str">
        <f t="shared" si="173"/>
        <v/>
      </c>
      <c r="CK107" s="61" t="str">
        <f t="shared" si="174"/>
        <v/>
      </c>
      <c r="CL107" s="61" t="str">
        <f t="shared" si="153"/>
        <v/>
      </c>
      <c r="CM107" s="61" t="str">
        <f t="shared" si="154"/>
        <v/>
      </c>
      <c r="CN107" s="134" t="str">
        <f t="shared" si="198"/>
        <v/>
      </c>
      <c r="CO107" s="131" t="str">
        <f t="shared" si="196"/>
        <v/>
      </c>
      <c r="CP107" s="131" t="str">
        <f t="shared" si="175"/>
        <v/>
      </c>
      <c r="CQ107" s="131" t="str">
        <f t="shared" si="176"/>
        <v/>
      </c>
      <c r="CR107" s="116" t="str">
        <f t="shared" si="177"/>
        <v/>
      </c>
      <c r="CS107" s="116" t="str">
        <f t="shared" si="178"/>
        <v/>
      </c>
      <c r="CT107" s="116" t="str">
        <f t="shared" si="179"/>
        <v/>
      </c>
      <c r="CU107" s="52">
        <f t="shared" si="180"/>
        <v>0</v>
      </c>
      <c r="CV107" s="116" t="str">
        <f t="shared" si="181"/>
        <v/>
      </c>
      <c r="CW107" s="116" t="str">
        <f t="shared" si="182"/>
        <v/>
      </c>
      <c r="CX107" s="61" t="str">
        <f t="shared" si="183"/>
        <v/>
      </c>
      <c r="CY107" s="61" t="str">
        <f t="shared" si="184"/>
        <v/>
      </c>
      <c r="CZ107" s="61" t="str">
        <f t="shared" si="185"/>
        <v/>
      </c>
      <c r="DA107" s="116" t="str">
        <f t="shared" si="186"/>
        <v/>
      </c>
      <c r="DB107" s="6" t="str">
        <f t="shared" si="194"/>
        <v/>
      </c>
      <c r="DC107" s="61" t="str">
        <f t="shared" si="187"/>
        <v/>
      </c>
      <c r="DD107" s="131" t="str">
        <f t="shared" si="199"/>
        <v/>
      </c>
      <c r="DE107" s="131" t="str">
        <f t="shared" si="200"/>
        <v/>
      </c>
      <c r="DF107" s="61" t="str">
        <f t="shared" si="201"/>
        <v/>
      </c>
      <c r="DG107" s="116" t="str">
        <f t="shared" si="188"/>
        <v/>
      </c>
      <c r="DH107" s="116" t="str">
        <f t="shared" si="189"/>
        <v/>
      </c>
    </row>
    <row r="108" spans="2:112" s="17" customFormat="1" hidden="1">
      <c r="B108" s="35"/>
      <c r="C108" s="35"/>
      <c r="D108" s="36"/>
      <c r="E108" s="35"/>
      <c r="F108" s="35"/>
      <c r="G108" s="35"/>
      <c r="H108" s="35"/>
      <c r="I108" s="35"/>
      <c r="J108" s="121"/>
      <c r="K108" s="59"/>
      <c r="AC108" s="47" t="s">
        <v>287</v>
      </c>
      <c r="AD108" s="52" t="str">
        <f t="shared" si="120"/>
        <v/>
      </c>
      <c r="AE108" s="52">
        <f t="shared" si="121"/>
        <v>0</v>
      </c>
      <c r="AF108" s="52">
        <f t="shared" si="190"/>
        <v>6</v>
      </c>
      <c r="AG108" s="61" t="str">
        <f t="shared" si="122"/>
        <v/>
      </c>
      <c r="AH108" s="52">
        <f t="shared" si="123"/>
        <v>0</v>
      </c>
      <c r="AI108" s="52">
        <f t="shared" si="155"/>
        <v>7</v>
      </c>
      <c r="AJ108" s="52" t="str">
        <f t="shared" si="156"/>
        <v/>
      </c>
      <c r="AK108" s="61" t="str">
        <f t="shared" si="124"/>
        <v/>
      </c>
      <c r="AL108" s="95" t="str">
        <f t="shared" si="125"/>
        <v/>
      </c>
      <c r="AM108" s="61" t="str">
        <f t="shared" si="126"/>
        <v>if () {$("#adv_").html("Requierd");$("#").css({"background":"yellow"});} else {$("#adv_").html("");$("#").css({"background":"white"});}</v>
      </c>
      <c r="AN108" s="61" t="str">
        <f t="shared" si="127"/>
        <v>if (=="") {$("#adv_").html("Requierd");} else {$("#adv_").html("");}</v>
      </c>
      <c r="AO108" s="50" t="str">
        <f t="shared" si="128"/>
        <v/>
      </c>
      <c r="AP108" s="61" t="str">
        <f t="shared" si="129"/>
        <v>=$("#").val();</v>
      </c>
      <c r="AQ108" s="61" t="str">
        <f t="shared" si="157"/>
        <v/>
      </c>
      <c r="AR108" s="61" t="str">
        <f t="shared" si="130"/>
        <v>=document.getElementById("").checked;</v>
      </c>
      <c r="AS108" s="102" t="str">
        <f t="shared" si="131"/>
        <v>if (isset($_GET[''])) {$=($_GET['']);}else $='';</v>
      </c>
      <c r="AT108" s="52" t="str">
        <f t="shared" si="132"/>
        <v>EPS</v>
      </c>
      <c r="AU108" s="52" t="str">
        <f t="shared" si="133"/>
        <v>else if (document.getElementById("</v>
      </c>
      <c r="AV108" s="61" t="str">
        <f t="shared" si="134"/>
        <v>else if (document.getElementById("").checked==true) {EPS="";}</v>
      </c>
      <c r="AW108" s="61" t="str">
        <f t="shared" si="158"/>
        <v/>
      </c>
      <c r="AX108" s="102" t="str">
        <f t="shared" si="135"/>
        <v/>
      </c>
      <c r="AY108" s="135" t="str">
        <f t="shared" si="159"/>
        <v/>
      </c>
      <c r="AZ108" s="50" t="str">
        <f t="shared" si="136"/>
        <v>&lt;input type="checkbox" id="" name="" value="1" /&gt;</v>
      </c>
      <c r="BA108" s="105" t="str">
        <f t="shared" si="137"/>
        <v>&lt;br/&gt;&lt;textarea rows="2" cols="80" id=""&gt;&lt;/textarea&gt;&lt;br/&gt;</v>
      </c>
      <c r="BB108" s="50" t="str">
        <f t="shared" si="138"/>
        <v>&lt;input type="radio" name="EPS" id="" value="" /&gt;</v>
      </c>
      <c r="BC108" s="107" t="str">
        <f t="shared" si="139"/>
        <v>&lt;input type="text"  size="7"  id="" class="datepicker"/&gt;</v>
      </c>
      <c r="BD108" s="109" t="str">
        <f t="shared" si="160"/>
        <v/>
      </c>
      <c r="BE108" s="61" t="str">
        <f t="shared" si="140"/>
        <v/>
      </c>
      <c r="BF108" s="52">
        <f t="shared" si="195"/>
        <v>12</v>
      </c>
      <c r="BG108" s="61" t="str">
        <f t="shared" si="161"/>
        <v/>
      </c>
      <c r="BH108" s="102" t="str">
        <f t="shared" si="141"/>
        <v/>
      </c>
      <c r="BI108" s="105" t="str">
        <f t="shared" si="197"/>
        <v/>
      </c>
      <c r="BJ108" s="52" t="str">
        <f t="shared" si="162"/>
        <v/>
      </c>
      <c r="BK108" s="52">
        <f t="shared" si="163"/>
        <v>0</v>
      </c>
      <c r="BL108" s="52">
        <f t="shared" si="164"/>
        <v>2</v>
      </c>
      <c r="BM108" s="52" t="str">
        <f t="shared" si="191"/>
        <v/>
      </c>
      <c r="BN108" s="52" t="str">
        <f t="shared" si="142"/>
        <v/>
      </c>
      <c r="BO108" s="52" t="str">
        <f t="shared" si="165"/>
        <v/>
      </c>
      <c r="BP108" s="113" t="str">
        <f t="shared" si="166"/>
        <v/>
      </c>
      <c r="BQ108" s="52" t="str">
        <f t="shared" si="192"/>
        <v/>
      </c>
      <c r="BR108" s="52" t="str">
        <f t="shared" si="167"/>
        <v/>
      </c>
      <c r="BS108" s="52" t="str">
        <f t="shared" si="168"/>
        <v/>
      </c>
      <c r="BT108" s="52" t="str">
        <f t="shared" si="169"/>
        <v/>
      </c>
      <c r="BU108" s="52" t="str">
        <f t="shared" si="170"/>
        <v/>
      </c>
      <c r="BV108" s="102" t="str">
        <f t="shared" si="143"/>
        <v/>
      </c>
      <c r="BW108" s="116" t="str">
        <f t="shared" si="144"/>
        <v/>
      </c>
      <c r="BX108" s="61" t="str">
        <f t="shared" si="145"/>
        <v/>
      </c>
      <c r="BY108" s="52" t="str">
        <f t="shared" si="146"/>
        <v/>
      </c>
      <c r="BZ108" s="52" t="str">
        <f t="shared" si="147"/>
        <v/>
      </c>
      <c r="CA108" s="52" t="str">
        <f t="shared" si="171"/>
        <v/>
      </c>
      <c r="CB108" s="52" t="str">
        <f t="shared" si="148"/>
        <v/>
      </c>
      <c r="CC108" s="52" t="str">
        <f t="shared" si="149"/>
        <v/>
      </c>
      <c r="CD108" s="102" t="str">
        <f t="shared" si="150"/>
        <v/>
      </c>
      <c r="CE108" s="116" t="str">
        <f t="shared" si="151"/>
        <v/>
      </c>
      <c r="CF108" s="116" t="str">
        <f t="shared" si="202"/>
        <v/>
      </c>
      <c r="CG108" s="61" t="str">
        <f t="shared" si="152"/>
        <v/>
      </c>
      <c r="CH108" s="52">
        <f t="shared" si="193"/>
        <v>2</v>
      </c>
      <c r="CI108" s="61" t="str">
        <f t="shared" si="172"/>
        <v/>
      </c>
      <c r="CJ108" s="61" t="str">
        <f t="shared" si="173"/>
        <v/>
      </c>
      <c r="CK108" s="61" t="str">
        <f t="shared" si="174"/>
        <v/>
      </c>
      <c r="CL108" s="61" t="str">
        <f t="shared" si="153"/>
        <v/>
      </c>
      <c r="CM108" s="61" t="str">
        <f t="shared" si="154"/>
        <v/>
      </c>
      <c r="CN108" s="134" t="str">
        <f t="shared" si="198"/>
        <v/>
      </c>
      <c r="CO108" s="131" t="str">
        <f t="shared" si="196"/>
        <v/>
      </c>
      <c r="CP108" s="131" t="str">
        <f t="shared" si="175"/>
        <v/>
      </c>
      <c r="CQ108" s="131" t="str">
        <f t="shared" si="176"/>
        <v/>
      </c>
      <c r="CR108" s="116" t="str">
        <f t="shared" si="177"/>
        <v/>
      </c>
      <c r="CS108" s="116" t="str">
        <f t="shared" si="178"/>
        <v/>
      </c>
      <c r="CT108" s="116" t="str">
        <f t="shared" si="179"/>
        <v/>
      </c>
      <c r="CU108" s="52">
        <f t="shared" si="180"/>
        <v>0</v>
      </c>
      <c r="CV108" s="116" t="str">
        <f t="shared" si="181"/>
        <v/>
      </c>
      <c r="CW108" s="116" t="str">
        <f t="shared" si="182"/>
        <v/>
      </c>
      <c r="CX108" s="61" t="str">
        <f t="shared" si="183"/>
        <v/>
      </c>
      <c r="CY108" s="61" t="str">
        <f t="shared" si="184"/>
        <v/>
      </c>
      <c r="CZ108" s="61" t="str">
        <f t="shared" si="185"/>
        <v/>
      </c>
      <c r="DA108" s="116" t="str">
        <f t="shared" si="186"/>
        <v/>
      </c>
      <c r="DB108" s="6" t="str">
        <f t="shared" si="194"/>
        <v/>
      </c>
      <c r="DC108" s="61" t="str">
        <f t="shared" si="187"/>
        <v/>
      </c>
      <c r="DD108" s="131" t="str">
        <f t="shared" si="199"/>
        <v/>
      </c>
      <c r="DE108" s="131" t="str">
        <f t="shared" si="200"/>
        <v/>
      </c>
      <c r="DF108" s="61" t="str">
        <f t="shared" si="201"/>
        <v/>
      </c>
      <c r="DG108" s="116" t="str">
        <f t="shared" si="188"/>
        <v/>
      </c>
      <c r="DH108" s="116" t="str">
        <f t="shared" si="189"/>
        <v/>
      </c>
    </row>
    <row r="109" spans="2:112" s="17" customFormat="1" hidden="1">
      <c r="B109" s="35"/>
      <c r="C109" s="35"/>
      <c r="D109" s="36"/>
      <c r="E109" s="35"/>
      <c r="F109" s="35"/>
      <c r="G109" s="35"/>
      <c r="H109" s="35"/>
      <c r="I109" s="35"/>
      <c r="J109" s="121"/>
      <c r="K109" s="59"/>
      <c r="AC109" s="47" t="s">
        <v>288</v>
      </c>
      <c r="AD109" s="52" t="str">
        <f t="shared" si="120"/>
        <v/>
      </c>
      <c r="AE109" s="52">
        <f t="shared" si="121"/>
        <v>0</v>
      </c>
      <c r="AF109" s="52">
        <f t="shared" si="190"/>
        <v>6</v>
      </c>
      <c r="AG109" s="61" t="str">
        <f t="shared" si="122"/>
        <v/>
      </c>
      <c r="AH109" s="52">
        <f t="shared" si="123"/>
        <v>0</v>
      </c>
      <c r="AI109" s="52">
        <f t="shared" si="155"/>
        <v>7</v>
      </c>
      <c r="AJ109" s="52" t="str">
        <f t="shared" si="156"/>
        <v/>
      </c>
      <c r="AK109" s="61" t="str">
        <f t="shared" si="124"/>
        <v/>
      </c>
      <c r="AL109" s="95" t="str">
        <f t="shared" si="125"/>
        <v/>
      </c>
      <c r="AM109" s="61" t="str">
        <f t="shared" si="126"/>
        <v>if () {$("#adv_").html("Requierd");$("#").css({"background":"yellow"});} else {$("#adv_").html("");$("#").css({"background":"white"});}</v>
      </c>
      <c r="AN109" s="61" t="str">
        <f t="shared" si="127"/>
        <v>if (=="") {$("#adv_").html("Requierd");} else {$("#adv_").html("");}</v>
      </c>
      <c r="AO109" s="50" t="str">
        <f t="shared" si="128"/>
        <v/>
      </c>
      <c r="AP109" s="61" t="str">
        <f t="shared" si="129"/>
        <v>=$("#").val();</v>
      </c>
      <c r="AQ109" s="61" t="str">
        <f t="shared" si="157"/>
        <v/>
      </c>
      <c r="AR109" s="61" t="str">
        <f t="shared" si="130"/>
        <v>=document.getElementById("").checked;</v>
      </c>
      <c r="AS109" s="102" t="str">
        <f t="shared" si="131"/>
        <v>if (isset($_GET[''])) {$=($_GET['']);}else $='';</v>
      </c>
      <c r="AT109" s="52" t="str">
        <f t="shared" si="132"/>
        <v>EPS</v>
      </c>
      <c r="AU109" s="52" t="str">
        <f t="shared" si="133"/>
        <v>else if (document.getElementById("</v>
      </c>
      <c r="AV109" s="61" t="str">
        <f t="shared" si="134"/>
        <v>else if (document.getElementById("").checked==true) {EPS="";}</v>
      </c>
      <c r="AW109" s="61" t="str">
        <f t="shared" si="158"/>
        <v/>
      </c>
      <c r="AX109" s="102" t="str">
        <f t="shared" si="135"/>
        <v/>
      </c>
      <c r="AY109" s="135" t="str">
        <f t="shared" si="159"/>
        <v/>
      </c>
      <c r="AZ109" s="50" t="str">
        <f t="shared" si="136"/>
        <v>&lt;input type="checkbox" id="" name="" value="1" /&gt;</v>
      </c>
      <c r="BA109" s="105" t="str">
        <f t="shared" si="137"/>
        <v>&lt;br/&gt;&lt;textarea rows="2" cols="80" id=""&gt;&lt;/textarea&gt;&lt;br/&gt;</v>
      </c>
      <c r="BB109" s="50" t="str">
        <f t="shared" si="138"/>
        <v>&lt;input type="radio" name="EPS" id="" value="" /&gt;</v>
      </c>
      <c r="BC109" s="107" t="str">
        <f t="shared" si="139"/>
        <v>&lt;input type="text"  size="7"  id="" class="datepicker"/&gt;</v>
      </c>
      <c r="BD109" s="109" t="str">
        <f t="shared" si="160"/>
        <v/>
      </c>
      <c r="BE109" s="61" t="str">
        <f t="shared" si="140"/>
        <v/>
      </c>
      <c r="BF109" s="52">
        <f t="shared" si="195"/>
        <v>12</v>
      </c>
      <c r="BG109" s="61" t="str">
        <f t="shared" si="161"/>
        <v/>
      </c>
      <c r="BH109" s="102" t="str">
        <f t="shared" si="141"/>
        <v/>
      </c>
      <c r="BI109" s="105" t="str">
        <f t="shared" si="197"/>
        <v/>
      </c>
      <c r="BJ109" s="52" t="str">
        <f t="shared" si="162"/>
        <v/>
      </c>
      <c r="BK109" s="52">
        <f t="shared" si="163"/>
        <v>0</v>
      </c>
      <c r="BL109" s="52">
        <f t="shared" si="164"/>
        <v>2</v>
      </c>
      <c r="BM109" s="52" t="str">
        <f t="shared" si="191"/>
        <v/>
      </c>
      <c r="BN109" s="52" t="str">
        <f t="shared" si="142"/>
        <v/>
      </c>
      <c r="BO109" s="52" t="str">
        <f t="shared" si="165"/>
        <v/>
      </c>
      <c r="BP109" s="113" t="str">
        <f t="shared" si="166"/>
        <v/>
      </c>
      <c r="BQ109" s="52" t="str">
        <f t="shared" si="192"/>
        <v/>
      </c>
      <c r="BR109" s="52" t="str">
        <f t="shared" si="167"/>
        <v/>
      </c>
      <c r="BS109" s="52" t="str">
        <f t="shared" si="168"/>
        <v/>
      </c>
      <c r="BT109" s="52" t="str">
        <f t="shared" si="169"/>
        <v/>
      </c>
      <c r="BU109" s="52" t="str">
        <f t="shared" si="170"/>
        <v/>
      </c>
      <c r="BV109" s="102" t="str">
        <f t="shared" si="143"/>
        <v/>
      </c>
      <c r="BW109" s="116" t="str">
        <f t="shared" si="144"/>
        <v/>
      </c>
      <c r="BX109" s="61" t="str">
        <f t="shared" si="145"/>
        <v/>
      </c>
      <c r="BY109" s="52" t="str">
        <f t="shared" si="146"/>
        <v/>
      </c>
      <c r="BZ109" s="52" t="str">
        <f t="shared" si="147"/>
        <v/>
      </c>
      <c r="CA109" s="52" t="str">
        <f t="shared" si="171"/>
        <v/>
      </c>
      <c r="CB109" s="52" t="str">
        <f t="shared" si="148"/>
        <v/>
      </c>
      <c r="CC109" s="52" t="str">
        <f t="shared" si="149"/>
        <v/>
      </c>
      <c r="CD109" s="102" t="str">
        <f t="shared" si="150"/>
        <v/>
      </c>
      <c r="CE109" s="116" t="str">
        <f t="shared" si="151"/>
        <v/>
      </c>
      <c r="CF109" s="116" t="str">
        <f t="shared" si="202"/>
        <v/>
      </c>
      <c r="CG109" s="61" t="str">
        <f t="shared" si="152"/>
        <v/>
      </c>
      <c r="CH109" s="52">
        <f t="shared" si="193"/>
        <v>2</v>
      </c>
      <c r="CI109" s="61" t="str">
        <f t="shared" si="172"/>
        <v/>
      </c>
      <c r="CJ109" s="61" t="str">
        <f t="shared" si="173"/>
        <v/>
      </c>
      <c r="CK109" s="61" t="str">
        <f t="shared" si="174"/>
        <v/>
      </c>
      <c r="CL109" s="61" t="str">
        <f t="shared" si="153"/>
        <v/>
      </c>
      <c r="CM109" s="61" t="str">
        <f t="shared" si="154"/>
        <v/>
      </c>
      <c r="CN109" s="134" t="str">
        <f t="shared" si="198"/>
        <v/>
      </c>
      <c r="CO109" s="131" t="str">
        <f t="shared" si="196"/>
        <v/>
      </c>
      <c r="CP109" s="131" t="str">
        <f t="shared" si="175"/>
        <v/>
      </c>
      <c r="CQ109" s="131" t="str">
        <f t="shared" si="176"/>
        <v/>
      </c>
      <c r="CR109" s="116" t="str">
        <f t="shared" si="177"/>
        <v/>
      </c>
      <c r="CS109" s="116" t="str">
        <f t="shared" si="178"/>
        <v/>
      </c>
      <c r="CT109" s="116" t="str">
        <f t="shared" si="179"/>
        <v/>
      </c>
      <c r="CU109" s="52">
        <f t="shared" si="180"/>
        <v>0</v>
      </c>
      <c r="CV109" s="116" t="str">
        <f t="shared" si="181"/>
        <v/>
      </c>
      <c r="CW109" s="116" t="str">
        <f t="shared" si="182"/>
        <v/>
      </c>
      <c r="CX109" s="61" t="str">
        <f t="shared" si="183"/>
        <v/>
      </c>
      <c r="CY109" s="61" t="str">
        <f t="shared" si="184"/>
        <v/>
      </c>
      <c r="CZ109" s="61" t="str">
        <f t="shared" si="185"/>
        <v/>
      </c>
      <c r="DA109" s="116" t="str">
        <f t="shared" si="186"/>
        <v/>
      </c>
      <c r="DB109" s="6" t="str">
        <f t="shared" si="194"/>
        <v/>
      </c>
      <c r="DC109" s="61" t="str">
        <f t="shared" si="187"/>
        <v/>
      </c>
      <c r="DD109" s="131" t="str">
        <f t="shared" si="199"/>
        <v/>
      </c>
      <c r="DE109" s="131" t="str">
        <f t="shared" si="200"/>
        <v/>
      </c>
      <c r="DF109" s="61" t="str">
        <f t="shared" si="201"/>
        <v/>
      </c>
      <c r="DG109" s="116" t="str">
        <f t="shared" si="188"/>
        <v/>
      </c>
      <c r="DH109" s="116" t="str">
        <f t="shared" si="189"/>
        <v/>
      </c>
    </row>
    <row r="110" spans="2:112" s="17" customFormat="1" hidden="1">
      <c r="B110" s="35"/>
      <c r="C110" s="35"/>
      <c r="D110" s="36"/>
      <c r="E110" s="35"/>
      <c r="F110" s="35"/>
      <c r="G110" s="35"/>
      <c r="H110" s="35"/>
      <c r="I110" s="35"/>
      <c r="J110" s="121"/>
      <c r="K110" s="59"/>
      <c r="AC110" s="47" t="s">
        <v>289</v>
      </c>
      <c r="AD110" s="52" t="str">
        <f t="shared" si="120"/>
        <v/>
      </c>
      <c r="AE110" s="52">
        <f t="shared" si="121"/>
        <v>0</v>
      </c>
      <c r="AF110" s="52">
        <f t="shared" si="190"/>
        <v>6</v>
      </c>
      <c r="AG110" s="61" t="str">
        <f t="shared" si="122"/>
        <v/>
      </c>
      <c r="AH110" s="52">
        <f t="shared" si="123"/>
        <v>0</v>
      </c>
      <c r="AI110" s="52">
        <f t="shared" si="155"/>
        <v>7</v>
      </c>
      <c r="AJ110" s="52" t="str">
        <f t="shared" si="156"/>
        <v/>
      </c>
      <c r="AK110" s="61" t="str">
        <f t="shared" si="124"/>
        <v/>
      </c>
      <c r="AL110" s="95" t="str">
        <f t="shared" si="125"/>
        <v/>
      </c>
      <c r="AM110" s="61" t="str">
        <f t="shared" si="126"/>
        <v>if () {$("#adv_").html("Requierd");$("#").css({"background":"yellow"});} else {$("#adv_").html("");$("#").css({"background":"white"});}</v>
      </c>
      <c r="AN110" s="61" t="str">
        <f t="shared" si="127"/>
        <v>if (=="") {$("#adv_").html("Requierd");} else {$("#adv_").html("");}</v>
      </c>
      <c r="AO110" s="50" t="str">
        <f t="shared" si="128"/>
        <v/>
      </c>
      <c r="AP110" s="61" t="str">
        <f t="shared" si="129"/>
        <v>=$("#").val();</v>
      </c>
      <c r="AQ110" s="61" t="str">
        <f t="shared" si="157"/>
        <v/>
      </c>
      <c r="AR110" s="61" t="str">
        <f t="shared" si="130"/>
        <v>=document.getElementById("").checked;</v>
      </c>
      <c r="AS110" s="102" t="str">
        <f t="shared" si="131"/>
        <v>if (isset($_GET[''])) {$=($_GET['']);}else $='';</v>
      </c>
      <c r="AT110" s="52" t="str">
        <f t="shared" si="132"/>
        <v>EPS</v>
      </c>
      <c r="AU110" s="52" t="str">
        <f t="shared" si="133"/>
        <v>else if (document.getElementById("</v>
      </c>
      <c r="AV110" s="61" t="str">
        <f t="shared" si="134"/>
        <v>else if (document.getElementById("").checked==true) {EPS="";}</v>
      </c>
      <c r="AW110" s="61" t="str">
        <f t="shared" si="158"/>
        <v/>
      </c>
      <c r="AX110" s="102" t="str">
        <f t="shared" si="135"/>
        <v/>
      </c>
      <c r="AY110" s="135" t="str">
        <f t="shared" si="159"/>
        <v/>
      </c>
      <c r="AZ110" s="50" t="str">
        <f t="shared" si="136"/>
        <v>&lt;input type="checkbox" id="" name="" value="1" /&gt;</v>
      </c>
      <c r="BA110" s="105" t="str">
        <f t="shared" si="137"/>
        <v>&lt;br/&gt;&lt;textarea rows="2" cols="80" id=""&gt;&lt;/textarea&gt;&lt;br/&gt;</v>
      </c>
      <c r="BB110" s="50" t="str">
        <f t="shared" si="138"/>
        <v>&lt;input type="radio" name="EPS" id="" value="" /&gt;</v>
      </c>
      <c r="BC110" s="107" t="str">
        <f t="shared" si="139"/>
        <v>&lt;input type="text"  size="7"  id="" class="datepicker"/&gt;</v>
      </c>
      <c r="BD110" s="109" t="str">
        <f t="shared" si="160"/>
        <v/>
      </c>
      <c r="BE110" s="61" t="str">
        <f t="shared" si="140"/>
        <v/>
      </c>
      <c r="BF110" s="52">
        <f t="shared" si="195"/>
        <v>12</v>
      </c>
      <c r="BG110" s="61" t="str">
        <f t="shared" si="161"/>
        <v/>
      </c>
      <c r="BH110" s="102" t="str">
        <f t="shared" si="141"/>
        <v/>
      </c>
      <c r="BI110" s="105" t="str">
        <f t="shared" si="197"/>
        <v/>
      </c>
      <c r="BJ110" s="52" t="str">
        <f t="shared" si="162"/>
        <v/>
      </c>
      <c r="BK110" s="52">
        <f t="shared" si="163"/>
        <v>0</v>
      </c>
      <c r="BL110" s="52">
        <f t="shared" si="164"/>
        <v>2</v>
      </c>
      <c r="BM110" s="52" t="str">
        <f t="shared" si="191"/>
        <v/>
      </c>
      <c r="BN110" s="52" t="str">
        <f t="shared" si="142"/>
        <v/>
      </c>
      <c r="BO110" s="52" t="str">
        <f t="shared" si="165"/>
        <v/>
      </c>
      <c r="BP110" s="113" t="str">
        <f t="shared" si="166"/>
        <v/>
      </c>
      <c r="BQ110" s="52" t="str">
        <f t="shared" si="192"/>
        <v/>
      </c>
      <c r="BR110" s="52" t="str">
        <f t="shared" si="167"/>
        <v/>
      </c>
      <c r="BS110" s="52" t="str">
        <f t="shared" si="168"/>
        <v/>
      </c>
      <c r="BT110" s="52" t="str">
        <f t="shared" si="169"/>
        <v/>
      </c>
      <c r="BU110" s="52" t="str">
        <f t="shared" si="170"/>
        <v/>
      </c>
      <c r="BV110" s="102" t="str">
        <f t="shared" si="143"/>
        <v/>
      </c>
      <c r="BW110" s="116" t="str">
        <f t="shared" si="144"/>
        <v/>
      </c>
      <c r="BX110" s="61" t="str">
        <f t="shared" si="145"/>
        <v/>
      </c>
      <c r="BY110" s="52" t="str">
        <f t="shared" si="146"/>
        <v/>
      </c>
      <c r="BZ110" s="52" t="str">
        <f t="shared" si="147"/>
        <v/>
      </c>
      <c r="CA110" s="52" t="str">
        <f t="shared" si="171"/>
        <v/>
      </c>
      <c r="CB110" s="52" t="str">
        <f t="shared" si="148"/>
        <v/>
      </c>
      <c r="CC110" s="52" t="str">
        <f t="shared" si="149"/>
        <v/>
      </c>
      <c r="CD110" s="102" t="str">
        <f t="shared" si="150"/>
        <v/>
      </c>
      <c r="CE110" s="116" t="str">
        <f t="shared" si="151"/>
        <v/>
      </c>
      <c r="CF110" s="116" t="str">
        <f t="shared" si="202"/>
        <v/>
      </c>
      <c r="CG110" s="61" t="str">
        <f t="shared" si="152"/>
        <v/>
      </c>
      <c r="CH110" s="52">
        <f t="shared" si="193"/>
        <v>2</v>
      </c>
      <c r="CI110" s="61" t="str">
        <f t="shared" si="172"/>
        <v/>
      </c>
      <c r="CJ110" s="61" t="str">
        <f t="shared" si="173"/>
        <v/>
      </c>
      <c r="CK110" s="61" t="str">
        <f t="shared" si="174"/>
        <v/>
      </c>
      <c r="CL110" s="61" t="str">
        <f t="shared" si="153"/>
        <v/>
      </c>
      <c r="CM110" s="61" t="str">
        <f t="shared" si="154"/>
        <v/>
      </c>
      <c r="CN110" s="134" t="str">
        <f t="shared" si="198"/>
        <v/>
      </c>
      <c r="CO110" s="131" t="str">
        <f t="shared" si="196"/>
        <v/>
      </c>
      <c r="CP110" s="131" t="str">
        <f t="shared" si="175"/>
        <v/>
      </c>
      <c r="CQ110" s="131" t="str">
        <f t="shared" si="176"/>
        <v/>
      </c>
      <c r="CR110" s="116" t="str">
        <f t="shared" si="177"/>
        <v/>
      </c>
      <c r="CS110" s="116" t="str">
        <f t="shared" si="178"/>
        <v/>
      </c>
      <c r="CT110" s="116" t="str">
        <f t="shared" si="179"/>
        <v/>
      </c>
      <c r="CU110" s="52">
        <f t="shared" si="180"/>
        <v>0</v>
      </c>
      <c r="CV110" s="116" t="str">
        <f t="shared" si="181"/>
        <v/>
      </c>
      <c r="CW110" s="116" t="str">
        <f t="shared" si="182"/>
        <v/>
      </c>
      <c r="CX110" s="61" t="str">
        <f t="shared" si="183"/>
        <v/>
      </c>
      <c r="CY110" s="61" t="str">
        <f t="shared" si="184"/>
        <v/>
      </c>
      <c r="CZ110" s="61" t="str">
        <f t="shared" si="185"/>
        <v/>
      </c>
      <c r="DA110" s="116" t="str">
        <f t="shared" si="186"/>
        <v/>
      </c>
      <c r="DB110" s="6" t="str">
        <f t="shared" si="194"/>
        <v/>
      </c>
      <c r="DC110" s="61" t="str">
        <f t="shared" si="187"/>
        <v/>
      </c>
      <c r="DD110" s="131" t="str">
        <f t="shared" si="199"/>
        <v/>
      </c>
      <c r="DE110" s="131" t="str">
        <f t="shared" si="200"/>
        <v/>
      </c>
      <c r="DF110" s="61" t="str">
        <f t="shared" si="201"/>
        <v/>
      </c>
      <c r="DG110" s="116" t="str">
        <f t="shared" si="188"/>
        <v/>
      </c>
      <c r="DH110" s="116" t="str">
        <f t="shared" si="189"/>
        <v/>
      </c>
    </row>
    <row r="111" spans="2:112" s="17" customFormat="1" hidden="1">
      <c r="B111" s="35"/>
      <c r="C111" s="35"/>
      <c r="D111" s="36"/>
      <c r="E111" s="35"/>
      <c r="F111" s="35"/>
      <c r="G111" s="35"/>
      <c r="H111" s="35"/>
      <c r="I111" s="35"/>
      <c r="J111" s="121"/>
      <c r="K111" s="59"/>
      <c r="AC111" s="47" t="s">
        <v>290</v>
      </c>
      <c r="AD111" s="52" t="str">
        <f t="shared" si="120"/>
        <v/>
      </c>
      <c r="AE111" s="52">
        <f t="shared" si="121"/>
        <v>0</v>
      </c>
      <c r="AF111" s="52">
        <f t="shared" si="190"/>
        <v>6</v>
      </c>
      <c r="AG111" s="61" t="str">
        <f t="shared" si="122"/>
        <v/>
      </c>
      <c r="AH111" s="52">
        <f t="shared" si="123"/>
        <v>0</v>
      </c>
      <c r="AI111" s="52">
        <f t="shared" si="155"/>
        <v>7</v>
      </c>
      <c r="AJ111" s="52" t="str">
        <f t="shared" si="156"/>
        <v/>
      </c>
      <c r="AK111" s="61" t="str">
        <f t="shared" si="124"/>
        <v/>
      </c>
      <c r="AL111" s="95" t="str">
        <f>IF(G111="si",AM111,IF(AND(F111="radio",AY111&lt;&gt;""),AN111,""))</f>
        <v/>
      </c>
      <c r="AM111" s="61" t="str">
        <f t="shared" si="126"/>
        <v>if () {$("#adv_").html("Requierd");$("#").css({"background":"yellow"});} else {$("#adv_").html("");$("#").css({"background":"white"});}</v>
      </c>
      <c r="AN111" s="61" t="str">
        <f t="shared" si="127"/>
        <v>if (=="") {$("#adv_").html("Requierd");} else {$("#adv_").html("");}</v>
      </c>
      <c r="AO111" s="50" t="str">
        <f t="shared" si="128"/>
        <v/>
      </c>
      <c r="AP111" s="61" t="str">
        <f t="shared" si="129"/>
        <v>=$("#").val();</v>
      </c>
      <c r="AQ111" s="61" t="str">
        <f t="shared" si="157"/>
        <v/>
      </c>
      <c r="AR111" s="61" t="str">
        <f t="shared" si="130"/>
        <v>=document.getElementById("").checked;</v>
      </c>
      <c r="AS111" s="102" t="str">
        <f t="shared" si="131"/>
        <v>if (isset($_GET[''])) {$=($_GET['']);}else $='';</v>
      </c>
      <c r="AT111" s="52" t="str">
        <f t="shared" si="132"/>
        <v>EPS</v>
      </c>
      <c r="AU111" s="52" t="str">
        <f t="shared" si="133"/>
        <v>else if (document.getElementById("</v>
      </c>
      <c r="AV111" s="61" t="str">
        <f>AU111&amp;C111&amp;$D$3&amp;AT111&amp;"="&amp;$D$4&amp;C111&amp;$D$5&amp;IF(AND(AY111="",AY112&lt;&gt;""),"else "&amp;AT111&amp;"="&amp;$B$4&amp;";","")</f>
        <v>else if (document.getElementById("").checked==true) {EPS="";}</v>
      </c>
      <c r="AW111" s="61" t="str">
        <f t="shared" si="158"/>
        <v/>
      </c>
      <c r="AX111" s="102" t="str">
        <f>IF(AY111="","",$D$8&amp;AT111&amp;$D$9&amp;AT111&amp;$D$10&amp;AT111&amp;$D$11&amp;AT111&amp;$D$12)</f>
        <v/>
      </c>
      <c r="AY111" s="135" t="str">
        <f t="shared" si="159"/>
        <v/>
      </c>
      <c r="AZ111" s="50" t="str">
        <f>AY111&amp;$C$4&amp;C111&amp;$C$2&amp;C111&amp;$C$10</f>
        <v>&lt;input type="checkbox" id="" name="" value="1" /&gt;</v>
      </c>
      <c r="BA111" s="105" t="str">
        <f t="shared" si="137"/>
        <v>&lt;br/&gt;&lt;textarea rows="2" cols="80" id=""&gt;&lt;/textarea&gt;&lt;br/&gt;</v>
      </c>
      <c r="BB111" s="50" t="str">
        <f t="shared" si="138"/>
        <v>&lt;input type="radio" name="EPS" id="" value="" /&gt;</v>
      </c>
      <c r="BC111" s="107" t="str">
        <f t="shared" si="139"/>
        <v>&lt;input type="text"  size="7"  id="" class="datepicker"/&gt;</v>
      </c>
      <c r="BD111" s="109" t="str">
        <f t="shared" si="160"/>
        <v/>
      </c>
      <c r="BE111" s="61" t="str">
        <f t="shared" si="140"/>
        <v/>
      </c>
      <c r="BF111" s="52">
        <f t="shared" si="195"/>
        <v>12</v>
      </c>
      <c r="BG111" s="61" t="str">
        <f t="shared" si="161"/>
        <v/>
      </c>
      <c r="BH111" s="102" t="str">
        <f t="shared" si="141"/>
        <v/>
      </c>
      <c r="BI111" s="105" t="str">
        <f t="shared" si="197"/>
        <v/>
      </c>
      <c r="BJ111" s="52" t="str">
        <f t="shared" si="162"/>
        <v/>
      </c>
      <c r="BK111" s="52">
        <f t="shared" si="163"/>
        <v>0</v>
      </c>
      <c r="BL111" s="52">
        <f t="shared" si="164"/>
        <v>2</v>
      </c>
      <c r="BM111" s="52" t="str">
        <f t="shared" si="191"/>
        <v/>
      </c>
      <c r="BN111" s="52" t="str">
        <f t="shared" si="142"/>
        <v/>
      </c>
      <c r="BO111" s="52" t="str">
        <f t="shared" si="165"/>
        <v/>
      </c>
      <c r="BP111" s="113" t="str">
        <f t="shared" si="166"/>
        <v/>
      </c>
      <c r="BQ111" s="52" t="str">
        <f t="shared" si="192"/>
        <v/>
      </c>
      <c r="BR111" s="52" t="str">
        <f t="shared" si="167"/>
        <v/>
      </c>
      <c r="BS111" s="52" t="str">
        <f t="shared" si="168"/>
        <v/>
      </c>
      <c r="BT111" s="52" t="str">
        <f t="shared" si="169"/>
        <v/>
      </c>
      <c r="BU111" s="52" t="str">
        <f t="shared" si="170"/>
        <v/>
      </c>
      <c r="BV111" s="102" t="str">
        <f>IF(BP111="","",IF(F111="check",$F$7&amp;"$"&amp;C111&amp;$K$6&amp;B111&amp;$K$7,$F$1&amp;B111&amp;$F$2&amp;BU111&amp;";"))</f>
        <v/>
      </c>
      <c r="BW111" s="116" t="str">
        <f t="shared" si="144"/>
        <v/>
      </c>
      <c r="BX111" s="61" t="str">
        <f t="shared" si="145"/>
        <v/>
      </c>
      <c r="BY111" s="52" t="str">
        <f t="shared" si="146"/>
        <v/>
      </c>
      <c r="BZ111" s="52" t="str">
        <f t="shared" si="147"/>
        <v/>
      </c>
      <c r="CA111" s="52" t="str">
        <f t="shared" si="171"/>
        <v/>
      </c>
      <c r="CB111" s="52" t="str">
        <f t="shared" si="148"/>
        <v/>
      </c>
      <c r="CC111" s="52" t="str">
        <f t="shared" si="149"/>
        <v/>
      </c>
      <c r="CD111" s="102" t="str">
        <f t="shared" si="150"/>
        <v/>
      </c>
      <c r="CE111" s="116" t="str">
        <f t="shared" si="151"/>
        <v/>
      </c>
      <c r="CF111" s="116" t="str">
        <f t="shared" si="202"/>
        <v/>
      </c>
      <c r="CG111" s="61" t="str">
        <f t="shared" si="152"/>
        <v/>
      </c>
      <c r="CH111" s="52">
        <f t="shared" si="193"/>
        <v>2</v>
      </c>
      <c r="CI111" s="61" t="str">
        <f t="shared" si="172"/>
        <v/>
      </c>
      <c r="CJ111" s="61" t="str">
        <f t="shared" si="173"/>
        <v/>
      </c>
      <c r="CK111" s="61" t="str">
        <f t="shared" si="174"/>
        <v/>
      </c>
      <c r="CL111" s="61" t="str">
        <f t="shared" si="153"/>
        <v/>
      </c>
      <c r="CM111" s="61" t="str">
        <f t="shared" si="154"/>
        <v/>
      </c>
      <c r="CN111" s="134" t="str">
        <f t="shared" si="198"/>
        <v/>
      </c>
      <c r="CO111" s="131" t="str">
        <f t="shared" si="196"/>
        <v/>
      </c>
      <c r="CP111" s="131" t="str">
        <f t="shared" si="175"/>
        <v/>
      </c>
      <c r="CQ111" s="131" t="str">
        <f t="shared" si="176"/>
        <v/>
      </c>
      <c r="CR111" s="116" t="str">
        <f t="shared" si="177"/>
        <v/>
      </c>
      <c r="CS111" s="116" t="str">
        <f t="shared" si="178"/>
        <v/>
      </c>
      <c r="CT111" s="116" t="str">
        <f t="shared" si="179"/>
        <v/>
      </c>
      <c r="CU111" s="52">
        <f t="shared" si="180"/>
        <v>0</v>
      </c>
      <c r="CV111" s="116" t="str">
        <f t="shared" si="181"/>
        <v/>
      </c>
      <c r="CW111" s="116" t="str">
        <f t="shared" si="182"/>
        <v/>
      </c>
      <c r="CX111" s="61" t="str">
        <f t="shared" si="183"/>
        <v/>
      </c>
      <c r="CY111" s="61" t="str">
        <f t="shared" si="184"/>
        <v/>
      </c>
      <c r="CZ111" s="61" t="str">
        <f t="shared" si="185"/>
        <v/>
      </c>
      <c r="DA111" s="116" t="str">
        <f t="shared" si="186"/>
        <v/>
      </c>
      <c r="DB111" s="6" t="str">
        <f t="shared" si="194"/>
        <v/>
      </c>
      <c r="DC111" s="61" t="str">
        <f t="shared" si="187"/>
        <v/>
      </c>
      <c r="DD111" s="131" t="str">
        <f t="shared" si="199"/>
        <v/>
      </c>
      <c r="DE111" s="131" t="str">
        <f t="shared" si="200"/>
        <v/>
      </c>
      <c r="DF111" s="61" t="str">
        <f t="shared" si="201"/>
        <v/>
      </c>
      <c r="DG111" s="116" t="str">
        <f t="shared" si="188"/>
        <v/>
      </c>
      <c r="DH111" s="116" t="str">
        <f t="shared" si="189"/>
        <v/>
      </c>
    </row>
    <row r="112" spans="2:112" s="17" customFormat="1" hidden="1">
      <c r="B112" s="35"/>
      <c r="C112" s="35"/>
      <c r="D112" s="36"/>
      <c r="E112" s="35"/>
      <c r="F112" s="35"/>
      <c r="G112" s="35"/>
      <c r="H112" s="35"/>
      <c r="I112" s="35"/>
      <c r="J112" s="121"/>
      <c r="K112" s="59"/>
      <c r="AC112" s="47" t="s">
        <v>291</v>
      </c>
      <c r="AD112" s="52" t="str">
        <f t="shared" si="120"/>
        <v/>
      </c>
      <c r="AE112" s="52">
        <f t="shared" si="121"/>
        <v>0</v>
      </c>
      <c r="AF112" s="52">
        <f t="shared" si="190"/>
        <v>6</v>
      </c>
      <c r="AG112" s="61" t="str">
        <f t="shared" si="122"/>
        <v/>
      </c>
      <c r="AH112" s="52">
        <f t="shared" si="123"/>
        <v>0</v>
      </c>
      <c r="AI112" s="52">
        <f t="shared" si="155"/>
        <v>7</v>
      </c>
      <c r="AJ112" s="52" t="str">
        <f t="shared" si="156"/>
        <v/>
      </c>
      <c r="AK112" s="61" t="str">
        <f t="shared" si="124"/>
        <v/>
      </c>
      <c r="AL112" s="95" t="str">
        <f>IF(G112="si",AM112,IF(AND(F112="radio",AY112&lt;&gt;""),AN112,""))</f>
        <v/>
      </c>
      <c r="AM112" s="61" t="str">
        <f t="shared" si="126"/>
        <v>if () {$("#adv_").html("Requierd");$("#").css({"background":"yellow"});} else {$("#adv_").html("");$("#").css({"background":"white"});}</v>
      </c>
      <c r="AN112" s="61" t="str">
        <f t="shared" si="127"/>
        <v>if (=="") {$("#adv_").html("Requierd");} else {$("#adv_").html("");}</v>
      </c>
      <c r="AO112" s="50" t="str">
        <f t="shared" si="128"/>
        <v/>
      </c>
      <c r="AP112" s="61" t="str">
        <f t="shared" si="129"/>
        <v>=$("#").val();</v>
      </c>
      <c r="AQ112" s="61" t="str">
        <f t="shared" si="157"/>
        <v/>
      </c>
      <c r="AR112" s="61" t="str">
        <f t="shared" si="130"/>
        <v>=document.getElementById("").checked;</v>
      </c>
      <c r="AS112" s="102" t="str">
        <f t="shared" si="131"/>
        <v>if (isset($_GET[''])) {$=($_GET['']);}else $='';</v>
      </c>
      <c r="AT112" s="52" t="str">
        <f t="shared" si="132"/>
        <v>EPS</v>
      </c>
      <c r="AU112" s="52" t="str">
        <f t="shared" si="133"/>
        <v>else if (document.getElementById("</v>
      </c>
      <c r="AV112" s="61" t="str">
        <f>AU112&amp;C112&amp;$D$3&amp;AT112&amp;"="&amp;$D$4&amp;C112&amp;$D$5&amp;IF(AND(AY112="",AY113&lt;&gt;""),"else "&amp;AT112&amp;"="&amp;$B$4&amp;";","")</f>
        <v>else if (document.getElementById("").checked==true) {EPS="";}</v>
      </c>
      <c r="AW112" s="61" t="str">
        <f t="shared" si="158"/>
        <v/>
      </c>
      <c r="AX112" s="102" t="str">
        <f>IF(AY112="","",$D$8&amp;AT112&amp;$D$9&amp;AT112&amp;$D$10&amp;AT112&amp;$D$11&amp;AT112&amp;$D$12)</f>
        <v/>
      </c>
      <c r="AY112" s="135" t="str">
        <f t="shared" si="159"/>
        <v/>
      </c>
      <c r="AZ112" s="50" t="str">
        <f>AY112&amp;$C$4&amp;C112&amp;$C$2&amp;C112&amp;$C$10</f>
        <v>&lt;input type="checkbox" id="" name="" value="1" /&gt;</v>
      </c>
      <c r="BA112" s="105" t="str">
        <f t="shared" si="137"/>
        <v>&lt;br/&gt;&lt;textarea rows="2" cols="80" id=""&gt;&lt;/textarea&gt;&lt;br/&gt;</v>
      </c>
      <c r="BB112" s="50" t="str">
        <f t="shared" si="138"/>
        <v>&lt;input type="radio" name="EPS" id="" value="" /&gt;</v>
      </c>
      <c r="BC112" s="107" t="str">
        <f t="shared" si="139"/>
        <v>&lt;input type="text"  size="7"  id="" class="datepicker"/&gt;</v>
      </c>
      <c r="BD112" s="109" t="str">
        <f t="shared" si="160"/>
        <v/>
      </c>
      <c r="BE112" s="61" t="str">
        <f t="shared" si="140"/>
        <v/>
      </c>
      <c r="BF112" s="52">
        <f t="shared" si="195"/>
        <v>12</v>
      </c>
      <c r="BG112" s="61" t="str">
        <f>IF(F112=$S$8,"",IF(C112="","",IF(F112="radio",AW112,IF(BF112=1,"",",")&amp;C112&amp;":"&amp;C112)))</f>
        <v/>
      </c>
      <c r="BH112" s="102" t="str">
        <f t="shared" si="141"/>
        <v/>
      </c>
      <c r="BI112" s="105" t="str">
        <f t="shared" si="197"/>
        <v/>
      </c>
      <c r="BJ112" s="52" t="str">
        <f t="shared" si="162"/>
        <v/>
      </c>
      <c r="BK112" s="52">
        <f t="shared" si="163"/>
        <v>0</v>
      </c>
      <c r="BL112" s="52">
        <f t="shared" si="164"/>
        <v>2</v>
      </c>
      <c r="BM112" s="52" t="str">
        <f t="shared" si="191"/>
        <v/>
      </c>
      <c r="BN112" s="52" t="str">
        <f t="shared" si="142"/>
        <v/>
      </c>
      <c r="BO112" s="52" t="str">
        <f t="shared" si="165"/>
        <v/>
      </c>
      <c r="BP112" s="113" t="str">
        <f t="shared" si="166"/>
        <v/>
      </c>
      <c r="BQ112" s="52" t="str">
        <f t="shared" si="192"/>
        <v/>
      </c>
      <c r="BR112" s="52" t="str">
        <f t="shared" si="167"/>
        <v/>
      </c>
      <c r="BS112" s="52" t="str">
        <f t="shared" si="168"/>
        <v/>
      </c>
      <c r="BT112" s="52" t="str">
        <f t="shared" si="169"/>
        <v/>
      </c>
      <c r="BU112" s="52" t="str">
        <f t="shared" si="170"/>
        <v/>
      </c>
      <c r="BV112" s="102" t="str">
        <f>IF(BP112="","",IF(F112="check",$F$7&amp;"$"&amp;C112&amp;$K$6&amp;B112&amp;$K$7,$F$1&amp;B112&amp;$F$2&amp;BU112&amp;";"))</f>
        <v/>
      </c>
      <c r="BW112" s="116" t="str">
        <f t="shared" si="144"/>
        <v/>
      </c>
      <c r="BX112" s="61" t="str">
        <f t="shared" si="145"/>
        <v/>
      </c>
      <c r="BY112" s="52" t="str">
        <f t="shared" si="146"/>
        <v/>
      </c>
      <c r="BZ112" s="52" t="str">
        <f t="shared" si="147"/>
        <v/>
      </c>
      <c r="CA112" s="52" t="str">
        <f t="shared" si="171"/>
        <v/>
      </c>
      <c r="CB112" s="52" t="str">
        <f t="shared" si="148"/>
        <v/>
      </c>
      <c r="CC112" s="52" t="str">
        <f t="shared" si="149"/>
        <v/>
      </c>
      <c r="CD112" s="102" t="str">
        <f t="shared" si="150"/>
        <v/>
      </c>
      <c r="CE112" s="116" t="str">
        <f t="shared" si="151"/>
        <v/>
      </c>
      <c r="CF112" s="116" t="str">
        <f t="shared" si="202"/>
        <v/>
      </c>
      <c r="CG112" s="61" t="str">
        <f t="shared" si="152"/>
        <v/>
      </c>
      <c r="CH112" s="52">
        <f t="shared" si="193"/>
        <v>2</v>
      </c>
      <c r="CI112" s="61" t="str">
        <f t="shared" si="172"/>
        <v/>
      </c>
      <c r="CJ112" s="61" t="str">
        <f t="shared" si="173"/>
        <v/>
      </c>
      <c r="CK112" s="61" t="str">
        <f t="shared" si="174"/>
        <v/>
      </c>
      <c r="CL112" s="61" t="str">
        <f t="shared" si="153"/>
        <v/>
      </c>
      <c r="CM112" s="61" t="str">
        <f t="shared" si="154"/>
        <v/>
      </c>
      <c r="CN112" s="134" t="str">
        <f t="shared" si="198"/>
        <v/>
      </c>
      <c r="CO112" s="131" t="str">
        <f t="shared" si="196"/>
        <v/>
      </c>
      <c r="CP112" s="131" t="str">
        <f t="shared" si="175"/>
        <v/>
      </c>
      <c r="CQ112" s="131" t="str">
        <f t="shared" si="176"/>
        <v/>
      </c>
      <c r="CR112" s="116" t="str">
        <f t="shared" si="177"/>
        <v/>
      </c>
      <c r="CS112" s="116" t="str">
        <f t="shared" si="178"/>
        <v/>
      </c>
      <c r="CT112" s="116" t="str">
        <f t="shared" si="179"/>
        <v/>
      </c>
      <c r="CU112" s="52">
        <f t="shared" si="180"/>
        <v>0</v>
      </c>
      <c r="CV112" s="116" t="str">
        <f t="shared" si="181"/>
        <v/>
      </c>
      <c r="CW112" s="116" t="str">
        <f t="shared" si="182"/>
        <v/>
      </c>
      <c r="CX112" s="61" t="str">
        <f t="shared" si="183"/>
        <v/>
      </c>
      <c r="CY112" s="61" t="str">
        <f t="shared" si="184"/>
        <v/>
      </c>
      <c r="CZ112" s="61" t="str">
        <f t="shared" si="185"/>
        <v/>
      </c>
      <c r="DA112" s="116" t="str">
        <f t="shared" si="186"/>
        <v/>
      </c>
      <c r="DB112" s="6" t="str">
        <f t="shared" si="194"/>
        <v/>
      </c>
      <c r="DC112" s="61" t="str">
        <f t="shared" si="187"/>
        <v/>
      </c>
      <c r="DD112" s="131" t="str">
        <f t="shared" si="199"/>
        <v/>
      </c>
      <c r="DE112" s="131" t="str">
        <f t="shared" si="200"/>
        <v/>
      </c>
      <c r="DF112" s="61" t="str">
        <f t="shared" si="201"/>
        <v/>
      </c>
      <c r="DG112" s="116" t="str">
        <f t="shared" si="188"/>
        <v/>
      </c>
      <c r="DH112" s="116" t="str">
        <f t="shared" si="189"/>
        <v/>
      </c>
    </row>
    <row r="113" spans="1:112" s="17" customFormat="1" hidden="1">
      <c r="B113" s="35"/>
      <c r="C113" s="35"/>
      <c r="D113" s="36"/>
      <c r="E113" s="35"/>
      <c r="F113" s="35"/>
      <c r="G113" s="35"/>
      <c r="H113" s="35"/>
      <c r="I113" s="35"/>
      <c r="J113" s="121"/>
      <c r="K113" s="59"/>
      <c r="AC113" s="47" t="s">
        <v>292</v>
      </c>
      <c r="AD113" s="52" t="str">
        <f t="shared" si="120"/>
        <v/>
      </c>
      <c r="AE113" s="52">
        <f t="shared" si="121"/>
        <v>0</v>
      </c>
      <c r="AF113" s="52">
        <f t="shared" si="190"/>
        <v>6</v>
      </c>
      <c r="AG113" s="61" t="str">
        <f t="shared" si="122"/>
        <v/>
      </c>
      <c r="AH113" s="52">
        <f t="shared" si="123"/>
        <v>0</v>
      </c>
      <c r="AI113" s="52">
        <f t="shared" si="155"/>
        <v>7</v>
      </c>
      <c r="AJ113" s="52" t="str">
        <f t="shared" si="156"/>
        <v/>
      </c>
      <c r="AK113" s="61" t="str">
        <f t="shared" si="124"/>
        <v/>
      </c>
      <c r="AL113" s="95" t="str">
        <f>IF(G113="si",AM113,IF(AND(F113="radio",AY113&lt;&gt;""),AN113,""))</f>
        <v/>
      </c>
      <c r="AM113" s="61" t="str">
        <f t="shared" si="126"/>
        <v>if () {$("#adv_").html("Requierd");$("#").css({"background":"yellow"});} else {$("#adv_").html("");$("#").css({"background":"white"});}</v>
      </c>
      <c r="AN113" s="61" t="str">
        <f t="shared" si="127"/>
        <v>if (=="") {$("#adv_").html("Requierd");} else {$("#adv_").html("");}</v>
      </c>
      <c r="AO113" s="50" t="str">
        <f t="shared" si="128"/>
        <v/>
      </c>
      <c r="AP113" s="61" t="str">
        <f t="shared" si="129"/>
        <v>=$("#").val();</v>
      </c>
      <c r="AQ113" s="61" t="str">
        <f t="shared" si="157"/>
        <v/>
      </c>
      <c r="AR113" s="61" t="str">
        <f t="shared" si="130"/>
        <v>=document.getElementById("").checked;</v>
      </c>
      <c r="AS113" s="102" t="str">
        <f t="shared" si="131"/>
        <v>if (isset($_GET[''])) {$=($_GET['']);}else $='';</v>
      </c>
      <c r="AT113" s="52" t="str">
        <f t="shared" si="132"/>
        <v>EPS</v>
      </c>
      <c r="AU113" s="52" t="str">
        <f t="shared" si="133"/>
        <v>else if (document.getElementById("</v>
      </c>
      <c r="AV113" s="61" t="str">
        <f>AU113&amp;C113&amp;$D$3&amp;AT113&amp;"="&amp;$D$4&amp;C113&amp;$D$5&amp;IF(AND(AY113="",AY114&lt;&gt;""),"else "&amp;AT113&amp;"="&amp;$B$4&amp;";","")</f>
        <v>else if (document.getElementById("").checked==true) {EPS="";}</v>
      </c>
      <c r="AW113" s="61" t="str">
        <f t="shared" si="158"/>
        <v/>
      </c>
      <c r="AX113" s="102" t="str">
        <f>IF(AY113="","",$D$8&amp;AT113&amp;$D$9&amp;AT113&amp;$D$10&amp;AT113&amp;$D$11&amp;AT113&amp;$D$12)</f>
        <v/>
      </c>
      <c r="AY113" s="135" t="str">
        <f t="shared" si="159"/>
        <v/>
      </c>
      <c r="AZ113" s="50" t="str">
        <f>AY113&amp;$C$4&amp;C113&amp;$C$2&amp;C113&amp;$C$10</f>
        <v>&lt;input type="checkbox" id="" name="" value="1" /&gt;</v>
      </c>
      <c r="BA113" s="105" t="str">
        <f t="shared" si="137"/>
        <v>&lt;br/&gt;&lt;textarea rows="2" cols="80" id=""&gt;&lt;/textarea&gt;&lt;br/&gt;</v>
      </c>
      <c r="BB113" s="50" t="str">
        <f t="shared" si="138"/>
        <v>&lt;input type="radio" name="EPS" id="" value="" /&gt;</v>
      </c>
      <c r="BC113" s="107" t="str">
        <f t="shared" si="139"/>
        <v>&lt;input type="text"  size="7"  id="" class="datepicker"/&gt;</v>
      </c>
      <c r="BD113" s="109" t="str">
        <f t="shared" si="160"/>
        <v/>
      </c>
      <c r="BE113" s="61" t="str">
        <f t="shared" si="140"/>
        <v/>
      </c>
      <c r="BF113" s="52">
        <f t="shared" si="195"/>
        <v>12</v>
      </c>
      <c r="BG113" s="61" t="str">
        <f>IF(F113=$S$8,"",IF(C113="","",IF(F113="radio",AW113,IF(BF113=1,"",",")&amp;C113&amp;":"&amp;C113)))</f>
        <v/>
      </c>
      <c r="BH113" s="102" t="str">
        <f t="shared" si="141"/>
        <v/>
      </c>
      <c r="BI113" s="105" t="str">
        <f t="shared" si="197"/>
        <v/>
      </c>
      <c r="BJ113" s="52" t="str">
        <f t="shared" si="162"/>
        <v/>
      </c>
      <c r="BK113" s="52">
        <f t="shared" si="163"/>
        <v>0</v>
      </c>
      <c r="BL113" s="52">
        <f t="shared" si="164"/>
        <v>2</v>
      </c>
      <c r="BM113" s="52" t="str">
        <f t="shared" si="191"/>
        <v/>
      </c>
      <c r="BN113" s="52" t="str">
        <f t="shared" si="142"/>
        <v/>
      </c>
      <c r="BO113" s="52" t="str">
        <f t="shared" si="165"/>
        <v/>
      </c>
      <c r="BP113" s="113" t="str">
        <f t="shared" si="166"/>
        <v/>
      </c>
      <c r="BQ113" s="52" t="str">
        <f t="shared" si="192"/>
        <v/>
      </c>
      <c r="BR113" s="52" t="str">
        <f t="shared" si="167"/>
        <v/>
      </c>
      <c r="BS113" s="52" t="str">
        <f t="shared" si="168"/>
        <v/>
      </c>
      <c r="BT113" s="52" t="str">
        <f t="shared" si="169"/>
        <v/>
      </c>
      <c r="BU113" s="52" t="str">
        <f t="shared" si="170"/>
        <v/>
      </c>
      <c r="BV113" s="102" t="str">
        <f>IF(BP113="","",IF(F113="check",$F$7&amp;"$"&amp;C113&amp;$K$6&amp;B113&amp;$K$7,$F$1&amp;B113&amp;$F$2&amp;BU113&amp;";"))</f>
        <v/>
      </c>
      <c r="BW113" s="116" t="str">
        <f t="shared" si="144"/>
        <v/>
      </c>
      <c r="BX113" s="61" t="str">
        <f t="shared" si="145"/>
        <v/>
      </c>
      <c r="BY113" s="52" t="str">
        <f t="shared" si="146"/>
        <v/>
      </c>
      <c r="BZ113" s="52" t="str">
        <f t="shared" si="147"/>
        <v/>
      </c>
      <c r="CA113" s="52" t="str">
        <f t="shared" si="171"/>
        <v/>
      </c>
      <c r="CB113" s="52" t="str">
        <f t="shared" si="148"/>
        <v/>
      </c>
      <c r="CC113" s="52" t="str">
        <f t="shared" si="149"/>
        <v/>
      </c>
      <c r="CD113" s="102" t="str">
        <f t="shared" si="150"/>
        <v/>
      </c>
      <c r="CE113" s="116" t="str">
        <f t="shared" si="151"/>
        <v/>
      </c>
      <c r="CF113" s="116" t="str">
        <f t="shared" si="202"/>
        <v/>
      </c>
      <c r="CG113" s="61" t="str">
        <f t="shared" si="152"/>
        <v/>
      </c>
      <c r="CH113" s="52">
        <f t="shared" si="193"/>
        <v>2</v>
      </c>
      <c r="CI113" s="61" t="str">
        <f t="shared" si="172"/>
        <v/>
      </c>
      <c r="CJ113" s="61" t="str">
        <f t="shared" si="173"/>
        <v/>
      </c>
      <c r="CK113" s="61" t="str">
        <f t="shared" si="174"/>
        <v/>
      </c>
      <c r="CL113" s="61" t="str">
        <f t="shared" si="153"/>
        <v/>
      </c>
      <c r="CM113" s="61" t="str">
        <f t="shared" si="154"/>
        <v/>
      </c>
      <c r="CN113" s="134" t="str">
        <f t="shared" si="198"/>
        <v/>
      </c>
      <c r="CO113" s="131" t="str">
        <f t="shared" si="196"/>
        <v/>
      </c>
      <c r="CP113" s="131" t="str">
        <f t="shared" si="175"/>
        <v/>
      </c>
      <c r="CQ113" s="131" t="str">
        <f t="shared" si="176"/>
        <v/>
      </c>
      <c r="CR113" s="116" t="str">
        <f t="shared" si="177"/>
        <v/>
      </c>
      <c r="CS113" s="116" t="str">
        <f t="shared" si="178"/>
        <v/>
      </c>
      <c r="CT113" s="116" t="str">
        <f t="shared" si="179"/>
        <v/>
      </c>
      <c r="CU113" s="52">
        <f t="shared" si="180"/>
        <v>0</v>
      </c>
      <c r="CV113" s="116" t="str">
        <f t="shared" si="181"/>
        <v/>
      </c>
      <c r="CW113" s="116" t="str">
        <f t="shared" si="182"/>
        <v/>
      </c>
      <c r="CX113" s="61" t="str">
        <f t="shared" si="183"/>
        <v/>
      </c>
      <c r="CY113" s="61" t="str">
        <f t="shared" si="184"/>
        <v/>
      </c>
      <c r="CZ113" s="61" t="str">
        <f t="shared" si="185"/>
        <v/>
      </c>
      <c r="DA113" s="116" t="str">
        <f t="shared" si="186"/>
        <v/>
      </c>
      <c r="DB113" s="6" t="str">
        <f t="shared" si="194"/>
        <v/>
      </c>
      <c r="DC113" s="61" t="str">
        <f t="shared" si="187"/>
        <v/>
      </c>
      <c r="DD113" s="131" t="str">
        <f t="shared" si="199"/>
        <v/>
      </c>
      <c r="DE113" s="131" t="str">
        <f t="shared" si="200"/>
        <v/>
      </c>
      <c r="DF113" s="61" t="str">
        <f t="shared" si="201"/>
        <v/>
      </c>
      <c r="DG113" s="116" t="str">
        <f t="shared" si="188"/>
        <v/>
      </c>
      <c r="DH113" s="116" t="str">
        <f t="shared" si="189"/>
        <v/>
      </c>
    </row>
    <row r="114" spans="1:112" s="17" customFormat="1">
      <c r="B114" s="35"/>
      <c r="C114" s="35"/>
      <c r="D114" s="36"/>
      <c r="E114" s="89" t="str">
        <f>+IF(OR(F114="radio",F114="texto",F114="check",F114="selectlist",F114="bigtext",F114="session"),"VARCHAR","")</f>
        <v/>
      </c>
      <c r="F114" s="35"/>
      <c r="G114" s="35"/>
      <c r="H114" s="35"/>
      <c r="I114" s="35"/>
      <c r="J114" s="121"/>
      <c r="K114" s="59"/>
      <c r="AC114" s="47" t="s">
        <v>293</v>
      </c>
      <c r="AD114" s="52" t="str">
        <f t="shared" si="120"/>
        <v/>
      </c>
      <c r="AE114" s="52">
        <f t="shared" si="121"/>
        <v>0</v>
      </c>
      <c r="AF114" s="52">
        <f t="shared" si="190"/>
        <v>6</v>
      </c>
      <c r="AG114" s="61" t="str">
        <f t="shared" si="122"/>
        <v/>
      </c>
      <c r="AH114" s="52">
        <f t="shared" si="123"/>
        <v>0</v>
      </c>
      <c r="AI114" s="52">
        <f t="shared" si="155"/>
        <v>7</v>
      </c>
      <c r="AJ114" s="52" t="str">
        <f t="shared" si="156"/>
        <v/>
      </c>
      <c r="AK114" s="61" t="str">
        <f t="shared" si="124"/>
        <v/>
      </c>
      <c r="AL114" s="96" t="str">
        <f>IF(G114="si",AM114,IF(AND(F114="radio",AY114&lt;&gt;""),AN114,""))</f>
        <v/>
      </c>
      <c r="AM114" s="61" t="str">
        <f t="shared" si="126"/>
        <v>if () {$("#adv_").html("Requierd");$("#").css({"background":"yellow"});} else {$("#adv_").html("");$("#").css({"background":"white"});}</v>
      </c>
      <c r="AN114" s="61" t="str">
        <f t="shared" si="127"/>
        <v>if (=="") {$("#adv_").html("Requierd");} else {$("#adv_").html("");}</v>
      </c>
      <c r="AO114" s="50" t="str">
        <f t="shared" si="128"/>
        <v/>
      </c>
      <c r="AP114" s="61" t="str">
        <f t="shared" si="129"/>
        <v>=$("#").val();</v>
      </c>
      <c r="AQ114" s="61" t="str">
        <f t="shared" si="157"/>
        <v/>
      </c>
      <c r="AR114" s="61" t="str">
        <f t="shared" si="130"/>
        <v>=document.getElementById("").checked;</v>
      </c>
      <c r="AS114" s="102" t="str">
        <f t="shared" si="131"/>
        <v>if (isset($_GET[''])) {$=($_GET['']);}else $='';</v>
      </c>
      <c r="AT114" s="52" t="str">
        <f t="shared" si="132"/>
        <v>EPS</v>
      </c>
      <c r="AU114" s="52" t="str">
        <f t="shared" si="133"/>
        <v>else if (document.getElementById("</v>
      </c>
      <c r="AV114" s="61" t="str">
        <f>AU114&amp;C114&amp;$D$3&amp;AT114&amp;"="&amp;$D$4&amp;C114&amp;$D$5&amp;IF(AND(AY114="",AY115&lt;&gt;""),"else "&amp;AT114&amp;"="&amp;$B$4&amp;";","")</f>
        <v>else if (document.getElementById("").checked==true) {EPS="";}</v>
      </c>
      <c r="AW114" s="61" t="str">
        <f>IF(AY114="","",IF(BF114&lt;2,"",",")&amp;AY114&amp;LEFT(AY114,LEN(AY114)-1))</f>
        <v/>
      </c>
      <c r="AX114" s="102" t="str">
        <f>IF(AY114="","",$D$8&amp;AT114&amp;$D$9&amp;AT114&amp;$D$10&amp;AT114&amp;$D$11&amp;AT114&amp;$D$12)</f>
        <v/>
      </c>
      <c r="AY114" s="135" t="str">
        <f t="shared" si="159"/>
        <v/>
      </c>
      <c r="AZ114" s="50" t="str">
        <f>AY114&amp;$C$4&amp;C114&amp;$C$2&amp;C114&amp;$C$10</f>
        <v>&lt;input type="checkbox" id="" name="" value="1" /&gt;</v>
      </c>
      <c r="BA114" s="105" t="str">
        <f t="shared" si="137"/>
        <v>&lt;br/&gt;&lt;textarea rows="2" cols="80" id=""&gt;&lt;/textarea&gt;&lt;br/&gt;</v>
      </c>
      <c r="BB114" s="50" t="str">
        <f t="shared" si="138"/>
        <v>&lt;input type="radio" name="EPS" id="" value="" /&gt;</v>
      </c>
      <c r="BC114" s="107" t="str">
        <f t="shared" si="139"/>
        <v>&lt;input type="text"  size="7"  id="" class="datepicker"/&gt;</v>
      </c>
      <c r="BD114" s="109" t="str">
        <f t="shared" si="160"/>
        <v/>
      </c>
      <c r="BE114" s="61" t="str">
        <f t="shared" si="140"/>
        <v/>
      </c>
      <c r="BF114" s="52">
        <f t="shared" si="195"/>
        <v>12</v>
      </c>
      <c r="BG114" s="61" t="str">
        <f>IF(F114=$S$8,"",IF(C114="","",IF(F114="radio",AW114,IF(BF114=1,"",",")&amp;C114&amp;":"&amp;C114)))</f>
        <v/>
      </c>
      <c r="BH114" s="102" t="str">
        <f t="shared" si="141"/>
        <v/>
      </c>
      <c r="BI114" s="105" t="str">
        <f t="shared" si="197"/>
        <v/>
      </c>
      <c r="BJ114" s="52" t="str">
        <f t="shared" si="162"/>
        <v/>
      </c>
      <c r="BK114" s="52">
        <f t="shared" si="163"/>
        <v>0</v>
      </c>
      <c r="BL114" s="52">
        <f t="shared" si="164"/>
        <v>2</v>
      </c>
      <c r="BM114" s="52" t="str">
        <f t="shared" si="191"/>
        <v/>
      </c>
      <c r="BN114" s="52" t="str">
        <f t="shared" si="142"/>
        <v/>
      </c>
      <c r="BO114" s="52" t="str">
        <f>+IF(BP114="","",IF(BF114&lt;2,"",","))</f>
        <v/>
      </c>
      <c r="BP114" s="113" t="str">
        <f t="shared" si="166"/>
        <v/>
      </c>
      <c r="BQ114" s="52" t="str">
        <f t="shared" si="192"/>
        <v/>
      </c>
      <c r="BR114" s="52" t="str">
        <f t="shared" si="167"/>
        <v/>
      </c>
      <c r="BS114" s="52" t="str">
        <f t="shared" si="168"/>
        <v/>
      </c>
      <c r="BT114" s="52" t="str">
        <f t="shared" si="169"/>
        <v/>
      </c>
      <c r="BU114" s="52" t="str">
        <f t="shared" si="170"/>
        <v/>
      </c>
      <c r="BV114" s="102" t="str">
        <f>IF(BP114="","",IF(F114="check",$F$7&amp;"$"&amp;C114&amp;$K$6&amp;B114&amp;$K$7,$F$1&amp;B114&amp;$F$2&amp;BU114&amp;";"))</f>
        <v/>
      </c>
      <c r="BW114" s="116" t="str">
        <f t="shared" si="144"/>
        <v/>
      </c>
      <c r="BX114" s="61" t="str">
        <f t="shared" si="145"/>
        <v/>
      </c>
      <c r="BY114" s="52" t="str">
        <f t="shared" si="146"/>
        <v/>
      </c>
      <c r="BZ114" s="52" t="str">
        <f t="shared" si="147"/>
        <v/>
      </c>
      <c r="CA114" s="52" t="str">
        <f t="shared" si="171"/>
        <v/>
      </c>
      <c r="CB114" s="52" t="str">
        <f t="shared" si="148"/>
        <v/>
      </c>
      <c r="CC114" s="52" t="str">
        <f t="shared" si="149"/>
        <v/>
      </c>
      <c r="CD114" s="102" t="str">
        <f t="shared" si="150"/>
        <v/>
      </c>
      <c r="CE114" s="116" t="str">
        <f t="shared" si="151"/>
        <v/>
      </c>
      <c r="CF114" s="116" t="str">
        <f t="shared" si="202"/>
        <v/>
      </c>
      <c r="CG114" s="61" t="str">
        <f t="shared" si="152"/>
        <v/>
      </c>
      <c r="CH114" s="52">
        <f t="shared" si="193"/>
        <v>2</v>
      </c>
      <c r="CI114" s="61" t="str">
        <f t="shared" si="172"/>
        <v/>
      </c>
      <c r="CJ114" s="61" t="str">
        <f t="shared" si="173"/>
        <v/>
      </c>
      <c r="CK114" s="61" t="str">
        <f t="shared" si="174"/>
        <v/>
      </c>
      <c r="CL114" s="61" t="str">
        <f t="shared" si="153"/>
        <v/>
      </c>
      <c r="CM114" s="61" t="str">
        <f t="shared" si="154"/>
        <v/>
      </c>
      <c r="CN114" s="134" t="str">
        <f t="shared" si="198"/>
        <v/>
      </c>
      <c r="CO114" s="131" t="str">
        <f t="shared" si="196"/>
        <v/>
      </c>
      <c r="CP114" s="131" t="str">
        <f t="shared" si="175"/>
        <v/>
      </c>
      <c r="CQ114" s="131" t="str">
        <f t="shared" si="176"/>
        <v/>
      </c>
      <c r="CR114" s="116" t="str">
        <f t="shared" si="177"/>
        <v/>
      </c>
      <c r="CS114" s="116" t="str">
        <f t="shared" si="178"/>
        <v/>
      </c>
      <c r="CT114" s="116" t="str">
        <f t="shared" si="179"/>
        <v/>
      </c>
      <c r="CU114" s="52">
        <f t="shared" si="180"/>
        <v>0</v>
      </c>
      <c r="CV114" s="116" t="str">
        <f t="shared" si="181"/>
        <v/>
      </c>
      <c r="CW114" s="116" t="str">
        <f t="shared" si="182"/>
        <v/>
      </c>
      <c r="CX114" s="61" t="str">
        <f t="shared" si="183"/>
        <v/>
      </c>
      <c r="CY114" s="61" t="str">
        <f t="shared" si="184"/>
        <v/>
      </c>
      <c r="CZ114" s="61" t="str">
        <f t="shared" si="185"/>
        <v/>
      </c>
      <c r="DA114" s="116" t="str">
        <f>IF(J114="si",$H$9&amp;$O$22&amp;BP114&amp;$H$10&amp;$H$2&amp;$O$22&amp;BP114&amp;$H$4,"")</f>
        <v/>
      </c>
      <c r="DB114" s="6" t="str">
        <f t="shared" si="194"/>
        <v/>
      </c>
      <c r="DC114" s="61" t="str">
        <f t="shared" si="187"/>
        <v/>
      </c>
      <c r="DD114" s="131" t="str">
        <f t="shared" si="199"/>
        <v/>
      </c>
      <c r="DE114" s="131" t="str">
        <f t="shared" si="200"/>
        <v/>
      </c>
      <c r="DF114" s="61" t="str">
        <f t="shared" si="201"/>
        <v/>
      </c>
      <c r="DG114" s="116" t="str">
        <f t="shared" si="188"/>
        <v/>
      </c>
      <c r="DH114" s="116" t="str">
        <f t="shared" si="189"/>
        <v/>
      </c>
    </row>
    <row r="115" spans="1:112" s="17" customFormat="1">
      <c r="D115" s="24"/>
    </row>
    <row r="117" spans="1:112">
      <c r="B117" s="13" t="s">
        <v>721</v>
      </c>
      <c r="D117" s="78">
        <f>+IF(OR(M15="",M17="",M19="",M21="",M23=""),1,0)</f>
        <v>0</v>
      </c>
      <c r="CO117" s="12" t="str">
        <f>+CO21</f>
        <v>&lt;div id="hiden1_1" style="display:none"&gt;</v>
      </c>
    </row>
    <row r="118" spans="1:112">
      <c r="B118" s="12" t="s">
        <v>130</v>
      </c>
    </row>
    <row r="119" spans="1:112">
      <c r="B119" s="13" t="s">
        <v>365</v>
      </c>
    </row>
    <row r="120" spans="1:112">
      <c r="B120" s="46" t="str">
        <f>"&lt;? /******   Filename:  a01"&amp;M15&amp;".php    *****/?&gt;"</f>
        <v>&lt;? /******   Filename:  a01uniqueJesus.php    *****/?&gt;</v>
      </c>
    </row>
    <row r="121" spans="1:112">
      <c r="B121" s="46" t="str">
        <f>+M4&amp;fieldcreatorv2!L15&amp;M5</f>
        <v>&lt;? include ("Jesus_SecureLayer.php");  ?&gt;</v>
      </c>
    </row>
    <row r="122" spans="1:112">
      <c r="B122" s="46" t="s">
        <v>533</v>
      </c>
    </row>
    <row r="123" spans="1:112">
      <c r="B123" s="46" t="str">
        <f>+I11</f>
        <v xml:space="preserve">$con=mysql_connect('localhost','root','jatter'); if (!$con)  {die('Could not connect: ' . mysql_error());}  </v>
      </c>
    </row>
    <row r="124" spans="1:112">
      <c r="B124" s="46" t="str">
        <f>+fieldcreatorv2!B268</f>
        <v>mysql_query("CREATE DATABASE IF NOT EXISTS healmy5_pray");</v>
      </c>
    </row>
    <row r="125" spans="1:112">
      <c r="B125" s="46" t="str">
        <f>+N5</f>
        <v>mysql_select_db('healmy5_pray', $con);</v>
      </c>
    </row>
    <row r="126" spans="1:112">
      <c r="A126" s="12">
        <v>1</v>
      </c>
      <c r="B126" s="46" t="str">
        <f>$K$8&amp;M15&amp;"("&amp;K9&amp;CF15&amp;CF16&amp;CF17&amp;CF18&amp;CF19</f>
        <v>$sql="CREATE TABLE IF NOT EXISTS uniqueJesus(id INT(10) AUTO_INCREMENT PRIMARY KEY,tipo_doc_id VARCHAR(10)</v>
      </c>
    </row>
    <row r="127" spans="1:112">
      <c r="A127" s="12">
        <v>2</v>
      </c>
      <c r="B127" s="46" t="str">
        <f>CF20&amp;CF21&amp;CF22&amp;CF23&amp;CF24&amp;CF25&amp;CF26</f>
        <v>,numd VARCHAR(50),nom VARCHAR(50),apll VARCHAR(50),Sexo VARCHAR(10),bthdt DATE</v>
      </c>
    </row>
    <row r="128" spans="1:112">
      <c r="A128" s="12">
        <v>3</v>
      </c>
      <c r="B128" s="46" t="str">
        <f>CF27&amp;CF28&amp;CF29&amp;CF30&amp;CF31&amp;CF32&amp;CF33</f>
        <v>,tmst DATE,eps VARCHAR(50)</v>
      </c>
    </row>
    <row r="129" spans="1:2" hidden="1">
      <c r="A129" s="12">
        <v>4</v>
      </c>
      <c r="B129" s="46" t="str">
        <f>CF34&amp;CF35&amp;CF36&amp;CF37&amp;CF38&amp;CF39&amp;CF40</f>
        <v/>
      </c>
    </row>
    <row r="130" spans="1:2" hidden="1">
      <c r="A130" s="12">
        <v>5</v>
      </c>
      <c r="B130" s="46" t="str">
        <f>CF41&amp;CF42&amp;CF43&amp;CF44&amp;CF45&amp;CF46&amp;CF47</f>
        <v/>
      </c>
    </row>
    <row r="131" spans="1:2" hidden="1">
      <c r="A131" s="12">
        <v>6</v>
      </c>
      <c r="B131" s="46" t="str">
        <f>CF48&amp;CF49&amp;CF50&amp;CF51&amp;CF52&amp;CF53&amp;CF54</f>
        <v/>
      </c>
    </row>
    <row r="132" spans="1:2" hidden="1">
      <c r="A132" s="12">
        <v>7</v>
      </c>
      <c r="B132" s="46" t="str">
        <f>CF55&amp;CF56&amp;CF57&amp;CF58&amp;CF59&amp;CF60&amp;CF61</f>
        <v/>
      </c>
    </row>
    <row r="133" spans="1:2" hidden="1">
      <c r="A133" s="12">
        <v>8</v>
      </c>
      <c r="B133" s="46" t="str">
        <f>CF62&amp;CF63&amp;CF64&amp;CF65&amp;CF66&amp;CF67&amp;CF68</f>
        <v/>
      </c>
    </row>
    <row r="134" spans="1:2" hidden="1">
      <c r="A134" s="12">
        <v>9</v>
      </c>
      <c r="B134" s="46" t="str">
        <f>CF69&amp;CF70&amp;CF71&amp;CF72&amp;CF73&amp;CF74&amp;CF75</f>
        <v/>
      </c>
    </row>
    <row r="135" spans="1:2" hidden="1">
      <c r="A135" s="12">
        <v>10</v>
      </c>
      <c r="B135" s="46" t="str">
        <f>CF76&amp;CF77&amp;CF78&amp;CF79&amp;CF80&amp;CF81&amp;CF82</f>
        <v/>
      </c>
    </row>
    <row r="136" spans="1:2" hidden="1">
      <c r="A136" s="12">
        <v>11</v>
      </c>
      <c r="B136" s="46" t="str">
        <f>CF83&amp;CF84&amp;CF85&amp;CF86&amp;CF87&amp;CF88&amp;CF89</f>
        <v/>
      </c>
    </row>
    <row r="137" spans="1:2" hidden="1">
      <c r="A137" s="12">
        <v>12</v>
      </c>
      <c r="B137" s="46" t="str">
        <f>CF90&amp;CF91&amp;CF92&amp;CF93&amp;CF94&amp;CF95&amp;CF96</f>
        <v/>
      </c>
    </row>
    <row r="138" spans="1:2" hidden="1">
      <c r="A138" s="12">
        <v>13</v>
      </c>
      <c r="B138" s="46" t="str">
        <f>CF97&amp;CF98&amp;CF99&amp;CF100&amp;CF101&amp;CF102&amp;CF103</f>
        <v/>
      </c>
    </row>
    <row r="139" spans="1:2" hidden="1">
      <c r="A139" s="12">
        <v>14</v>
      </c>
      <c r="B139" s="46" t="str">
        <f>CF104&amp;CF105&amp;CF106&amp;CF107&amp;CF108&amp;CF109&amp;CF110</f>
        <v/>
      </c>
    </row>
    <row r="140" spans="1:2">
      <c r="B140" s="46" t="str">
        <f>sqlcreate!A108&amp;sqlcreate!A109&amp;sqlcreate!A110&amp;sqlcreate!A111&amp;sqlcreate!A112&amp;sqlcreate!A113&amp;sqlcreate!A114</f>
        <v>,last_update_by VARCHAR (50),updated_on DATE)";mysql_query($sql,$con);</v>
      </c>
    </row>
    <row r="141" spans="1:2">
      <c r="B141" s="46" t="s">
        <v>140</v>
      </c>
    </row>
    <row r="142" spans="1:2">
      <c r="B142" s="46" t="s">
        <v>107</v>
      </c>
    </row>
    <row r="143" spans="1:2">
      <c r="B143" s="49" t="s">
        <v>638</v>
      </c>
    </row>
    <row r="144" spans="1:2" s="232" customFormat="1" ht="11.25">
      <c r="B144" s="231" t="s">
        <v>593</v>
      </c>
    </row>
    <row r="145" spans="2:2" s="232" customFormat="1" ht="11.25">
      <c r="B145" s="231" t="s">
        <v>594</v>
      </c>
    </row>
    <row r="146" spans="2:2" s="232" customFormat="1" ht="11.25">
      <c r="B146" s="231" t="s">
        <v>595</v>
      </c>
    </row>
    <row r="147" spans="2:2" s="232" customFormat="1" ht="11.25">
      <c r="B147" s="231" t="s">
        <v>1332</v>
      </c>
    </row>
    <row r="148" spans="2:2" s="232" customFormat="1" ht="11.25">
      <c r="B148" s="231" t="s">
        <v>597</v>
      </c>
    </row>
    <row r="149" spans="2:2" s="232" customFormat="1" ht="11.25">
      <c r="B149" s="231" t="str">
        <f>+fieldcreatorv2!B150</f>
        <v>&lt;link rel="stylesheet" type="text/css" href="healmy5_praystyle.css" /&gt;</v>
      </c>
    </row>
    <row r="150" spans="2:2" s="232" customFormat="1" ht="11.25">
      <c r="B150" s="231" t="s">
        <v>603</v>
      </c>
    </row>
    <row r="151" spans="2:2" s="232" customFormat="1" ht="11.25">
      <c r="B151" s="231" t="s">
        <v>604</v>
      </c>
    </row>
    <row r="152" spans="2:2" s="232" customFormat="1" ht="11.25">
      <c r="B152" s="231" t="s">
        <v>605</v>
      </c>
    </row>
    <row r="153" spans="2:2" s="232" customFormat="1" ht="11.25">
      <c r="B153" s="231" t="s">
        <v>606</v>
      </c>
    </row>
    <row r="154" spans="2:2" s="232" customFormat="1" ht="11.25">
      <c r="B154" s="231" t="s">
        <v>157</v>
      </c>
    </row>
    <row r="155" spans="2:2" s="232" customFormat="1" ht="11.25">
      <c r="B155" s="231" t="s">
        <v>607</v>
      </c>
    </row>
    <row r="156" spans="2:2" s="232" customFormat="1" ht="11.25">
      <c r="B156" s="231" t="s">
        <v>648</v>
      </c>
    </row>
    <row r="157" spans="2:2">
      <c r="B157" s="61" t="str">
        <f>+N6&amp;M15&amp;"*/"</f>
        <v>&lt;script type="text/javascript"&gt;  /*ajax retrieveifexist request for table uniqueJesus*/</v>
      </c>
    </row>
    <row r="158" spans="2:2">
      <c r="B158" s="61" t="s">
        <v>160</v>
      </c>
    </row>
    <row r="159" spans="2:2">
      <c r="B159" s="61" t="s">
        <v>512</v>
      </c>
    </row>
    <row r="160" spans="2:2">
      <c r="B160" s="61" t="s">
        <v>1343</v>
      </c>
    </row>
    <row r="161" spans="1:2">
      <c r="B161" s="61" t="s">
        <v>1342</v>
      </c>
    </row>
    <row r="162" spans="1:2">
      <c r="B162" s="61" t="s">
        <v>1344</v>
      </c>
    </row>
    <row r="163" spans="1:2">
      <c r="B163" s="61" t="s">
        <v>1340</v>
      </c>
    </row>
    <row r="164" spans="1:2">
      <c r="A164" s="12">
        <v>1</v>
      </c>
      <c r="B164" s="60" t="str">
        <f>+DC15&amp;DC16&amp;DC17&amp;DC18&amp;DC19&amp;DC20&amp;DC21</f>
        <v>if (document.getElementById("cc").checked==true) {tipo_doc_id="cc";}else if (document.getElementById("ti").checked==true) {tipo_doc_id="ti";}else if (document.getElementById("rc").checked==true) {tipo_doc_id="rc";}else if (document.getElementById("ce").checked==true) {tipo_doc_id="ce";}else if (document.getElementById("ni").checked==true) {tipo_doc_id="ni";}else tipo_doc_id="";numd=$("#numd").val();</v>
      </c>
    </row>
    <row r="165" spans="1:2" hidden="1">
      <c r="A165" s="12">
        <v>2</v>
      </c>
      <c r="B165" s="60" t="str">
        <f>+DC22&amp;DC23&amp;DC24&amp;DC25&amp;DC26&amp;DC27&amp;DC28</f>
        <v/>
      </c>
    </row>
    <row r="166" spans="1:2" hidden="1">
      <c r="A166" s="12">
        <v>3</v>
      </c>
      <c r="B166" s="60" t="str">
        <f>+DC29&amp;DC30&amp;DC31&amp;DC32&amp;DC33&amp;DC34&amp;DC35</f>
        <v/>
      </c>
    </row>
    <row r="167" spans="1:2" hidden="1">
      <c r="A167" s="12">
        <v>4</v>
      </c>
      <c r="B167" s="60" t="str">
        <f>+DC36&amp;DC37&amp;DC38&amp;DC39&amp;DC40&amp;DC41&amp;DC42</f>
        <v/>
      </c>
    </row>
    <row r="168" spans="1:2" hidden="1">
      <c r="A168" s="12">
        <v>5</v>
      </c>
      <c r="B168" s="60" t="str">
        <f>+DC43&amp;DC44&amp;DC45&amp;DC46&amp;DC47&amp;DC48&amp;DC49</f>
        <v/>
      </c>
    </row>
    <row r="169" spans="1:2" hidden="1">
      <c r="A169" s="12">
        <v>6</v>
      </c>
      <c r="B169" s="60" t="str">
        <f>+DC50&amp;DC51&amp;DC52&amp;DC53&amp;DC54&amp;DC55&amp;DC56</f>
        <v/>
      </c>
    </row>
    <row r="170" spans="1:2" hidden="1">
      <c r="A170" s="12">
        <v>7</v>
      </c>
      <c r="B170" s="60" t="str">
        <f>+DC57&amp;DC58&amp;DC59&amp;DC60&amp;DC61&amp;DC62&amp;DC63</f>
        <v/>
      </c>
    </row>
    <row r="171" spans="1:2" hidden="1">
      <c r="A171" s="12">
        <v>8</v>
      </c>
      <c r="B171" s="60" t="str">
        <f>+DC64&amp;DC65&amp;DC66&amp;DC67&amp;DC68&amp;DC69&amp;DC70</f>
        <v/>
      </c>
    </row>
    <row r="172" spans="1:2" hidden="1">
      <c r="A172" s="12">
        <v>9</v>
      </c>
      <c r="B172" s="60" t="str">
        <f>+DC71&amp;DC72&amp;DC73&amp;DC74&amp;DC75&amp;DC76&amp;DC77</f>
        <v/>
      </c>
    </row>
    <row r="173" spans="1:2" hidden="1">
      <c r="A173" s="12">
        <v>10</v>
      </c>
      <c r="B173" s="60" t="str">
        <f>+DC78&amp;DC79&amp;DC80&amp;DC81&amp;DC82&amp;DC83&amp;DC84</f>
        <v/>
      </c>
    </row>
    <row r="174" spans="1:2" hidden="1">
      <c r="A174" s="12">
        <v>11</v>
      </c>
      <c r="B174" s="60" t="str">
        <f>+DC85&amp;DC86&amp;DC87&amp;DC88&amp;DC89&amp;DC90&amp;DC91</f>
        <v/>
      </c>
    </row>
    <row r="175" spans="1:2" hidden="1">
      <c r="A175" s="12">
        <v>12</v>
      </c>
      <c r="B175" s="60" t="str">
        <f>+DC92&amp;DC93&amp;DC94&amp;DC95&amp;DC96&amp;DC97&amp;DC98</f>
        <v/>
      </c>
    </row>
    <row r="176" spans="1:2" hidden="1">
      <c r="A176" s="12">
        <v>13</v>
      </c>
      <c r="B176" s="60" t="str">
        <f>+DC99&amp;DC100&amp;DC101&amp;DC102&amp;DC103&amp;DC104&amp;DC105</f>
        <v/>
      </c>
    </row>
    <row r="177" spans="1:2" hidden="1">
      <c r="A177" s="12">
        <v>14</v>
      </c>
      <c r="B177" s="60" t="str">
        <f>+DC106&amp;DC107&amp;DC108&amp;DC109&amp;DC110&amp;DC111&amp;DC112</f>
        <v/>
      </c>
    </row>
    <row r="178" spans="1:2" hidden="1">
      <c r="A178" s="12">
        <v>15</v>
      </c>
      <c r="B178" s="60" t="str">
        <f>+DC113&amp;DC114</f>
        <v/>
      </c>
    </row>
    <row r="179" spans="1:2">
      <c r="B179" s="61" t="str">
        <f>+B3</f>
        <v>if (</v>
      </c>
    </row>
    <row r="180" spans="1:2">
      <c r="A180" s="12">
        <v>1</v>
      </c>
      <c r="B180" s="61" t="str">
        <f>+CI15&amp;CI16&amp;CI17&amp;CI18&amp;CI19&amp;CI20&amp;CI21</f>
        <v>tipo_doc_id==""||numd==""</v>
      </c>
    </row>
    <row r="181" spans="1:2" hidden="1">
      <c r="A181" s="12">
        <v>2</v>
      </c>
      <c r="B181" s="61" t="str">
        <f>+CI22&amp;CI23&amp;CI24&amp;CI25&amp;CI26&amp;CI27&amp;CI28</f>
        <v/>
      </c>
    </row>
    <row r="182" spans="1:2" hidden="1">
      <c r="A182" s="12">
        <v>3</v>
      </c>
      <c r="B182" s="61" t="str">
        <f>+CI29&amp;CI30&amp;CI31&amp;CI32&amp;CI33&amp;CI34&amp;CI35</f>
        <v/>
      </c>
    </row>
    <row r="183" spans="1:2" hidden="1">
      <c r="A183" s="12">
        <v>4</v>
      </c>
      <c r="B183" s="61" t="str">
        <f>+CI35&amp;CI36&amp;CI37&amp;CI38&amp;CI39&amp;CI40&amp;CI41</f>
        <v/>
      </c>
    </row>
    <row r="184" spans="1:2" hidden="1">
      <c r="A184" s="12">
        <v>5</v>
      </c>
      <c r="B184" s="61" t="str">
        <f>+CI42&amp;CI43&amp;CI44&amp;CI45&amp;CI46&amp;CI47&amp;CI48</f>
        <v/>
      </c>
    </row>
    <row r="185" spans="1:2" hidden="1">
      <c r="A185" s="12">
        <v>6</v>
      </c>
      <c r="B185" s="61" t="str">
        <f>+CI49&amp;CI50&amp;CI51&amp;CI52&amp;CI53&amp;CI54&amp;CI55</f>
        <v/>
      </c>
    </row>
    <row r="186" spans="1:2" hidden="1">
      <c r="A186" s="12">
        <v>7</v>
      </c>
      <c r="B186" s="61" t="str">
        <f>+CI56&amp;CI57&amp;CI58&amp;CI59&amp;CI60&amp;CI61&amp;CI62</f>
        <v/>
      </c>
    </row>
    <row r="187" spans="1:2" hidden="1">
      <c r="A187" s="12">
        <v>8</v>
      </c>
      <c r="B187" s="61" t="str">
        <f>+CI63&amp;CI64&amp;CI65&amp;CI66&amp;CI67&amp;CI68&amp;CI69</f>
        <v/>
      </c>
    </row>
    <row r="188" spans="1:2" hidden="1">
      <c r="A188" s="12">
        <v>9</v>
      </c>
      <c r="B188" s="61" t="str">
        <f>+CI70&amp;CI71&amp;CI72&amp;CI73&amp;CI74&amp;CI75&amp;CI76</f>
        <v/>
      </c>
    </row>
    <row r="189" spans="1:2" hidden="1">
      <c r="A189" s="12">
        <v>10</v>
      </c>
      <c r="B189" s="61" t="str">
        <f>+CI77&amp;CI78&amp;CI79&amp;CI80&amp;CI81&amp;CI82&amp;CI83</f>
        <v/>
      </c>
    </row>
    <row r="190" spans="1:2" hidden="1">
      <c r="A190" s="12">
        <v>11</v>
      </c>
      <c r="B190" s="61" t="str">
        <f>+CI84&amp;CI85&amp;CI86&amp;CI87&amp;CI88&amp;CI89&amp;CI90</f>
        <v/>
      </c>
    </row>
    <row r="191" spans="1:2" hidden="1">
      <c r="A191" s="12">
        <v>12</v>
      </c>
      <c r="B191" s="61" t="str">
        <f>+CI91&amp;CI92&amp;CI93&amp;CI94&amp;CI95&amp;CI96&amp;CI97</f>
        <v/>
      </c>
    </row>
    <row r="192" spans="1:2" hidden="1">
      <c r="A192" s="12">
        <v>13</v>
      </c>
      <c r="B192" s="61" t="str">
        <f>+CI98&amp;CI99&amp;CI100&amp;CI101&amp;CI102&amp;CI103&amp;CI104</f>
        <v/>
      </c>
    </row>
    <row r="193" spans="1:89" hidden="1">
      <c r="A193" s="12">
        <v>14</v>
      </c>
      <c r="B193" s="61" t="str">
        <f>+CI105&amp;CI106&amp;CI107&amp;CI108&amp;CI109&amp;CI110&amp;CI111</f>
        <v/>
      </c>
    </row>
    <row r="194" spans="1:89" hidden="1">
      <c r="A194" s="12">
        <v>15</v>
      </c>
      <c r="B194" s="61" t="str">
        <f>+CI112&amp;CI113&amp;CI114</f>
        <v/>
      </c>
      <c r="CK194" s="12" t="str">
        <f>+CK20</f>
        <v/>
      </c>
    </row>
    <row r="195" spans="1:89">
      <c r="B195" s="61" t="str">
        <f>+B5&amp;B6</f>
        <v>) {$("#check1").html("NO PUEDE DEJAR CAMPOS VACIOS");</v>
      </c>
    </row>
    <row r="196" spans="1:89">
      <c r="A196" s="12">
        <v>1</v>
      </c>
      <c r="B196" s="61" t="str">
        <f>+CJ15&amp;CJ16&amp;CJ17&amp;CJ18&amp;CJ19&amp;CJ20&amp;CJ21</f>
        <v>if (tipo_doc_id=="") {$("#adv_tipo_doc_id").html("Requierd");} else {$("#adv_tipo_doc_id").html("");}if (numd=="") {$("#adv_numd").html("Requierd");$("#numd").css({"background":"yellow"});} else {$("#adv_numd").html("");$("#numd").css({"background":"white"});}</v>
      </c>
    </row>
    <row r="197" spans="1:89" hidden="1">
      <c r="A197" s="12">
        <v>2</v>
      </c>
      <c r="B197" s="61" t="str">
        <f>+CJ22&amp;CJ23&amp;CJ24&amp;CJ25&amp;CJ26&amp;CJ27&amp;CJ28</f>
        <v/>
      </c>
    </row>
    <row r="198" spans="1:89" hidden="1">
      <c r="A198" s="12">
        <v>3</v>
      </c>
      <c r="B198" s="61" t="str">
        <f>+CJ29&amp;CJ30&amp;CJ31&amp;CJ32&amp;CJ33&amp;CJ34&amp;CJ35</f>
        <v/>
      </c>
    </row>
    <row r="199" spans="1:89" hidden="1">
      <c r="A199" s="12">
        <v>4</v>
      </c>
      <c r="B199" s="61" t="str">
        <f>+CJ36&amp;CJ37&amp;CJ38&amp;CJ39&amp;CJ40&amp;CJ41&amp;CJ42</f>
        <v/>
      </c>
    </row>
    <row r="200" spans="1:89" hidden="1">
      <c r="A200" s="12">
        <v>5</v>
      </c>
      <c r="B200" s="61" t="str">
        <f>+CJ43&amp;CJ44&amp;CJ45&amp;CJ46&amp;CJ47&amp;CJ48&amp;CJ49</f>
        <v/>
      </c>
    </row>
    <row r="201" spans="1:89" hidden="1">
      <c r="A201" s="12">
        <v>6</v>
      </c>
      <c r="B201" s="61" t="str">
        <f>+CJ50&amp;CJ51&amp;CJ52&amp;CJ53&amp;CJ54&amp;CJ55&amp;CJ56</f>
        <v/>
      </c>
    </row>
    <row r="202" spans="1:89" hidden="1">
      <c r="A202" s="12">
        <v>7</v>
      </c>
      <c r="B202" s="61" t="str">
        <f>+CJ57&amp;CJ58&amp;CJ59&amp;CJ60&amp;CJ61&amp;CJ62&amp;CJ63</f>
        <v/>
      </c>
    </row>
    <row r="203" spans="1:89" hidden="1">
      <c r="A203" s="12">
        <v>8</v>
      </c>
      <c r="B203" s="61" t="str">
        <f>+CJ64&amp;CJ65&amp;CJ66&amp;CJ67&amp;CJ68&amp;CJ69&amp;CJ70</f>
        <v/>
      </c>
    </row>
    <row r="204" spans="1:89" hidden="1">
      <c r="A204" s="12">
        <v>9</v>
      </c>
      <c r="B204" s="61" t="str">
        <f>+CJ71&amp;CJ72&amp;CJ73&amp;CJ74&amp;CJ75&amp;CJ76&amp;CJ77</f>
        <v/>
      </c>
    </row>
    <row r="205" spans="1:89" hidden="1">
      <c r="A205" s="12">
        <v>10</v>
      </c>
      <c r="B205" s="61" t="str">
        <f>+CJ78&amp;CJ79&amp;CJ80&amp;CJ81&amp;CJ82&amp;CJ83&amp;CJ84</f>
        <v/>
      </c>
    </row>
    <row r="206" spans="1:89" hidden="1">
      <c r="A206" s="12">
        <v>11</v>
      </c>
      <c r="B206" s="61" t="str">
        <f>+CJ85&amp;CJ86&amp;CJ87&amp;CJ88&amp;CJ89&amp;CJ90&amp;CJ91</f>
        <v/>
      </c>
    </row>
    <row r="207" spans="1:89" hidden="1">
      <c r="A207" s="12">
        <v>12</v>
      </c>
      <c r="B207" s="61" t="str">
        <f>+CJ92&amp;CJ93&amp;CJ94&amp;CJ95&amp;CJ96&amp;CJ97&amp;CJ98</f>
        <v/>
      </c>
    </row>
    <row r="208" spans="1:89" hidden="1">
      <c r="A208" s="12">
        <v>13</v>
      </c>
      <c r="B208" s="61" t="str">
        <f>+CJ99&amp;CJ100&amp;CJ101&amp;CJ102&amp;CJ103&amp;CJ104&amp;CJ105</f>
        <v/>
      </c>
    </row>
    <row r="209" spans="1:2" hidden="1">
      <c r="A209" s="12">
        <v>14</v>
      </c>
      <c r="B209" s="61" t="str">
        <f>+CJ106&amp;CJ107&amp;CJ108&amp;CJ109&amp;CJ110&amp;CJ111&amp;CJ112</f>
        <v/>
      </c>
    </row>
    <row r="210" spans="1:2" hidden="1">
      <c r="A210" s="12">
        <v>15</v>
      </c>
      <c r="B210" s="61" t="str">
        <f>+CJ113&amp;CJ114</f>
        <v/>
      </c>
    </row>
    <row r="211" spans="1:2">
      <c r="B211" s="61" t="s">
        <v>397</v>
      </c>
    </row>
    <row r="212" spans="1:2">
      <c r="A212" s="12">
        <v>1</v>
      </c>
      <c r="B212" s="61" t="str">
        <f>+CK15&amp;CK16&amp;CK17&amp;CK18&amp;CK19&amp;CK20&amp;CK21</f>
        <v>if (numd=="") {document.getElementById("numd").focus();}</v>
      </c>
    </row>
    <row r="213" spans="1:2" hidden="1">
      <c r="A213" s="12">
        <v>2</v>
      </c>
      <c r="B213" s="61" t="str">
        <f>+CK22&amp;CK23&amp;CK24&amp;CK25&amp;CK26&amp;CK27&amp;CK28</f>
        <v/>
      </c>
    </row>
    <row r="214" spans="1:2" hidden="1">
      <c r="A214" s="12">
        <v>3</v>
      </c>
      <c r="B214" s="61" t="str">
        <f>+CK29&amp;CK30&amp;CK31&amp;CK32&amp;CK33&amp;CK34&amp;CK35</f>
        <v/>
      </c>
    </row>
    <row r="215" spans="1:2" hidden="1">
      <c r="A215" s="12">
        <v>4</v>
      </c>
      <c r="B215" s="61" t="str">
        <f>+CK36&amp;CK37&amp;CK38&amp;CK39&amp;CK40&amp;CK41&amp;CK42</f>
        <v/>
      </c>
    </row>
    <row r="216" spans="1:2" hidden="1">
      <c r="A216" s="12">
        <v>5</v>
      </c>
      <c r="B216" s="61" t="str">
        <f>+CK43&amp;CK44&amp;CK45&amp;CK46&amp;CK47&amp;CK48&amp;CK49</f>
        <v/>
      </c>
    </row>
    <row r="217" spans="1:2" hidden="1">
      <c r="A217" s="12">
        <v>6</v>
      </c>
      <c r="B217" s="61" t="str">
        <f>+CK50&amp;CK51&amp;CK52&amp;CK53&amp;CK54&amp;CK55&amp;CK56</f>
        <v/>
      </c>
    </row>
    <row r="218" spans="1:2" hidden="1">
      <c r="A218" s="12">
        <v>7</v>
      </c>
      <c r="B218" s="61" t="str">
        <f>+CK57&amp;CK58&amp;CK59&amp;CK60&amp;CK61&amp;CK62&amp;CK63</f>
        <v/>
      </c>
    </row>
    <row r="219" spans="1:2" hidden="1">
      <c r="A219" s="12">
        <v>8</v>
      </c>
      <c r="B219" s="61" t="str">
        <f>+CK64&amp;CK65&amp;CK66&amp;CK67&amp;CK68&amp;CK69&amp;CK70</f>
        <v/>
      </c>
    </row>
    <row r="220" spans="1:2" hidden="1">
      <c r="A220" s="12">
        <v>9</v>
      </c>
      <c r="B220" s="61" t="str">
        <f>+CK71&amp;CK72&amp;CK73&amp;CK74&amp;CK75&amp;CK76&amp;CK77</f>
        <v/>
      </c>
    </row>
    <row r="221" spans="1:2" hidden="1">
      <c r="A221" s="12">
        <v>10</v>
      </c>
      <c r="B221" s="61" t="str">
        <f>+CK78&amp;CK79&amp;CK80&amp;CK81&amp;CK82&amp;CK83&amp;CK84</f>
        <v/>
      </c>
    </row>
    <row r="222" spans="1:2" hidden="1">
      <c r="A222" s="12">
        <v>11</v>
      </c>
      <c r="B222" s="61" t="str">
        <f>+CK85&amp;CK86&amp;CK87&amp;CK88&amp;CK89&amp;CK90&amp;CK91</f>
        <v/>
      </c>
    </row>
    <row r="223" spans="1:2" hidden="1">
      <c r="A223" s="12">
        <v>12</v>
      </c>
      <c r="B223" s="61" t="str">
        <f>+CK92&amp;CK93&amp;CK94&amp;CK95&amp;CK96&amp;CK97&amp;CK98</f>
        <v/>
      </c>
    </row>
    <row r="224" spans="1:2" hidden="1">
      <c r="A224" s="12">
        <v>13</v>
      </c>
      <c r="B224" s="61" t="str">
        <f>+CK99&amp;CK100&amp;CK101&amp;CK102&amp;CK103&amp;CK104&amp;CK105</f>
        <v/>
      </c>
    </row>
    <row r="225" spans="1:2" hidden="1">
      <c r="A225" s="12">
        <v>14</v>
      </c>
      <c r="B225" s="61" t="str">
        <f>+CK106&amp;CK107&amp;CK108&amp;CK109&amp;CK110&amp;CK111&amp;CK112</f>
        <v/>
      </c>
    </row>
    <row r="226" spans="1:2" hidden="1">
      <c r="A226" s="12">
        <v>15</v>
      </c>
      <c r="B226" s="61" t="str">
        <f>+CK113&amp;CK114</f>
        <v/>
      </c>
    </row>
    <row r="227" spans="1:2">
      <c r="B227" s="61" t="str">
        <f>B7&amp;A5&amp;O15&amp;A6</f>
        <v>} else {$.get("uniqueJesus.php",{</v>
      </c>
    </row>
    <row r="228" spans="1:2">
      <c r="A228" s="12">
        <v>1</v>
      </c>
      <c r="B228" s="61" t="str">
        <f>+CL15&amp;CL16&amp;CL17&amp;CL18&amp;CL19&amp;CL20&amp;CL21</f>
        <v>tipo_doc_id:tipo_doc_id,numd:numd</v>
      </c>
    </row>
    <row r="229" spans="1:2" hidden="1">
      <c r="A229" s="12">
        <v>2</v>
      </c>
      <c r="B229" s="61" t="str">
        <f>+CL22&amp;CL23&amp;CL24&amp;CL25&amp;CL26&amp;CL27&amp;CL28</f>
        <v/>
      </c>
    </row>
    <row r="230" spans="1:2" hidden="1">
      <c r="A230" s="12">
        <v>3</v>
      </c>
      <c r="B230" s="61" t="str">
        <f>+CL29&amp;CL30&amp;CL31&amp;CL32&amp;CL33&amp;CL34&amp;CL35</f>
        <v/>
      </c>
    </row>
    <row r="231" spans="1:2" hidden="1">
      <c r="A231" s="12">
        <v>4</v>
      </c>
      <c r="B231" s="61" t="str">
        <f>+CL36&amp;CL37&amp;CL38&amp;CL39&amp;CL40&amp;CL41&amp;CL42</f>
        <v/>
      </c>
    </row>
    <row r="232" spans="1:2" hidden="1">
      <c r="A232" s="12">
        <v>5</v>
      </c>
      <c r="B232" s="61" t="str">
        <f>+CL43&amp;CL44&amp;CL45&amp;CL46&amp;CL47&amp;CL48&amp;CL49</f>
        <v/>
      </c>
    </row>
    <row r="233" spans="1:2" hidden="1">
      <c r="A233" s="12">
        <v>6</v>
      </c>
      <c r="B233" s="61" t="str">
        <f>+CL50&amp;CL51&amp;CL52&amp;CL53&amp;CL54&amp;CL55&amp;CL56</f>
        <v/>
      </c>
    </row>
    <row r="234" spans="1:2" hidden="1">
      <c r="A234" s="12">
        <v>7</v>
      </c>
      <c r="B234" s="61" t="str">
        <f>+CL57&amp;CL58&amp;CL59&amp;CL60&amp;CL61&amp;CL62&amp;CL63</f>
        <v/>
      </c>
    </row>
    <row r="235" spans="1:2" hidden="1">
      <c r="A235" s="12">
        <v>8</v>
      </c>
      <c r="B235" s="61" t="str">
        <f>+CL64&amp;CL65&amp;CL66&amp;CL67&amp;CL68&amp;CL69&amp;CL70</f>
        <v/>
      </c>
    </row>
    <row r="236" spans="1:2" hidden="1">
      <c r="A236" s="12">
        <v>9</v>
      </c>
      <c r="B236" s="61" t="str">
        <f>+CL71&amp;CL72&amp;CL73&amp;CL74&amp;CL75&amp;CL76&amp;CL77</f>
        <v/>
      </c>
    </row>
    <row r="237" spans="1:2" hidden="1">
      <c r="A237" s="12">
        <v>10</v>
      </c>
      <c r="B237" s="61" t="str">
        <f>+CL78&amp;CL79&amp;CL80&amp;CL81&amp;CL82&amp;CL83&amp;CL84</f>
        <v/>
      </c>
    </row>
    <row r="238" spans="1:2" hidden="1">
      <c r="A238" s="12">
        <v>11</v>
      </c>
      <c r="B238" s="61" t="str">
        <f>+CL85&amp;CL86&amp;CL87&amp;CL88&amp;CL89&amp;CL90&amp;CL91</f>
        <v/>
      </c>
    </row>
    <row r="239" spans="1:2" hidden="1">
      <c r="A239" s="12">
        <v>12</v>
      </c>
      <c r="B239" s="61" t="str">
        <f>+CL92&amp;CL93&amp;CL94&amp;CL95&amp;CL96&amp;CL97&amp;CL98</f>
        <v/>
      </c>
    </row>
    <row r="240" spans="1:2" hidden="1">
      <c r="A240" s="12">
        <v>13</v>
      </c>
      <c r="B240" s="61" t="str">
        <f>+CL99&amp;CL100&amp;CL101&amp;CL102&amp;CL103&amp;CL104&amp;CL105</f>
        <v/>
      </c>
    </row>
    <row r="241" spans="1:2" hidden="1">
      <c r="A241" s="12">
        <v>14</v>
      </c>
      <c r="B241" s="61" t="str">
        <f>+CL106&amp;CL107&amp;CL108&amp;CL109&amp;CL110&amp;CL111&amp;CL112</f>
        <v/>
      </c>
    </row>
    <row r="242" spans="1:2" hidden="1">
      <c r="A242" s="12">
        <v>15</v>
      </c>
      <c r="B242" s="61" t="str">
        <f>+CL113&amp;CL114</f>
        <v/>
      </c>
    </row>
    <row r="243" spans="1:2">
      <c r="B243" s="61" t="str">
        <f>A7&amp;O19&amp;A8</f>
        <v xml:space="preserve">},function(result){$("#check1").html(result); </v>
      </c>
    </row>
    <row r="244" spans="1:2">
      <c r="A244" s="12">
        <v>1</v>
      </c>
      <c r="B244" s="61" t="str">
        <f>+CM15&amp;CM16&amp;CM17&amp;CM18&amp;CM19&amp;CM20&amp;CM21</f>
        <v>$("#adv_numd").html("");$("#numd").css({"background":"#fff"});</v>
      </c>
    </row>
    <row r="245" spans="1:2" hidden="1">
      <c r="A245" s="12">
        <v>2</v>
      </c>
      <c r="B245" s="61" t="str">
        <f>+CM22&amp;CM23&amp;CM24&amp;CM25&amp;CM26&amp;CM27&amp;CM28</f>
        <v/>
      </c>
    </row>
    <row r="246" spans="1:2" hidden="1">
      <c r="A246" s="12">
        <v>3</v>
      </c>
      <c r="B246" s="61" t="str">
        <f>+CM29&amp;CM30&amp;CM31&amp;CM32&amp;CM33&amp;CM34&amp;CM35</f>
        <v/>
      </c>
    </row>
    <row r="247" spans="1:2" hidden="1">
      <c r="A247" s="12">
        <v>4</v>
      </c>
      <c r="B247" s="61" t="str">
        <f>+CM36&amp;CM37&amp;CM38&amp;CM39&amp;CM40&amp;CM41&amp;CM42</f>
        <v/>
      </c>
    </row>
    <row r="248" spans="1:2" hidden="1">
      <c r="A248" s="12">
        <v>5</v>
      </c>
      <c r="B248" s="61" t="str">
        <f>+CM43&amp;CM44&amp;CM45&amp;CM46&amp;CM47&amp;CM48&amp;CM49</f>
        <v/>
      </c>
    </row>
    <row r="249" spans="1:2" hidden="1">
      <c r="A249" s="12">
        <v>6</v>
      </c>
      <c r="B249" s="61" t="str">
        <f>+CM50&amp;CM51&amp;CM52&amp;CM53&amp;CM54&amp;CM55&amp;CM56</f>
        <v/>
      </c>
    </row>
    <row r="250" spans="1:2" hidden="1">
      <c r="A250" s="12">
        <v>7</v>
      </c>
      <c r="B250" s="61" t="str">
        <f>+CM57&amp;CM58&amp;CM59&amp;CM60&amp;CM61&amp;CM62&amp;CM63</f>
        <v/>
      </c>
    </row>
    <row r="251" spans="1:2" hidden="1">
      <c r="A251" s="12">
        <v>8</v>
      </c>
      <c r="B251" s="61" t="str">
        <f>+CM64&amp;CM65&amp;CM66&amp;CM67&amp;CM68&amp;CM69&amp;CM70</f>
        <v/>
      </c>
    </row>
    <row r="252" spans="1:2" hidden="1">
      <c r="A252" s="12">
        <v>9</v>
      </c>
      <c r="B252" s="61" t="str">
        <f>+CM71&amp;CM72&amp;CM73&amp;CM74&amp;CM75&amp;CM76&amp;CM77</f>
        <v/>
      </c>
    </row>
    <row r="253" spans="1:2" hidden="1">
      <c r="A253" s="12">
        <v>10</v>
      </c>
      <c r="B253" s="61" t="str">
        <f>+CM78&amp;CM79&amp;CM80&amp;CM81&amp;CM82&amp;CM83&amp;CM84</f>
        <v/>
      </c>
    </row>
    <row r="254" spans="1:2" hidden="1">
      <c r="A254" s="12">
        <v>11</v>
      </c>
      <c r="B254" s="61" t="str">
        <f>+CM85&amp;CM86&amp;CM87&amp;CM88&amp;CM89&amp;CM90&amp;CM91</f>
        <v/>
      </c>
    </row>
    <row r="255" spans="1:2" hidden="1">
      <c r="A255" s="12">
        <v>12</v>
      </c>
      <c r="B255" s="61" t="str">
        <f>+CM92&amp;CM93&amp;CM94&amp;CM95&amp;CM96&amp;CM97&amp;CM98</f>
        <v/>
      </c>
    </row>
    <row r="256" spans="1:2" hidden="1">
      <c r="A256" s="12">
        <v>13</v>
      </c>
      <c r="B256" s="61" t="str">
        <f>+CM99&amp;CM100&amp;CM101&amp;CM102&amp;CM103&amp;CM104&amp;CM105</f>
        <v/>
      </c>
    </row>
    <row r="257" spans="1:2" hidden="1">
      <c r="A257" s="12">
        <v>14</v>
      </c>
      <c r="B257" s="61" t="str">
        <f>+CM106&amp;CM107&amp;CM108&amp;CM109&amp;CM110&amp;CM111&amp;CM112</f>
        <v/>
      </c>
    </row>
    <row r="258" spans="1:2" hidden="1">
      <c r="A258" s="12">
        <v>15</v>
      </c>
      <c r="B258" s="61" t="str">
        <f>+CM113&amp;CM114</f>
        <v/>
      </c>
    </row>
    <row r="259" spans="1:2">
      <c r="B259" s="61" t="s">
        <v>1341</v>
      </c>
    </row>
    <row r="260" spans="1:2">
      <c r="B260" s="61" t="s">
        <v>106</v>
      </c>
    </row>
    <row r="261" spans="1:2">
      <c r="B261" s="61" t="s">
        <v>96</v>
      </c>
    </row>
    <row r="262" spans="1:2">
      <c r="B262" s="61" t="s">
        <v>1348</v>
      </c>
    </row>
    <row r="263" spans="1:2">
      <c r="B263" s="61" t="s">
        <v>160</v>
      </c>
    </row>
    <row r="264" spans="1:2">
      <c r="B264" s="61" t="s">
        <v>1345</v>
      </c>
    </row>
    <row r="265" spans="1:2">
      <c r="B265" s="61" t="s">
        <v>1346</v>
      </c>
    </row>
    <row r="266" spans="1:2">
      <c r="B266" s="61" t="s">
        <v>1347</v>
      </c>
    </row>
    <row r="267" spans="1:2">
      <c r="B267" s="61" t="s">
        <v>884</v>
      </c>
    </row>
    <row r="268" spans="1:2">
      <c r="B268" s="61" t="s">
        <v>96</v>
      </c>
    </row>
    <row r="269" spans="1:2">
      <c r="B269" s="49" t="s">
        <v>637</v>
      </c>
    </row>
    <row r="270" spans="1:2">
      <c r="B270" s="60" t="s">
        <v>521</v>
      </c>
    </row>
    <row r="271" spans="1:2">
      <c r="B271" s="60" t="s">
        <v>160</v>
      </c>
    </row>
    <row r="272" spans="1:2">
      <c r="B272" s="60" t="str">
        <f>+A1&amp;M19&amp;A2</f>
        <v>$("#searchbutton1").click(function() {</v>
      </c>
    </row>
    <row r="273" spans="1:2">
      <c r="A273" s="12">
        <v>1</v>
      </c>
      <c r="B273" s="60" t="str">
        <f>+BE15&amp;BE16&amp;BE17&amp;BE18&amp;BE19&amp;BE20&amp;BE21</f>
        <v>if (document.getElementById("cc").checked==true) {tipo_doc_id="cc";}else if (document.getElementById("ti").checked==true) {tipo_doc_id="ti";}else if (document.getElementById("rc").checked==true) {tipo_doc_id="rc";}else if (document.getElementById("ce").checked==true) {tipo_doc_id="ce";}else if (document.getElementById("ni").checked==true) {tipo_doc_id="ni";}else tipo_doc_id="";numd=$("#numd").val();</v>
      </c>
    </row>
    <row r="274" spans="1:2">
      <c r="A274" s="12">
        <v>2</v>
      </c>
      <c r="B274" s="60" t="str">
        <f>+BE22&amp;BE23&amp;BE24&amp;BE25&amp;BE26&amp;BE27&amp;BE28</f>
        <v>nom=$("#nom").val();apll=$("#apll").val();if (document.getElementById("hombre").checked==true) {Sexo="hombre";}else if (document.getElementById("mujer").checked==true) {Sexo="mujer";}else Sexo="";bthdt=$("#bthdt").val();eps=$("#eps").val();</v>
      </c>
    </row>
    <row r="275" spans="1:2" hidden="1">
      <c r="A275" s="12">
        <v>3</v>
      </c>
      <c r="B275" s="60" t="str">
        <f>+BE29&amp;BE30&amp;BE31&amp;BE32&amp;BE33&amp;BE34&amp;BE35</f>
        <v/>
      </c>
    </row>
    <row r="276" spans="1:2" hidden="1">
      <c r="A276" s="12">
        <v>4</v>
      </c>
      <c r="B276" s="60" t="str">
        <f>+BE36&amp;BE37&amp;BE38&amp;BE39&amp;BE40&amp;BE41&amp;BE42</f>
        <v/>
      </c>
    </row>
    <row r="277" spans="1:2" hidden="1">
      <c r="A277" s="12">
        <v>5</v>
      </c>
      <c r="B277" s="60" t="str">
        <f>+BE43&amp;BE44&amp;BE45&amp;BE46&amp;BE47&amp;BE48&amp;BE49</f>
        <v/>
      </c>
    </row>
    <row r="278" spans="1:2" hidden="1">
      <c r="A278" s="12">
        <v>6</v>
      </c>
      <c r="B278" s="60" t="str">
        <f>+BE50&amp;BE51&amp;BE52&amp;BE53&amp;BE54&amp;BE55&amp;BE56</f>
        <v/>
      </c>
    </row>
    <row r="279" spans="1:2" hidden="1">
      <c r="A279" s="12">
        <v>7</v>
      </c>
      <c r="B279" s="60" t="str">
        <f>+BE57&amp;BE58&amp;BE59&amp;BE60&amp;BE61&amp;BE62&amp;BE63</f>
        <v/>
      </c>
    </row>
    <row r="280" spans="1:2" hidden="1">
      <c r="A280" s="12">
        <v>8</v>
      </c>
      <c r="B280" s="60" t="str">
        <f>+BE64&amp;BE65&amp;BE66&amp;BE67&amp;BE68&amp;BE69&amp;BE70</f>
        <v/>
      </c>
    </row>
    <row r="281" spans="1:2" hidden="1">
      <c r="A281" s="12">
        <v>9</v>
      </c>
      <c r="B281" s="60" t="str">
        <f>+BE71&amp;BE72&amp;BE73&amp;BE74&amp;BE75&amp;BE76&amp;BE77</f>
        <v/>
      </c>
    </row>
    <row r="282" spans="1:2" hidden="1">
      <c r="A282" s="12">
        <v>10</v>
      </c>
      <c r="B282" s="60" t="str">
        <f>+BE78&amp;BE79&amp;BE80&amp;BE81&amp;BE82&amp;BE83&amp;BE84</f>
        <v/>
      </c>
    </row>
    <row r="283" spans="1:2" hidden="1">
      <c r="A283" s="12">
        <v>11</v>
      </c>
      <c r="B283" s="60" t="str">
        <f>+BE85&amp;BE86&amp;BE87&amp;BE88&amp;BE89&amp;BE90&amp;BE91</f>
        <v/>
      </c>
    </row>
    <row r="284" spans="1:2" hidden="1">
      <c r="A284" s="12">
        <v>12</v>
      </c>
      <c r="B284" s="60" t="str">
        <f>+BE92&amp;BE93&amp;BE94&amp;BE95&amp;BE96&amp;BE97&amp;BE98</f>
        <v/>
      </c>
    </row>
    <row r="285" spans="1:2" hidden="1">
      <c r="A285" s="12">
        <v>13</v>
      </c>
      <c r="B285" s="60" t="str">
        <f>+BE99&amp;BE100&amp;BE101&amp;BE102&amp;BE103&amp;BE104&amp;BE105</f>
        <v/>
      </c>
    </row>
    <row r="286" spans="1:2" hidden="1">
      <c r="A286" s="12">
        <v>14</v>
      </c>
      <c r="B286" s="60" t="str">
        <f>+BE106&amp;BE107&amp;BE108&amp;BE109&amp;BE110&amp;BE111&amp;BE112</f>
        <v/>
      </c>
    </row>
    <row r="287" spans="1:2" ht="15" hidden="1" customHeight="1">
      <c r="A287" s="12">
        <v>15</v>
      </c>
      <c r="B287" s="60" t="str">
        <f>+BE113&amp;BE114</f>
        <v/>
      </c>
    </row>
    <row r="288" spans="1:2">
      <c r="B288" s="62" t="str">
        <f>+B3</f>
        <v>if (</v>
      </c>
    </row>
    <row r="289" spans="1:2">
      <c r="A289" s="12">
        <v>1</v>
      </c>
      <c r="B289" s="62" t="str">
        <f>+AK15&amp;AK16&amp;AK17&amp;AK18&amp;AK19&amp;AK20&amp;AK21</f>
        <v>tipo_doc_id==""||numd==""</v>
      </c>
    </row>
    <row r="290" spans="1:2">
      <c r="A290" s="12">
        <v>2</v>
      </c>
      <c r="B290" s="62" t="str">
        <f>+AK22&amp;AK23&amp;AK24&amp;AK25&amp;AK26&amp;AK27&amp;AK28</f>
        <v>||nom==""||apll==""||Sexo==""||bthdt==""||eps==""</v>
      </c>
    </row>
    <row r="291" spans="1:2" hidden="1">
      <c r="A291" s="12">
        <v>3</v>
      </c>
      <c r="B291" s="62" t="str">
        <f>+AK29&amp;AK30&amp;AK31&amp;AK32&amp;AK33&amp;AK34&amp;AK35</f>
        <v/>
      </c>
    </row>
    <row r="292" spans="1:2" hidden="1">
      <c r="A292" s="12">
        <v>4</v>
      </c>
      <c r="B292" s="62" t="str">
        <f>+AK35&amp;AK36&amp;AK37&amp;AK38&amp;AK39&amp;AK40&amp;AK41</f>
        <v/>
      </c>
    </row>
    <row r="293" spans="1:2" hidden="1">
      <c r="A293" s="12">
        <v>5</v>
      </c>
      <c r="B293" s="62" t="str">
        <f>+AK42&amp;AK43&amp;AK44&amp;AK45&amp;AK46&amp;AK47&amp;AK48</f>
        <v/>
      </c>
    </row>
    <row r="294" spans="1:2" hidden="1">
      <c r="A294" s="12">
        <v>6</v>
      </c>
      <c r="B294" s="62" t="str">
        <f>+AK49&amp;AK50&amp;AK51&amp;AK52&amp;AK53&amp;AK54&amp;AK55</f>
        <v/>
      </c>
    </row>
    <row r="295" spans="1:2" hidden="1">
      <c r="A295" s="12">
        <v>7</v>
      </c>
      <c r="B295" s="62" t="str">
        <f>+AK56&amp;AK57&amp;AK58&amp;AK59&amp;AK60&amp;AK61&amp;AK62</f>
        <v/>
      </c>
    </row>
    <row r="296" spans="1:2" hidden="1">
      <c r="A296" s="12">
        <v>8</v>
      </c>
      <c r="B296" s="62" t="str">
        <f>+AK63&amp;AK64&amp;AK65&amp;AK66&amp;AK67&amp;AK68&amp;AK69</f>
        <v/>
      </c>
    </row>
    <row r="297" spans="1:2" hidden="1">
      <c r="A297" s="12">
        <v>9</v>
      </c>
      <c r="B297" s="62" t="str">
        <f>+AK70&amp;AK71&amp;AK72&amp;AK73&amp;AK74&amp;AK75&amp;AK76</f>
        <v/>
      </c>
    </row>
    <row r="298" spans="1:2" hidden="1">
      <c r="A298" s="12">
        <v>10</v>
      </c>
      <c r="B298" s="62" t="str">
        <f>+AK77&amp;AK78&amp;AK79&amp;AK80&amp;AK81&amp;AK82&amp;AK83</f>
        <v/>
      </c>
    </row>
    <row r="299" spans="1:2" hidden="1">
      <c r="A299" s="12">
        <v>11</v>
      </c>
      <c r="B299" s="62" t="str">
        <f>+AK84&amp;AK85&amp;AK86&amp;AK87&amp;AK88&amp;AK89&amp;AK90</f>
        <v/>
      </c>
    </row>
    <row r="300" spans="1:2" hidden="1">
      <c r="A300" s="12">
        <v>12</v>
      </c>
      <c r="B300" s="62" t="str">
        <f>+AK91&amp;AK92&amp;AK93&amp;AK94&amp;AK95&amp;AK96&amp;AK97</f>
        <v/>
      </c>
    </row>
    <row r="301" spans="1:2" hidden="1">
      <c r="A301" s="12">
        <v>13</v>
      </c>
      <c r="B301" s="62" t="str">
        <f>+AK98&amp;AK99&amp;AK100&amp;AK101&amp;AK102&amp;AK103&amp;AK104</f>
        <v/>
      </c>
    </row>
    <row r="302" spans="1:2" hidden="1">
      <c r="A302" s="12">
        <v>14</v>
      </c>
      <c r="B302" s="62" t="str">
        <f>+AK105&amp;AK106&amp;AK107&amp;AK108&amp;AK109&amp;AK110&amp;AK111</f>
        <v/>
      </c>
    </row>
    <row r="303" spans="1:2" hidden="1">
      <c r="A303" s="12">
        <v>15</v>
      </c>
      <c r="B303" s="62" t="str">
        <f>+AK112&amp;AK113&amp;AK114</f>
        <v/>
      </c>
    </row>
    <row r="304" spans="1:2">
      <c r="B304" s="62" t="str">
        <f>+B5&amp;B6</f>
        <v>) {$("#check1").html("NO PUEDE DEJAR CAMPOS VACIOS");</v>
      </c>
    </row>
    <row r="305" spans="1:6">
      <c r="A305" s="12">
        <v>1</v>
      </c>
      <c r="B305" s="62" t="str">
        <f>+AL15&amp;AL16&amp;AL17&amp;AL18&amp;AL19&amp;AL20&amp;AL21</f>
        <v>if (tipo_doc_id=="") {$("#adv_tipo_doc_id").html("Requierd");} else {$("#adv_tipo_doc_id").html("");}if (numd=="") {$("#adv_numd").html("Requierd");$("#numd").css({"background":"yellow"});} else {$("#adv_numd").html("");$("#numd").css({"background":"white"});}</v>
      </c>
      <c r="F305" s="125"/>
    </row>
    <row r="306" spans="1:6">
      <c r="A306" s="12">
        <v>2</v>
      </c>
      <c r="B306" s="62" t="str">
        <f>+AL22&amp;AL23&amp;AL24&amp;AL25&amp;AL26&amp;AL27&amp;AL28</f>
        <v>if (nom=="") {$("#adv_nom").html("Requierd");$("#nom").css({"background":"yellow"});} else {$("#adv_nom").html("");$("#nom").css({"background":"white"});}if (apll=="") {$("#adv_apll").html("Requierd");$("#apll").css({"background":"yellow"});} else {$("#adv_apll").html("");$("#apll").css({"background":"white"});}if (Sexo=="") {$("#adv_Sexo").html("Requierd");} else {$("#adv_Sexo").html("");}if (bthdt=="") {$("#adv_bthdt").html("Requierd");$("#bthdt").css({"background":"yellow"});} else {$("#adv_bthdt").html("");$("#bthdt").css({"background":"white"});}if (eps=="") {$("#adv_eps").html("Requierd");$("#eps").css({"background":"yellow"});} else {$("#adv_eps").html("");$("#eps").css({"background":"white"});}</v>
      </c>
    </row>
    <row r="307" spans="1:6" hidden="1">
      <c r="A307" s="12">
        <v>3</v>
      </c>
      <c r="B307" s="62" t="str">
        <f>+AL29&amp;AL30&amp;AL31&amp;AL32&amp;AL33&amp;AL34&amp;AL35</f>
        <v/>
      </c>
    </row>
    <row r="308" spans="1:6" hidden="1">
      <c r="A308" s="12">
        <v>4</v>
      </c>
      <c r="B308" s="62" t="str">
        <f>+AL36&amp;AL37&amp;AL38&amp;AL39&amp;AL40&amp;AL41&amp;AL42</f>
        <v/>
      </c>
    </row>
    <row r="309" spans="1:6" hidden="1">
      <c r="A309" s="12">
        <v>5</v>
      </c>
      <c r="B309" s="62" t="str">
        <f>+AL43&amp;AL44&amp;AL45&amp;AL46&amp;AL47&amp;AL48&amp;AL49</f>
        <v/>
      </c>
    </row>
    <row r="310" spans="1:6" hidden="1">
      <c r="A310" s="12">
        <v>6</v>
      </c>
      <c r="B310" s="62" t="str">
        <f>+AL50&amp;AL51&amp;AL52&amp;AL53&amp;AL54&amp;AL55&amp;AL56</f>
        <v/>
      </c>
    </row>
    <row r="311" spans="1:6" hidden="1">
      <c r="A311" s="12">
        <v>7</v>
      </c>
      <c r="B311" s="62" t="str">
        <f>+AL57&amp;AL58&amp;AL59&amp;AL60&amp;AL61&amp;AL62&amp;AL63</f>
        <v/>
      </c>
    </row>
    <row r="312" spans="1:6" hidden="1">
      <c r="A312" s="12">
        <v>8</v>
      </c>
      <c r="B312" s="62" t="str">
        <f>+AL64&amp;AL65&amp;AL66&amp;AL67&amp;AL68&amp;AL69&amp;AL70</f>
        <v/>
      </c>
    </row>
    <row r="313" spans="1:6" hidden="1">
      <c r="A313" s="12">
        <v>9</v>
      </c>
      <c r="B313" s="62" t="str">
        <f>+AL71&amp;AL72&amp;AL73&amp;AL74&amp;AL75&amp;AL76&amp;AL77</f>
        <v/>
      </c>
    </row>
    <row r="314" spans="1:6" hidden="1">
      <c r="A314" s="12">
        <v>10</v>
      </c>
      <c r="B314" s="62" t="str">
        <f>+AL78&amp;AL79&amp;AL80&amp;AL81&amp;AL82&amp;AL83&amp;AL84</f>
        <v/>
      </c>
    </row>
    <row r="315" spans="1:6" hidden="1">
      <c r="A315" s="12">
        <v>11</v>
      </c>
      <c r="B315" s="62" t="str">
        <f>+AL85&amp;AL86&amp;AL87&amp;AL88&amp;AL89&amp;AL90&amp;AL91</f>
        <v/>
      </c>
    </row>
    <row r="316" spans="1:6" hidden="1">
      <c r="A316" s="12">
        <v>12</v>
      </c>
      <c r="B316" s="62" t="str">
        <f>+AL92&amp;AL93&amp;AL94&amp;AL95&amp;AL96&amp;AL97&amp;AL98</f>
        <v/>
      </c>
    </row>
    <row r="317" spans="1:6" hidden="1">
      <c r="A317" s="12">
        <v>13</v>
      </c>
      <c r="B317" s="62" t="str">
        <f>+AL99&amp;AL100&amp;AL101&amp;AL102&amp;AL103&amp;AL104&amp;AL105</f>
        <v/>
      </c>
    </row>
    <row r="318" spans="1:6" hidden="1">
      <c r="A318" s="12">
        <v>14</v>
      </c>
      <c r="B318" s="62" t="str">
        <f>+AL106&amp;AL107&amp;AL108&amp;AL109&amp;AL110&amp;AL111&amp;AL112</f>
        <v/>
      </c>
    </row>
    <row r="319" spans="1:6" hidden="1">
      <c r="A319" s="12">
        <v>15</v>
      </c>
      <c r="B319" s="62" t="str">
        <f>+AL113&amp;AL114</f>
        <v/>
      </c>
    </row>
    <row r="320" spans="1:6">
      <c r="B320" s="61" t="s">
        <v>397</v>
      </c>
    </row>
    <row r="321" spans="1:2">
      <c r="A321" s="12">
        <v>1</v>
      </c>
      <c r="B321" s="60" t="str">
        <f>+AG15&amp;AG16&amp;AG17&amp;AG18&amp;AG19&amp;AG20&amp;AG21</f>
        <v>if (numd=="") {document.getElementById("numd").focus();}</v>
      </c>
    </row>
    <row r="322" spans="1:2">
      <c r="A322" s="12">
        <v>2</v>
      </c>
      <c r="B322" s="60" t="str">
        <f>+AG22&amp;AG23&amp;AG24&amp;AG25&amp;AG26&amp;AG27&amp;AG28</f>
        <v>else if (nom=="") {document.getElementById("nom").focus();}else if (apll=="") {document.getElementById("apll").focus();}else if (bthdt=="") {document.getElementById("bthdt").focus();}else if (tmst=="") {document.getElementById("tmst").focus();}else if (eps=="") {document.getElementById("eps").focus();}</v>
      </c>
    </row>
    <row r="323" spans="1:2" hidden="1">
      <c r="A323" s="12">
        <v>3</v>
      </c>
      <c r="B323" s="60" t="str">
        <f>+AG29&amp;AG30&amp;AG31&amp;AG32&amp;AG33&amp;AG34&amp;AG35</f>
        <v/>
      </c>
    </row>
    <row r="324" spans="1:2" hidden="1">
      <c r="A324" s="12">
        <v>4</v>
      </c>
      <c r="B324" s="60" t="str">
        <f>+AG36&amp;AG37&amp;AG38&amp;AG39&amp;AG40&amp;AG41&amp;AG42</f>
        <v/>
      </c>
    </row>
    <row r="325" spans="1:2" hidden="1">
      <c r="A325" s="12">
        <v>5</v>
      </c>
      <c r="B325" s="60" t="str">
        <f>+AG43&amp;AG44&amp;AG45&amp;AG46&amp;AG47&amp;AG48&amp;AG49</f>
        <v/>
      </c>
    </row>
    <row r="326" spans="1:2" hidden="1">
      <c r="A326" s="12">
        <v>6</v>
      </c>
      <c r="B326" s="60" t="str">
        <f>+AG50&amp;AG51&amp;AG52&amp;AG53&amp;AG54&amp;AG55&amp;AG56</f>
        <v/>
      </c>
    </row>
    <row r="327" spans="1:2" hidden="1">
      <c r="A327" s="12">
        <v>7</v>
      </c>
      <c r="B327" s="60" t="str">
        <f>+AG57&amp;AG58&amp;AG59&amp;AG60&amp;AG61&amp;AG62&amp;AG63</f>
        <v/>
      </c>
    </row>
    <row r="328" spans="1:2" hidden="1">
      <c r="A328" s="12">
        <v>8</v>
      </c>
      <c r="B328" s="60" t="str">
        <f>+AG64&amp;AG65&amp;AG66&amp;AG67&amp;AG68&amp;AG69&amp;AG70</f>
        <v/>
      </c>
    </row>
    <row r="329" spans="1:2" hidden="1">
      <c r="A329" s="12">
        <v>9</v>
      </c>
      <c r="B329" s="60" t="str">
        <f>+AG71&amp;AG72&amp;AG73&amp;AG74&amp;AG75&amp;AG76&amp;AG77</f>
        <v/>
      </c>
    </row>
    <row r="330" spans="1:2" hidden="1">
      <c r="A330" s="12">
        <v>10</v>
      </c>
      <c r="B330" s="60" t="str">
        <f>+AG78&amp;AG79&amp;AG80&amp;AG81&amp;AG82&amp;AG83&amp;AG84</f>
        <v/>
      </c>
    </row>
    <row r="331" spans="1:2" hidden="1">
      <c r="A331" s="12">
        <v>11</v>
      </c>
      <c r="B331" s="60" t="str">
        <f>+AG85&amp;AG86&amp;AG87&amp;AG88&amp;AG89&amp;AG90&amp;AG91</f>
        <v/>
      </c>
    </row>
    <row r="332" spans="1:2" hidden="1">
      <c r="A332" s="12">
        <v>12</v>
      </c>
      <c r="B332" s="60" t="str">
        <f>+AG92&amp;AG93&amp;AG94&amp;AG95&amp;AG96&amp;AG97&amp;AG98</f>
        <v/>
      </c>
    </row>
    <row r="333" spans="1:2" hidden="1">
      <c r="A333" s="12">
        <v>13</v>
      </c>
      <c r="B333" s="60" t="str">
        <f>+AG99&amp;AG100&amp;AG101&amp;AG102&amp;AG103&amp;AG104&amp;AG105</f>
        <v/>
      </c>
    </row>
    <row r="334" spans="1:2" hidden="1">
      <c r="A334" s="12">
        <v>14</v>
      </c>
      <c r="B334" s="60" t="str">
        <f>+AG106&amp;AG107&amp;AG108&amp;AG109&amp;AG110&amp;AG111&amp;AG112</f>
        <v/>
      </c>
    </row>
    <row r="335" spans="1:2" hidden="1">
      <c r="A335" s="12">
        <v>15</v>
      </c>
      <c r="B335" s="60" t="str">
        <f>+AG113&amp;AG114</f>
        <v/>
      </c>
    </row>
    <row r="336" spans="1:2">
      <c r="B336" s="61" t="str">
        <f>+B7</f>
        <v>} else {</v>
      </c>
    </row>
    <row r="337" spans="1:2">
      <c r="B337" s="60" t="str">
        <f>+A5&amp;O16&amp;A6</f>
        <v>$.get("saveJesus.php",{</v>
      </c>
    </row>
    <row r="338" spans="1:2">
      <c r="A338" s="12">
        <v>1</v>
      </c>
      <c r="B338" s="60" t="str">
        <f>+BG15&amp;BG16&amp;BG17&amp;BG18&amp;BG19&amp;BG20&amp;BG21</f>
        <v>tipo_doc_id:tipo_doc_id,numd:numd</v>
      </c>
    </row>
    <row r="339" spans="1:2">
      <c r="A339" s="12">
        <v>2</v>
      </c>
      <c r="B339" s="60" t="str">
        <f>+BG22&amp;BG23&amp;BG24&amp;BG25&amp;BG26&amp;BG27&amp;BG28</f>
        <v>,nom:nom,apll:apll,Sexo:Sexo,bthdt:bthdt,eps:eps</v>
      </c>
    </row>
    <row r="340" spans="1:2" hidden="1">
      <c r="A340" s="12">
        <v>3</v>
      </c>
      <c r="B340" s="60" t="str">
        <f>+BG29&amp;BG30&amp;BG31&amp;BG32&amp;BG33&amp;BG34&amp;BG35</f>
        <v/>
      </c>
    </row>
    <row r="341" spans="1:2" hidden="1">
      <c r="A341" s="12">
        <v>4</v>
      </c>
      <c r="B341" s="60" t="str">
        <f>+BG36&amp;BG37&amp;BG38&amp;BG39&amp;BG40&amp;BG41&amp;BG42</f>
        <v/>
      </c>
    </row>
    <row r="342" spans="1:2" hidden="1">
      <c r="A342" s="12">
        <v>5</v>
      </c>
      <c r="B342" s="60" t="str">
        <f>+BG43&amp;BG44&amp;BG45&amp;BG46&amp;BG47&amp;BG48&amp;BG49</f>
        <v/>
      </c>
    </row>
    <row r="343" spans="1:2" hidden="1">
      <c r="A343" s="12">
        <v>6</v>
      </c>
      <c r="B343" s="60" t="str">
        <f>+BG50&amp;BG51&amp;BG52&amp;BG53&amp;BG54&amp;BG55&amp;BG56</f>
        <v/>
      </c>
    </row>
    <row r="344" spans="1:2" hidden="1">
      <c r="A344" s="12">
        <v>7</v>
      </c>
      <c r="B344" s="60" t="str">
        <f>+BG57&amp;BG58&amp;BG59&amp;BG60&amp;BG61&amp;BG62&amp;BG63</f>
        <v/>
      </c>
    </row>
    <row r="345" spans="1:2" hidden="1">
      <c r="A345" s="12">
        <v>8</v>
      </c>
      <c r="B345" s="60" t="str">
        <f>+BG64&amp;BG65&amp;BG66&amp;BG67&amp;BG68&amp;BG69&amp;BG70</f>
        <v/>
      </c>
    </row>
    <row r="346" spans="1:2" hidden="1">
      <c r="A346" s="12">
        <v>9</v>
      </c>
      <c r="B346" s="60" t="str">
        <f>+BG71&amp;BG72&amp;BG73&amp;BG74&amp;BG75&amp;BG76&amp;BG77</f>
        <v/>
      </c>
    </row>
    <row r="347" spans="1:2" hidden="1">
      <c r="A347" s="12">
        <v>10</v>
      </c>
      <c r="B347" s="60" t="str">
        <f>+BG78&amp;BG79&amp;BG80&amp;BG81&amp;BG82&amp;BG83&amp;BG84</f>
        <v/>
      </c>
    </row>
    <row r="348" spans="1:2" hidden="1">
      <c r="A348" s="12">
        <v>11</v>
      </c>
      <c r="B348" s="60" t="str">
        <f>+BG85&amp;BG86&amp;BG87&amp;BG88&amp;BG89&amp;BG90&amp;BG91</f>
        <v/>
      </c>
    </row>
    <row r="349" spans="1:2" hidden="1">
      <c r="A349" s="12">
        <v>12</v>
      </c>
      <c r="B349" s="60" t="str">
        <f>+BG92&amp;BG93&amp;BG94&amp;BG95&amp;BG96&amp;BG97&amp;BG98</f>
        <v/>
      </c>
    </row>
    <row r="350" spans="1:2" hidden="1">
      <c r="A350" s="12">
        <v>13</v>
      </c>
      <c r="B350" s="60" t="str">
        <f>+BG99&amp;BG100&amp;BG101&amp;BG102&amp;BG103&amp;BG104&amp;BG105</f>
        <v/>
      </c>
    </row>
    <row r="351" spans="1:2" hidden="1">
      <c r="A351" s="12">
        <v>14</v>
      </c>
      <c r="B351" s="60" t="str">
        <f>+BG106&amp;BG107&amp;BG108&amp;BG109&amp;BG110&amp;BG111&amp;BG112</f>
        <v/>
      </c>
    </row>
    <row r="352" spans="1:2" hidden="1">
      <c r="A352" s="12">
        <v>15</v>
      </c>
      <c r="B352" s="60" t="str">
        <f>+BG113&amp;BG114</f>
        <v/>
      </c>
    </row>
    <row r="353" spans="1:2">
      <c r="B353" s="60" t="str">
        <f>A7&amp;O19&amp;A8</f>
        <v xml:space="preserve">},function(result){$("#check1").html(result); </v>
      </c>
    </row>
    <row r="354" spans="1:2">
      <c r="A354" s="12">
        <v>1</v>
      </c>
      <c r="B354" s="60" t="str">
        <f>+BX15&amp;BX16&amp;BX17&amp;BX18&amp;BX19&amp;BX20&amp;BX21</f>
        <v>document.getElementById("cc").checked=false;$("#adv_tipo_doc_id").html("");document.getElementById("ti").checked=false;document.getElementById("rc").checked=false;document.getElementById("ce").checked=false;document.getElementById("ni").checked=false;$("#numd").val("");$("#adv_numd").html("");$("#numd").css({"background":"#fff"});</v>
      </c>
    </row>
    <row r="355" spans="1:2">
      <c r="A355" s="12">
        <v>2</v>
      </c>
      <c r="B355" s="60" t="str">
        <f>+BX22&amp;BX23&amp;BX24&amp;BX25&amp;BX26&amp;BX27&amp;BX28</f>
        <v>$("#nom").val("");$("#adv_nom").html("");$("#nom").css({"background":"#fff"});$("#apll").val("");$("#adv_apll").html("");$("#apll").css({"background":"#fff"});document.getElementById("hombre").checked=false;$("#adv_Sexo").html("");document.getElementById("mujer").checked=false;$("#bthdt").val("");$("#adv_bthdt").html("");$("#bthdt").css({"background":"#fff"});$("#eps").val("");$("#adv_eps").html("");$("#eps").css({"background":"#fff"});</v>
      </c>
    </row>
    <row r="356" spans="1:2" hidden="1">
      <c r="A356" s="12">
        <v>3</v>
      </c>
      <c r="B356" s="60" t="str">
        <f>+BX29&amp;BX30&amp;BX31&amp;BX32&amp;BX33&amp;BX34&amp;BX35</f>
        <v/>
      </c>
    </row>
    <row r="357" spans="1:2" hidden="1">
      <c r="A357" s="12">
        <v>4</v>
      </c>
      <c r="B357" s="60" t="str">
        <f>+BX36&amp;BX37&amp;BX38&amp;BX39&amp;BX40&amp;BX41&amp;BX42</f>
        <v/>
      </c>
    </row>
    <row r="358" spans="1:2" hidden="1">
      <c r="A358" s="12">
        <v>5</v>
      </c>
      <c r="B358" s="60" t="str">
        <f>+BX43&amp;BX44&amp;BX45&amp;BX46&amp;BX47&amp;BX48&amp;BX49</f>
        <v/>
      </c>
    </row>
    <row r="359" spans="1:2" hidden="1">
      <c r="A359" s="12">
        <v>6</v>
      </c>
      <c r="B359" s="60" t="str">
        <f>+BX50&amp;BX51&amp;BX52&amp;BX53&amp;BX54&amp;BX55&amp;BX56</f>
        <v/>
      </c>
    </row>
    <row r="360" spans="1:2" hidden="1">
      <c r="A360" s="12">
        <v>7</v>
      </c>
      <c r="B360" s="60" t="str">
        <f>+BX57&amp;BX58&amp;BX59&amp;BX60&amp;BX61&amp;BX62&amp;BX63</f>
        <v/>
      </c>
    </row>
    <row r="361" spans="1:2" hidden="1">
      <c r="A361" s="12">
        <v>8</v>
      </c>
      <c r="B361" s="60" t="str">
        <f>+BX64&amp;BX65&amp;BX66&amp;BX67&amp;BX68&amp;BX69&amp;BX70</f>
        <v/>
      </c>
    </row>
    <row r="362" spans="1:2" hidden="1">
      <c r="A362" s="12">
        <v>9</v>
      </c>
      <c r="B362" s="60" t="str">
        <f>+BX71&amp;BX72&amp;BX73&amp;BX74&amp;BX75&amp;BX76&amp;BX77</f>
        <v/>
      </c>
    </row>
    <row r="363" spans="1:2" hidden="1">
      <c r="A363" s="12">
        <v>10</v>
      </c>
      <c r="B363" s="60" t="str">
        <f>+BX78&amp;BX79&amp;BX80&amp;BX81&amp;BX82&amp;BX83&amp;BX84</f>
        <v/>
      </c>
    </row>
    <row r="364" spans="1:2" hidden="1">
      <c r="A364" s="12">
        <v>11</v>
      </c>
      <c r="B364" s="60" t="str">
        <f>+BX85&amp;BX86&amp;BX87&amp;BX88&amp;BX89&amp;BX90&amp;BX91</f>
        <v/>
      </c>
    </row>
    <row r="365" spans="1:2" hidden="1">
      <c r="A365" s="12">
        <v>12</v>
      </c>
      <c r="B365" s="60" t="str">
        <f>+BX92&amp;BX93&amp;BX94&amp;BX95&amp;BX96&amp;BX97&amp;BX98</f>
        <v/>
      </c>
    </row>
    <row r="366" spans="1:2" hidden="1">
      <c r="A366" s="12">
        <v>13</v>
      </c>
      <c r="B366" s="60" t="str">
        <f>+BX99&amp;BX100&amp;BX101&amp;BX102&amp;BX103&amp;BX104&amp;BX105</f>
        <v/>
      </c>
    </row>
    <row r="367" spans="1:2" hidden="1">
      <c r="A367" s="12">
        <v>14</v>
      </c>
      <c r="B367" s="60" t="str">
        <f>+BX106&amp;BX107&amp;BX108&amp;BX109&amp;BX110&amp;BX111&amp;BX112</f>
        <v/>
      </c>
    </row>
    <row r="368" spans="1:2" hidden="1">
      <c r="A368" s="12">
        <v>15</v>
      </c>
      <c r="B368" s="60" t="str">
        <f>+BX113&amp;BX114</f>
        <v/>
      </c>
    </row>
    <row r="369" spans="2:5">
      <c r="B369" s="60" t="str">
        <f>+G3</f>
        <v>$("#hiden1").hide();</v>
      </c>
    </row>
    <row r="370" spans="2:5">
      <c r="B370" s="60" t="s">
        <v>368</v>
      </c>
    </row>
    <row r="371" spans="2:5">
      <c r="B371" s="60" t="str">
        <f>B8&amp;" "&amp;B12</f>
        <v>} }); });</v>
      </c>
    </row>
    <row r="372" spans="2:5">
      <c r="B372" s="60" t="s">
        <v>96</v>
      </c>
      <c r="E372" s="53"/>
    </row>
    <row r="373" spans="2:5" s="232" customFormat="1" ht="11.25">
      <c r="B373" s="231" t="s">
        <v>608</v>
      </c>
    </row>
    <row r="374" spans="2:5" s="232" customFormat="1" ht="11.25">
      <c r="B374" s="231" t="s">
        <v>609</v>
      </c>
    </row>
    <row r="375" spans="2:5" s="232" customFormat="1" ht="11.25">
      <c r="B375" s="231" t="s">
        <v>610</v>
      </c>
    </row>
    <row r="376" spans="2:5" s="232" customFormat="1" ht="11.25">
      <c r="B376" s="231" t="s">
        <v>611</v>
      </c>
    </row>
    <row r="377" spans="2:5" s="232" customFormat="1" ht="11.25">
      <c r="B377" s="231" t="s">
        <v>612</v>
      </c>
    </row>
    <row r="378" spans="2:5" s="232" customFormat="1" ht="11.25">
      <c r="B378" s="231" t="s">
        <v>613</v>
      </c>
    </row>
    <row r="379" spans="2:5" s="193" customFormat="1" ht="12.75">
      <c r="B379" s="262" t="s">
        <v>1328</v>
      </c>
    </row>
    <row r="380" spans="2:5" s="193" customFormat="1" ht="12.75">
      <c r="B380" s="262" t="s">
        <v>1329</v>
      </c>
    </row>
    <row r="381" spans="2:5" s="193" customFormat="1" ht="12.75">
      <c r="B381" s="262" t="s">
        <v>1330</v>
      </c>
    </row>
    <row r="382" spans="2:5" s="193" customFormat="1" ht="12.75">
      <c r="B382" s="262" t="s">
        <v>96</v>
      </c>
    </row>
    <row r="383" spans="2:5" s="232" customFormat="1" ht="11.25">
      <c r="B383" s="231" t="s">
        <v>614</v>
      </c>
    </row>
    <row r="384" spans="2:5" s="232" customFormat="1" ht="11.25">
      <c r="B384" s="231" t="s">
        <v>615</v>
      </c>
    </row>
    <row r="385" spans="2:8" s="232" customFormat="1" ht="11.25">
      <c r="B385" s="231" t="s">
        <v>616</v>
      </c>
    </row>
    <row r="386" spans="2:8" s="232" customFormat="1" ht="11.25">
      <c r="B386" s="231" t="s">
        <v>617</v>
      </c>
    </row>
    <row r="387" spans="2:8" s="232" customFormat="1" ht="11.25">
      <c r="B387" s="231" t="s">
        <v>618</v>
      </c>
    </row>
    <row r="388" spans="2:8" s="232" customFormat="1" ht="11.25">
      <c r="B388" s="231" t="s">
        <v>619</v>
      </c>
    </row>
    <row r="389" spans="2:8" s="232" customFormat="1" ht="11.25">
      <c r="B389" s="231" t="s">
        <v>619</v>
      </c>
    </row>
    <row r="390" spans="2:8" s="232" customFormat="1" ht="11.25">
      <c r="B390" s="231" t="s">
        <v>620</v>
      </c>
    </row>
    <row r="391" spans="2:8" s="232" customFormat="1" ht="11.25">
      <c r="B391" s="231" t="s">
        <v>621</v>
      </c>
    </row>
    <row r="392" spans="2:8" s="232" customFormat="1" ht="11.25">
      <c r="B392" s="231" t="s">
        <v>622</v>
      </c>
    </row>
    <row r="393" spans="2:8" s="232" customFormat="1" ht="11.25">
      <c r="B393" s="231" t="s">
        <v>623</v>
      </c>
    </row>
    <row r="394" spans="2:8" s="232" customFormat="1" ht="11.25">
      <c r="B394" s="231" t="s">
        <v>624</v>
      </c>
    </row>
    <row r="395" spans="2:8" s="232" customFormat="1" ht="11.25">
      <c r="B395" s="231" t="s">
        <v>625</v>
      </c>
    </row>
    <row r="396" spans="2:8">
      <c r="B396" s="136" t="str">
        <f>+fieldcreatorv2!B594</f>
        <v>Wellcome, dear</v>
      </c>
    </row>
    <row r="397" spans="2:8">
      <c r="B397" s="130" t="str">
        <f ca="1">+fieldcreatorv2!B595</f>
        <v>&lt;? $user=$_SESSION["standard141509_Virgin_Mary_user"];</v>
      </c>
    </row>
    <row r="398" spans="2:8">
      <c r="B398" s="130" t="str">
        <f>+fieldcreatorv2!B598</f>
        <v>mysql_select_db("healmy5_pray", $con);$result = mysql_query("SELECT * FROM session WHERE user='$user'");</v>
      </c>
    </row>
    <row r="399" spans="2:8">
      <c r="B399" s="130" t="str">
        <f>+fieldcreatorv2!B599</f>
        <v>$row = mysql_fetch_array($result);</v>
      </c>
    </row>
    <row r="400" spans="2:8">
      <c r="B400" s="130" t="str">
        <f>+fieldcreatorv2!B600</f>
        <v>echo $row['name'].' '.$row['surname'];</v>
      </c>
      <c r="C400" s="116"/>
      <c r="D400" s="116"/>
      <c r="E400" s="116"/>
      <c r="F400" s="116"/>
      <c r="G400" s="116"/>
      <c r="H400" s="116"/>
    </row>
    <row r="401" spans="1:9">
      <c r="B401" s="167" t="s">
        <v>698</v>
      </c>
      <c r="C401" s="166"/>
      <c r="D401" s="166"/>
      <c r="E401" s="166"/>
      <c r="F401" s="166"/>
      <c r="G401" s="166"/>
      <c r="H401" s="116"/>
    </row>
    <row r="402" spans="1:9">
      <c r="B402" s="130" t="str">
        <f>+M7&amp;L6&amp;B15&amp;M6&amp;M8&amp;L6&amp;C20&amp;M10</f>
        <v>if (isset($_SESSION['a01healmy5_pray_'])&amp;&amp;(isset($_SESSION['a01healmy5_pray_ni'])))</v>
      </c>
      <c r="C402" s="116"/>
      <c r="D402" s="116"/>
      <c r="E402" s="116"/>
      <c r="F402" s="116"/>
      <c r="G402" s="116"/>
      <c r="H402" s="116"/>
    </row>
    <row r="403" spans="1:9">
      <c r="B403" s="130" t="s">
        <v>64</v>
      </c>
    </row>
    <row r="404" spans="1:9">
      <c r="B404" s="130" t="s">
        <v>701</v>
      </c>
    </row>
    <row r="405" spans="1:9">
      <c r="B405" s="130" t="s">
        <v>728</v>
      </c>
    </row>
    <row r="406" spans="1:9">
      <c r="B406" s="130" t="str">
        <f>+M12&amp;L6&amp;B15&amp;"']."&amp;L6&amp;C20&amp;"'];"</f>
        <v>echo "Document: ".$_SESSION['a01healmy5_pray_'].$_SESSION['a01healmy5_pray_ni'];</v>
      </c>
    </row>
    <row r="407" spans="1:9">
      <c r="B407" s="130" t="str">
        <f>+"$"&amp;B16&amp;"="&amp;L6&amp;B16&amp;"'];"</f>
        <v>$tipo_doc_id=$_SESSION['a01healmy5_pray_tipo_doc_id'];</v>
      </c>
    </row>
    <row r="408" spans="1:9">
      <c r="B408" s="130" t="str">
        <f>"$"&amp;C21&amp;"="&amp;L6&amp;C21&amp;"'];"</f>
        <v>$numd=$_SESSION['a01healmy5_pray_numd'];</v>
      </c>
    </row>
    <row r="409" spans="1:9">
      <c r="B409" s="130" t="str">
        <f>+I12&amp;M15&amp;" WHERE "&amp;B16&amp;"="&amp;"'$"&amp;B16&amp;"' AND "&amp;C21&amp;"='$"&amp;C21&amp;"'"&amp;N1</f>
        <v>$result = mysql_query("SELECT * FROM uniqueJesus WHERE tipo_doc_id='$tipo_doc_id' AND numd='$numd'");</v>
      </c>
    </row>
    <row r="410" spans="1:9">
      <c r="B410" s="130" t="s">
        <v>478</v>
      </c>
    </row>
    <row r="411" spans="1:9">
      <c r="A411" s="12">
        <v>1</v>
      </c>
      <c r="B411" s="130" t="str">
        <f>+DH15&amp;DH16&amp;DH17&amp;DH18&amp;DH19&amp;DH20&amp;DH21</f>
        <v>echo 'tipo_doc_id: '.$row['tipo_doc_id'];echo 'numd: '.$row['numd'];</v>
      </c>
    </row>
    <row r="412" spans="1:9">
      <c r="A412" s="12">
        <v>2</v>
      </c>
      <c r="B412" s="130" t="str">
        <f>+DH22&amp;DH23&amp;DH24&amp;DH25&amp;DH26&amp;DH27&amp;DH28</f>
        <v>echo 'nom: '.$row['nom'];echo 'apll: '.$row['apll'];echo 'Sexo: '.$row['Sexo'];echo 'bthdt: '.$row['bthdt'];echo 'eps: '.$row['eps'];</v>
      </c>
      <c r="D412" s="39"/>
      <c r="E412" s="39"/>
      <c r="F412" s="39"/>
      <c r="G412" s="39"/>
      <c r="H412" s="39"/>
      <c r="I412" s="39"/>
    </row>
    <row r="413" spans="1:9" hidden="1">
      <c r="A413" s="12">
        <v>3</v>
      </c>
      <c r="B413" s="130" t="str">
        <f>+DH29&amp;DH30&amp;DH31&amp;DH32&amp;DH33&amp;DH34&amp;DH35</f>
        <v/>
      </c>
    </row>
    <row r="414" spans="1:9" hidden="1">
      <c r="A414" s="12">
        <v>4</v>
      </c>
      <c r="B414" s="130" t="str">
        <f>+DH36&amp;DH37&amp;DH38&amp;DH39&amp;DH40&amp;DH41&amp;DH42</f>
        <v/>
      </c>
    </row>
    <row r="415" spans="1:9" hidden="1">
      <c r="A415" s="12">
        <v>5</v>
      </c>
      <c r="B415" s="130" t="str">
        <f>+DH43&amp;DH44&amp;DH45&amp;DH46&amp;DH47&amp;DH48&amp;DH49</f>
        <v/>
      </c>
    </row>
    <row r="416" spans="1:9" hidden="1">
      <c r="A416" s="12">
        <v>6</v>
      </c>
      <c r="B416" s="130" t="str">
        <f>+DH50&amp;DH51&amp;DH52&amp;DH53&amp;DH54&amp;DH55&amp;DH56</f>
        <v/>
      </c>
    </row>
    <row r="417" spans="1:61" hidden="1">
      <c r="A417" s="12">
        <v>7</v>
      </c>
      <c r="B417" s="130" t="str">
        <f>+DH57&amp;DH58&amp;DH59&amp;DH60&amp;DH61&amp;DH62&amp;DH63</f>
        <v/>
      </c>
    </row>
    <row r="418" spans="1:61" hidden="1">
      <c r="A418" s="12">
        <v>8</v>
      </c>
      <c r="B418" s="130" t="str">
        <f>+DH64&amp;DH65&amp;DH66&amp;DH67&amp;DH68&amp;DH69&amp;DH70</f>
        <v/>
      </c>
    </row>
    <row r="419" spans="1:61" hidden="1">
      <c r="A419" s="12">
        <v>9</v>
      </c>
      <c r="B419" s="130" t="str">
        <f>+DH71&amp;DH72&amp;DH73&amp;DH74&amp;DH75&amp;DH76&amp;DH77</f>
        <v/>
      </c>
    </row>
    <row r="420" spans="1:61" hidden="1">
      <c r="A420" s="12">
        <v>10</v>
      </c>
      <c r="B420" s="130" t="str">
        <f>+DH78&amp;DH79&amp;DH80&amp;DH81&amp;DH82&amp;DH83&amp;DH84</f>
        <v/>
      </c>
    </row>
    <row r="421" spans="1:61" hidden="1">
      <c r="A421" s="12">
        <v>11</v>
      </c>
      <c r="B421" s="130" t="str">
        <f>+DH85&amp;DH86&amp;DH87&amp;DH88&amp;DH89&amp;DH90&amp;DH91</f>
        <v/>
      </c>
    </row>
    <row r="422" spans="1:61" hidden="1">
      <c r="A422" s="12">
        <v>12</v>
      </c>
      <c r="B422" s="130" t="str">
        <f>+DH92&amp;DH93&amp;DH94&amp;DH95&amp;DH96&amp;DH97&amp;DH98</f>
        <v/>
      </c>
    </row>
    <row r="423" spans="1:61" hidden="1">
      <c r="A423" s="12">
        <v>13</v>
      </c>
      <c r="B423" s="130" t="str">
        <f>+DH99&amp;DH100&amp;DH101&amp;DH102&amp;DH103&amp;DH104&amp;DH105</f>
        <v/>
      </c>
    </row>
    <row r="424" spans="1:61" hidden="1">
      <c r="A424" s="12">
        <v>14</v>
      </c>
      <c r="B424" s="130" t="str">
        <f>+DH106&amp;DH107&amp;DH108&amp;DH109&amp;DH110&amp;DH111&amp;DH112</f>
        <v/>
      </c>
    </row>
    <row r="425" spans="1:61" hidden="1">
      <c r="A425" s="12">
        <v>15</v>
      </c>
      <c r="B425" s="130" t="str">
        <f>+DH113&amp;DH114</f>
        <v/>
      </c>
    </row>
    <row r="426" spans="1:61">
      <c r="B426" s="130" t="s">
        <v>707</v>
      </c>
    </row>
    <row r="427" spans="1:61">
      <c r="B427" s="136" t="str">
        <f>+A9&amp;O19&amp;A10</f>
        <v>&lt;div id="check1"&gt;&lt;/div&gt;</v>
      </c>
      <c r="BD427" s="12" t="str">
        <f t="shared" ref="BD427:BD437" si="203">+BD25</f>
        <v>mujer&lt;input type="radio" name="Sexo" id="mujer" value="mujer" /&gt;</v>
      </c>
      <c r="BI427" s="12" t="str">
        <f t="shared" ref="BI427:BI438" si="204">+BI16</f>
        <v>&lt;br/&gt;</v>
      </c>
    </row>
    <row r="428" spans="1:61">
      <c r="B428" s="136" t="str">
        <f>IF(M21="si","&lt;div id='hiden"&amp;M19&amp;"'&gt;","")</f>
        <v>&lt;div id='hiden1'&gt;</v>
      </c>
      <c r="BD428" s="12" t="str">
        <f t="shared" si="203"/>
        <v>Fecha nacimiento:&lt;input type="text"  size="7"  id="bthdt" class="datepicker"/&gt;</v>
      </c>
      <c r="BI428" s="12" t="str">
        <f t="shared" si="204"/>
        <v>&lt;br/&gt;</v>
      </c>
    </row>
    <row r="429" spans="1:61">
      <c r="B429" s="136" t="str">
        <f>+BD15&amp;BI15&amp;BD16&amp;BI16</f>
        <v>&lt;div id='uniq_tipo_doc_id'&gt;tipo_doc_id:&lt;span id="adv_tipo_doc_id"&gt;&lt;/span&gt;&lt;br/&gt;cc&lt;input type="radio" name="tipo_doc_id" id="cc" value="cc" /&gt;&lt;br/&gt;</v>
      </c>
      <c r="BD429" s="12" t="str">
        <f t="shared" si="203"/>
        <v/>
      </c>
      <c r="BI429" s="12" t="str">
        <f t="shared" si="204"/>
        <v>&lt;br/&gt;</v>
      </c>
    </row>
    <row r="430" spans="1:61">
      <c r="B430" s="136" t="str">
        <f>+BD17&amp;BI17&amp;BD18&amp;BI18</f>
        <v>ti&lt;input type="radio" name="tipo_doc_id" id="ti" value="ti" /&gt;&lt;br/&gt;rc&lt;input type="radio" name="tipo_doc_id" id="rc" value="rc" /&gt;&lt;br/&gt;</v>
      </c>
      <c r="BD430" s="12" t="str">
        <f t="shared" si="203"/>
        <v>EPS:&lt;input type="text" id="eps" name="eps" size="15" /&gt;</v>
      </c>
      <c r="BI430" s="12" t="str">
        <f t="shared" si="204"/>
        <v>&lt;br/&gt;</v>
      </c>
    </row>
    <row r="431" spans="1:61">
      <c r="B431" s="136" t="str">
        <f>+BD19&amp;BI19&amp;BD20&amp;BI20</f>
        <v>ce&lt;input type="radio" name="tipo_doc_id" id="ce" value="ce" /&gt;&lt;br/&gt;ni&lt;input type="radio" name="tipo_doc_id" id="ni" value="ni" /&gt;&lt;/div&gt;&lt;br/&gt;</v>
      </c>
      <c r="BD431" s="12" t="str">
        <f t="shared" si="203"/>
        <v/>
      </c>
      <c r="BI431" s="12" t="str">
        <f t="shared" si="204"/>
        <v>&lt;br/&gt;</v>
      </c>
    </row>
    <row r="432" spans="1:61">
      <c r="B432" s="136" t="str">
        <f>+BD21&amp;BI21&amp;BD22&amp;BI22</f>
        <v>&lt;div id='uniq_numd'&gt;num doc:&lt;input type="text" id="numd" name="numd" size="15" /&gt;&lt;/div&gt;&lt;span id="adv_numd"&gt;&lt;/span&gt;&lt;br/&gt;&lt;div id="hiden1_1" style="display:none"&gt;Nombres:&lt;input type="text" id="nom" name="nom" size="15" /&gt;&lt;span id="adv_nom"&gt;&lt;/span&gt;&lt;br/&gt;</v>
      </c>
      <c r="BD432" s="12" t="str">
        <f t="shared" si="203"/>
        <v/>
      </c>
      <c r="BI432" s="12" t="str">
        <f t="shared" si="204"/>
        <v>&lt;span id="adv_numd"&gt;&lt;/span&gt;&lt;br/&gt;&lt;div id="hiden1_1" style="display:none"&gt;</v>
      </c>
    </row>
    <row r="433" spans="2:61">
      <c r="B433" s="136" t="str">
        <f>+BD23&amp;BI23&amp;BD24&amp;BI24</f>
        <v>Apellidos:&lt;input type="text" id="apll" name="apll" size="15" /&gt;&lt;span id="adv_apll"&gt;&lt;/span&gt;&lt;br/&gt;Sexo:&lt;span id="adv_Sexo"&gt;&lt;/span&gt;&lt;br/&gt;hombre&lt;input type="radio" name="Sexo" id="hombre" value="hombre" /&gt;&lt;br/&gt;</v>
      </c>
      <c r="BD433" s="12" t="str">
        <f t="shared" si="203"/>
        <v/>
      </c>
      <c r="BI433" s="12" t="str">
        <f t="shared" si="204"/>
        <v>&lt;span id="adv_nom"&gt;&lt;/span&gt;&lt;br/&gt;</v>
      </c>
    </row>
    <row r="434" spans="2:61">
      <c r="B434" s="136" t="str">
        <f>+BD25&amp;BI25&amp;BD26&amp;BI26</f>
        <v>mujer&lt;input type="radio" name="Sexo" id="mujer" value="mujer" /&gt;&lt;br/&gt;Fecha nacimiento:&lt;input type="text"  size="7"  id="bthdt" class="datepicker"/&gt;&lt;span id="adv_bthdt"&gt;&lt;/span&gt;&lt;br/&gt;</v>
      </c>
      <c r="BD434" s="12" t="str">
        <f t="shared" si="203"/>
        <v/>
      </c>
      <c r="BI434" s="12" t="str">
        <f t="shared" si="204"/>
        <v>&lt;span id="adv_apll"&gt;&lt;/span&gt;&lt;br/&gt;</v>
      </c>
    </row>
    <row r="435" spans="2:61">
      <c r="B435" s="136" t="str">
        <f>+BD27&amp;BI27&amp;BD28&amp;BI28</f>
        <v>EPS:&lt;input type="text" id="eps" name="eps" size="15" /&gt;&lt;span id="adv_eps"&gt;&lt;/span&gt;&lt;br/&gt;</v>
      </c>
      <c r="BD435" s="12" t="str">
        <f t="shared" si="203"/>
        <v/>
      </c>
      <c r="BI435" s="12" t="str">
        <f t="shared" si="204"/>
        <v>&lt;br/&gt;</v>
      </c>
    </row>
    <row r="436" spans="2:61" hidden="1">
      <c r="B436" s="136" t="str">
        <f>+BD29&amp;BI29&amp;BD30&amp;BI30</f>
        <v/>
      </c>
      <c r="BD436" s="12" t="str">
        <f t="shared" si="203"/>
        <v/>
      </c>
      <c r="BI436" s="12" t="str">
        <f t="shared" si="204"/>
        <v>&lt;br/&gt;</v>
      </c>
    </row>
    <row r="437" spans="2:61" hidden="1">
      <c r="B437" s="136" t="str">
        <f>+BD31&amp;BI31&amp;BD32&amp;BI32</f>
        <v/>
      </c>
      <c r="BD437" s="12" t="str">
        <f t="shared" si="203"/>
        <v/>
      </c>
      <c r="BI437" s="12" t="str">
        <f t="shared" si="204"/>
        <v>&lt;span id="adv_bthdt"&gt;&lt;/span&gt;&lt;br/&gt;</v>
      </c>
    </row>
    <row r="438" spans="2:61" hidden="1">
      <c r="B438" s="136" t="str">
        <f>+BD33&amp;BI33&amp;BD34&amp;BI34</f>
        <v/>
      </c>
      <c r="BI438" s="12" t="str">
        <f t="shared" si="204"/>
        <v/>
      </c>
    </row>
    <row r="439" spans="2:61" hidden="1">
      <c r="B439" s="136" t="str">
        <f>+BD35&amp;BI35&amp;BD36&amp;BI36</f>
        <v/>
      </c>
    </row>
    <row r="440" spans="2:61" hidden="1">
      <c r="B440" s="136" t="str">
        <f>+BD37&amp;BI37&amp;BD38&amp;BI38</f>
        <v/>
      </c>
    </row>
    <row r="441" spans="2:61" hidden="1">
      <c r="B441" s="136" t="str">
        <f>+BD39&amp;BI39&amp;BD40&amp;BI40</f>
        <v/>
      </c>
    </row>
    <row r="442" spans="2:61" hidden="1">
      <c r="B442" s="136" t="str">
        <f>+BD41&amp;BI41&amp;BD42&amp;BI42</f>
        <v/>
      </c>
    </row>
    <row r="443" spans="2:61" hidden="1">
      <c r="B443" s="136" t="str">
        <f>+BD43&amp;BI43&amp;BD44&amp;BI44</f>
        <v/>
      </c>
    </row>
    <row r="444" spans="2:61" hidden="1">
      <c r="B444" s="136" t="str">
        <f>+BD45&amp;BI45&amp;BD46&amp;BI46</f>
        <v/>
      </c>
    </row>
    <row r="445" spans="2:61" hidden="1">
      <c r="B445" s="136" t="str">
        <f>+BD47&amp;BI47&amp;BD48&amp;BI48</f>
        <v/>
      </c>
    </row>
    <row r="446" spans="2:61" hidden="1">
      <c r="B446" s="136" t="str">
        <f>+BD49&amp;BI49&amp;BD50&amp;BI50</f>
        <v/>
      </c>
    </row>
    <row r="447" spans="2:61" hidden="1">
      <c r="B447" s="136" t="str">
        <f>+BD51&amp;BI51&amp;BD52&amp;BI52</f>
        <v/>
      </c>
    </row>
    <row r="448" spans="2:61" hidden="1">
      <c r="B448" s="136" t="str">
        <f>+BD53&amp;BI53&amp;BD54&amp;BI54</f>
        <v/>
      </c>
    </row>
    <row r="449" spans="2:2" hidden="1">
      <c r="B449" s="136" t="str">
        <f>+BD55&amp;BI55&amp;BD56&amp;BI56</f>
        <v/>
      </c>
    </row>
    <row r="450" spans="2:2" hidden="1">
      <c r="B450" s="136" t="str">
        <f>+BD57&amp;BI57&amp;BD58&amp;BI58</f>
        <v/>
      </c>
    </row>
    <row r="451" spans="2:2" hidden="1">
      <c r="B451" s="136" t="str">
        <f>+BD59&amp;BI59&amp;BD60&amp;BI60</f>
        <v/>
      </c>
    </row>
    <row r="452" spans="2:2" hidden="1">
      <c r="B452" s="136" t="str">
        <f>+BD61&amp;BI61&amp;BD62&amp;BI62</f>
        <v/>
      </c>
    </row>
    <row r="453" spans="2:2" hidden="1">
      <c r="B453" s="136" t="str">
        <f>+BD63&amp;BI63&amp;BD64&amp;BI64</f>
        <v/>
      </c>
    </row>
    <row r="454" spans="2:2" hidden="1">
      <c r="B454" s="136" t="str">
        <f>+BD65&amp;BI65&amp;BD66&amp;BI66</f>
        <v/>
      </c>
    </row>
    <row r="455" spans="2:2" hidden="1">
      <c r="B455" s="136" t="str">
        <f>+BD67&amp;BI67&amp;BD68&amp;BI68</f>
        <v/>
      </c>
    </row>
    <row r="456" spans="2:2" hidden="1">
      <c r="B456" s="136" t="str">
        <f>+BD69&amp;BI69&amp;BD70&amp;BI70</f>
        <v/>
      </c>
    </row>
    <row r="457" spans="2:2" hidden="1">
      <c r="B457" s="136" t="str">
        <f>+BD71&amp;BI71&amp;BD72&amp;BI72</f>
        <v/>
      </c>
    </row>
    <row r="458" spans="2:2" hidden="1">
      <c r="B458" s="136" t="str">
        <f>+BD73&amp;BI73&amp;BD74&amp;BI74</f>
        <v/>
      </c>
    </row>
    <row r="459" spans="2:2" hidden="1">
      <c r="B459" s="136" t="str">
        <f>+BD75&amp;BI75&amp;BD76&amp;BI76</f>
        <v/>
      </c>
    </row>
    <row r="460" spans="2:2" hidden="1">
      <c r="B460" s="136" t="str">
        <f>+BD77&amp;BI77&amp;BD78&amp;BI78</f>
        <v/>
      </c>
    </row>
    <row r="461" spans="2:2" hidden="1">
      <c r="B461" s="136" t="str">
        <f>+BD79&amp;BI79&amp;BD80&amp;BI80</f>
        <v/>
      </c>
    </row>
    <row r="462" spans="2:2" hidden="1">
      <c r="B462" s="136" t="str">
        <f>+BD81&amp;BI81&amp;BD82&amp;BI82</f>
        <v/>
      </c>
    </row>
    <row r="463" spans="2:2" hidden="1">
      <c r="B463" s="136" t="str">
        <f>+BD83&amp;BI83&amp;BD84&amp;BI84</f>
        <v/>
      </c>
    </row>
    <row r="464" spans="2:2" hidden="1">
      <c r="B464" s="136" t="str">
        <f>+BD85&amp;BI85&amp;BD86&amp;BI86</f>
        <v/>
      </c>
    </row>
    <row r="465" spans="2:2" hidden="1">
      <c r="B465" s="136" t="str">
        <f>+BD87&amp;BI87&amp;BD88&amp;BI88</f>
        <v/>
      </c>
    </row>
    <row r="466" spans="2:2" hidden="1">
      <c r="B466" s="136" t="str">
        <f>+BD89&amp;BI89&amp;BD90&amp;BI90</f>
        <v/>
      </c>
    </row>
    <row r="467" spans="2:2" hidden="1">
      <c r="B467" s="136" t="str">
        <f>+BD91&amp;BI91&amp;BD92&amp;BI92</f>
        <v/>
      </c>
    </row>
    <row r="468" spans="2:2" hidden="1">
      <c r="B468" s="136" t="str">
        <f>+BD93&amp;BI93&amp;BD94&amp;BI94</f>
        <v/>
      </c>
    </row>
    <row r="469" spans="2:2" hidden="1">
      <c r="B469" s="136" t="str">
        <f>+BD95&amp;BI95&amp;BD96&amp;BI96</f>
        <v/>
      </c>
    </row>
    <row r="470" spans="2:2" hidden="1">
      <c r="B470" s="136" t="str">
        <f>+BD97&amp;BI97&amp;BD98&amp;BI98</f>
        <v/>
      </c>
    </row>
    <row r="471" spans="2:2" hidden="1">
      <c r="B471" s="136" t="str">
        <f>+BD99&amp;BI99&amp;BD100&amp;BI100</f>
        <v/>
      </c>
    </row>
    <row r="472" spans="2:2" hidden="1">
      <c r="B472" s="136" t="str">
        <f>+BD101&amp;BI101&amp;BD102&amp;BI102</f>
        <v/>
      </c>
    </row>
    <row r="473" spans="2:2" hidden="1">
      <c r="B473" s="136" t="str">
        <f>+BD103&amp;BI103&amp;BD104&amp;BI104</f>
        <v/>
      </c>
    </row>
    <row r="474" spans="2:2" hidden="1">
      <c r="B474" s="136" t="str">
        <f>+BD105&amp;BI105&amp;BD106&amp;BI106</f>
        <v/>
      </c>
    </row>
    <row r="475" spans="2:2" hidden="1">
      <c r="B475" s="136" t="str">
        <f>+BD107&amp;BI107&amp;BD108&amp;BI108</f>
        <v/>
      </c>
    </row>
    <row r="476" spans="2:2" hidden="1">
      <c r="B476" s="136" t="str">
        <f>+BD109&amp;BI109&amp;BD110&amp;BI110</f>
        <v/>
      </c>
    </row>
    <row r="477" spans="2:2" hidden="1">
      <c r="B477" s="136" t="str">
        <f>+BD111&amp;BI111&amp;BD112&amp;BI112</f>
        <v/>
      </c>
    </row>
    <row r="478" spans="2:2" hidden="1">
      <c r="B478" s="136" t="str">
        <f>+BD113&amp;BI113&amp;BD114&amp;BI114</f>
        <v/>
      </c>
    </row>
    <row r="479" spans="2:2">
      <c r="B479" s="136" t="str">
        <f>+F10&amp;M19&amp;F11</f>
        <v>&lt;div class="glass" id="searchbutton1" style="color:white;padding:10px;text-align:center" onmouseover="this.className='glassonmouse'" onmouseout="this.className='glass'" &gt;SAVE&lt;/div&gt;</v>
      </c>
    </row>
    <row r="480" spans="2:2">
      <c r="B480" s="136" t="str">
        <f>+IF(M21=T2,"&lt;/div&gt;","")</f>
        <v>&lt;/div&gt;</v>
      </c>
    </row>
    <row r="481" spans="2:2">
      <c r="B481" s="136" t="s">
        <v>529</v>
      </c>
    </row>
    <row r="482" spans="2:2">
      <c r="B482" s="136" t="s">
        <v>6</v>
      </c>
    </row>
    <row r="483" spans="2:2">
      <c r="B483" s="136" t="str">
        <f>+L2&amp;O15&amp;K2&amp;L3</f>
        <v>&lt;div style="width:100px"&gt;&lt;a href='searchanotheruniqueJesus.php'&gt;&lt;div class="glass" id="searchbutton_unique" style="color:white;padding:10px;text-align:center;display:none" onmouseover="this.className='glassonmouse'" onmouseout="this.className='glass'" &gt;change patient&lt;/div&gt;&lt;/a&gt;&lt;/div&gt;</v>
      </c>
    </row>
    <row r="484" spans="2:2" s="143" customFormat="1" ht="8.25">
      <c r="B484" s="144" t="s">
        <v>626</v>
      </c>
    </row>
    <row r="485" spans="2:2" s="143" customFormat="1" ht="8.25">
      <c r="B485" s="144" t="s">
        <v>627</v>
      </c>
    </row>
    <row r="486" spans="2:2" s="143" customFormat="1" ht="8.25">
      <c r="B486" s="144" t="s">
        <v>615</v>
      </c>
    </row>
    <row r="487" spans="2:2" s="143" customFormat="1" ht="8.25">
      <c r="B487" s="144" t="s">
        <v>628</v>
      </c>
    </row>
    <row r="488" spans="2:2" s="143" customFormat="1" ht="8.25">
      <c r="B488" s="144" t="s">
        <v>629</v>
      </c>
    </row>
    <row r="489" spans="2:2" s="143" customFormat="1" ht="8.25">
      <c r="B489" s="144" t="s">
        <v>613</v>
      </c>
    </row>
    <row r="490" spans="2:2" s="143" customFormat="1" ht="8.25" hidden="1">
      <c r="B490" s="144" t="s">
        <v>630</v>
      </c>
    </row>
    <row r="491" spans="2:2" s="193" customFormat="1" ht="12.75">
      <c r="B491" s="262" t="s">
        <v>1328</v>
      </c>
    </row>
    <row r="492" spans="2:2" s="193" customFormat="1" ht="12.75">
      <c r="B492" s="262" t="s">
        <v>1329</v>
      </c>
    </row>
    <row r="493" spans="2:2" s="193" customFormat="1" ht="12.75">
      <c r="B493" s="262" t="s">
        <v>1331</v>
      </c>
    </row>
    <row r="494" spans="2:2" s="193" customFormat="1" ht="12.75">
      <c r="B494" s="262" t="s">
        <v>96</v>
      </c>
    </row>
    <row r="495" spans="2:2" s="143" customFormat="1" ht="8.25">
      <c r="B495" s="144" t="s">
        <v>632</v>
      </c>
    </row>
    <row r="496" spans="2:2" s="143" customFormat="1" ht="8.25">
      <c r="B496" s="144" t="s">
        <v>615</v>
      </c>
    </row>
    <row r="497" spans="1:2" s="143" customFormat="1" ht="8.25">
      <c r="B497" s="144" t="s">
        <v>6</v>
      </c>
    </row>
    <row r="498" spans="1:2" s="143" customFormat="1" ht="8.25">
      <c r="B498" s="144" t="s">
        <v>633</v>
      </c>
    </row>
    <row r="499" spans="1:2" s="143" customFormat="1" ht="8.25">
      <c r="B499" s="144" t="s">
        <v>634</v>
      </c>
    </row>
    <row r="500" spans="1:2">
      <c r="B500" s="173" t="s">
        <v>723</v>
      </c>
    </row>
    <row r="501" spans="1:2">
      <c r="B501" s="13" t="s">
        <v>535</v>
      </c>
    </row>
    <row r="502" spans="1:2">
      <c r="B502" s="116" t="str">
        <f>+"&lt;?php // "&amp;O15</f>
        <v>&lt;?php // uniqueJesus.php</v>
      </c>
    </row>
    <row r="503" spans="1:2">
      <c r="B503" s="116" t="s">
        <v>486</v>
      </c>
    </row>
    <row r="504" spans="1:2">
      <c r="A504" s="12">
        <v>1</v>
      </c>
      <c r="B504" s="116" t="str">
        <f>+CR15&amp;CR16&amp;CR17&amp;CR18&amp;CR19&amp;CR20&amp;CR21</f>
        <v>if (isset($_GET['tipo_doc_id'])) {$tipo_doc_id=($_GET['tipo_doc_id']);}else $tipo_doc_id='';if (isset($_GET['numd'])) {$numd=($_GET['numd']);}else $numd='';</v>
      </c>
    </row>
    <row r="505" spans="1:2" hidden="1">
      <c r="A505" s="12">
        <v>2</v>
      </c>
      <c r="B505" s="116" t="str">
        <f>+CR22&amp;CR23&amp;CR24&amp;CR25&amp;CR26&amp;CR27&amp;CR28</f>
        <v/>
      </c>
    </row>
    <row r="506" spans="1:2" hidden="1">
      <c r="A506" s="12">
        <v>3</v>
      </c>
      <c r="B506" s="116" t="str">
        <f>+CR29&amp;CR30&amp;CR31&amp;CR32&amp;CR33&amp;CR34&amp;CR35</f>
        <v/>
      </c>
    </row>
    <row r="507" spans="1:2" hidden="1">
      <c r="A507" s="12">
        <v>4</v>
      </c>
      <c r="B507" s="116" t="str">
        <f>+CR36&amp;CR37&amp;CR38&amp;CR39&amp;CR40&amp;CR41&amp;CR42</f>
        <v/>
      </c>
    </row>
    <row r="508" spans="1:2" hidden="1">
      <c r="A508" s="12">
        <v>5</v>
      </c>
      <c r="B508" s="116" t="str">
        <f>+CR43&amp;CR44&amp;CR45&amp;CR46&amp;CR47&amp;CR48&amp;CR49</f>
        <v/>
      </c>
    </row>
    <row r="509" spans="1:2" hidden="1">
      <c r="A509" s="12">
        <v>6</v>
      </c>
      <c r="B509" s="116" t="str">
        <f>+CR50&amp;CR51&amp;CR52&amp;CR53&amp;CR54&amp;CR55&amp;CR56</f>
        <v/>
      </c>
    </row>
    <row r="510" spans="1:2" hidden="1">
      <c r="A510" s="12">
        <v>7</v>
      </c>
      <c r="B510" s="116" t="str">
        <f>+CR57&amp;CR58&amp;CR59&amp;CR60&amp;CR61&amp;CR62&amp;CR63</f>
        <v/>
      </c>
    </row>
    <row r="511" spans="1:2" hidden="1">
      <c r="A511" s="12">
        <v>8</v>
      </c>
      <c r="B511" s="116" t="str">
        <f>+CR64&amp;CR65&amp;CR66&amp;CR67&amp;CR68&amp;CR69&amp;CR70</f>
        <v/>
      </c>
    </row>
    <row r="512" spans="1:2" hidden="1">
      <c r="A512" s="12">
        <v>9</v>
      </c>
      <c r="B512" s="116" t="str">
        <f>+CR71&amp;CR72&amp;CR73&amp;CR74&amp;CR75&amp;CR76&amp;CR77</f>
        <v/>
      </c>
    </row>
    <row r="513" spans="1:2" hidden="1">
      <c r="A513" s="12">
        <v>10</v>
      </c>
      <c r="B513" s="116" t="str">
        <f>+CR78&amp;CR79&amp;CR80&amp;CR81&amp;CR82&amp;CR83&amp;CR84</f>
        <v/>
      </c>
    </row>
    <row r="514" spans="1:2" hidden="1">
      <c r="A514" s="12">
        <v>11</v>
      </c>
      <c r="B514" s="116" t="str">
        <f>+CR85&amp;CR86&amp;CR87&amp;CR88&amp;CR89&amp;CR90&amp;CR91</f>
        <v/>
      </c>
    </row>
    <row r="515" spans="1:2" hidden="1">
      <c r="A515" s="12">
        <v>12</v>
      </c>
      <c r="B515" s="116" t="str">
        <f>+CR92&amp;CR93&amp;CR94&amp;CR95&amp;CR96&amp;CR97&amp;CR98</f>
        <v/>
      </c>
    </row>
    <row r="516" spans="1:2" hidden="1">
      <c r="A516" s="12">
        <v>13</v>
      </c>
      <c r="B516" s="116" t="str">
        <f>+CR99&amp;CR100&amp;CR101&amp;CR102&amp;CR103&amp;CR104&amp;CR105</f>
        <v/>
      </c>
    </row>
    <row r="517" spans="1:2" hidden="1">
      <c r="A517" s="12">
        <v>14</v>
      </c>
      <c r="B517" s="116" t="str">
        <f>+CR106&amp;CR107&amp;CR108&amp;CR109&amp;CR110&amp;CR111&amp;CR112</f>
        <v/>
      </c>
    </row>
    <row r="518" spans="1:2" hidden="1">
      <c r="A518" s="12">
        <v>15</v>
      </c>
      <c r="B518" s="116" t="str">
        <f>+CR113&amp;CR114</f>
        <v/>
      </c>
    </row>
    <row r="519" spans="1:2">
      <c r="B519" s="116" t="str">
        <f>+I11&amp;N5</f>
        <v>$con=mysql_connect('localhost','root','jatter'); if (!$con)  {die('Could not connect: ' . mysql_error());}  mysql_select_db('healmy5_pray', $con);</v>
      </c>
    </row>
    <row r="520" spans="1:2">
      <c r="B520" s="116" t="str">
        <f>+E1</f>
        <v xml:space="preserve">$already_exist_result = mysql_query("SELECT * FROM uniqueJesus WHERE </v>
      </c>
    </row>
    <row r="521" spans="1:2">
      <c r="A521" s="12">
        <v>1</v>
      </c>
      <c r="B521" s="116" t="str">
        <f>+CS15&amp;CS16&amp;CS17&amp;CS18&amp;CS19&amp;CS20&amp;CS21</f>
        <v>tipo_doc_id='$tipo_doc_id' AND numd='$numd'</v>
      </c>
    </row>
    <row r="522" spans="1:2" hidden="1">
      <c r="A522" s="12">
        <v>2</v>
      </c>
      <c r="B522" s="116" t="str">
        <f>+CS22&amp;CS23&amp;CS24&amp;CS25&amp;CS26&amp;CS27&amp;CS28</f>
        <v/>
      </c>
    </row>
    <row r="523" spans="1:2" hidden="1">
      <c r="A523" s="12">
        <v>3</v>
      </c>
      <c r="B523" s="116" t="str">
        <f>+CS29&amp;CS30&amp;CS31&amp;CS32&amp;CS33&amp;CS34&amp;CS35</f>
        <v/>
      </c>
    </row>
    <row r="524" spans="1:2" hidden="1">
      <c r="A524" s="12">
        <v>4</v>
      </c>
      <c r="B524" s="116" t="str">
        <f>+CS36&amp;CS37&amp;CS38&amp;CS39&amp;CS40&amp;CS41&amp;CS42</f>
        <v/>
      </c>
    </row>
    <row r="525" spans="1:2" hidden="1">
      <c r="A525" s="12">
        <v>5</v>
      </c>
      <c r="B525" s="116" t="str">
        <f>+CS43&amp;CS44&amp;CS45&amp;CS46&amp;CS47&amp;CS48&amp;CS49</f>
        <v/>
      </c>
    </row>
    <row r="526" spans="1:2" hidden="1">
      <c r="A526" s="12">
        <v>6</v>
      </c>
      <c r="B526" s="116" t="str">
        <f>+CS50&amp;CS51&amp;CS52&amp;CS53&amp;CS54&amp;CS55&amp;CS56</f>
        <v/>
      </c>
    </row>
    <row r="527" spans="1:2" hidden="1">
      <c r="A527" s="12">
        <v>7</v>
      </c>
      <c r="B527" s="116" t="str">
        <f>+CS57&amp;CS58&amp;CS59&amp;CS60&amp;CS61&amp;CS62&amp;CS63</f>
        <v/>
      </c>
    </row>
    <row r="528" spans="1:2" hidden="1">
      <c r="A528" s="12">
        <v>8</v>
      </c>
      <c r="B528" s="116" t="str">
        <f>+CS64&amp;CS65&amp;CS66&amp;CS67&amp;CS68&amp;CS69&amp;CS70</f>
        <v/>
      </c>
    </row>
    <row r="529" spans="1:2" hidden="1">
      <c r="A529" s="12">
        <v>9</v>
      </c>
      <c r="B529" s="116" t="str">
        <f>+CS71&amp;CS72&amp;CS73&amp;CS74&amp;CS75&amp;CS76&amp;CS77</f>
        <v/>
      </c>
    </row>
    <row r="530" spans="1:2" hidden="1">
      <c r="A530" s="12">
        <v>10</v>
      </c>
      <c r="B530" s="116" t="str">
        <f>+CS78&amp;CS79&amp;CS80&amp;CS81&amp;CS82&amp;CS83&amp;CS84</f>
        <v/>
      </c>
    </row>
    <row r="531" spans="1:2" hidden="1">
      <c r="A531" s="12">
        <v>11</v>
      </c>
      <c r="B531" s="116" t="str">
        <f>+CS85&amp;CS86&amp;CS87&amp;CS88&amp;CS89&amp;CS90&amp;CS91</f>
        <v/>
      </c>
    </row>
    <row r="532" spans="1:2" hidden="1">
      <c r="A532" s="12">
        <v>12</v>
      </c>
      <c r="B532" s="116" t="str">
        <f>+CS92&amp;CS93&amp;CS94&amp;CS95&amp;CS96&amp;CS97&amp;CS98</f>
        <v/>
      </c>
    </row>
    <row r="533" spans="1:2" hidden="1">
      <c r="A533" s="12">
        <v>13</v>
      </c>
      <c r="B533" s="116" t="str">
        <f>+CS99&amp;CS100&amp;CS101&amp;CS102&amp;CS103&amp;CS104&amp;CS105</f>
        <v/>
      </c>
    </row>
    <row r="534" spans="1:2" hidden="1">
      <c r="A534" s="12">
        <v>14</v>
      </c>
      <c r="B534" s="116" t="str">
        <f>+CS106&amp;CS107&amp;CS108&amp;CS109&amp;CS110&amp;CS111&amp;CS112</f>
        <v/>
      </c>
    </row>
    <row r="535" spans="1:2" hidden="1">
      <c r="A535" s="12">
        <v>15</v>
      </c>
      <c r="B535" s="116" t="str">
        <f>+CS113&amp;CS114</f>
        <v/>
      </c>
    </row>
    <row r="536" spans="1:2">
      <c r="B536" s="116" t="str">
        <f>+E2</f>
        <v xml:space="preserve"> "); $row_ae = mysql_fetch_array($already_exist_result);</v>
      </c>
    </row>
    <row r="537" spans="1:2">
      <c r="B537" s="116" t="str">
        <f>+L5</f>
        <v>if (!empty($row_ae[0])) {</v>
      </c>
    </row>
    <row r="538" spans="1:2">
      <c r="A538" s="12">
        <v>1</v>
      </c>
      <c r="B538" s="116" t="str">
        <f>+CV15&amp;CV16&amp;CV17&amp;CV18&amp;CV19&amp;CV20&amp;CV21</f>
        <v>$_SESSION['a01healmy5_pray_tipo_doc_id']=$tipo_doc_id;$_SESSION['a01healmy5_pray_numd']=$numd;</v>
      </c>
    </row>
    <row r="539" spans="1:2" hidden="1">
      <c r="A539" s="12">
        <v>2</v>
      </c>
      <c r="B539" s="116" t="str">
        <f>+CV22&amp;CV23&amp;CV24&amp;CV25&amp;CV26&amp;CV27&amp;CV28</f>
        <v/>
      </c>
    </row>
    <row r="540" spans="1:2" hidden="1">
      <c r="A540" s="12">
        <v>3</v>
      </c>
      <c r="B540" s="116" t="str">
        <f>+CV29&amp;CV30&amp;CV31&amp;CV32&amp;CV33&amp;CV34&amp;CV35</f>
        <v/>
      </c>
    </row>
    <row r="541" spans="1:2" hidden="1">
      <c r="A541" s="12">
        <v>4</v>
      </c>
      <c r="B541" s="116" t="str">
        <f>+CV36&amp;CV37&amp;CV38&amp;CV39&amp;CV40&amp;CV41&amp;CV42</f>
        <v/>
      </c>
    </row>
    <row r="542" spans="1:2" hidden="1">
      <c r="A542" s="12">
        <v>5</v>
      </c>
      <c r="B542" s="116" t="str">
        <f>+CV43&amp;CV44&amp;CV45&amp;CV46&amp;CV47&amp;CV48&amp;CV49</f>
        <v/>
      </c>
    </row>
    <row r="543" spans="1:2" hidden="1">
      <c r="A543" s="12">
        <v>6</v>
      </c>
      <c r="B543" s="116" t="str">
        <f>+CV50&amp;CV51&amp;CV52&amp;CV53&amp;CV54&amp;CV55&amp;CV56</f>
        <v/>
      </c>
    </row>
    <row r="544" spans="1:2" hidden="1">
      <c r="A544" s="12">
        <v>7</v>
      </c>
      <c r="B544" s="116" t="str">
        <f>+CV57&amp;CV58&amp;CV59&amp;CV60&amp;CV61&amp;CV62&amp;CV63</f>
        <v/>
      </c>
    </row>
    <row r="545" spans="1:2" hidden="1">
      <c r="A545" s="12">
        <v>8</v>
      </c>
      <c r="B545" s="116" t="str">
        <f>+CV64&amp;CV65&amp;CV66&amp;CV67&amp;CV68&amp;CV69&amp;CV70</f>
        <v/>
      </c>
    </row>
    <row r="546" spans="1:2" hidden="1">
      <c r="A546" s="12">
        <v>9</v>
      </c>
      <c r="B546" s="116" t="str">
        <f>+CV71&amp;CV72&amp;CV73&amp;CV74&amp;CV75&amp;CV76&amp;CV77</f>
        <v/>
      </c>
    </row>
    <row r="547" spans="1:2" hidden="1">
      <c r="A547" s="12">
        <v>10</v>
      </c>
      <c r="B547" s="116" t="str">
        <f>+CV78&amp;CV79&amp;CV80&amp;CV81&amp;CV82&amp;CV83&amp;CV84</f>
        <v/>
      </c>
    </row>
    <row r="548" spans="1:2" hidden="1">
      <c r="A548" s="12">
        <v>11</v>
      </c>
      <c r="B548" s="116" t="str">
        <f>+CV85&amp;CV86&amp;CV87&amp;CV88&amp;CV89&amp;CV90&amp;CV91</f>
        <v/>
      </c>
    </row>
    <row r="549" spans="1:2" hidden="1">
      <c r="A549" s="12">
        <v>12</v>
      </c>
      <c r="B549" s="116" t="str">
        <f>+CV92&amp;CV93&amp;CV94&amp;CV95&amp;CV96&amp;CV97&amp;CV98</f>
        <v/>
      </c>
    </row>
    <row r="550" spans="1:2" hidden="1">
      <c r="A550" s="12">
        <v>13</v>
      </c>
      <c r="B550" s="116" t="str">
        <f>+CV99&amp;CV100&amp;CV101&amp;CV102&amp;CV103&amp;CV104&amp;CV105</f>
        <v/>
      </c>
    </row>
    <row r="551" spans="1:2" hidden="1">
      <c r="A551" s="12">
        <v>14</v>
      </c>
      <c r="B551" s="116" t="str">
        <f>+CV106&amp;CV107&amp;CV108&amp;CV109&amp;CV110&amp;CV111&amp;CV112</f>
        <v/>
      </c>
    </row>
    <row r="552" spans="1:2" hidden="1">
      <c r="A552" s="12">
        <v>15</v>
      </c>
      <c r="B552" s="116" t="str">
        <f>+CV113&amp;CV114</f>
        <v/>
      </c>
    </row>
    <row r="553" spans="1:2">
      <c r="B553" s="116" t="s">
        <v>545</v>
      </c>
    </row>
    <row r="554" spans="1:2">
      <c r="A554" s="12">
        <v>1</v>
      </c>
      <c r="B554" s="116" t="str">
        <f>+CW15&amp;CW16&amp;CW17&amp;CW18&amp;CW19&amp;CW20&amp;CW21</f>
        <v>echo ' tipo_doc_id:'.$row_ae['tipo_doc_id'];echo ' numd:'.$row_ae['numd'];</v>
      </c>
    </row>
    <row r="555" spans="1:2">
      <c r="A555" s="12">
        <v>2</v>
      </c>
      <c r="B555" s="116" t="str">
        <f>+CW22&amp;CW23&amp;CW24&amp;CW25&amp;CW26&amp;CW27&amp;CW28</f>
        <v>echo ' nom:'.$row_ae['nom'];echo ' apll:'.$row_ae['apll'];echo ' bthdt:'.$row_ae['bthdt'];echo ' eps:'.$row_ae['eps'];</v>
      </c>
    </row>
    <row r="556" spans="1:2" hidden="1">
      <c r="A556" s="12">
        <v>3</v>
      </c>
      <c r="B556" s="116" t="str">
        <f>+CW29&amp;CW30&amp;CW31&amp;CW32&amp;CW33&amp;CW34&amp;CW35</f>
        <v/>
      </c>
    </row>
    <row r="557" spans="1:2" hidden="1">
      <c r="A557" s="12">
        <v>4</v>
      </c>
      <c r="B557" s="116" t="str">
        <f>+CW36&amp;CW37&amp;CW38&amp;CW39&amp;CW40&amp;CW41&amp;CW42</f>
        <v/>
      </c>
    </row>
    <row r="558" spans="1:2" hidden="1">
      <c r="A558" s="12">
        <v>5</v>
      </c>
      <c r="B558" s="116" t="str">
        <f>+CW43&amp;CW44&amp;CW45&amp;CW46&amp;CW47&amp;CW48&amp;CW49</f>
        <v/>
      </c>
    </row>
    <row r="559" spans="1:2" hidden="1">
      <c r="A559" s="12">
        <v>6</v>
      </c>
      <c r="B559" s="116" t="str">
        <f>+CW50&amp;CW51&amp;CW52&amp;CW53&amp;CW54&amp;CW55&amp;CW56</f>
        <v/>
      </c>
    </row>
    <row r="560" spans="1:2" hidden="1">
      <c r="A560" s="12">
        <v>7</v>
      </c>
      <c r="B560" s="116" t="str">
        <f>+CW57&amp;CW58&amp;CW59&amp;CW60&amp;CW61&amp;CW62&amp;CW63</f>
        <v/>
      </c>
    </row>
    <row r="561" spans="1:2" hidden="1">
      <c r="A561" s="12">
        <v>8</v>
      </c>
      <c r="B561" s="116" t="str">
        <f>+CW64&amp;CW65&amp;CW66&amp;CW67&amp;CW68&amp;CW69&amp;CW70</f>
        <v/>
      </c>
    </row>
    <row r="562" spans="1:2" hidden="1">
      <c r="A562" s="12">
        <v>9</v>
      </c>
      <c r="B562" s="116" t="str">
        <f>+CW71&amp;CW72&amp;CW73&amp;CW74&amp;CW75&amp;CW76&amp;CW77</f>
        <v/>
      </c>
    </row>
    <row r="563" spans="1:2" hidden="1">
      <c r="A563" s="12">
        <v>10</v>
      </c>
      <c r="B563" s="116" t="str">
        <f>+CW78&amp;CW79&amp;CW80&amp;CW81&amp;CW82&amp;CW83&amp;CW84</f>
        <v/>
      </c>
    </row>
    <row r="564" spans="1:2" hidden="1">
      <c r="A564" s="12">
        <v>11</v>
      </c>
      <c r="B564" s="116" t="str">
        <f>+CW85&amp;CW86&amp;CW87&amp;CW88&amp;CW89&amp;CW90&amp;CW91</f>
        <v/>
      </c>
    </row>
    <row r="565" spans="1:2" hidden="1">
      <c r="A565" s="12">
        <v>12</v>
      </c>
      <c r="B565" s="116" t="str">
        <f>+CW92&amp;CW93&amp;CW94&amp;CW95&amp;CW96&amp;CW97&amp;CW98</f>
        <v/>
      </c>
    </row>
    <row r="566" spans="1:2" hidden="1">
      <c r="A566" s="12">
        <v>13</v>
      </c>
      <c r="B566" s="116" t="str">
        <f>+CW99&amp;CW100&amp;CW101&amp;CW102&amp;CW103&amp;CW104&amp;CW105</f>
        <v/>
      </c>
    </row>
    <row r="567" spans="1:2" hidden="1">
      <c r="A567" s="12">
        <v>14</v>
      </c>
      <c r="B567" s="116" t="str">
        <f>+CW106&amp;CW107&amp;CW108&amp;CW109&amp;CW110&amp;CW111&amp;CW112</f>
        <v/>
      </c>
    </row>
    <row r="568" spans="1:2" hidden="1">
      <c r="A568" s="12">
        <v>15</v>
      </c>
      <c r="B568" s="116" t="str">
        <f>+CW113&amp;CW114</f>
        <v/>
      </c>
    </row>
    <row r="569" spans="1:2">
      <c r="B569" s="116" t="s">
        <v>542</v>
      </c>
    </row>
    <row r="570" spans="1:2">
      <c r="B570" s="48" t="str">
        <f>+L10&amp;L11&amp;fieldcreatorv2!N15&amp;K2&amp;L12</f>
        <v>echo "&lt;a href='a01Jesus1.php'&gt; main page&lt;/a&gt;&lt;br/&gt;";</v>
      </c>
    </row>
    <row r="571" spans="1:2">
      <c r="B571" s="116" t="str">
        <f>+L10&amp;M9&amp;O15&amp;K2&amp;M11</f>
        <v>echo "&lt;a href='searchanotheruniqueJesus.php'&gt; new search&lt;/a&gt;&lt;br/&gt;";</v>
      </c>
    </row>
    <row r="572" spans="1:2">
      <c r="B572" s="116" t="s">
        <v>555</v>
      </c>
    </row>
    <row r="573" spans="1:2">
      <c r="A573" s="12">
        <v>1</v>
      </c>
      <c r="B573" s="116" t="str">
        <f>+CZ15&amp;CZ16&amp;CZ17&amp;CZ18&amp;CZ19&amp;CZ20&amp;CZ21</f>
        <v>$("#pre_tipo_doc_id").hide();$("#tipo_doc_id").hide();$("#uniq_tipo_doc_id").hide();$("#pre_numd").hide();$("#numd").hide();$("#uniq_numd").hide();</v>
      </c>
    </row>
    <row r="574" spans="1:2" hidden="1">
      <c r="A574" s="12">
        <v>2</v>
      </c>
      <c r="B574" s="116" t="str">
        <f>+CZ22&amp;CZ23&amp;CZ24&amp;CZ25&amp;CZ26&amp;CZ27&amp;CZ28</f>
        <v/>
      </c>
    </row>
    <row r="575" spans="1:2" hidden="1">
      <c r="A575" s="12">
        <v>3</v>
      </c>
      <c r="B575" s="116" t="str">
        <f>+CZ29&amp;CZ30&amp;CZ31&amp;CZ32&amp;CZ33&amp;CZ34&amp;CZ35</f>
        <v/>
      </c>
    </row>
    <row r="576" spans="1:2" hidden="1">
      <c r="A576" s="12">
        <v>4</v>
      </c>
      <c r="B576" s="116" t="str">
        <f>+CZ36&amp;CZ37&amp;CZ38&amp;CZ39&amp;CZ40&amp;CZ41&amp;CZ42</f>
        <v/>
      </c>
    </row>
    <row r="577" spans="1:2" hidden="1">
      <c r="A577" s="12">
        <v>5</v>
      </c>
      <c r="B577" s="116" t="str">
        <f>+CZ43&amp;CZ44&amp;CZ45&amp;CZ46&amp;CZ47&amp;CZ48&amp;CZ49</f>
        <v/>
      </c>
    </row>
    <row r="578" spans="1:2" hidden="1">
      <c r="A578" s="12">
        <v>6</v>
      </c>
      <c r="B578" s="116" t="str">
        <f>+CZ50&amp;CZ51&amp;CZ52&amp;CZ53&amp;CZ54&amp;CZ55&amp;CZ56</f>
        <v/>
      </c>
    </row>
    <row r="579" spans="1:2" hidden="1">
      <c r="A579" s="12">
        <v>7</v>
      </c>
      <c r="B579" s="116" t="str">
        <f>+CZ57&amp;CZ58&amp;CZ59&amp;CZ60&amp;CZ61&amp;CZ62&amp;CZ63</f>
        <v/>
      </c>
    </row>
    <row r="580" spans="1:2" hidden="1">
      <c r="A580" s="12">
        <v>8</v>
      </c>
      <c r="B580" s="116" t="str">
        <f>+CZ64&amp;CZ65&amp;CZ66&amp;CZ67&amp;CZ68&amp;CZ69&amp;CZ70</f>
        <v/>
      </c>
    </row>
    <row r="581" spans="1:2" hidden="1">
      <c r="A581" s="12">
        <v>9</v>
      </c>
      <c r="B581" s="116" t="str">
        <f>+CZ71&amp;CZ72&amp;CZ73&amp;CZ74&amp;CZ75&amp;CZ76&amp;CZ77</f>
        <v/>
      </c>
    </row>
    <row r="582" spans="1:2" hidden="1">
      <c r="A582" s="12">
        <v>10</v>
      </c>
      <c r="B582" s="116" t="str">
        <f>+CZ78&amp;CZ79&amp;CZ80&amp;CZ81&amp;CZ82&amp;CZ83&amp;CZ84</f>
        <v/>
      </c>
    </row>
    <row r="583" spans="1:2" hidden="1">
      <c r="A583" s="12">
        <v>11</v>
      </c>
      <c r="B583" s="116" t="str">
        <f>+CZ85&amp;CZ86&amp;CZ87&amp;CZ88&amp;CZ89&amp;CZ90&amp;CZ91</f>
        <v/>
      </c>
    </row>
    <row r="584" spans="1:2" hidden="1">
      <c r="A584" s="12">
        <v>12</v>
      </c>
      <c r="B584" s="116" t="str">
        <f>+CZ92&amp;CZ93&amp;CZ94&amp;CZ95&amp;CZ96&amp;CZ97&amp;CZ98</f>
        <v/>
      </c>
    </row>
    <row r="585" spans="1:2" hidden="1">
      <c r="A585" s="12">
        <v>13</v>
      </c>
      <c r="B585" s="116" t="str">
        <f>+CZ99&amp;CZ100&amp;CZ101&amp;CZ102&amp;CZ103&amp;CZ104&amp;CZ105</f>
        <v/>
      </c>
    </row>
    <row r="586" spans="1:2" hidden="1">
      <c r="A586" s="12">
        <v>14</v>
      </c>
      <c r="B586" s="116" t="str">
        <f>+CZ106&amp;CZ107&amp;CZ108&amp;CZ109&amp;CZ110&amp;CZ111&amp;CZ112</f>
        <v/>
      </c>
    </row>
    <row r="587" spans="1:2" hidden="1">
      <c r="A587" s="12">
        <v>15</v>
      </c>
      <c r="B587" s="116" t="str">
        <f>+CZ113&amp;CZ114</f>
        <v/>
      </c>
    </row>
    <row r="588" spans="1:2">
      <c r="B588" s="116" t="s">
        <v>556</v>
      </c>
    </row>
    <row r="589" spans="1:2">
      <c r="B589" s="116" t="s">
        <v>558</v>
      </c>
    </row>
    <row r="590" spans="1:2">
      <c r="A590" s="12">
        <v>1</v>
      </c>
      <c r="B590" s="116" t="str">
        <f>+CT15&amp;CT16&amp;CT17&amp;CT18&amp;CT19&amp;CT20&amp;CT21</f>
        <v>.$tipo_doc_id." ".$numd</v>
      </c>
    </row>
    <row r="591" spans="1:2" hidden="1">
      <c r="A591" s="12">
        <v>2</v>
      </c>
      <c r="B591" s="116" t="str">
        <f>+CT22&amp;CT23&amp;CT24&amp;CT25&amp;CT26&amp;CT27&amp;CT28</f>
        <v/>
      </c>
    </row>
    <row r="592" spans="1:2" hidden="1">
      <c r="A592" s="12">
        <v>3</v>
      </c>
      <c r="B592" s="116" t="str">
        <f>+CT29&amp;CT30&amp;CT31&amp;CT32&amp;CT33&amp;CT34&amp;CT35</f>
        <v/>
      </c>
    </row>
    <row r="593" spans="1:2" hidden="1">
      <c r="A593" s="12">
        <v>4</v>
      </c>
      <c r="B593" s="116" t="str">
        <f>+CT36&amp;CT37&amp;CT38&amp;CT39&amp;CT40&amp;CT41&amp;CT42</f>
        <v/>
      </c>
    </row>
    <row r="594" spans="1:2" hidden="1">
      <c r="A594" s="12">
        <v>5</v>
      </c>
      <c r="B594" s="116" t="str">
        <f>+CT43&amp;CT44&amp;CT45&amp;CT46&amp;CT47&amp;CT48&amp;CT49</f>
        <v/>
      </c>
    </row>
    <row r="595" spans="1:2" hidden="1">
      <c r="A595" s="12">
        <v>6</v>
      </c>
      <c r="B595" s="116" t="str">
        <f>+CT50&amp;CT51&amp;CT52&amp;CT53&amp;CT54&amp;CT55&amp;CT56</f>
        <v/>
      </c>
    </row>
    <row r="596" spans="1:2" hidden="1">
      <c r="A596" s="12">
        <v>7</v>
      </c>
      <c r="B596" s="116" t="str">
        <f>+CT57&amp;CT58&amp;CT59&amp;CT60&amp;CT61&amp;CT62&amp;CT63</f>
        <v/>
      </c>
    </row>
    <row r="597" spans="1:2" hidden="1">
      <c r="A597" s="12">
        <v>8</v>
      </c>
      <c r="B597" s="116" t="str">
        <f>+CT64&amp;CT65&amp;CT66&amp;CT67&amp;CT68&amp;CT69&amp;CT70</f>
        <v/>
      </c>
    </row>
    <row r="598" spans="1:2" hidden="1">
      <c r="A598" s="12">
        <v>9</v>
      </c>
      <c r="B598" s="116" t="str">
        <f>+CT71&amp;CT72&amp;CT73&amp;CT74&amp;CT75&amp;CT76&amp;CT77</f>
        <v/>
      </c>
    </row>
    <row r="599" spans="1:2" hidden="1">
      <c r="A599" s="12">
        <v>10</v>
      </c>
      <c r="B599" s="116" t="str">
        <f>+CT78&amp;CT79&amp;CT80&amp;CT81&amp;CT82&amp;CT83&amp;CT84</f>
        <v/>
      </c>
    </row>
    <row r="600" spans="1:2" hidden="1">
      <c r="A600" s="12">
        <v>11</v>
      </c>
      <c r="B600" s="116" t="str">
        <f>+CT85&amp;CT86&amp;CT87&amp;CT88&amp;CT89&amp;CT90&amp;CT91</f>
        <v/>
      </c>
    </row>
    <row r="601" spans="1:2" hidden="1">
      <c r="A601" s="12">
        <v>12</v>
      </c>
      <c r="B601" s="116" t="str">
        <f>+CT92&amp;CT93&amp;CT94&amp;CT95&amp;CT96&amp;CT97&amp;CT98</f>
        <v/>
      </c>
    </row>
    <row r="602" spans="1:2" hidden="1">
      <c r="A602" s="12">
        <v>13</v>
      </c>
      <c r="B602" s="116" t="str">
        <f>+CT99&amp;CT100&amp;CT101&amp;CT102&amp;CT103&amp;CT104&amp;CT105</f>
        <v/>
      </c>
    </row>
    <row r="603" spans="1:2" hidden="1">
      <c r="A603" s="12">
        <v>14</v>
      </c>
      <c r="B603" s="116" t="str">
        <f>+CT106&amp;CT107&amp;CT108&amp;CT109&amp;CT110&amp;CT111&amp;CT112</f>
        <v/>
      </c>
    </row>
    <row r="604" spans="1:2" hidden="1">
      <c r="A604" s="12">
        <v>15</v>
      </c>
      <c r="B604" s="116" t="str">
        <f>+CT113&amp;CT114</f>
        <v/>
      </c>
    </row>
    <row r="605" spans="1:2">
      <c r="B605" s="116" t="s">
        <v>559</v>
      </c>
    </row>
    <row r="606" spans="1:2">
      <c r="B606" s="116" t="s">
        <v>561</v>
      </c>
    </row>
    <row r="607" spans="1:2">
      <c r="B607" s="116" t="str">
        <f>+K10&amp;"hiden"&amp;M19&amp;G2&amp;")"&amp;H1</f>
        <v>$('#hiden1_1').show();</v>
      </c>
    </row>
    <row r="608" spans="1:2">
      <c r="B608" s="116" t="s">
        <v>551</v>
      </c>
    </row>
    <row r="609" spans="1:2">
      <c r="B609" s="116" t="s">
        <v>729</v>
      </c>
    </row>
    <row r="610" spans="1:2">
      <c r="B610" s="116" t="s">
        <v>348</v>
      </c>
    </row>
    <row r="611" spans="1:2">
      <c r="A611" s="12">
        <v>1</v>
      </c>
      <c r="B611" s="116" t="str">
        <f>+CZ15&amp;CZ16&amp;CZ17&amp;CZ18&amp;CZ19&amp;CZ20&amp;CZ21</f>
        <v>$("#pre_tipo_doc_id").hide();$("#tipo_doc_id").hide();$("#uniq_tipo_doc_id").hide();$("#pre_numd").hide();$("#numd").hide();$("#uniq_numd").hide();</v>
      </c>
    </row>
    <row r="612" spans="1:2" hidden="1">
      <c r="A612" s="12">
        <v>2</v>
      </c>
      <c r="B612" s="116" t="str">
        <f>+CZ22&amp;CZ23&amp;CZ24&amp;CZ25&amp;CZ26&amp;CZ27&amp;CZ28</f>
        <v/>
      </c>
    </row>
    <row r="613" spans="1:2" hidden="1">
      <c r="A613" s="12">
        <v>3</v>
      </c>
      <c r="B613" s="116" t="str">
        <f>+CZ29&amp;CZ30&amp;CZ31&amp;CZ32&amp;CZ33&amp;CZ34&amp;CZ35</f>
        <v/>
      </c>
    </row>
    <row r="614" spans="1:2" hidden="1">
      <c r="A614" s="12">
        <v>4</v>
      </c>
      <c r="B614" s="116" t="str">
        <f>+CZ36&amp;CZ37&amp;CZ38&amp;CZ39&amp;CZ40&amp;CZ41&amp;CZ42</f>
        <v/>
      </c>
    </row>
    <row r="615" spans="1:2" hidden="1">
      <c r="A615" s="12">
        <v>5</v>
      </c>
      <c r="B615" s="116" t="str">
        <f>+CZ43&amp;CZ44&amp;CZ45&amp;CZ46&amp;CZ47&amp;CZ48&amp;CZ49</f>
        <v/>
      </c>
    </row>
    <row r="616" spans="1:2" hidden="1">
      <c r="A616" s="12">
        <v>6</v>
      </c>
      <c r="B616" s="116" t="str">
        <f>+CZ50&amp;CZ51&amp;CZ52&amp;CZ53&amp;CZ54&amp;CZ55&amp;CZ56</f>
        <v/>
      </c>
    </row>
    <row r="617" spans="1:2" hidden="1">
      <c r="A617" s="12">
        <v>7</v>
      </c>
      <c r="B617" s="116" t="str">
        <f>+CZ57&amp;CZ58&amp;CZ59&amp;CZ60&amp;CZ61&amp;CZ62&amp;CZ63</f>
        <v/>
      </c>
    </row>
    <row r="618" spans="1:2" hidden="1">
      <c r="A618" s="12">
        <v>8</v>
      </c>
      <c r="B618" s="116" t="str">
        <f>+CZ64&amp;CZ65&amp;CZ66&amp;CZ67&amp;CZ68&amp;CZ69&amp;CZ70</f>
        <v/>
      </c>
    </row>
    <row r="619" spans="1:2" hidden="1">
      <c r="A619" s="12">
        <v>9</v>
      </c>
      <c r="B619" s="116" t="str">
        <f>+CZ71&amp;CZ72&amp;CZ73&amp;CZ74&amp;CZ75&amp;CZ76&amp;CZ77</f>
        <v/>
      </c>
    </row>
    <row r="620" spans="1:2" hidden="1">
      <c r="A620" s="12">
        <v>10</v>
      </c>
      <c r="B620" s="116" t="str">
        <f>+CZ78&amp;CZ79&amp;CZ80&amp;CZ81&amp;CZ82&amp;CZ83&amp;CZ84</f>
        <v/>
      </c>
    </row>
    <row r="621" spans="1:2" hidden="1">
      <c r="A621" s="12">
        <v>11</v>
      </c>
      <c r="B621" s="116" t="str">
        <f>+CZ85&amp;CZ86&amp;CZ87&amp;CZ88&amp;CZ89&amp;CZ90&amp;CZ91</f>
        <v/>
      </c>
    </row>
    <row r="622" spans="1:2" hidden="1">
      <c r="A622" s="12">
        <v>12</v>
      </c>
      <c r="B622" s="116" t="str">
        <f>+CZ92&amp;CZ93&amp;CZ94&amp;CZ95&amp;CZ96&amp;CZ97&amp;CZ98</f>
        <v/>
      </c>
    </row>
    <row r="623" spans="1:2" hidden="1">
      <c r="A623" s="12">
        <v>13</v>
      </c>
      <c r="B623" s="116" t="str">
        <f>+CZ99&amp;CZ100&amp;CZ101&amp;CZ102&amp;CZ103&amp;CZ104&amp;CZ105</f>
        <v/>
      </c>
    </row>
    <row r="624" spans="1:2" hidden="1">
      <c r="A624" s="12">
        <v>14</v>
      </c>
      <c r="B624" s="116" t="str">
        <f>+CZ106&amp;CZ107&amp;CZ108&amp;CZ109&amp;CZ110&amp;CZ111&amp;CZ112</f>
        <v/>
      </c>
    </row>
    <row r="625" spans="1:2" hidden="1">
      <c r="A625" s="12">
        <v>15</v>
      </c>
      <c r="B625" s="116" t="str">
        <f>+CZ113&amp;CZ114</f>
        <v/>
      </c>
    </row>
    <row r="626" spans="1:2">
      <c r="B626" s="116" t="s">
        <v>557</v>
      </c>
    </row>
    <row r="627" spans="1:2">
      <c r="B627" s="116" t="s">
        <v>107</v>
      </c>
    </row>
    <row r="628" spans="1:2">
      <c r="B628" s="173" t="s">
        <v>723</v>
      </c>
    </row>
    <row r="629" spans="1:2">
      <c r="B629" s="13" t="s">
        <v>531</v>
      </c>
    </row>
    <row r="630" spans="1:2">
      <c r="B630" s="137" t="str">
        <f>"&lt;?php //"&amp;M9&amp;O15</f>
        <v>&lt;?php //searchanotheruniqueJesus.php</v>
      </c>
    </row>
    <row r="631" spans="1:2">
      <c r="B631" s="116" t="s">
        <v>486</v>
      </c>
    </row>
    <row r="632" spans="1:2">
      <c r="A632" s="12">
        <v>1</v>
      </c>
      <c r="B632" s="116" t="str">
        <f>+DA15&amp;DA16&amp;DA17&amp;DA18&amp;DA19&amp;DA20&amp;DA21</f>
        <v>if (isset($_SESSION['a01healmy5_pray_tipo_doc_id'])) unset($_SESSION['a01healmy5_pray_tipo_doc_id']);if (isset($_SESSION['a01healmy5_pray_numd'])) unset($_SESSION['a01healmy5_pray_numd']);</v>
      </c>
    </row>
    <row r="633" spans="1:2" hidden="1">
      <c r="A633" s="12">
        <v>2</v>
      </c>
      <c r="B633" s="116" t="str">
        <f>+DA22&amp;DA23&amp;DA24&amp;DA25&amp;DA26&amp;DA27&amp;DA28</f>
        <v/>
      </c>
    </row>
    <row r="634" spans="1:2" hidden="1">
      <c r="A634" s="12">
        <v>3</v>
      </c>
      <c r="B634" s="116" t="str">
        <f>+DA29&amp;DA30&amp;DA31&amp;DA32&amp;DA33&amp;DA34&amp;DA35</f>
        <v/>
      </c>
    </row>
    <row r="635" spans="1:2" hidden="1">
      <c r="A635" s="12">
        <v>4</v>
      </c>
      <c r="B635" s="116" t="str">
        <f>+DA36&amp;DA37&amp;DA38&amp;DA39&amp;DA40&amp;DA41&amp;DA42</f>
        <v/>
      </c>
    </row>
    <row r="636" spans="1:2" hidden="1">
      <c r="A636" s="12">
        <v>5</v>
      </c>
      <c r="B636" s="116" t="str">
        <f>+DA43&amp;DA44&amp;DA45&amp;DA46&amp;DA47&amp;DA48&amp;DA49</f>
        <v/>
      </c>
    </row>
    <row r="637" spans="1:2" hidden="1">
      <c r="A637" s="12">
        <v>6</v>
      </c>
      <c r="B637" s="116" t="str">
        <f>+DA50&amp;DA51&amp;DA52&amp;DA53&amp;DA54&amp;DA55&amp;DA56</f>
        <v/>
      </c>
    </row>
    <row r="638" spans="1:2" hidden="1">
      <c r="A638" s="12">
        <v>7</v>
      </c>
      <c r="B638" s="116" t="str">
        <f>+DA57&amp;DA58&amp;DA59&amp;DA60&amp;DA61&amp;DA62&amp;DA63</f>
        <v/>
      </c>
    </row>
    <row r="639" spans="1:2" hidden="1">
      <c r="A639" s="12">
        <v>8</v>
      </c>
      <c r="B639" s="116" t="str">
        <f>+DA64&amp;DA65&amp;DA66&amp;DA67&amp;DA68&amp;DA69&amp;DA70</f>
        <v/>
      </c>
    </row>
    <row r="640" spans="1:2" hidden="1">
      <c r="A640" s="12">
        <v>9</v>
      </c>
      <c r="B640" s="116" t="str">
        <f>+DA71&amp;DA72&amp;DA73&amp;DA74&amp;DA75&amp;DA76&amp;DA77</f>
        <v/>
      </c>
    </row>
    <row r="641" spans="1:2" hidden="1">
      <c r="A641" s="12">
        <v>10</v>
      </c>
      <c r="B641" s="116" t="str">
        <f>+DA78&amp;DA79&amp;DA80&amp;DA81&amp;DA82&amp;DA83&amp;DA84</f>
        <v/>
      </c>
    </row>
    <row r="642" spans="1:2" hidden="1">
      <c r="A642" s="12">
        <v>11</v>
      </c>
      <c r="B642" s="116" t="str">
        <f>+DA85&amp;DA86&amp;DA87&amp;DA88&amp;DA89&amp;DA90&amp;DA91</f>
        <v/>
      </c>
    </row>
    <row r="643" spans="1:2" hidden="1">
      <c r="A643" s="12">
        <v>12</v>
      </c>
      <c r="B643" s="116" t="str">
        <f>+DA92&amp;DA93&amp;DA94&amp;DA95&amp;DA96&amp;DA97&amp;DA98</f>
        <v/>
      </c>
    </row>
    <row r="644" spans="1:2" hidden="1">
      <c r="A644" s="12">
        <v>13</v>
      </c>
      <c r="B644" s="116" t="str">
        <f>+DA99&amp;DA100&amp;DA101&amp;DA102&amp;DA103&amp;DA104&amp;DA105</f>
        <v/>
      </c>
    </row>
    <row r="645" spans="1:2" hidden="1">
      <c r="A645" s="12">
        <v>14</v>
      </c>
      <c r="B645" s="116" t="str">
        <f>+DA106&amp;DA107&amp;DA108&amp;DA109&amp;DA110&amp;DA111&amp;DA112</f>
        <v/>
      </c>
    </row>
    <row r="646" spans="1:2" hidden="1">
      <c r="A646" s="12">
        <v>15</v>
      </c>
      <c r="B646" s="116" t="str">
        <f>+DA113&amp;DA114</f>
        <v/>
      </c>
    </row>
    <row r="647" spans="1:2">
      <c r="B647" s="116" t="str">
        <f>+"header('Location:a01"&amp;O15&amp;"');"</f>
        <v>header('Location:a01uniqueJesus.php');</v>
      </c>
    </row>
    <row r="648" spans="1:2">
      <c r="B648" s="116" t="s">
        <v>107</v>
      </c>
    </row>
    <row r="649" spans="1:2">
      <c r="B649" s="173" t="s">
        <v>723</v>
      </c>
    </row>
    <row r="650" spans="1:2">
      <c r="B650" s="13" t="s">
        <v>530</v>
      </c>
    </row>
    <row r="651" spans="1:2">
      <c r="B651" s="58" t="str">
        <f>"&lt;?php //"&amp;O16</f>
        <v>&lt;?php //saveJesus.php</v>
      </c>
    </row>
    <row r="652" spans="1:2">
      <c r="B652" s="58" t="s">
        <v>101</v>
      </c>
    </row>
    <row r="653" spans="1:2">
      <c r="B653" s="58" t="s">
        <v>486</v>
      </c>
    </row>
    <row r="654" spans="1:2">
      <c r="B654" s="137" t="s">
        <v>499</v>
      </c>
    </row>
    <row r="655" spans="1:2">
      <c r="B655" s="58" t="str">
        <f ca="1">+BW15&amp;BW16&amp;BW17&amp;BW18&amp;BW19&amp;BW20&amp;BW21&amp;BW22&amp;BW23&amp;BW24&amp;BW25&amp;BW26&amp;BW27&amp;BW28&amp;BW29&amp;BW30&amp;BW31&amp;BW32&amp;BW33&amp;BW34&amp;BW35&amp;BW36&amp;BW37&amp;BW38&amp;BW39&amp;BW40&amp;BW41&amp;BW42</f>
        <v>$user=$_SESSION["standard141509_Virgin_Mary_user"];</v>
      </c>
    </row>
    <row r="656" spans="1:2" hidden="1">
      <c r="B656" s="58" t="str">
        <f>+BW43&amp;BW44&amp;BW45&amp;BW46&amp;BW47&amp;BW48&amp;BW49&amp;BW50&amp;BW51&amp;BW52&amp;BW53&amp;BW54&amp;BW55&amp;BW56&amp;BW57&amp;BW58&amp;BW59&amp;BW60&amp;BW61&amp;BW62&amp;BW63&amp;BW64&amp;BW65&amp;BW66&amp;BW67&amp;BW68&amp;BW69&amp;BW70</f>
        <v/>
      </c>
    </row>
    <row r="657" spans="1:2" hidden="1">
      <c r="B657" s="58" t="str">
        <f>+BW71&amp;BW72&amp;BW73&amp;BW74&amp;BW75&amp;BW76&amp;BW77&amp;BW78&amp;BW79&amp;BW80&amp;BW81&amp;BW82&amp;BW83&amp;BW84&amp;BW85&amp;BW86&amp;BW87&amp;BW88&amp;BW89&amp;BW90&amp;BW91&amp;BW92&amp;BW93&amp;BW94&amp;BW95&amp;BW96&amp;BW97&amp;BW98</f>
        <v/>
      </c>
    </row>
    <row r="658" spans="1:2" hidden="1">
      <c r="B658" s="58" t="str">
        <f>+BW99&amp;BW100&amp;BW101&amp;BW102&amp;BW103&amp;BW104&amp;BW105&amp;BW106&amp;BW107&amp;BW108&amp;BW109&amp;BW110&amp;BW111&amp;BW112</f>
        <v/>
      </c>
    </row>
    <row r="659" spans="1:2">
      <c r="B659" s="137" t="s">
        <v>500</v>
      </c>
    </row>
    <row r="660" spans="1:2">
      <c r="A660" s="12">
        <v>1</v>
      </c>
      <c r="B660" s="58" t="str">
        <f>+BH15&amp;BH16&amp;BH17&amp;BH18&amp;BH19&amp;BH20&amp;BH21</f>
        <v>if (isset($_GET['tipo_doc_id'])) {$tipo_doc_id=($_GET['tipo_doc_id']);}else $tipo_doc_id='';if (isset($_GET['numd'])) {$numd=($_GET['numd']);}else $numd='';</v>
      </c>
    </row>
    <row r="661" spans="1:2">
      <c r="A661" s="12">
        <v>2</v>
      </c>
      <c r="B661" s="58" t="str">
        <f>+BH22&amp;BH23&amp;BH24&amp;BH25&amp;BH26&amp;BH27&amp;BH28</f>
        <v>if (isset($_GET['nom'])) {$nom=($_GET['nom']);}else $nom='';if (isset($_GET['apll'])) {$apll=($_GET['apll']);}else $apll='';if (isset($_GET['Sexo'])) {$Sexo=($_GET['Sexo']);}else $Sexo='';if (isset($_GET['bthdt'])) {$bthdt=($_GET['bthdt']);}else $bthdt='';$tmst=date("Y,m,d");if (isset($_GET['eps'])) {$eps=($_GET['eps']);}else $eps='';</v>
      </c>
    </row>
    <row r="662" spans="1:2" hidden="1">
      <c r="A662" s="12">
        <v>3</v>
      </c>
      <c r="B662" s="58" t="str">
        <f>+BH29&amp;BH30&amp;BH31&amp;BH32&amp;BH33&amp;BH34&amp;BH35</f>
        <v/>
      </c>
    </row>
    <row r="663" spans="1:2" hidden="1">
      <c r="A663" s="12">
        <v>4</v>
      </c>
      <c r="B663" s="58" t="str">
        <f>+BH36&amp;BH37&amp;BH38&amp;BH39&amp;BH40&amp;BH41&amp;BH42</f>
        <v/>
      </c>
    </row>
    <row r="664" spans="1:2" hidden="1">
      <c r="A664" s="12">
        <v>5</v>
      </c>
      <c r="B664" s="58" t="str">
        <f>+BH43&amp;BH44&amp;BH45&amp;BH46&amp;BH47&amp;BH48&amp;BH49</f>
        <v/>
      </c>
    </row>
    <row r="665" spans="1:2" hidden="1">
      <c r="A665" s="12">
        <v>6</v>
      </c>
      <c r="B665" s="58" t="str">
        <f>+BH50&amp;BH51&amp;BH52&amp;BH53&amp;BH54&amp;BH55&amp;BH56</f>
        <v/>
      </c>
    </row>
    <row r="666" spans="1:2" hidden="1">
      <c r="A666" s="12">
        <v>7</v>
      </c>
      <c r="B666" s="58" t="str">
        <f>+BH57&amp;BH58&amp;BH59&amp;BH60&amp;BH61&amp;BH62&amp;BH63</f>
        <v/>
      </c>
    </row>
    <row r="667" spans="1:2" hidden="1">
      <c r="A667" s="12">
        <v>8</v>
      </c>
      <c r="B667" s="58" t="str">
        <f>+BH64&amp;BH65&amp;BH66&amp;BH67&amp;BH68&amp;BH69&amp;BH70</f>
        <v/>
      </c>
    </row>
    <row r="668" spans="1:2" hidden="1">
      <c r="A668" s="12">
        <v>9</v>
      </c>
      <c r="B668" s="58" t="str">
        <f>+BH71&amp;BH72&amp;BH73&amp;BH74&amp;BH75&amp;BH76&amp;BH77</f>
        <v/>
      </c>
    </row>
    <row r="669" spans="1:2" hidden="1">
      <c r="A669" s="12">
        <v>10</v>
      </c>
      <c r="B669" s="58" t="str">
        <f>+BH78&amp;BH79&amp;BH80&amp;BH81&amp;BH82&amp;BH83&amp;BH84</f>
        <v/>
      </c>
    </row>
    <row r="670" spans="1:2" hidden="1">
      <c r="A670" s="12">
        <v>11</v>
      </c>
      <c r="B670" s="58" t="str">
        <f>+BH85&amp;BH86&amp;BH87&amp;BH88&amp;BH89&amp;BH90&amp;BH91</f>
        <v/>
      </c>
    </row>
    <row r="671" spans="1:2" hidden="1">
      <c r="A671" s="12">
        <v>12</v>
      </c>
      <c r="B671" s="58" t="str">
        <f>+BH92&amp;BH93&amp;BH94&amp;BH95&amp;BH96&amp;BH97&amp;BH98</f>
        <v/>
      </c>
    </row>
    <row r="672" spans="1:2" hidden="1">
      <c r="A672" s="12">
        <v>13</v>
      </c>
      <c r="B672" s="58" t="str">
        <f>+BH99&amp;BH100&amp;BH101&amp;BH102&amp;BH103&amp;BH104&amp;BH105</f>
        <v/>
      </c>
    </row>
    <row r="673" spans="1:2" hidden="1">
      <c r="A673" s="12">
        <v>14</v>
      </c>
      <c r="B673" s="58" t="str">
        <f>+BH106&amp;BH107&amp;BH108&amp;BH109&amp;BH110&amp;BH111&amp;BH112</f>
        <v/>
      </c>
    </row>
    <row r="674" spans="1:2" ht="13.5" hidden="1" customHeight="1">
      <c r="A674" s="12">
        <v>15</v>
      </c>
      <c r="B674" s="58" t="str">
        <f>+BH113&amp;BH114</f>
        <v/>
      </c>
    </row>
    <row r="675" spans="1:2">
      <c r="B675" s="58" t="str">
        <f>I11&amp;N5</f>
        <v>$con=mysql_connect('localhost','root','jatter'); if (!$con)  {die('Could not connect: ' . mysql_error());}  mysql_select_db('healmy5_pray', $con);</v>
      </c>
    </row>
    <row r="676" spans="1:2">
      <c r="B676" s="58" t="str">
        <f>+E1</f>
        <v xml:space="preserve">$already_exist_result = mysql_query("SELECT * FROM uniqueJesus WHERE </v>
      </c>
    </row>
    <row r="677" spans="1:2">
      <c r="A677" s="12">
        <v>1</v>
      </c>
      <c r="B677" s="58" t="str">
        <f>+BQ15&amp;BQ16&amp;BQ17&amp;BQ18&amp;BQ19&amp;BQ20&amp;BQ21</f>
        <v>tipo_doc_id='$tipo_doc_id' AND numd='$numd'</v>
      </c>
    </row>
    <row r="678" spans="1:2" hidden="1">
      <c r="A678" s="12">
        <v>2</v>
      </c>
      <c r="B678" s="58" t="str">
        <f>+BQ22&amp;BQ23&amp;BQ24&amp;BQ25&amp;BQ26&amp;BQ27&amp;BQ28</f>
        <v/>
      </c>
    </row>
    <row r="679" spans="1:2" hidden="1">
      <c r="A679" s="12">
        <v>3</v>
      </c>
      <c r="B679" s="58" t="str">
        <f>+BQ29&amp;BQ30&amp;BQ31&amp;BQ32&amp;BQ33&amp;BQ34&amp;BQ35</f>
        <v/>
      </c>
    </row>
    <row r="680" spans="1:2" hidden="1">
      <c r="A680" s="12">
        <v>4</v>
      </c>
      <c r="B680" s="58" t="str">
        <f>+BQ36&amp;BQ37&amp;BQ38&amp;BQ39&amp;BQ40&amp;BQ41&amp;BQ42</f>
        <v/>
      </c>
    </row>
    <row r="681" spans="1:2" hidden="1">
      <c r="A681" s="12">
        <v>5</v>
      </c>
      <c r="B681" s="58" t="str">
        <f>+BQ43&amp;BQ44&amp;BQ45&amp;BQ46&amp;BQ47&amp;BQ48&amp;BQ49</f>
        <v/>
      </c>
    </row>
    <row r="682" spans="1:2" hidden="1">
      <c r="A682" s="12">
        <v>6</v>
      </c>
      <c r="B682" s="58" t="str">
        <f>+BQ50&amp;BQ51&amp;BQ52&amp;BQ53&amp;BQ54&amp;BQ55&amp;BQ56</f>
        <v/>
      </c>
    </row>
    <row r="683" spans="1:2" hidden="1">
      <c r="A683" s="12">
        <v>7</v>
      </c>
      <c r="B683" s="58" t="str">
        <f>+BQ57&amp;BQ58&amp;BQ59&amp;BQ60&amp;BQ61&amp;BQ62&amp;BQ63</f>
        <v/>
      </c>
    </row>
    <row r="684" spans="1:2" hidden="1">
      <c r="A684" s="12">
        <v>8</v>
      </c>
      <c r="B684" s="58" t="str">
        <f>+BQ64&amp;BQ65&amp;BQ66&amp;BQ67&amp;BQ68&amp;BQ69&amp;BQ70</f>
        <v/>
      </c>
    </row>
    <row r="685" spans="1:2" hidden="1">
      <c r="A685" s="12">
        <v>9</v>
      </c>
      <c r="B685" s="58" t="str">
        <f>+BQ71&amp;BQ72&amp;BQ73&amp;BQ74&amp;BQ75&amp;BQ76&amp;BQ77</f>
        <v/>
      </c>
    </row>
    <row r="686" spans="1:2" hidden="1">
      <c r="A686" s="12">
        <v>10</v>
      </c>
      <c r="B686" s="58" t="str">
        <f>+BQ78&amp;BQ79&amp;BQ80&amp;BQ81&amp;BQ82&amp;BQ83&amp;BQ84</f>
        <v/>
      </c>
    </row>
    <row r="687" spans="1:2" hidden="1">
      <c r="A687" s="12">
        <v>11</v>
      </c>
      <c r="B687" s="58" t="str">
        <f>+BQ85&amp;BQ86&amp;BQ87&amp;BQ88&amp;BQ89&amp;BQ90&amp;BQ91</f>
        <v/>
      </c>
    </row>
    <row r="688" spans="1:2" hidden="1">
      <c r="A688" s="12">
        <v>12</v>
      </c>
      <c r="B688" s="58" t="str">
        <f>+BQ92&amp;BQ93&amp;BQ94&amp;BQ95&amp;BQ96&amp;BQ97&amp;BQ98</f>
        <v/>
      </c>
    </row>
    <row r="689" spans="1:2" hidden="1">
      <c r="A689" s="12">
        <v>13</v>
      </c>
      <c r="B689" s="58" t="str">
        <f>+BQ99&amp;BQ100&amp;BQ101&amp;BQ102&amp;BQ103&amp;BQ104&amp;BQ105</f>
        <v/>
      </c>
    </row>
    <row r="690" spans="1:2" hidden="1">
      <c r="A690" s="12">
        <v>14</v>
      </c>
      <c r="B690" s="58" t="str">
        <f>+BQ106&amp;BQ107&amp;BQ108&amp;BQ109&amp;BQ110&amp;BQ111&amp;BQ112</f>
        <v/>
      </c>
    </row>
    <row r="691" spans="1:2" hidden="1">
      <c r="A691" s="12">
        <v>15</v>
      </c>
      <c r="B691" s="58" t="str">
        <f>+BQ113&amp;BQ114</f>
        <v/>
      </c>
    </row>
    <row r="692" spans="1:2">
      <c r="B692" s="58" t="str">
        <f>+E2</f>
        <v xml:space="preserve"> "); $row_ae = mysql_fetch_array($already_exist_result);</v>
      </c>
    </row>
    <row r="693" spans="1:2">
      <c r="B693" s="58" t="str">
        <f>+E3</f>
        <v>if (!empty($row_ae[0])) {echo "Ya existe un registro con los datos "</v>
      </c>
    </row>
    <row r="694" spans="1:2">
      <c r="A694" s="12">
        <v>1</v>
      </c>
      <c r="B694" s="58" t="str">
        <f>+BR15&amp;BR16&amp;BR17&amp;BR18&amp;BR19&amp;BR20&amp;BR21</f>
        <v>.$tipo_doc_id." ".$numd</v>
      </c>
    </row>
    <row r="695" spans="1:2" hidden="1">
      <c r="A695" s="12">
        <v>2</v>
      </c>
      <c r="B695" s="58" t="str">
        <f>+BR22&amp;BR23&amp;BR24&amp;BR25&amp;BR26&amp;BR27&amp;BR28</f>
        <v/>
      </c>
    </row>
    <row r="696" spans="1:2" hidden="1">
      <c r="A696" s="12">
        <v>3</v>
      </c>
      <c r="B696" s="58" t="str">
        <f>+BR29&amp;BR30&amp;BR31&amp;BR32&amp;BR33&amp;BR34&amp;BR35</f>
        <v/>
      </c>
    </row>
    <row r="697" spans="1:2" hidden="1">
      <c r="A697" s="12">
        <v>4</v>
      </c>
      <c r="B697" s="58" t="str">
        <f>+BR36&amp;BR37&amp;BR38&amp;BR39&amp;BR40&amp;BR41&amp;BR42</f>
        <v/>
      </c>
    </row>
    <row r="698" spans="1:2" hidden="1">
      <c r="A698" s="12">
        <v>5</v>
      </c>
      <c r="B698" s="58" t="str">
        <f>+BR43&amp;BR44&amp;BR45&amp;BR46&amp;BR47&amp;BR48&amp;BR49</f>
        <v/>
      </c>
    </row>
    <row r="699" spans="1:2" hidden="1">
      <c r="A699" s="12">
        <v>6</v>
      </c>
      <c r="B699" s="58" t="str">
        <f>+BR50&amp;BR51&amp;BR52&amp;BR53&amp;BR54&amp;BR55&amp;BR56</f>
        <v/>
      </c>
    </row>
    <row r="700" spans="1:2" hidden="1">
      <c r="A700" s="12">
        <v>7</v>
      </c>
      <c r="B700" s="58" t="str">
        <f>+BR57&amp;BR58&amp;BR59&amp;BR60&amp;BR61&amp;BR62&amp;BR63</f>
        <v/>
      </c>
    </row>
    <row r="701" spans="1:2" hidden="1">
      <c r="A701" s="12">
        <v>8</v>
      </c>
      <c r="B701" s="58" t="str">
        <f>+BR64&amp;BR65&amp;BR66&amp;BR67&amp;BR68&amp;BR69&amp;BR70</f>
        <v/>
      </c>
    </row>
    <row r="702" spans="1:2" hidden="1">
      <c r="A702" s="12">
        <v>9</v>
      </c>
      <c r="B702" s="58" t="str">
        <f>+BR71&amp;BR72&amp;BR73&amp;BR74&amp;BR75&amp;BR76&amp;BR77</f>
        <v/>
      </c>
    </row>
    <row r="703" spans="1:2" hidden="1">
      <c r="A703" s="12">
        <v>10</v>
      </c>
      <c r="B703" s="58" t="str">
        <f>+BR78&amp;BR79&amp;BR80&amp;BR81&amp;BR82&amp;BR83&amp;BR84</f>
        <v/>
      </c>
    </row>
    <row r="704" spans="1:2" hidden="1">
      <c r="A704" s="12">
        <v>11</v>
      </c>
      <c r="B704" s="58" t="str">
        <f>+BR85&amp;BR86&amp;BR87&amp;BR88&amp;BR89&amp;BR90&amp;BR91</f>
        <v/>
      </c>
    </row>
    <row r="705" spans="1:2" hidden="1">
      <c r="A705" s="12">
        <v>12</v>
      </c>
      <c r="B705" s="58" t="str">
        <f>+BR92&amp;BR93&amp;BR94&amp;BR95&amp;BR96&amp;BR97&amp;BR98</f>
        <v/>
      </c>
    </row>
    <row r="706" spans="1:2" hidden="1">
      <c r="A706" s="12">
        <v>13</v>
      </c>
      <c r="B706" s="58" t="str">
        <f>+BR99&amp;BR100&amp;BR101&amp;BR102&amp;BR103&amp;BR104&amp;BR105</f>
        <v/>
      </c>
    </row>
    <row r="707" spans="1:2" hidden="1">
      <c r="A707" s="12">
        <v>14</v>
      </c>
      <c r="B707" s="58" t="str">
        <f>+BR106&amp;BR107&amp;BR108&amp;BR109&amp;BR110&amp;BR111&amp;BR112</f>
        <v/>
      </c>
    </row>
    <row r="708" spans="1:2" hidden="1">
      <c r="A708" s="12">
        <v>15</v>
      </c>
      <c r="B708" s="58" t="str">
        <f>+BR113&amp;BR114</f>
        <v/>
      </c>
    </row>
    <row r="709" spans="1:2">
      <c r="B709" s="58" t="str">
        <f>+E4</f>
        <v>."&lt;br/&gt;";} else {</v>
      </c>
    </row>
    <row r="710" spans="1:2">
      <c r="A710" s="12">
        <v>1</v>
      </c>
      <c r="B710" s="116" t="str">
        <f>+CV15&amp;CV16&amp;CV17&amp;CV18&amp;CV19&amp;CV20&amp;CV21</f>
        <v>$_SESSION['a01healmy5_pray_tipo_doc_id']=$tipo_doc_id;$_SESSION['a01healmy5_pray_numd']=$numd;</v>
      </c>
    </row>
    <row r="711" spans="1:2" hidden="1">
      <c r="A711" s="12">
        <v>2</v>
      </c>
      <c r="B711" s="116" t="str">
        <f>+CV22&amp;CV23&amp;CV24&amp;CV25&amp;CV26&amp;CV27&amp;CV28</f>
        <v/>
      </c>
    </row>
    <row r="712" spans="1:2" hidden="1">
      <c r="A712" s="12">
        <v>3</v>
      </c>
      <c r="B712" s="116" t="str">
        <f>+CV29&amp;CV30&amp;CV31&amp;CV32&amp;CV33&amp;CV34&amp;CV35</f>
        <v/>
      </c>
    </row>
    <row r="713" spans="1:2" hidden="1">
      <c r="A713" s="12">
        <v>4</v>
      </c>
      <c r="B713" s="116" t="str">
        <f>+CV36&amp;CV37&amp;CV38&amp;CV39&amp;CV40&amp;CV41&amp;CV42</f>
        <v/>
      </c>
    </row>
    <row r="714" spans="1:2" hidden="1">
      <c r="A714" s="12">
        <v>5</v>
      </c>
      <c r="B714" s="116" t="str">
        <f>+CV43&amp;CV44&amp;CV45&amp;CV46&amp;CV47&amp;CV48&amp;CV49</f>
        <v/>
      </c>
    </row>
    <row r="715" spans="1:2" hidden="1">
      <c r="A715" s="12">
        <v>6</v>
      </c>
      <c r="B715" s="116" t="str">
        <f>+CV50&amp;CV51&amp;CV52&amp;CV53&amp;CV54&amp;CV55&amp;CV56</f>
        <v/>
      </c>
    </row>
    <row r="716" spans="1:2" hidden="1">
      <c r="A716" s="12">
        <v>7</v>
      </c>
      <c r="B716" s="116" t="str">
        <f>+CV57&amp;CV58&amp;CV59&amp;CV60&amp;CV61&amp;CV62&amp;CV63</f>
        <v/>
      </c>
    </row>
    <row r="717" spans="1:2" hidden="1">
      <c r="A717" s="12">
        <v>8</v>
      </c>
      <c r="B717" s="116" t="str">
        <f>+CV64&amp;CV65&amp;CV66&amp;CV67&amp;CV68&amp;CV69&amp;CV70</f>
        <v/>
      </c>
    </row>
    <row r="718" spans="1:2" hidden="1">
      <c r="A718" s="12">
        <v>9</v>
      </c>
      <c r="B718" s="116" t="str">
        <f>+CV71&amp;CV72&amp;CV73&amp;CV74&amp;CV75&amp;CV76&amp;CV77</f>
        <v/>
      </c>
    </row>
    <row r="719" spans="1:2" hidden="1">
      <c r="A719" s="12">
        <v>10</v>
      </c>
      <c r="B719" s="116" t="str">
        <f>+CV78&amp;CV79&amp;CV80&amp;CV81&amp;CV82&amp;CV83&amp;CV84</f>
        <v/>
      </c>
    </row>
    <row r="720" spans="1:2" hidden="1">
      <c r="A720" s="12">
        <v>11</v>
      </c>
      <c r="B720" s="116" t="str">
        <f>+CV85&amp;CV86&amp;CV87&amp;CV88&amp;CV89&amp;CV90&amp;CV91</f>
        <v/>
      </c>
    </row>
    <row r="721" spans="1:2" hidden="1">
      <c r="A721" s="12">
        <v>12</v>
      </c>
      <c r="B721" s="116" t="str">
        <f>+CV92&amp;CV93&amp;CV94&amp;CV95&amp;CV96&amp;CV97&amp;CV98</f>
        <v/>
      </c>
    </row>
    <row r="722" spans="1:2" hidden="1">
      <c r="A722" s="12">
        <v>13</v>
      </c>
      <c r="B722" s="116" t="str">
        <f>+CV99&amp;CV100&amp;CV101&amp;CV102&amp;CV103&amp;CV104&amp;CV105</f>
        <v/>
      </c>
    </row>
    <row r="723" spans="1:2" hidden="1">
      <c r="A723" s="12">
        <v>14</v>
      </c>
      <c r="B723" s="116" t="str">
        <f>+CV106&amp;CV107&amp;CV108&amp;CV109&amp;CV110&amp;CV111&amp;CV112</f>
        <v/>
      </c>
    </row>
    <row r="724" spans="1:2" hidden="1">
      <c r="A724" s="12">
        <v>15</v>
      </c>
      <c r="B724" s="116" t="str">
        <f>+CV113&amp;CV114</f>
        <v/>
      </c>
    </row>
    <row r="725" spans="1:2">
      <c r="B725" s="58" t="str">
        <f>+E12&amp;M15&amp;"("</f>
        <v>$sql="INSERT INTO uniqueJesus(</v>
      </c>
    </row>
    <row r="726" spans="1:2">
      <c r="A726" s="12">
        <v>1</v>
      </c>
      <c r="B726" s="58" t="str">
        <f>BS15&amp;BS16&amp;BS17&amp;BS18&amp;BS19&amp;BS20&amp;BS21</f>
        <v>tipo_doc_id,numd</v>
      </c>
    </row>
    <row r="727" spans="1:2">
      <c r="A727" s="12">
        <v>2</v>
      </c>
      <c r="B727" s="58" t="str">
        <f>BS22&amp;BS23&amp;BS24&amp;BS25&amp;BS26&amp;BS27&amp;BS28</f>
        <v>,nom,apll,Sexo,bthdt,tmst,eps</v>
      </c>
    </row>
    <row r="728" spans="1:2" hidden="1">
      <c r="A728" s="12">
        <v>3</v>
      </c>
      <c r="B728" s="58" t="str">
        <f>BS29&amp;BS30&amp;BS31&amp;BS32&amp;BS33&amp;BS34&amp;BS35</f>
        <v/>
      </c>
    </row>
    <row r="729" spans="1:2" hidden="1">
      <c r="A729" s="12">
        <v>4</v>
      </c>
      <c r="B729" s="58" t="str">
        <f>BS36&amp;BS37&amp;BS38&amp;BS39&amp;BS40&amp;BS41&amp;BS42</f>
        <v/>
      </c>
    </row>
    <row r="730" spans="1:2" hidden="1">
      <c r="A730" s="12">
        <v>5</v>
      </c>
      <c r="B730" s="58" t="str">
        <f>BS43&amp;BS44&amp;BS45&amp;BS46&amp;BS47&amp;BS48&amp;BS49</f>
        <v/>
      </c>
    </row>
    <row r="731" spans="1:2" hidden="1">
      <c r="A731" s="12">
        <v>6</v>
      </c>
      <c r="B731" s="58" t="str">
        <f>BS50&amp;BS51&amp;BS52&amp;BS53&amp;BS54&amp;BS55&amp;BS56</f>
        <v/>
      </c>
    </row>
    <row r="732" spans="1:2" hidden="1">
      <c r="A732" s="12">
        <v>7</v>
      </c>
      <c r="B732" s="58" t="str">
        <f>BS57&amp;BS58&amp;BS59&amp;BS60&amp;BS61&amp;BS62&amp;BS63</f>
        <v/>
      </c>
    </row>
    <row r="733" spans="1:2" hidden="1">
      <c r="A733" s="12">
        <v>8</v>
      </c>
      <c r="B733" s="58" t="str">
        <f>BS64&amp;BS65&amp;BS66&amp;BS67&amp;BS68&amp;BS69&amp;BS70</f>
        <v/>
      </c>
    </row>
    <row r="734" spans="1:2" hidden="1">
      <c r="A734" s="12">
        <v>9</v>
      </c>
      <c r="B734" s="58" t="str">
        <f>BS71&amp;BS72&amp;BS73&amp;BS74&amp;BS75&amp;BS76&amp;BS77</f>
        <v/>
      </c>
    </row>
    <row r="735" spans="1:2" hidden="1">
      <c r="A735" s="12">
        <v>10</v>
      </c>
      <c r="B735" s="58" t="str">
        <f>BS78&amp;BS79&amp;BS80&amp;BS81&amp;BS82&amp;BS83&amp;BS84</f>
        <v/>
      </c>
    </row>
    <row r="736" spans="1:2" hidden="1">
      <c r="A736" s="12">
        <v>11</v>
      </c>
      <c r="B736" s="58" t="str">
        <f>BS85&amp;BS86&amp;BS87&amp;BS88&amp;BS89&amp;BS90&amp;BS91</f>
        <v/>
      </c>
    </row>
    <row r="737" spans="1:4" hidden="1">
      <c r="A737" s="12">
        <v>12</v>
      </c>
      <c r="B737" s="58" t="str">
        <f>BS92&amp;BS93&amp;BS94&amp;BS95&amp;BS96&amp;BS97&amp;BS98</f>
        <v/>
      </c>
    </row>
    <row r="738" spans="1:4" hidden="1">
      <c r="A738" s="12">
        <v>13</v>
      </c>
      <c r="B738" s="58" t="str">
        <f>BS99&amp;BS100&amp;BS101&amp;BS102&amp;BS103&amp;BS104&amp;BS105</f>
        <v/>
      </c>
    </row>
    <row r="739" spans="1:4" hidden="1">
      <c r="A739" s="12">
        <v>14</v>
      </c>
      <c r="B739" s="58" t="str">
        <f>BS106&amp;BS107&amp;BS108&amp;BS109&amp;BS110&amp;BS111&amp;BS112</f>
        <v/>
      </c>
    </row>
    <row r="740" spans="1:4" hidden="1">
      <c r="A740" s="12">
        <v>15</v>
      </c>
      <c r="B740" s="58" t="str">
        <f>BS113&amp;BS114</f>
        <v/>
      </c>
    </row>
    <row r="741" spans="1:4">
      <c r="B741" s="58" t="s">
        <v>347</v>
      </c>
      <c r="D741" s="53"/>
    </row>
    <row r="742" spans="1:4">
      <c r="A742" s="12">
        <v>1</v>
      </c>
      <c r="B742" s="58" t="str">
        <f>BT15&amp;BT16&amp;BT17&amp;BT18&amp;BT19&amp;BT20&amp;BT21</f>
        <v>'$tipo_doc_id','$numd'</v>
      </c>
    </row>
    <row r="743" spans="1:4">
      <c r="A743" s="12">
        <v>2</v>
      </c>
      <c r="B743" s="58" t="str">
        <f>BT22&amp;BT23&amp;BT24&amp;BT25&amp;BT26&amp;BT27&amp;BT28</f>
        <v>,'$nom','$apll','$Sexo','$bthdt','$tmst','$eps'</v>
      </c>
    </row>
    <row r="744" spans="1:4" hidden="1">
      <c r="A744" s="12">
        <v>3</v>
      </c>
      <c r="B744" s="58" t="str">
        <f>BT29&amp;BT30&amp;BT31&amp;BT32&amp;BT33&amp;BT34&amp;BT35</f>
        <v/>
      </c>
    </row>
    <row r="745" spans="1:4" hidden="1">
      <c r="A745" s="12">
        <v>4</v>
      </c>
      <c r="B745" s="58" t="str">
        <f>BT36&amp;BT37&amp;BT38&amp;BT39&amp;BT40&amp;BT41&amp;BT42</f>
        <v/>
      </c>
    </row>
    <row r="746" spans="1:4" hidden="1">
      <c r="A746" s="12">
        <v>5</v>
      </c>
      <c r="B746" s="58" t="str">
        <f>BT43&amp;BT44&amp;BT45&amp;BT46&amp;BT47&amp;BT48&amp;BT49</f>
        <v/>
      </c>
    </row>
    <row r="747" spans="1:4" hidden="1">
      <c r="A747" s="12">
        <v>6</v>
      </c>
      <c r="B747" s="58" t="str">
        <f>BT50&amp;BT51&amp;BT52&amp;BT53&amp;BT54&amp;BT55&amp;BT56</f>
        <v/>
      </c>
    </row>
    <row r="748" spans="1:4" hidden="1">
      <c r="A748" s="12">
        <v>7</v>
      </c>
      <c r="B748" s="58" t="str">
        <f>BT57&amp;BT58&amp;BT59&amp;BT60&amp;BT61&amp;BT62&amp;BT63</f>
        <v/>
      </c>
    </row>
    <row r="749" spans="1:4" hidden="1">
      <c r="A749" s="12">
        <v>8</v>
      </c>
      <c r="B749" s="58" t="str">
        <f>BT64&amp;BT65&amp;BT66&amp;BT67&amp;BT68&amp;BT69&amp;BT70</f>
        <v/>
      </c>
    </row>
    <row r="750" spans="1:4" hidden="1">
      <c r="A750" s="12">
        <v>9</v>
      </c>
      <c r="B750" s="58" t="str">
        <f>BT71&amp;BT72&amp;BT73&amp;BT74&amp;BT75&amp;BT76&amp;BT77</f>
        <v/>
      </c>
    </row>
    <row r="751" spans="1:4" hidden="1">
      <c r="A751" s="12">
        <v>10</v>
      </c>
      <c r="B751" s="58" t="str">
        <f>BT78&amp;BT79&amp;BT80&amp;BT81&amp;BT82&amp;BT83&amp;BT84</f>
        <v/>
      </c>
    </row>
    <row r="752" spans="1:4" hidden="1">
      <c r="A752" s="12">
        <v>11</v>
      </c>
      <c r="B752" s="58" t="str">
        <f>BT85&amp;BT86&amp;BT87&amp;BT88&amp;BT89&amp;BT90&amp;BT91</f>
        <v/>
      </c>
    </row>
    <row r="753" spans="1:2" hidden="1">
      <c r="A753" s="12">
        <v>12</v>
      </c>
      <c r="B753" s="58" t="str">
        <f>BT92&amp;BT93&amp;BT94&amp;BT95&amp;BT96&amp;BT97&amp;BT98</f>
        <v/>
      </c>
    </row>
    <row r="754" spans="1:2" hidden="1">
      <c r="A754" s="12">
        <v>13</v>
      </c>
      <c r="B754" s="58" t="str">
        <f>BT99&amp;BT100&amp;BT101&amp;BT102&amp;BT103&amp;BT104&amp;BT105</f>
        <v/>
      </c>
    </row>
    <row r="755" spans="1:2" hidden="1">
      <c r="A755" s="12">
        <v>14</v>
      </c>
      <c r="B755" s="58" t="str">
        <f>BT106&amp;BT107&amp;BT108&amp;BT109&amp;BT110&amp;BT111&amp;BT112</f>
        <v/>
      </c>
    </row>
    <row r="756" spans="1:2" hidden="1">
      <c r="A756" s="12">
        <v>15</v>
      </c>
      <c r="B756" s="58" t="str">
        <f>BT113&amp;BT114</f>
        <v/>
      </c>
    </row>
    <row r="757" spans="1:2">
      <c r="B757" s="58" t="s">
        <v>22</v>
      </c>
    </row>
    <row r="758" spans="1:2">
      <c r="B758" s="58" t="s">
        <v>105</v>
      </c>
    </row>
    <row r="759" spans="1:2">
      <c r="B759" s="58" t="str">
        <f>+ajaxinsertandclose!A339</f>
        <v>echo '&lt;div id="close" style="display:none"&gt;close&lt;/div&gt;';</v>
      </c>
    </row>
    <row r="760" spans="1:2">
      <c r="A760" s="12">
        <v>1</v>
      </c>
      <c r="B760" s="58" t="str">
        <f>BV15&amp;BV16&amp;BV17&amp;BV18&amp;BV19&amp;BV20&amp;BV21</f>
        <v>echo 'tipo_doc_id'.$tipo_doc_id;echo 'num doc'.$numd;</v>
      </c>
    </row>
    <row r="761" spans="1:2">
      <c r="A761" s="12">
        <v>2</v>
      </c>
      <c r="B761" s="58" t="str">
        <f>BV22&amp;BV23&amp;BV24&amp;BV25&amp;BV26&amp;BV27&amp;BV28</f>
        <v>echo 'Nombres'.$nom;echo 'Apellidos'.$apll;echo 'Sexo'.$Sexo;echo 'Fecha nacimiento'.$bthdt;echo 'Automatic Timestamp'.$tmst;echo 'EPS'.$eps;</v>
      </c>
    </row>
    <row r="762" spans="1:2" hidden="1">
      <c r="A762" s="12">
        <v>3</v>
      </c>
      <c r="B762" s="58" t="str">
        <f>BV29&amp;BV30&amp;BV31&amp;BV32&amp;BV33&amp;BV34&amp;BV35</f>
        <v/>
      </c>
    </row>
    <row r="763" spans="1:2" hidden="1">
      <c r="A763" s="12">
        <v>4</v>
      </c>
      <c r="B763" s="58" t="str">
        <f>BV36&amp;BV37&amp;BV38&amp;BV39&amp;BV40&amp;BV41&amp;BV42</f>
        <v/>
      </c>
    </row>
    <row r="764" spans="1:2" hidden="1">
      <c r="A764" s="12">
        <v>5</v>
      </c>
      <c r="B764" s="58" t="str">
        <f>BV43&amp;BV44&amp;BV45&amp;BV46&amp;BV47&amp;BV48&amp;BV49</f>
        <v/>
      </c>
    </row>
    <row r="765" spans="1:2" hidden="1">
      <c r="A765" s="12">
        <v>6</v>
      </c>
      <c r="B765" s="58" t="str">
        <f>BV50&amp;BV51&amp;BV52&amp;BV53&amp;BV54&amp;BV55&amp;BV56</f>
        <v/>
      </c>
    </row>
    <row r="766" spans="1:2" hidden="1">
      <c r="A766" s="12">
        <v>7</v>
      </c>
      <c r="B766" s="58" t="str">
        <f>BV57&amp;BV58&amp;BV59&amp;BV60&amp;BV61&amp;BV62&amp;BV63</f>
        <v/>
      </c>
    </row>
    <row r="767" spans="1:2" hidden="1">
      <c r="A767" s="12">
        <v>8</v>
      </c>
      <c r="B767" s="58" t="str">
        <f>BV64&amp;BV65&amp;BV66&amp;BV67&amp;BV68&amp;BV69&amp;BV70</f>
        <v/>
      </c>
    </row>
    <row r="768" spans="1:2" hidden="1">
      <c r="A768" s="12">
        <v>9</v>
      </c>
      <c r="B768" s="58" t="str">
        <f>BV71&amp;BV72&amp;BV73&amp;BV74&amp;BV75&amp;BV76&amp;BV77</f>
        <v/>
      </c>
    </row>
    <row r="769" spans="1:2" hidden="1">
      <c r="A769" s="12">
        <v>10</v>
      </c>
      <c r="B769" s="58" t="str">
        <f>BV78&amp;BV79&amp;BV80&amp;BV81&amp;BV82&amp;BV83&amp;BV84</f>
        <v/>
      </c>
    </row>
    <row r="770" spans="1:2" hidden="1">
      <c r="A770" s="12">
        <v>11</v>
      </c>
      <c r="B770" s="58" t="str">
        <f>BV85&amp;BV86&amp;BV87&amp;BV88&amp;BV89&amp;BV90&amp;BV91</f>
        <v/>
      </c>
    </row>
    <row r="771" spans="1:2" hidden="1">
      <c r="A771" s="12">
        <v>12</v>
      </c>
      <c r="B771" s="58" t="str">
        <f>BV92&amp;BV93&amp;BV94&amp;BV95&amp;BV96&amp;BV97&amp;BV98</f>
        <v/>
      </c>
    </row>
    <row r="772" spans="1:2" hidden="1">
      <c r="A772" s="12">
        <v>13</v>
      </c>
      <c r="B772" s="58" t="str">
        <f>BV99&amp;BV100&amp;BV101&amp;BV102&amp;BV103&amp;BV104&amp;BV105</f>
        <v/>
      </c>
    </row>
    <row r="773" spans="1:2" hidden="1">
      <c r="A773" s="12">
        <v>14</v>
      </c>
      <c r="B773" s="58" t="str">
        <f>BV106&amp;BV107&amp;BV108&amp;BV109&amp;BV110&amp;BV111&amp;BV112</f>
        <v/>
      </c>
    </row>
    <row r="774" spans="1:2" hidden="1">
      <c r="A774" s="12">
        <v>15</v>
      </c>
      <c r="B774" s="58" t="str">
        <f>BV113&amp;BV114</f>
        <v/>
      </c>
    </row>
    <row r="775" spans="1:2">
      <c r="B775" s="58" t="s">
        <v>571</v>
      </c>
    </row>
    <row r="776" spans="1:2">
      <c r="B776" s="48" t="str">
        <f>+L10&amp;L11&amp;fieldcreatorv2!N15&amp;K2&amp;L12</f>
        <v>echo "&lt;a href='a01Jesus1.php'&gt; main page&lt;/a&gt;&lt;br/&gt;";</v>
      </c>
    </row>
    <row r="777" spans="1:2">
      <c r="B777" s="116" t="str">
        <f>+L10&amp;M9&amp;O15&amp;K2&amp;M11</f>
        <v>echo "&lt;a href='searchanotheruniqueJesus.php'&gt; new search&lt;/a&gt;&lt;br/&gt;";</v>
      </c>
    </row>
    <row r="778" spans="1:2">
      <c r="B778" s="58" t="str">
        <f>+E9</f>
        <v>}</v>
      </c>
    </row>
    <row r="779" spans="1:2">
      <c r="B779" s="58" t="str">
        <f>+ajaxinsertandclose!A350</f>
        <v>?&gt;</v>
      </c>
    </row>
    <row r="781" spans="1:2">
      <c r="B781" s="12" t="s">
        <v>694</v>
      </c>
    </row>
    <row r="782" spans="1:2">
      <c r="B782" s="12" t="str">
        <f>+fieldcreatorv2!B124</f>
        <v>&lt;?php //Jesusb_SecureLayer.php</v>
      </c>
    </row>
    <row r="783" spans="1:2">
      <c r="B783" s="12" t="str">
        <f ca="1">+fieldcreatorv2!B121</f>
        <v>session_start(); if (!isset($_SESSION["standard141509_Virgin_Mary_user"])||$_SESSION["standard141509_Virgin_Mary_autent"]!="yes") {header("Location:Jesus_login.php");} ?&gt;</v>
      </c>
    </row>
    <row r="784" spans="1:2">
      <c r="B784" s="12" t="s">
        <v>695</v>
      </c>
    </row>
    <row r="785" spans="1:2">
      <c r="A785" s="12">
        <v>1</v>
      </c>
      <c r="B785" s="90" t="str">
        <f>DG15&amp;DG16&amp;DG17&amp;DG18&amp;DG19&amp;DG20&amp;DG21</f>
        <v>if (!isset($_SESSION['a01healmy5_pray_tipo_doc_id'])) { header('Location:a01uniqueJesus.php');}if (!isset($_SESSION['a01healmy5_pray_numd'])) { header('Location:a01uniqueJesus.php');}</v>
      </c>
    </row>
    <row r="786" spans="1:2">
      <c r="A786" s="12">
        <v>2</v>
      </c>
      <c r="B786" s="90" t="str">
        <f>DG22&amp;DG23&amp;DG24&amp;DG25&amp;DG26&amp;DG27&amp;DG28</f>
        <v/>
      </c>
    </row>
    <row r="787" spans="1:2" hidden="1">
      <c r="A787" s="12">
        <v>3</v>
      </c>
      <c r="B787" s="90" t="str">
        <f>DG29&amp;DG30&amp;DG31&amp;DG32&amp;DG33&amp;DG34&amp;DG35</f>
        <v/>
      </c>
    </row>
    <row r="788" spans="1:2" hidden="1">
      <c r="A788" s="12">
        <v>4</v>
      </c>
      <c r="B788" s="90" t="str">
        <f>DG36&amp;DG37&amp;DG38&amp;DG39&amp;DG40&amp;DG41&amp;DG42</f>
        <v/>
      </c>
    </row>
    <row r="789" spans="1:2" hidden="1">
      <c r="A789" s="12">
        <v>5</v>
      </c>
      <c r="B789" s="90" t="str">
        <f>DG43&amp;DG44&amp;DG45&amp;DG46&amp;DG47&amp;DG48&amp;DG49</f>
        <v/>
      </c>
    </row>
    <row r="790" spans="1:2" hidden="1">
      <c r="A790" s="12">
        <v>6</v>
      </c>
      <c r="B790" s="90" t="str">
        <f>DG50&amp;DG51&amp;DG52&amp;DG53&amp;DG54&amp;DG55&amp;DG56</f>
        <v/>
      </c>
    </row>
    <row r="791" spans="1:2" hidden="1">
      <c r="A791" s="12">
        <v>7</v>
      </c>
      <c r="B791" s="90" t="str">
        <f>DG57&amp;DG58&amp;DG59&amp;DG60&amp;DG61&amp;DG62&amp;DG63</f>
        <v/>
      </c>
    </row>
    <row r="792" spans="1:2" hidden="1">
      <c r="A792" s="12">
        <v>8</v>
      </c>
      <c r="B792" s="90" t="str">
        <f>DG64&amp;DG65&amp;DG66&amp;DG67&amp;DG68&amp;DG69&amp;DG70</f>
        <v/>
      </c>
    </row>
    <row r="793" spans="1:2" hidden="1">
      <c r="A793" s="12">
        <v>9</v>
      </c>
      <c r="B793" s="90" t="str">
        <f>DG71&amp;DG72&amp;DG73&amp;DG74&amp;DG75&amp;DG76&amp;DG77</f>
        <v/>
      </c>
    </row>
    <row r="794" spans="1:2" hidden="1">
      <c r="A794" s="12">
        <v>10</v>
      </c>
      <c r="B794" s="90" t="str">
        <f>DG78&amp;DG79&amp;DG80&amp;DG81&amp;DG82&amp;DG83&amp;DG84</f>
        <v/>
      </c>
    </row>
    <row r="795" spans="1:2" hidden="1">
      <c r="A795" s="12">
        <v>11</v>
      </c>
      <c r="B795" s="90" t="str">
        <f>DG85&amp;DG86&amp;DG87&amp;DG88&amp;DG89&amp;DG90&amp;DG91</f>
        <v/>
      </c>
    </row>
    <row r="796" spans="1:2" hidden="1">
      <c r="A796" s="12">
        <v>12</v>
      </c>
      <c r="B796" s="90" t="str">
        <f>DG92&amp;DG93&amp;DG94&amp;DG95&amp;DG96&amp;DG97&amp;DG98</f>
        <v/>
      </c>
    </row>
    <row r="797" spans="1:2" hidden="1">
      <c r="A797" s="12">
        <v>13</v>
      </c>
      <c r="B797" s="90" t="str">
        <f>DG99&amp;DG100&amp;DG101&amp;DG102&amp;DG103&amp;DG104&amp;DG105</f>
        <v/>
      </c>
    </row>
    <row r="798" spans="1:2" hidden="1">
      <c r="A798" s="12">
        <v>14</v>
      </c>
      <c r="B798" s="90" t="str">
        <f>DG106&amp;DG107&amp;DG108&amp;DG109&amp;DG110&amp;DG111&amp;DG112</f>
        <v/>
      </c>
    </row>
    <row r="799" spans="1:2">
      <c r="A799" s="12">
        <v>15</v>
      </c>
      <c r="B799" s="90" t="str">
        <f>DG113&amp;DG114</f>
        <v/>
      </c>
    </row>
  </sheetData>
  <sheetProtection formatColumns="0" formatRows="0" autoFilter="0"/>
  <autoFilter ref="A117:B779">
    <filterColumn colId="1">
      <customFilters>
        <customFilter operator="notEqual" val=" "/>
      </customFilters>
    </filterColumn>
  </autoFilter>
  <conditionalFormatting sqref="B16:J114">
    <cfRule type="expression" dxfId="14" priority="6">
      <formula>$D$117=1</formula>
    </cfRule>
  </conditionalFormatting>
  <conditionalFormatting sqref="B785:B799 B778:B779 B651:B709 B725:B775 B630 B120:B142">
    <cfRule type="expression" dxfId="13" priority="5">
      <formula>$D$117=1</formula>
    </cfRule>
  </conditionalFormatting>
  <conditionalFormatting sqref="K16:K114">
    <cfRule type="expression" dxfId="12" priority="9">
      <formula>F16=$S$8</formula>
    </cfRule>
  </conditionalFormatting>
  <conditionalFormatting sqref="B14:I114 A117:B779">
    <cfRule type="expression" dxfId="11" priority="3">
      <formula>$M$26&lt;&gt;"si"</formula>
    </cfRule>
  </conditionalFormatting>
  <conditionalFormatting sqref="B379:B382">
    <cfRule type="expression" dxfId="10" priority="2">
      <formula>$K$19&gt;1</formula>
    </cfRule>
  </conditionalFormatting>
  <conditionalFormatting sqref="B491:B494">
    <cfRule type="expression" dxfId="9" priority="1">
      <formula>$K$19&gt;1</formula>
    </cfRule>
  </conditionalFormatting>
  <dataValidations count="4">
    <dataValidation type="list" allowBlank="1" showInputMessage="1" showErrorMessage="1" sqref="M23">
      <formula1>$T$5:$T$6</formula1>
    </dataValidation>
    <dataValidation type="list" allowBlank="1" showInputMessage="1" showErrorMessage="1" sqref="F15:F114">
      <formula1>$S$2:$S$8</formula1>
    </dataValidation>
    <dataValidation type="list" allowBlank="1" showInputMessage="1" showErrorMessage="1" sqref="E15:E114">
      <formula1>$R$2:$R$5</formula1>
    </dataValidation>
    <dataValidation type="list" allowBlank="1" showInputMessage="1" showErrorMessage="1" sqref="M21 G15:J114">
      <formula1>$T$2:$T$3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filterMode="1"/>
  <dimension ref="A1:CG601"/>
  <sheetViews>
    <sheetView topLeftCell="A13" zoomScale="90" zoomScaleNormal="90" workbookViewId="0">
      <selection activeCell="B22" sqref="B22"/>
    </sheetView>
  </sheetViews>
  <sheetFormatPr baseColWidth="10" defaultRowHeight="15"/>
  <cols>
    <col min="1" max="1" width="3.7109375" style="12" customWidth="1"/>
    <col min="2" max="2" width="32.42578125" style="12" customWidth="1"/>
    <col min="3" max="3" width="8.140625" style="12" customWidth="1"/>
    <col min="4" max="4" width="6.5703125" style="12" customWidth="1"/>
    <col min="5" max="5" width="4.7109375" style="12" customWidth="1"/>
    <col min="6" max="7" width="11.42578125" style="12"/>
    <col min="8" max="8" width="14.85546875" style="12" customWidth="1"/>
    <col min="9" max="9" width="23.7109375" style="12" customWidth="1"/>
    <col min="10" max="10" width="8" style="12" customWidth="1"/>
    <col min="11" max="26" width="11.42578125" style="12"/>
    <col min="27" max="27" width="7" style="12" bestFit="1" customWidth="1"/>
    <col min="28" max="28" width="14.85546875" style="12" customWidth="1"/>
    <col min="29" max="29" width="17.42578125" style="12" customWidth="1"/>
    <col min="30" max="30" width="8.5703125" style="12" bestFit="1" customWidth="1"/>
    <col min="31" max="31" width="15.28515625" style="12" bestFit="1" customWidth="1"/>
    <col min="32" max="32" width="4.140625" style="12" customWidth="1"/>
    <col min="33" max="33" width="3.28515625" style="12" customWidth="1"/>
    <col min="34" max="34" width="3" style="12" customWidth="1"/>
    <col min="35" max="35" width="11.85546875" style="12" bestFit="1" customWidth="1"/>
    <col min="36" max="36" width="6.140625" style="12" customWidth="1"/>
    <col min="37" max="37" width="11.28515625" style="12" customWidth="1"/>
    <col min="38" max="38" width="17.42578125" style="12" customWidth="1"/>
    <col min="39" max="39" width="10.7109375" style="12" customWidth="1"/>
    <col min="40" max="41" width="8.28515625" style="12" customWidth="1"/>
    <col min="42" max="43" width="10.28515625" style="12" customWidth="1"/>
    <col min="44" max="44" width="8" style="12" customWidth="1"/>
    <col min="45" max="45" width="9.5703125" style="12" customWidth="1"/>
    <col min="46" max="46" width="5.28515625" style="12" customWidth="1"/>
    <col min="47" max="47" width="40" style="12" customWidth="1"/>
    <col min="48" max="48" width="12.85546875" style="12" customWidth="1"/>
    <col min="49" max="49" width="19.140625" style="12" customWidth="1"/>
    <col min="50" max="50" width="12.85546875" style="12" customWidth="1"/>
    <col min="51" max="51" width="11.42578125" style="12" customWidth="1"/>
    <col min="52" max="52" width="16.28515625" style="12" customWidth="1"/>
    <col min="53" max="53" width="10.5703125" style="12" customWidth="1"/>
    <col min="54" max="54" width="19.140625" style="12" customWidth="1"/>
    <col min="55" max="55" width="19" style="12" customWidth="1"/>
    <col min="56" max="56" width="17.140625" style="12" customWidth="1"/>
    <col min="57" max="57" width="12.28515625" style="12" customWidth="1"/>
    <col min="58" max="58" width="9.28515625" style="12" customWidth="1"/>
    <col min="59" max="59" width="30" style="12" customWidth="1"/>
    <col min="60" max="60" width="19.140625" style="12" customWidth="1"/>
    <col min="61" max="62" width="11.42578125" style="12"/>
    <col min="63" max="63" width="2.7109375" style="12" bestFit="1" customWidth="1"/>
    <col min="64" max="66" width="12.7109375" style="12" customWidth="1"/>
    <col min="67" max="69" width="8" style="12" customWidth="1"/>
    <col min="70" max="70" width="12.42578125" style="12" customWidth="1"/>
    <col min="71" max="75" width="11.42578125" style="12"/>
    <col min="76" max="76" width="11.5703125" style="12" bestFit="1" customWidth="1"/>
    <col min="77" max="80" width="11.42578125" style="12"/>
    <col min="81" max="81" width="13" style="12" customWidth="1"/>
    <col min="82" max="83" width="11.42578125" style="12"/>
    <col min="84" max="84" width="11.85546875" style="12" customWidth="1"/>
    <col min="85" max="16384" width="11.42578125" style="12"/>
  </cols>
  <sheetData>
    <row r="1" spans="1:85" hidden="1">
      <c r="A1" s="12" t="s">
        <v>164</v>
      </c>
      <c r="B1" s="12" t="s">
        <v>192</v>
      </c>
      <c r="C1" s="12" t="s">
        <v>43</v>
      </c>
      <c r="D1" s="12" t="s">
        <v>312</v>
      </c>
      <c r="E1" s="65" t="str">
        <f>+IF(SUM(BJ15:BJ114)&gt;0,E5&amp;K15&amp;E6,"")</f>
        <v xml:space="preserve">$already_exist_result = mysql_query("SELECT * FROM session WHERE </v>
      </c>
      <c r="F1" s="12" t="s">
        <v>348</v>
      </c>
      <c r="G1" s="65" t="str">
        <f>+IF(F12="session_true","session_start();","")</f>
        <v/>
      </c>
      <c r="H1" s="12" t="s">
        <v>385</v>
      </c>
      <c r="I1" s="12" t="str">
        <f>+H12&amp;K15&amp;I2&amp;I4&amp;I5&amp;I3</f>
        <v>$result = mysql_query("SELECT * FROM session"); $row = mysql_fetch_array($result);</v>
      </c>
      <c r="J1" s="12" t="s">
        <v>413</v>
      </c>
      <c r="K1" s="31" t="s">
        <v>132</v>
      </c>
      <c r="L1" s="32" t="s">
        <v>133</v>
      </c>
      <c r="M1" s="33" t="s">
        <v>139</v>
      </c>
      <c r="N1" s="12" t="s">
        <v>1027</v>
      </c>
    </row>
    <row r="2" spans="1:85" hidden="1">
      <c r="A2" s="12" t="s">
        <v>165</v>
      </c>
      <c r="B2" s="12" t="s">
        <v>193</v>
      </c>
      <c r="C2" s="12" t="s">
        <v>54</v>
      </c>
      <c r="D2" s="12" t="s">
        <v>314</v>
      </c>
      <c r="E2" s="65" t="str">
        <f>+IF(SUM(BJ15:BJ114)&gt;0,E7,"")</f>
        <v xml:space="preserve"> "); $row_ae = mysql_fetch_array($already_exist_result);</v>
      </c>
      <c r="F2" s="12" t="str">
        <f>"'."</f>
        <v>'.</v>
      </c>
      <c r="G2" s="12" t="str">
        <f>"&lt;div id='hiden"&amp;K19&amp;"1'&gt;"</f>
        <v>&lt;div id='hiden11'&gt;</v>
      </c>
      <c r="H2" s="12" t="s">
        <v>387</v>
      </c>
      <c r="I2" s="12" t="str">
        <f>+IF(OR(K26&lt;&gt;"",K29&lt;&gt;"")," WHERE ","")</f>
        <v/>
      </c>
      <c r="J2" s="12" t="s">
        <v>592</v>
      </c>
      <c r="K2" s="25" t="s">
        <v>111</v>
      </c>
      <c r="L2" s="26" t="s">
        <v>135</v>
      </c>
      <c r="M2" s="27" t="s">
        <v>24</v>
      </c>
      <c r="N2" s="12" t="s">
        <v>1054</v>
      </c>
    </row>
    <row r="3" spans="1:85" hidden="1">
      <c r="A3" s="41" t="s">
        <v>166</v>
      </c>
      <c r="B3" s="65" t="str">
        <f>+IF(AND(COUNTIF(G15:G114,"si")=0,G10=0),"","if (")</f>
        <v>if (</v>
      </c>
      <c r="C3" s="12" t="s">
        <v>305</v>
      </c>
      <c r="D3" s="12" t="s">
        <v>315</v>
      </c>
      <c r="E3" s="65" t="str">
        <f>+IF(SUM(BJ15:BJ114)&gt;0,E8,"")</f>
        <v>if (!empty($row_ae[0])) {echo "Ya existe un registro con los datos "</v>
      </c>
      <c r="F3" s="12" t="s">
        <v>352</v>
      </c>
      <c r="G3" s="65" t="str">
        <f>+IF(K21=M2,C5&amp;"hiden"&amp;K19&amp;G4,"")</f>
        <v>$("#hiden1").hide();</v>
      </c>
      <c r="H3" s="12" t="s">
        <v>390</v>
      </c>
      <c r="I3" s="12" t="s">
        <v>401</v>
      </c>
      <c r="J3" s="116" t="s">
        <v>685</v>
      </c>
      <c r="K3" s="25" t="s">
        <v>113</v>
      </c>
      <c r="L3" s="26" t="s">
        <v>9</v>
      </c>
      <c r="M3" s="27" t="s">
        <v>48</v>
      </c>
      <c r="N3" s="12" t="s">
        <v>527</v>
      </c>
      <c r="BB3" s="12" t="str">
        <f>+BB15</f>
        <v>email&lt;input type="password" id="user" name="user" size="15" onkeypress="capLock(event)"/&gt;</v>
      </c>
      <c r="CC3" s="12" t="s">
        <v>389</v>
      </c>
    </row>
    <row r="4" spans="1:85" hidden="1">
      <c r="A4" s="12" t="s">
        <v>167</v>
      </c>
      <c r="B4" s="12" t="s">
        <v>75</v>
      </c>
      <c r="C4" s="12" t="s">
        <v>306</v>
      </c>
      <c r="D4" s="12" t="s">
        <v>65</v>
      </c>
      <c r="E4" s="65" t="str">
        <f>+IF(SUM(BJ15:BJ114)&gt;0,E11&amp;" else {","")</f>
        <v>."&lt;br/&gt; &lt;a href='a01session.php'&gt; Intente de nuevo, haz click aca&lt;/a&gt;&lt;br/&gt;";} else {</v>
      </c>
      <c r="F4" s="12" t="s">
        <v>353</v>
      </c>
      <c r="G4" s="12" t="s">
        <v>369</v>
      </c>
      <c r="H4" s="12" t="s">
        <v>65</v>
      </c>
      <c r="I4" s="12" t="str">
        <f>IF(K26="","",K26&amp;"= '$"&amp;K26&amp;"'")</f>
        <v/>
      </c>
      <c r="J4" s="116" t="s">
        <v>439</v>
      </c>
      <c r="K4" s="25" t="s">
        <v>114</v>
      </c>
      <c r="L4" s="26" t="s">
        <v>136</v>
      </c>
      <c r="M4" s="80" t="s">
        <v>37</v>
      </c>
      <c r="N4" s="12" t="s">
        <v>1055</v>
      </c>
    </row>
    <row r="5" spans="1:85" hidden="1">
      <c r="A5" s="12" t="s">
        <v>187</v>
      </c>
      <c r="B5" s="65" t="str">
        <f>+IF(AND(COUNTIF(G15:G114,"si")=0,G10=0),"",") {")</f>
        <v>) {</v>
      </c>
      <c r="C5" s="76" t="s">
        <v>301</v>
      </c>
      <c r="D5" s="12" t="s">
        <v>316</v>
      </c>
      <c r="E5" s="12" t="s">
        <v>68</v>
      </c>
      <c r="F5" s="12" t="s">
        <v>355</v>
      </c>
      <c r="G5" s="12" t="s">
        <v>376</v>
      </c>
      <c r="H5" s="41" t="s">
        <v>395</v>
      </c>
      <c r="I5" s="12" t="str">
        <f>+IF(K29="",""," AND "&amp;K29&amp;"='$"&amp;K29&amp;"'")</f>
        <v/>
      </c>
      <c r="J5" s="116" t="s">
        <v>686</v>
      </c>
      <c r="K5" s="25" t="s">
        <v>109</v>
      </c>
      <c r="L5" s="26" t="s">
        <v>137</v>
      </c>
      <c r="M5" s="27" t="s">
        <v>38</v>
      </c>
      <c r="N5" s="12" t="s">
        <v>1057</v>
      </c>
      <c r="BB5" s="12" t="str">
        <f>+C3</f>
        <v>" size="15" /&gt;</v>
      </c>
    </row>
    <row r="6" spans="1:85" hidden="1">
      <c r="A6" s="12" t="s">
        <v>188</v>
      </c>
      <c r="B6" s="65" t="str">
        <f>+IF(AND(COUNTIF(G15:G114,"si")=0,COUNTIF(F15:F114,"radio")=0),"",C5&amp;M19&amp;B10&amp;"NO PUEDE DEJAR CAMPOS VACIOS"&amp;B11&amp;";")</f>
        <v>$("#check1").html("NO PUEDE DEJAR CAMPOS VACIOS");</v>
      </c>
      <c r="C6" s="12" t="s">
        <v>303</v>
      </c>
      <c r="D6" s="76" t="s">
        <v>313</v>
      </c>
      <c r="E6" s="12" t="s">
        <v>21</v>
      </c>
      <c r="F6" s="12" t="s">
        <v>356</v>
      </c>
      <c r="G6" s="12" t="s">
        <v>371</v>
      </c>
      <c r="H6" s="12" t="s">
        <v>396</v>
      </c>
      <c r="I6" s="12" t="str">
        <f>IF(K26="","","$"&amp;K26&amp;"= pending associative value, maybe session variables;")</f>
        <v/>
      </c>
      <c r="J6" s="116" t="s">
        <v>687</v>
      </c>
      <c r="K6" s="25"/>
      <c r="L6" s="26" t="s">
        <v>138</v>
      </c>
      <c r="M6" s="27" t="s">
        <v>398</v>
      </c>
      <c r="N6" s="41" t="s">
        <v>1058</v>
      </c>
    </row>
    <row r="7" spans="1:85" hidden="1">
      <c r="A7" s="12" t="s">
        <v>189</v>
      </c>
      <c r="B7" s="65" t="str">
        <f>+IF(AND(COUNTIF(G15:G114,"si")=0,G10=0),"","} else {")</f>
        <v>} else {</v>
      </c>
      <c r="C7" s="12" t="s">
        <v>304</v>
      </c>
      <c r="D7" s="12" t="s">
        <v>318</v>
      </c>
      <c r="E7" s="12" t="s">
        <v>338</v>
      </c>
      <c r="F7" s="12" t="s">
        <v>29</v>
      </c>
      <c r="G7" s="12" t="s">
        <v>377</v>
      </c>
      <c r="H7" s="12" t="s">
        <v>20</v>
      </c>
      <c r="I7" s="12" t="str">
        <f>IF(K29="","","$"&amp;K29&amp;"=pending associative value, eg session variable;")</f>
        <v/>
      </c>
      <c r="J7" s="116" t="s">
        <v>689</v>
      </c>
      <c r="K7" s="25"/>
      <c r="L7" s="26" t="s">
        <v>131</v>
      </c>
      <c r="M7" s="27"/>
      <c r="N7" s="12" t="s">
        <v>1059</v>
      </c>
    </row>
    <row r="8" spans="1:85" hidden="1">
      <c r="A8" s="12" t="s">
        <v>367</v>
      </c>
      <c r="B8" s="65" t="str">
        <f>+IF(AND(COUNTIF(G15:G114,"si")=0,G10=0),"","}")</f>
        <v>}</v>
      </c>
      <c r="C8" s="12" t="s">
        <v>371</v>
      </c>
      <c r="D8" s="116" t="s">
        <v>19</v>
      </c>
      <c r="E8" s="12" t="s">
        <v>342</v>
      </c>
      <c r="F8" s="12" t="s">
        <v>359</v>
      </c>
      <c r="G8" s="12" t="s">
        <v>378</v>
      </c>
      <c r="H8" s="12" t="s">
        <v>399</v>
      </c>
      <c r="I8" s="12" t="s">
        <v>404</v>
      </c>
      <c r="J8" s="165" t="s">
        <v>690</v>
      </c>
      <c r="K8" s="28"/>
      <c r="L8" s="26" t="s">
        <v>455</v>
      </c>
      <c r="M8" s="30"/>
      <c r="N8" s="41" t="s">
        <v>1060</v>
      </c>
    </row>
    <row r="9" spans="1:85" hidden="1">
      <c r="A9" s="12" t="s">
        <v>86</v>
      </c>
      <c r="B9" s="65" t="str">
        <f>+IF(COUNTIF(G15:G114,"si")=0,"","set if code and proper brackets")</f>
        <v>set if code and proper brackets</v>
      </c>
      <c r="C9" s="12" t="s">
        <v>308</v>
      </c>
      <c r="D9" s="12" t="str">
        <f>"'])) {$"</f>
        <v>'])) {$</v>
      </c>
      <c r="E9" s="65" t="str">
        <f>+IF(SUM(BJ15:BJ114)&gt;0,"}","")</f>
        <v>}</v>
      </c>
      <c r="F9" s="12" t="s">
        <v>375</v>
      </c>
      <c r="G9" s="12" t="s">
        <v>379</v>
      </c>
      <c r="H9" s="12" t="s">
        <v>858</v>
      </c>
      <c r="I9" s="41" t="s">
        <v>405</v>
      </c>
      <c r="J9" s="165" t="s">
        <v>691</v>
      </c>
      <c r="L9" s="29" t="s">
        <v>361</v>
      </c>
      <c r="N9" s="12" t="s">
        <v>1133</v>
      </c>
      <c r="CE9" s="12" t="s">
        <v>403</v>
      </c>
    </row>
    <row r="10" spans="1:85" hidden="1">
      <c r="A10" s="12" t="s">
        <v>16</v>
      </c>
      <c r="B10" s="12" t="s">
        <v>297</v>
      </c>
      <c r="C10" s="12" t="s">
        <v>307</v>
      </c>
      <c r="D10" s="41" t="s">
        <v>44</v>
      </c>
      <c r="E10" s="12" t="s">
        <v>341</v>
      </c>
      <c r="F10" s="12" t="s">
        <v>161</v>
      </c>
      <c r="G10" s="12">
        <f>+COUNTIF(F15:F114,"radio")</f>
        <v>0</v>
      </c>
      <c r="H10" s="12" t="str">
        <f>"); if (!$con)  {die('Could not connect: ' . mysql_error());}"</f>
        <v>); if (!$con)  {die('Could not connect: ' . mysql_error());}</v>
      </c>
      <c r="I10" s="12" t="str">
        <f>"'];"</f>
        <v>'];</v>
      </c>
      <c r="J10" s="145" t="s">
        <v>415</v>
      </c>
      <c r="L10" s="12" t="s">
        <v>886</v>
      </c>
    </row>
    <row r="11" spans="1:85" hidden="1">
      <c r="A11" s="12" t="s">
        <v>857</v>
      </c>
      <c r="B11" s="12" t="s">
        <v>298</v>
      </c>
      <c r="C11" s="165" t="s">
        <v>310</v>
      </c>
      <c r="D11" s="12" t="str">
        <f>"']);}else $"</f>
        <v>']);}else $</v>
      </c>
      <c r="E11" s="12" t="s">
        <v>692</v>
      </c>
      <c r="F11" s="12" t="s">
        <v>357</v>
      </c>
      <c r="G11" s="12" t="s">
        <v>381</v>
      </c>
      <c r="H11" s="12" t="str">
        <f>H7&amp;IF(K23=M5,H9,H8)&amp;H10</f>
        <v>$con=mysql_connect('localhost','healmy5_healmy5','jatter'); if (!$con)  {die('Could not connect: ' . mysql_error());}</v>
      </c>
      <c r="I11" s="12" t="s">
        <v>407</v>
      </c>
      <c r="J11" s="145" t="s">
        <v>548</v>
      </c>
      <c r="K11" s="12" t="s">
        <v>877</v>
      </c>
    </row>
    <row r="12" spans="1:85" hidden="1">
      <c r="A12" s="12" t="s">
        <v>110</v>
      </c>
      <c r="B12" s="12" t="s">
        <v>300</v>
      </c>
      <c r="C12" s="12" t="s">
        <v>311</v>
      </c>
      <c r="D12" s="41" t="s">
        <v>67</v>
      </c>
      <c r="E12" s="12" t="s">
        <v>81</v>
      </c>
      <c r="F12" s="66" t="str">
        <f>IF(COUNTIF(F15:F114,L9)&gt;0,"session_true","")</f>
        <v/>
      </c>
      <c r="G12" s="12" t="s">
        <v>382</v>
      </c>
      <c r="H12" s="12" t="s">
        <v>192</v>
      </c>
      <c r="I12" s="12" t="s">
        <v>722</v>
      </c>
      <c r="J12" s="145" t="s">
        <v>696</v>
      </c>
      <c r="K12" s="116" t="str">
        <f>"mysql_select_db('"&amp;K17&amp;"', $con);"</f>
        <v>mysql_select_db('healmy5_pray', $con);</v>
      </c>
    </row>
    <row r="13" spans="1:85" s="17" customFormat="1">
      <c r="AF13" s="17" t="s">
        <v>322</v>
      </c>
      <c r="AM13" s="17" t="s">
        <v>323</v>
      </c>
      <c r="BK13" s="17">
        <v>1</v>
      </c>
      <c r="BR13" s="42" t="s">
        <v>335</v>
      </c>
    </row>
    <row r="14" spans="1:85" s="17" customFormat="1" ht="45">
      <c r="B14" s="34" t="s">
        <v>127</v>
      </c>
      <c r="C14" s="34" t="s">
        <v>72</v>
      </c>
      <c r="D14" s="34" t="s">
        <v>128</v>
      </c>
      <c r="E14" s="34" t="s">
        <v>132</v>
      </c>
      <c r="F14" s="34" t="s">
        <v>133</v>
      </c>
      <c r="G14" s="34" t="s">
        <v>134</v>
      </c>
      <c r="H14" s="34" t="s">
        <v>333</v>
      </c>
      <c r="I14" s="42" t="str">
        <f>+IF(F12="session_true","VARIABLE SESSION","")</f>
        <v/>
      </c>
      <c r="K14" s="17" t="s">
        <v>145</v>
      </c>
      <c r="AA14" s="47" t="s">
        <v>294</v>
      </c>
      <c r="AC14" s="75" t="s">
        <v>392</v>
      </c>
      <c r="AD14" s="47" t="s">
        <v>393</v>
      </c>
      <c r="AE14" s="47" t="s">
        <v>394</v>
      </c>
      <c r="AF14" s="47" t="s">
        <v>296</v>
      </c>
      <c r="AG14" s="47">
        <v>0</v>
      </c>
      <c r="AH14" s="47" t="s">
        <v>358</v>
      </c>
      <c r="AI14" s="47" t="s">
        <v>295</v>
      </c>
      <c r="AJ14" s="34" t="s">
        <v>374</v>
      </c>
      <c r="AK14" s="34" t="s">
        <v>372</v>
      </c>
      <c r="AL14" s="34" t="s">
        <v>373</v>
      </c>
      <c r="AM14" s="68" t="s">
        <v>325</v>
      </c>
      <c r="AN14" s="69" t="s">
        <v>328</v>
      </c>
      <c r="AO14" s="70" t="s">
        <v>370</v>
      </c>
      <c r="AP14" s="68" t="s">
        <v>326</v>
      </c>
      <c r="AQ14" s="69" t="s">
        <v>327</v>
      </c>
      <c r="AR14" s="71" t="s">
        <v>324</v>
      </c>
      <c r="AS14" s="47" t="s">
        <v>309</v>
      </c>
      <c r="AT14" s="47" t="s">
        <v>317</v>
      </c>
      <c r="AU14" s="68" t="s">
        <v>319</v>
      </c>
      <c r="AV14" s="69" t="s">
        <v>360</v>
      </c>
      <c r="AW14" s="69" t="s">
        <v>329</v>
      </c>
      <c r="AX14" s="47" t="s">
        <v>364</v>
      </c>
      <c r="AY14" s="71" t="s">
        <v>330</v>
      </c>
      <c r="AZ14" s="72" t="s">
        <v>354</v>
      </c>
      <c r="BA14" s="73" t="s">
        <v>351</v>
      </c>
      <c r="BB14" s="73" t="s">
        <v>455</v>
      </c>
      <c r="BC14" s="47" t="s">
        <v>320</v>
      </c>
      <c r="BD14" s="47" t="s">
        <v>321</v>
      </c>
      <c r="BE14" s="47" t="s">
        <v>363</v>
      </c>
      <c r="BF14" s="74" t="s">
        <v>331</v>
      </c>
      <c r="BG14" s="47" t="s">
        <v>332</v>
      </c>
      <c r="BH14" s="47" t="s">
        <v>302</v>
      </c>
      <c r="BI14" s="47" t="s">
        <v>299</v>
      </c>
      <c r="BJ14" s="47" t="s">
        <v>334</v>
      </c>
      <c r="BK14" s="47">
        <v>0</v>
      </c>
      <c r="BL14" s="47" t="s">
        <v>498</v>
      </c>
      <c r="BM14" s="47"/>
      <c r="BN14" s="47"/>
      <c r="BO14" s="47" t="s">
        <v>344</v>
      </c>
      <c r="BP14" s="47" t="s">
        <v>340</v>
      </c>
      <c r="BQ14" s="47" t="s">
        <v>343</v>
      </c>
      <c r="BR14" s="47" t="s">
        <v>337</v>
      </c>
      <c r="BS14" s="47" t="s">
        <v>336</v>
      </c>
      <c r="BT14" s="47" t="s">
        <v>339</v>
      </c>
      <c r="BU14" s="47" t="s">
        <v>345</v>
      </c>
      <c r="BV14" s="47" t="s">
        <v>346</v>
      </c>
      <c r="BW14" s="47" t="s">
        <v>349</v>
      </c>
      <c r="BX14" s="47" t="s">
        <v>350</v>
      </c>
      <c r="BY14" s="47" t="s">
        <v>362</v>
      </c>
      <c r="BZ14" s="77" t="s">
        <v>383</v>
      </c>
      <c r="CA14" s="75" t="s">
        <v>386</v>
      </c>
      <c r="CB14" s="75" t="s">
        <v>384</v>
      </c>
      <c r="CC14" s="75" t="s">
        <v>391</v>
      </c>
      <c r="CD14" s="47" t="s">
        <v>380</v>
      </c>
      <c r="CE14" s="47" t="s">
        <v>388</v>
      </c>
      <c r="CF14" s="75" t="s">
        <v>402</v>
      </c>
      <c r="CG14" s="75" t="s">
        <v>406</v>
      </c>
    </row>
    <row r="15" spans="1:85" s="17" customFormat="1">
      <c r="B15" s="150" t="s">
        <v>453</v>
      </c>
      <c r="C15" s="89" t="s">
        <v>684</v>
      </c>
      <c r="D15" s="236">
        <v>255</v>
      </c>
      <c r="E15" s="89" t="str">
        <f>+IF(OR(F15="radio",F15="texto",F15="check",F15="selectlist",F15="bigtext",F15="session",F15="password"),"VARCHAR",IF(F15="date","DATE",""))</f>
        <v>VARCHAR</v>
      </c>
      <c r="F15" s="150" t="s">
        <v>135</v>
      </c>
      <c r="G15" s="150" t="s">
        <v>24</v>
      </c>
      <c r="H15" s="35" t="s">
        <v>24</v>
      </c>
      <c r="I15" s="59"/>
      <c r="K15" s="89" t="s">
        <v>361</v>
      </c>
      <c r="L15" s="44" t="s">
        <v>186</v>
      </c>
      <c r="M15" s="45" t="str">
        <f>+K15&amp;".php"</f>
        <v>session.php</v>
      </c>
      <c r="AA15" s="47" t="s">
        <v>194</v>
      </c>
      <c r="AB15" s="17" t="str">
        <f t="shared" ref="AB15:AB78" si="0">+IF(G15="si",C15&amp;"=="&amp;$B$4,IF(AND(F15="radio",AT15&lt;&gt;""),B15&amp;"=="&amp;$B$4,""))</f>
        <v>user==""</v>
      </c>
      <c r="AC15" s="17">
        <f>+IF(OR(F15=$L$2,F15=$L$6,F15=$L$7),1,0)</f>
        <v>1</v>
      </c>
      <c r="AD15" s="48">
        <f>+AC15</f>
        <v>1</v>
      </c>
      <c r="AE15" s="17" t="str">
        <f t="shared" ref="AE15:AE78" si="1">+IF(AC15=0,"",IF(AD15=1,"if (","else if (")&amp;C15&amp;$H$5&amp;C15&amp;$H$6)</f>
        <v>if (user=="") {document.getElementById("user").focus();}</v>
      </c>
      <c r="AF15" s="17">
        <f>+IF(G15="si",1,IF(AND(F15="radio",AT15&lt;&gt;""),1,0))</f>
        <v>1</v>
      </c>
      <c r="AG15" s="17">
        <f>+AF15+AG14</f>
        <v>1</v>
      </c>
      <c r="AH15" s="17" t="str">
        <f>IF(AG14=0,"",IF(AG15=AG14,"","||"))</f>
        <v/>
      </c>
      <c r="AI15" s="17" t="str">
        <f t="shared" ref="AI15:AI78" si="2">IF($B$3&lt;&gt;"",AH15&amp;AB15,"")</f>
        <v>user==""</v>
      </c>
      <c r="AJ15" s="17" t="str">
        <f>IF(G15="si",AK15,IF(AND(F15="radio",AT15&lt;&gt;""),AL15,""))</f>
        <v>if (user=="") {$("#adv_user").html("Requierd");$("#user").css({"background":"yellow"});} else {$("#adv_user").html("");$("#user").css({"background":"white"});}</v>
      </c>
      <c r="AK15" s="17" t="str">
        <f t="shared" ref="AK15:AK78" si="3">+$F$7&amp;AB15&amp;$F$8&amp;C15&amp;$F$9&amp;$C$5&amp;C15&amp;$G$6&amp;$G$5&amp;C15&amp;$G$7&amp;C15&amp;$G$8</f>
        <v>if (user=="") {$("#adv_user").html("Requierd");$("#user").css({"background":"yellow"});} else {$("#adv_user").html("");$("#user").css({"background":"white"});}</v>
      </c>
      <c r="AL15" s="17" t="str">
        <f t="shared" ref="AL15:AL78" si="4">$F$7&amp;B15&amp;"=="&amp;$B$4&amp;$F$8&amp;B15&amp;$F$9&amp;$G$5&amp;B15&amp;$B$10&amp;$B$11&amp;$G$9</f>
        <v>if (email=="") {$("#adv_email").html("Requierd");} else {$("#adv_email").html("");}</v>
      </c>
      <c r="AM15" s="50" t="str">
        <f t="shared" ref="AM15:AM78" si="5">IF(C15="","",B15&amp;$C$1&amp;C15&amp;$C$2&amp;C15&amp;$C$3)</f>
        <v>email&lt;input type="text" id="user" name="user" size="15" /&gt;</v>
      </c>
      <c r="AN15" s="51" t="str">
        <f t="shared" ref="AN15:AN78" si="6">+C15&amp;$A$3&amp;C15&amp;$A$4</f>
        <v>user=$("#user").val();</v>
      </c>
      <c r="AO15" s="51" t="str">
        <f>+IF(F15="texto",$C$5&amp;C15&amp;C8,"")</f>
        <v>$("#user").css({"background":"yellow"});</v>
      </c>
      <c r="AP15" s="50" t="str">
        <f t="shared" ref="AP15:AP78" si="7">B15&amp;$C$4&amp;C15&amp;$C$2&amp;C15&amp;$C$10</f>
        <v>email&lt;input type="checkbox" id="user" name="user" value="1" /&gt;</v>
      </c>
      <c r="AQ15" s="51" t="str">
        <f t="shared" ref="AQ15:AQ78" si="8">+C15&amp;"="&amp;$D$6&amp;C15&amp;$D$7</f>
        <v>user=document.getElementById("user").checked;</v>
      </c>
      <c r="AR15" s="52" t="str">
        <f t="shared" ref="AR15:AR78" si="9">+$D$8&amp;C15&amp;$D$9&amp;C15&amp;$D$10&amp;C15&amp;$D$11&amp;C15&amp;$D$12</f>
        <v>if (isset($_GET['user'])) {$user=($_GET['user']);}else $user='';</v>
      </c>
      <c r="AS15" s="17" t="str">
        <f t="shared" ref="AS15:AS78" si="10">+IF(B15="",AS14,B15)</f>
        <v>email</v>
      </c>
      <c r="AT15" s="57" t="str">
        <f>+IF(AS15=AS14,"",AS15&amp;":")</f>
        <v>email:</v>
      </c>
      <c r="AU15" s="50" t="str">
        <f t="shared" ref="AU15:AU78" si="11">AT15&amp;IF(AT15="","",$C$6&amp;AS15&amp;$C$7&amp;"&lt;br/&gt;")&amp;C15&amp;$C$9&amp;AS15&amp;$C$11&amp;C15&amp;$C$12&amp;C15&amp;$D$1</f>
        <v>email:&lt;span id="adv_email"&gt;&lt;/span&gt;&lt;br/&gt;user&lt;input type="radio" name="email" id="user" value="user" /&gt;</v>
      </c>
      <c r="AV15" s="15" t="str">
        <f t="shared" ref="AV15:AV78" si="12">IF(AS15&lt;&gt;AS14,$D$2,"else "&amp;$D$2)</f>
        <v>if (document.getElementById("</v>
      </c>
      <c r="AW15" s="51" t="str">
        <f t="shared" ref="AW15:AW78" si="13">AV15&amp;C15&amp;$D$3&amp;AS15&amp;"="&amp;$D$4&amp;C15&amp;$D$5&amp;IF(AND(AT15="",AT16&lt;&gt;""),"else "&amp;AS15&amp;"="&amp;$B$4&amp;";","")</f>
        <v>if (document.getElementById("user").checked==true) {email="user";}</v>
      </c>
      <c r="AX15" s="17" t="str">
        <f>IF(AT15="","",AT15&amp;LEFT(AT15,LEN(AT15)-1))</f>
        <v>email:email</v>
      </c>
      <c r="AY15" s="52" t="str">
        <f t="shared" ref="AY15:AY78" si="14">IF(AT15="","",$D$8&amp;AS15&amp;$D$9&amp;AS15&amp;$D$10&amp;AS15&amp;$D$11&amp;AS15&amp;$D$12)</f>
        <v>if (isset($_GET['email'])) {$email=($_GET['email']);}else $email='';</v>
      </c>
      <c r="AZ15" s="56" t="str">
        <f t="shared" ref="AZ15:AZ78" si="15">+B15&amp;$F$5&amp;C15&amp;$F$6</f>
        <v>email&lt;br/&gt;&lt;textarea rows="2" cols="80" id="user"&gt;&lt;/textarea&gt;&lt;br/&gt;</v>
      </c>
      <c r="BA15" s="54" t="str">
        <f t="shared" ref="BA15:BA78" si="16">+B15&amp;$F$3&amp;C15&amp;$F$4</f>
        <v>email&lt;input type="text"  size="7"  id="user" class="datepicker"/&gt;</v>
      </c>
      <c r="BB15" s="54" t="str">
        <f>IF(C15="","",B15&amp;$J$2&amp;C15&amp;$C$2&amp;C15&amp;N1)</f>
        <v>email&lt;input type="password" id="user" name="user" size="15" onkeypress="capLock(event)"/&gt;</v>
      </c>
      <c r="BC15" s="48" t="str">
        <f>IF(C15="","",IF(F15=$L$8,BB15,IF(F15="check",AP15,IF(F15="texto",AM15,IF(F15="radio",AU15,IF(F15="date",BA15,IF(F15="bigtext",AZ15,IF(F15=$L$9,"","pending select"))))))))</f>
        <v>email&lt;input type="text" id="user" name="user" size="15" /&gt;</v>
      </c>
      <c r="BD15" s="49" t="str">
        <f>IF(C15="","",IF(OR(F15="texto",F15=$L$8),AN15,IF(F15="check",AQ15,IF(F15="radio",AW15,IF(F15="date",AN15,IF(F15="bigtext",AN15,IF(F15=$L$9,"","pending selectlist")))))))</f>
        <v>user=$("#user").val();</v>
      </c>
      <c r="BE15" s="67">
        <f>+IF(BD15="",0,1)</f>
        <v>1</v>
      </c>
      <c r="BF15" s="67" t="str">
        <f>IF(F15=$L$9,"",IF(F15="radio",AX15,C15&amp;":"&amp;C15))</f>
        <v>user:user</v>
      </c>
      <c r="BG15" s="6" t="str">
        <f t="shared" ref="BG15:BG46" si="17">IF(F15=$L$9,"",IF(C15="","",IF(OR(F15="radio",F15="selectlist"),AY15,AR15)))</f>
        <v>if (isset($_GET['user'])) {$user=($_GET['user']);}else $user='';</v>
      </c>
      <c r="BH15" s="39" t="str">
        <f>IF(BC15="","",IF(G15="si",$C$6&amp;C15&amp;$C$7,"")&amp;" ")</f>
        <v xml:space="preserve">&lt;span id="adv_user"&gt;&lt;/span&gt; </v>
      </c>
      <c r="BI15" s="17" t="str">
        <f>+IF(G15="si","required advise","")</f>
        <v>required advise</v>
      </c>
      <c r="BJ15" s="17">
        <f>+IF(H15="si",1,0)</f>
        <v>1</v>
      </c>
      <c r="BK15" s="17">
        <f>+BJ15</f>
        <v>1</v>
      </c>
      <c r="BL15" s="17" t="str">
        <f>IF(F15="date",","&amp;C15&amp;" "&amp;E15,IF(C15="","",","&amp;C15&amp;" "&amp;E15&amp;" ("&amp;D15&amp;")"))</f>
        <v>,user VARCHAR (255)</v>
      </c>
      <c r="BO15" s="17" t="str">
        <f>IF(BK14=0,"",IF(BK15=BK14,""," AND "))</f>
        <v/>
      </c>
      <c r="BP15" s="17" t="str">
        <f t="shared" ref="BP15:BP78" si="18">+IF(BO15=" AND ",$E$10,"")</f>
        <v/>
      </c>
      <c r="BQ15" s="17" t="str">
        <f>IF(BQ14="comma","",IF(BR15="","",","))</f>
        <v/>
      </c>
      <c r="BR15" s="17" t="str">
        <f>IF(B15="","",IF(OR(F15="radio",F15="selectlilst"),B15,C15))</f>
        <v>user</v>
      </c>
      <c r="BS15" s="17" t="str">
        <f>IF(BJ15=0,"",IF(BR15="","",BO15&amp;BR15&amp;"='$"&amp;BR15&amp;"'"))</f>
        <v>user='$user'</v>
      </c>
      <c r="BT15" s="17" t="str">
        <f>+IF(BJ15=0,"",BP15&amp;".$"&amp;BR15)</f>
        <v>.$user</v>
      </c>
      <c r="BU15" s="17" t="str">
        <f>+BQ15&amp;BR15</f>
        <v>user</v>
      </c>
      <c r="BV15" s="17" t="str">
        <f>IF(BR15="","",BQ15&amp;"'$"&amp;BR15&amp;"'")</f>
        <v>'$user'</v>
      </c>
      <c r="BW15" s="17" t="str">
        <f>IF(BR15="","","$"&amp;BR15)</f>
        <v>$user</v>
      </c>
      <c r="BX15" s="17" t="str">
        <f t="shared" ref="BX15:BX78" si="19">IF(BR15="","",$F$1&amp;B15&amp;$F$2&amp;BW15&amp;";")</f>
        <v>echo 'email'.$user;</v>
      </c>
      <c r="BY15" s="17" t="str">
        <f>IF(F15=$L$9,"$"&amp;C15&amp;"="&amp;I15&amp;";","")</f>
        <v/>
      </c>
      <c r="BZ15" s="61" t="str">
        <f>+IF(OR(F15="texto",F15="bigtext",F15="selectlist",F15="date"),CC15,IF(F15="check",CE15,CD15))</f>
        <v>$("#user").val("");$("#adv_user").html("");$("#user").css({"background":"#fff"});</v>
      </c>
      <c r="CA15" s="17" t="str">
        <f t="shared" ref="CA15:CA78" si="20">IF(C15="","",$C$5&amp;C15&amp;$H$2)</f>
        <v>$("#user").val("");</v>
      </c>
      <c r="CB15" s="17" t="str">
        <f t="shared" ref="CB15:CB78" si="21">IF(AND(G15="si",C15&lt;&gt;""),$G$11&amp;C15&amp;$G$12&amp;$C$5&amp;C15&amp;$H$1,"")</f>
        <v>$("#adv_user").html("");$("#user").css({"background":"#fff"});</v>
      </c>
      <c r="CC15" s="17" t="str">
        <f>+CA15&amp;CB15</f>
        <v>$("#user").val("");$("#adv_user").html("");$("#user").css({"background":"#fff"});</v>
      </c>
      <c r="CD15" s="17" t="str">
        <f t="shared" ref="CD15:CD78" si="22">IF(F15="radio",$D$6&amp;C15&amp;$H$3&amp;IF(B15="","",$G$11&amp;B15&amp;$G$12),"")</f>
        <v/>
      </c>
      <c r="CE15" s="17" t="str">
        <f t="shared" ref="CE15:CE78" si="23">IF(F15="check",$D$6&amp;C15&amp;$H$3,"")</f>
        <v/>
      </c>
      <c r="CF15" s="17" t="str">
        <f>IF(C15="","",$I$8&amp;BR15&amp;$I$9&amp;BR15&amp;$I$10)</f>
        <v>$call_user=$row['user'];</v>
      </c>
      <c r="CG15" s="17" t="str">
        <f>IF(B15="","",$I$11&amp;$I$8&amp;BR15&amp;";")</f>
        <v>echo $call_user;</v>
      </c>
    </row>
    <row r="16" spans="1:85" s="17" customFormat="1">
      <c r="B16" s="150" t="s">
        <v>455</v>
      </c>
      <c r="C16" s="89" t="s">
        <v>494</v>
      </c>
      <c r="D16" s="236">
        <v>255</v>
      </c>
      <c r="E16" s="89" t="str">
        <f t="shared" ref="E16:E45" si="24">+IF(OR(F16="radio",F16="texto",F16="check",F16="selectlist",F16="bigtext",F16="session",F16="password"),"VARCHAR",IF(F16="date","DATE",""))</f>
        <v>VARCHAR</v>
      </c>
      <c r="F16" s="150" t="s">
        <v>455</v>
      </c>
      <c r="G16" s="150" t="s">
        <v>24</v>
      </c>
      <c r="H16" s="35"/>
      <c r="K16" s="17" t="s">
        <v>146</v>
      </c>
      <c r="AA16" s="47" t="s">
        <v>195</v>
      </c>
      <c r="AB16" s="17" t="str">
        <f t="shared" si="0"/>
        <v>pwd==""</v>
      </c>
      <c r="AC16" s="17">
        <f t="shared" ref="AC16:AC79" si="25">+IF(OR(F16=$L$2,F16=$L$6,F16=$L$7),1,0)</f>
        <v>0</v>
      </c>
      <c r="AD16" s="17">
        <f>+AD15+AC16</f>
        <v>1</v>
      </c>
      <c r="AE16" s="17" t="str">
        <f t="shared" si="1"/>
        <v/>
      </c>
      <c r="AF16" s="17">
        <f t="shared" ref="AF16:AF79" si="26">+IF(G16="si",1,IF(AND(F16="radio",AT16&lt;&gt;""),1,0))</f>
        <v>1</v>
      </c>
      <c r="AG16" s="17">
        <f t="shared" ref="AG16:AG79" si="27">+AF16+AG15</f>
        <v>2</v>
      </c>
      <c r="AH16" s="17" t="str">
        <f t="shared" ref="AH16:AH79" si="28">IF(AG15=0,"",IF(AG16=AG15,"","||"))</f>
        <v>||</v>
      </c>
      <c r="AI16" s="17" t="str">
        <f t="shared" si="2"/>
        <v>||pwd==""</v>
      </c>
      <c r="AJ16" s="17" t="str">
        <f t="shared" ref="AJ16:AJ79" si="29">IF(G16="si",AK16,IF(AND(F16="radio",AT16&lt;&gt;""),AL16,""))</f>
        <v>if (pwd=="") {$("#adv_pwd").html("Requierd");$("#pwd").css({"background":"yellow"});} else {$("#adv_pwd").html("");$("#pwd").css({"background":"white"});}</v>
      </c>
      <c r="AK16" s="17" t="str">
        <f t="shared" si="3"/>
        <v>if (pwd=="") {$("#adv_pwd").html("Requierd");$("#pwd").css({"background":"yellow"});} else {$("#adv_pwd").html("");$("#pwd").css({"background":"white"});}</v>
      </c>
      <c r="AL16" s="17" t="str">
        <f t="shared" si="4"/>
        <v>if (password=="") {$("#adv_password").html("Requierd");} else {$("#adv_password").html("");}</v>
      </c>
      <c r="AM16" s="212" t="str">
        <f>IF(C16="","",B16&amp;$C$1&amp;C16&amp;$C$2&amp;C16&amp;L10)</f>
        <v>password&lt;input type="text" id="pwd" name="pwd" size="15"    onkeypress="capLock(event)" /&gt;</v>
      </c>
      <c r="AN16" s="51" t="str">
        <f t="shared" si="6"/>
        <v>pwd=$("#pwd").val();</v>
      </c>
      <c r="AO16" s="51" t="str">
        <f t="shared" ref="AO16:AO79" si="30">+IF(F16="texto","highlight script","")</f>
        <v/>
      </c>
      <c r="AP16" s="50" t="str">
        <f t="shared" si="7"/>
        <v>password&lt;input type="checkbox" id="pwd" name="pwd" value="1" /&gt;</v>
      </c>
      <c r="AQ16" s="51" t="str">
        <f t="shared" si="8"/>
        <v>pwd=document.getElementById("pwd").checked;</v>
      </c>
      <c r="AR16" s="52" t="str">
        <f t="shared" si="9"/>
        <v>if (isset($_GET['pwd'])) {$pwd=($_GET['pwd']);}else $pwd='';</v>
      </c>
      <c r="AS16" s="17" t="str">
        <f t="shared" si="10"/>
        <v>password</v>
      </c>
      <c r="AT16" s="17" t="str">
        <f>+IF(AS16=AS15,"",AS16&amp;":")</f>
        <v>password:</v>
      </c>
      <c r="AU16" s="50" t="str">
        <f t="shared" si="11"/>
        <v>password:&lt;span id="adv_password"&gt;&lt;/span&gt;&lt;br/&gt;pwd&lt;input type="radio" name="password" id="pwd" value="pwd" /&gt;</v>
      </c>
      <c r="AV16" s="15" t="str">
        <f t="shared" si="12"/>
        <v>if (document.getElementById("</v>
      </c>
      <c r="AW16" s="51" t="str">
        <f t="shared" si="13"/>
        <v>if (document.getElementById("pwd").checked==true) {password="pwd";}</v>
      </c>
      <c r="AX16" s="17" t="str">
        <f>IF(AT16="","",","&amp;AT16&amp;LEFT(AT16,LEN(AT16)-1))</f>
        <v>,password:password</v>
      </c>
      <c r="AY16" s="52" t="str">
        <f t="shared" si="14"/>
        <v>if (isset($_GET['password'])) {$password=($_GET['password']);}else $password='';</v>
      </c>
      <c r="AZ16" s="56" t="str">
        <f t="shared" si="15"/>
        <v>password&lt;br/&gt;&lt;textarea rows="2" cols="80" id="pwd"&gt;&lt;/textarea&gt;&lt;br/&gt;</v>
      </c>
      <c r="BA16" s="54" t="str">
        <f t="shared" si="16"/>
        <v>password&lt;input type="text"  size="7"  id="pwd" class="datepicker"/&gt;</v>
      </c>
      <c r="BB16" s="39" t="str">
        <f>IF(C16="","",B16&amp;$J$2&amp;C16&amp;$C$2&amp;C16&amp;N1)</f>
        <v>password&lt;input type="password" id="pwd" name="pwd" size="15" onkeypress="capLock(event)"/&gt;</v>
      </c>
      <c r="BC16" s="48" t="str">
        <f>IF(C16="","",IF(F16=$L$8,BB16,IF(F16="check",AP16,IF(F16="texto",AM16,IF(F16="radio",AU16,IF(F16="date",BA16,IF(F16="bigtext",AZ16,IF(F16=$L$9,"","pending select"))))))))</f>
        <v>password&lt;input type="password" id="pwd" name="pwd" size="15" onkeypress="capLock(event)"/&gt;</v>
      </c>
      <c r="BD16" s="49" t="str">
        <f>IF(C16="","",IF(OR(F16="texto",F16=$L$8),AN16,IF(F16="check",AQ16,IF(F16="radio",AW16,IF(F16="date",AN16,IF(F16="bigtext",AN16,IF(F16=$L$9,"","pending selectlist")))))))</f>
        <v>pwd=$("#pwd").val();</v>
      </c>
      <c r="BE16" s="49">
        <f>+IF(BD16="",0,1)+BE15</f>
        <v>2</v>
      </c>
      <c r="BF16" s="55" t="str">
        <f t="shared" ref="BF16:BF47" si="31">IF(F16=$L$9,"",IF(C16="","",IF(F16="radio",AX16,IF(BE16=1,"",",")&amp;C16&amp;":"&amp;C16)))</f>
        <v>,pwd:pwd</v>
      </c>
      <c r="BG16" s="6" t="str">
        <f t="shared" si="17"/>
        <v>if (isset($_GET['pwd'])) {$pwd=($_GET['pwd']);}else $pwd='';</v>
      </c>
      <c r="BH16" s="39" t="str">
        <f>IF(BC16="","",IF(G16="si",$C$6&amp;C16&amp;$C$7,"")&amp;" ")</f>
        <v xml:space="preserve">&lt;span id="adv_pwd"&gt;&lt;/span&gt; </v>
      </c>
      <c r="BI16" s="17" t="str">
        <f t="shared" ref="BI16:BI79" si="32">+IF(G16="si","required advise","")</f>
        <v>required advise</v>
      </c>
      <c r="BJ16" s="17">
        <f t="shared" ref="BJ16:BJ79" si="33">+IF(H16="si",1,0)</f>
        <v>0</v>
      </c>
      <c r="BK16" s="17">
        <f t="shared" ref="BK16:BK79" si="34">+BJ16+BK15</f>
        <v>1</v>
      </c>
      <c r="BL16" s="17" t="str">
        <f>IF(F16="date",","&amp;C16&amp;" "&amp;E16,IF(C16="","",","&amp;C16&amp;" "&amp;E16&amp;" ("&amp;D16&amp;")"))</f>
        <v>,pwd VARCHAR (255)</v>
      </c>
      <c r="BO16" s="17" t="str">
        <f>IF(BK15=0,"",IF(BK16=BK15,""," AND "))</f>
        <v/>
      </c>
      <c r="BP16" s="17" t="str">
        <f t="shared" si="18"/>
        <v/>
      </c>
      <c r="BQ16" s="17" t="str">
        <f t="shared" ref="BQ16:BQ79" si="35">+IF(BR16="","",",")</f>
        <v>,</v>
      </c>
      <c r="BR16" s="17" t="str">
        <f t="shared" ref="BR16:BR79" si="36">IF(B16="","",IF(OR(F16="radio",F16="selectlilst"),B16,C16))</f>
        <v>pwd</v>
      </c>
      <c r="BS16" s="17" t="str">
        <f>IF(BJ16=0,"",IF(BR16="","",BO16&amp;BR16&amp;"='$"&amp;BR16&amp;"'"))</f>
        <v/>
      </c>
      <c r="BT16" s="17" t="str">
        <f t="shared" ref="BT16:BT79" si="37">+IF(BJ16=0,"",BP16&amp;".$"&amp;BR16)</f>
        <v/>
      </c>
      <c r="BU16" s="17" t="str">
        <f t="shared" ref="BU16:BU79" si="38">+BQ16&amp;BR16</f>
        <v>,pwd</v>
      </c>
      <c r="BV16" s="17" t="str">
        <f t="shared" ref="BV16:BV79" si="39">IF(BR16="","",BQ16&amp;"'$"&amp;BR16&amp;"'")</f>
        <v>,'$pwd'</v>
      </c>
      <c r="BW16" s="17" t="str">
        <f t="shared" ref="BW16:BW79" si="40">IF(BR16="","","$"&amp;BR16)</f>
        <v>$pwd</v>
      </c>
      <c r="BX16" s="17" t="str">
        <f t="shared" si="19"/>
        <v>echo 'password'.$pwd;</v>
      </c>
      <c r="BY16" s="17" t="str">
        <f>IF(F16=$L$9,"$"&amp;C16&amp;"="&amp;#REF!&amp;";","")</f>
        <v/>
      </c>
      <c r="BZ16" s="61" t="str">
        <f t="shared" ref="BZ16:BZ79" si="41">+IF(OR(F16="texto",F16="bigtext",F16="selectlist",F16="date"),CC16,IF(F16="check",CE16,CD16))</f>
        <v/>
      </c>
      <c r="CA16" s="17" t="str">
        <f t="shared" si="20"/>
        <v>$("#pwd").val("");</v>
      </c>
      <c r="CB16" s="17" t="str">
        <f t="shared" si="21"/>
        <v>$("#adv_pwd").html("");$("#pwd").css({"background":"#fff"});</v>
      </c>
      <c r="CC16" s="17" t="str">
        <f t="shared" ref="CC16:CC79" si="42">+CA16&amp;CB16</f>
        <v>$("#pwd").val("");$("#adv_pwd").html("");$("#pwd").css({"background":"#fff"});</v>
      </c>
      <c r="CD16" s="17" t="str">
        <f t="shared" si="22"/>
        <v/>
      </c>
      <c r="CE16" s="17" t="str">
        <f t="shared" si="23"/>
        <v/>
      </c>
      <c r="CF16" s="17" t="str">
        <f t="shared" ref="CF16:CF79" si="43">IF(C16="","",$I$8&amp;BR16&amp;$I$9&amp;BR16&amp;$I$10)</f>
        <v>$call_pwd=$row['pwd'];</v>
      </c>
      <c r="CG16" s="17" t="str">
        <f t="shared" ref="CG16:CG79" si="44">IF(B16="","",$I$11&amp;$I$8&amp;BR16&amp;";")</f>
        <v>echo $call_pwd;</v>
      </c>
    </row>
    <row r="17" spans="2:85" s="17" customFormat="1">
      <c r="B17" s="35" t="s">
        <v>590</v>
      </c>
      <c r="C17" s="150" t="s">
        <v>591</v>
      </c>
      <c r="D17" s="36">
        <v>50</v>
      </c>
      <c r="E17" s="89" t="str">
        <f t="shared" si="24"/>
        <v>VARCHAR</v>
      </c>
      <c r="F17" s="35" t="s">
        <v>135</v>
      </c>
      <c r="G17" s="35" t="s">
        <v>24</v>
      </c>
      <c r="H17" s="35"/>
      <c r="K17" s="89" t="str">
        <f>+fieldcreatorv2!L17</f>
        <v>healmy5_pray</v>
      </c>
      <c r="AA17" s="47" t="s">
        <v>196</v>
      </c>
      <c r="AB17" s="17" t="str">
        <f t="shared" si="0"/>
        <v>prof==""</v>
      </c>
      <c r="AC17" s="17">
        <f t="shared" si="25"/>
        <v>1</v>
      </c>
      <c r="AD17" s="17">
        <f t="shared" ref="AD17:AD80" si="45">+AD16+AC17</f>
        <v>2</v>
      </c>
      <c r="AE17" s="17" t="str">
        <f t="shared" si="1"/>
        <v>else if (prof=="") {document.getElementById("prof").focus();}</v>
      </c>
      <c r="AF17" s="17">
        <f t="shared" si="26"/>
        <v>1</v>
      </c>
      <c r="AG17" s="17">
        <f t="shared" si="27"/>
        <v>3</v>
      </c>
      <c r="AH17" s="17" t="str">
        <f t="shared" si="28"/>
        <v>||</v>
      </c>
      <c r="AI17" s="17" t="str">
        <f t="shared" si="2"/>
        <v>||prof==""</v>
      </c>
      <c r="AJ17" s="17" t="str">
        <f t="shared" si="29"/>
        <v>if (prof=="") {$("#adv_prof").html("Requierd");$("#prof").css({"background":"yellow"});} else {$("#adv_prof").html("");$("#prof").css({"background":"white"});}</v>
      </c>
      <c r="AK17" s="17" t="str">
        <f t="shared" si="3"/>
        <v>if (prof=="") {$("#adv_prof").html("Requierd");$("#prof").css({"background":"yellow"});} else {$("#adv_prof").html("");$("#prof").css({"background":"white"});}</v>
      </c>
      <c r="AL17" s="17" t="str">
        <f t="shared" si="4"/>
        <v>if (profile=="") {$("#adv_profile").html("Requierd");} else {$("#adv_profile").html("");}</v>
      </c>
      <c r="AM17" s="50" t="str">
        <f t="shared" si="5"/>
        <v>profile&lt;input type="text" id="prof" name="prof" size="15" /&gt;</v>
      </c>
      <c r="AN17" s="51" t="str">
        <f t="shared" si="6"/>
        <v>prof=$("#prof").val();</v>
      </c>
      <c r="AO17" s="51" t="str">
        <f t="shared" si="30"/>
        <v>highlight script</v>
      </c>
      <c r="AP17" s="50" t="str">
        <f t="shared" si="7"/>
        <v>profile&lt;input type="checkbox" id="prof" name="prof" value="1" /&gt;</v>
      </c>
      <c r="AQ17" s="51" t="str">
        <f t="shared" si="8"/>
        <v>prof=document.getElementById("prof").checked;</v>
      </c>
      <c r="AR17" s="52" t="str">
        <f t="shared" si="9"/>
        <v>if (isset($_GET['prof'])) {$prof=($_GET['prof']);}else $prof='';</v>
      </c>
      <c r="AS17" s="17" t="str">
        <f t="shared" si="10"/>
        <v>profile</v>
      </c>
      <c r="AT17" s="17" t="str">
        <f t="shared" ref="AT17:AT80" si="46">+IF(AS17=AS16,"",AS17&amp;":")</f>
        <v>profile:</v>
      </c>
      <c r="AU17" s="50" t="str">
        <f t="shared" si="11"/>
        <v>profile:&lt;span id="adv_profile"&gt;&lt;/span&gt;&lt;br/&gt;prof&lt;input type="radio" name="profile" id="prof" value="prof" /&gt;</v>
      </c>
      <c r="AV17" s="15" t="str">
        <f t="shared" si="12"/>
        <v>if (document.getElementById("</v>
      </c>
      <c r="AW17" s="51" t="str">
        <f t="shared" si="13"/>
        <v>if (document.getElementById("prof").checked==true) {profile="prof";}</v>
      </c>
      <c r="AX17" s="17" t="str">
        <f t="shared" ref="AX17:AX80" si="47">IF(AT17="","",","&amp;AT17&amp;LEFT(AT17,LEN(AT17)-1))</f>
        <v>,profile:profile</v>
      </c>
      <c r="AY17" s="52" t="str">
        <f t="shared" si="14"/>
        <v>if (isset($_GET['profile'])) {$profile=($_GET['profile']);}else $profile='';</v>
      </c>
      <c r="AZ17" s="56" t="str">
        <f t="shared" si="15"/>
        <v>profile&lt;br/&gt;&lt;textarea rows="2" cols="80" id="prof"&gt;&lt;/textarea&gt;&lt;br/&gt;</v>
      </c>
      <c r="BA17" s="54" t="str">
        <f t="shared" si="16"/>
        <v>profile&lt;input type="text"  size="7"  id="prof" class="datepicker"/&gt;</v>
      </c>
      <c r="BB17" s="54" t="str">
        <f t="shared" ref="BB17:BB79" si="48">IF(C17="","",B17&amp;$J$2&amp;C17&amp;$C$2&amp;C17&amp;$C$3)</f>
        <v>profile&lt;input type="password" id="prof" name="prof" size="15" /&gt;</v>
      </c>
      <c r="BC17" s="48" t="str">
        <f t="shared" ref="BC17:BC80" si="49">IF(C17="","",IF(F17=$L$8,BB17,IF(F17="check",AP17,IF(F17="texto",AM17,IF(F17="radio",AU17,IF(F17="date",BA17,IF(F17="bigtext",AZ17,IF(F17=$L$9,"","pending select"))))))))</f>
        <v>profile&lt;input type="text" id="prof" name="prof" size="15" /&gt;</v>
      </c>
      <c r="BD17" s="49" t="str">
        <f t="shared" ref="BD17:BD80" si="50">IF(C17="","",IF(OR(F17="texto",F17=$L$8),AN17,IF(F17="check",AQ17,IF(F17="radio",AW17,IF(F17="date",AN17,IF(F17="bigtext",AN17,IF(F17=$L$9,"","pending selectlist")))))))</f>
        <v>prof=$("#prof").val();</v>
      </c>
      <c r="BE17" s="49">
        <f>+IF(BD17="",0,1)+BE16</f>
        <v>3</v>
      </c>
      <c r="BF17" s="55" t="str">
        <f t="shared" si="31"/>
        <v>,prof:prof</v>
      </c>
      <c r="BG17" s="6" t="str">
        <f t="shared" si="17"/>
        <v>if (isset($_GET['prof'])) {$prof=($_GET['prof']);}else $prof='';</v>
      </c>
      <c r="BH17" s="17" t="str">
        <f t="shared" ref="BH17:BH78" si="51">IF(BC17="","",IF(G17="si",$C$6&amp;C17&amp;$C$7,"")&amp;"&lt;br/&gt;")</f>
        <v>&lt;span id="adv_prof"&gt;&lt;/span&gt;&lt;br/&gt;</v>
      </c>
      <c r="BI17" s="17" t="str">
        <f t="shared" si="32"/>
        <v>required advise</v>
      </c>
      <c r="BJ17" s="17">
        <f t="shared" si="33"/>
        <v>0</v>
      </c>
      <c r="BK17" s="17">
        <f t="shared" si="34"/>
        <v>1</v>
      </c>
      <c r="BL17" s="17" t="str">
        <f>IF(F17="date",","&amp;C17&amp;" "&amp;E17,IF(C17="","",","&amp;C17&amp;" "&amp;E17&amp;" ("&amp;D17&amp;")"))</f>
        <v>,prof VARCHAR (50)</v>
      </c>
      <c r="BO17" s="17" t="str">
        <f t="shared" ref="BO17:BO80" si="52">IF(BK16=0,"",IF(BK17=BK16,""," AND "))</f>
        <v/>
      </c>
      <c r="BP17" s="17" t="str">
        <f t="shared" si="18"/>
        <v/>
      </c>
      <c r="BQ17" s="17" t="str">
        <f t="shared" si="35"/>
        <v>,</v>
      </c>
      <c r="BR17" s="17" t="str">
        <f t="shared" si="36"/>
        <v>prof</v>
      </c>
      <c r="BS17" s="17" t="str">
        <f t="shared" ref="BS17:BS80" si="53">IF(BJ17=0,"",IF(BR17="","",BO17&amp;BR17&amp;"='$"&amp;BR17&amp;"'"))</f>
        <v/>
      </c>
      <c r="BT17" s="17" t="str">
        <f t="shared" si="37"/>
        <v/>
      </c>
      <c r="BU17" s="17" t="str">
        <f t="shared" si="38"/>
        <v>,prof</v>
      </c>
      <c r="BV17" s="17" t="str">
        <f t="shared" si="39"/>
        <v>,'$prof'</v>
      </c>
      <c r="BW17" s="17" t="str">
        <f t="shared" si="40"/>
        <v>$prof</v>
      </c>
      <c r="BX17" s="17" t="str">
        <f t="shared" si="19"/>
        <v>echo 'profile'.$prof;</v>
      </c>
      <c r="BY17" s="17" t="str">
        <f>IF(F17=$L$9,"$"&amp;C17&amp;"="&amp;#REF!&amp;";","")</f>
        <v/>
      </c>
      <c r="BZ17" s="61" t="str">
        <f t="shared" si="41"/>
        <v>$("#prof").val("");$("#adv_prof").html("");$("#prof").css({"background":"#fff"});</v>
      </c>
      <c r="CA17" s="17" t="str">
        <f t="shared" si="20"/>
        <v>$("#prof").val("");</v>
      </c>
      <c r="CB17" s="17" t="str">
        <f t="shared" si="21"/>
        <v>$("#adv_prof").html("");$("#prof").css({"background":"#fff"});</v>
      </c>
      <c r="CC17" s="17" t="str">
        <f t="shared" si="42"/>
        <v>$("#prof").val("");$("#adv_prof").html("");$("#prof").css({"background":"#fff"});</v>
      </c>
      <c r="CD17" s="17" t="str">
        <f t="shared" si="22"/>
        <v/>
      </c>
      <c r="CE17" s="17" t="str">
        <f t="shared" si="23"/>
        <v/>
      </c>
      <c r="CF17" s="17" t="str">
        <f t="shared" si="43"/>
        <v>$call_prof=$row['prof'];</v>
      </c>
      <c r="CG17" s="17" t="str">
        <f t="shared" si="44"/>
        <v>echo $call_prof;</v>
      </c>
    </row>
    <row r="18" spans="2:85" s="17" customFormat="1">
      <c r="B18" s="89" t="s">
        <v>846</v>
      </c>
      <c r="C18" s="89" t="s">
        <v>647</v>
      </c>
      <c r="D18" s="36"/>
      <c r="E18" s="89" t="str">
        <f t="shared" si="24"/>
        <v>DATE</v>
      </c>
      <c r="F18" s="89" t="s">
        <v>131</v>
      </c>
      <c r="G18" s="89" t="s">
        <v>48</v>
      </c>
      <c r="H18" s="89"/>
      <c r="I18" s="59"/>
      <c r="K18" s="17" t="s">
        <v>147</v>
      </c>
      <c r="AA18" s="47" t="s">
        <v>197</v>
      </c>
      <c r="AB18" s="17" t="str">
        <f t="shared" si="0"/>
        <v/>
      </c>
      <c r="AC18" s="17">
        <f t="shared" si="25"/>
        <v>1</v>
      </c>
      <c r="AD18" s="17">
        <f t="shared" si="45"/>
        <v>3</v>
      </c>
      <c r="AE18" s="17" t="str">
        <f t="shared" si="1"/>
        <v>else if (dtoc=="") {document.getElementById("dtoc").focus();}</v>
      </c>
      <c r="AF18" s="17">
        <f t="shared" si="26"/>
        <v>0</v>
      </c>
      <c r="AG18" s="17">
        <f t="shared" si="27"/>
        <v>3</v>
      </c>
      <c r="AH18" s="17" t="str">
        <f t="shared" si="28"/>
        <v/>
      </c>
      <c r="AI18" s="17" t="str">
        <f t="shared" si="2"/>
        <v/>
      </c>
      <c r="AJ18" s="17" t="str">
        <f t="shared" si="29"/>
        <v/>
      </c>
      <c r="AK18" s="17" t="str">
        <f t="shared" si="3"/>
        <v>if () {$("#adv_dtoc").html("Requierd");$("#dtoc").css({"background":"yellow"});} else {$("#adv_dtoc").html("");$("#dtoc").css({"background":"white"});}</v>
      </c>
      <c r="AL18" s="17" t="str">
        <f t="shared" si="4"/>
        <v>if (date of creation=="") {$("#adv_date of creation").html("Requierd");} else {$("#adv_date of creation").html("");}</v>
      </c>
      <c r="AM18" s="50" t="str">
        <f t="shared" si="5"/>
        <v>date of creation&lt;input type="text" id="dtoc" name="dtoc" size="15" /&gt;</v>
      </c>
      <c r="AN18" s="51" t="str">
        <f t="shared" si="6"/>
        <v>dtoc=$("#dtoc").val();</v>
      </c>
      <c r="AO18" s="51" t="str">
        <f t="shared" si="30"/>
        <v/>
      </c>
      <c r="AP18" s="50" t="str">
        <f t="shared" si="7"/>
        <v>date of creation&lt;input type="checkbox" id="dtoc" name="dtoc" value="1" /&gt;</v>
      </c>
      <c r="AQ18" s="51" t="str">
        <f t="shared" si="8"/>
        <v>dtoc=document.getElementById("dtoc").checked;</v>
      </c>
      <c r="AR18" s="52" t="str">
        <f t="shared" si="9"/>
        <v>if (isset($_GET['dtoc'])) {$dtoc=($_GET['dtoc']);}else $dtoc='';</v>
      </c>
      <c r="AS18" s="17" t="str">
        <f t="shared" si="10"/>
        <v>date of creation</v>
      </c>
      <c r="AT18" s="17" t="str">
        <f t="shared" si="46"/>
        <v>date of creation:</v>
      </c>
      <c r="AU18" s="50" t="str">
        <f t="shared" si="11"/>
        <v>date of creation:&lt;span id="adv_date of creation"&gt;&lt;/span&gt;&lt;br/&gt;dtoc&lt;input type="radio" name="date of creation" id="dtoc" value="dtoc" /&gt;</v>
      </c>
      <c r="AV18" s="15" t="str">
        <f t="shared" si="12"/>
        <v>if (document.getElementById("</v>
      </c>
      <c r="AW18" s="51" t="str">
        <f t="shared" si="13"/>
        <v>if (document.getElementById("dtoc").checked==true) {date of creation="dtoc";}</v>
      </c>
      <c r="AX18" s="17" t="str">
        <f t="shared" si="47"/>
        <v>,date of creation:date of creation</v>
      </c>
      <c r="AY18" s="52" t="str">
        <f t="shared" si="14"/>
        <v>if (isset($_GET['date of creation'])) {$date of creation=($_GET['date of creation']);}else $date of creation='';</v>
      </c>
      <c r="AZ18" s="56" t="str">
        <f t="shared" si="15"/>
        <v>date of creation&lt;br/&gt;&lt;textarea rows="2" cols="80" id="dtoc"&gt;&lt;/textarea&gt;&lt;br/&gt;</v>
      </c>
      <c r="BA18" s="54" t="str">
        <f t="shared" si="16"/>
        <v>date of creation&lt;input type="text"  size="7"  id="dtoc" class="datepicker"/&gt;</v>
      </c>
      <c r="BB18" s="54" t="str">
        <f t="shared" si="48"/>
        <v>date of creation&lt;input type="password" id="dtoc" name="dtoc" size="15" /&gt;</v>
      </c>
      <c r="BC18" s="39" t="str">
        <f>""</f>
        <v/>
      </c>
      <c r="BD18" s="49" t="str">
        <f t="shared" si="50"/>
        <v>dtoc=$("#dtoc").val();</v>
      </c>
      <c r="BE18" s="49">
        <f>+IF(BD18="",0,1)+BE17</f>
        <v>4</v>
      </c>
      <c r="BF18" s="39"/>
      <c r="BG18" s="39" t="s">
        <v>836</v>
      </c>
      <c r="BH18" s="17" t="str">
        <f t="shared" si="51"/>
        <v/>
      </c>
      <c r="BI18" s="17" t="str">
        <f t="shared" si="32"/>
        <v/>
      </c>
      <c r="BJ18" s="17">
        <f t="shared" si="33"/>
        <v>0</v>
      </c>
      <c r="BK18" s="17">
        <f t="shared" si="34"/>
        <v>1</v>
      </c>
      <c r="BL18" s="39" t="s">
        <v>835</v>
      </c>
      <c r="BO18" s="17" t="str">
        <f t="shared" si="52"/>
        <v/>
      </c>
      <c r="BP18" s="17" t="str">
        <f t="shared" si="18"/>
        <v/>
      </c>
      <c r="BQ18" s="17" t="str">
        <f t="shared" si="35"/>
        <v>,</v>
      </c>
      <c r="BR18" s="17" t="str">
        <f t="shared" si="36"/>
        <v>dtoc</v>
      </c>
      <c r="BS18" s="17" t="str">
        <f t="shared" si="53"/>
        <v/>
      </c>
      <c r="BT18" s="17" t="str">
        <f t="shared" si="37"/>
        <v/>
      </c>
      <c r="BU18" s="17" t="str">
        <f t="shared" si="38"/>
        <v>,dtoc</v>
      </c>
      <c r="BV18" s="17" t="str">
        <f t="shared" si="39"/>
        <v>,'$dtoc'</v>
      </c>
      <c r="BW18" s="17" t="str">
        <f t="shared" si="40"/>
        <v>$dtoc</v>
      </c>
      <c r="BX18" s="17" t="str">
        <f t="shared" si="19"/>
        <v>echo 'date of creation'.$dtoc;</v>
      </c>
      <c r="BY18" s="17" t="str">
        <f t="shared" ref="BY18:BY79" si="54">IF(F18=$L$9,"$"&amp;C18&amp;"="&amp;I18&amp;";","")</f>
        <v/>
      </c>
      <c r="BZ18" s="61" t="str">
        <f t="shared" si="41"/>
        <v>$("#dtoc").val("");</v>
      </c>
      <c r="CA18" s="17" t="str">
        <f t="shared" si="20"/>
        <v>$("#dtoc").val("");</v>
      </c>
      <c r="CB18" s="17" t="str">
        <f t="shared" si="21"/>
        <v/>
      </c>
      <c r="CC18" s="17" t="str">
        <f t="shared" si="42"/>
        <v>$("#dtoc").val("");</v>
      </c>
      <c r="CD18" s="17" t="str">
        <f t="shared" si="22"/>
        <v/>
      </c>
      <c r="CE18" s="17" t="str">
        <f t="shared" si="23"/>
        <v/>
      </c>
      <c r="CF18" s="17" t="str">
        <f t="shared" si="43"/>
        <v>$call_dtoc=$row['dtoc'];</v>
      </c>
      <c r="CG18" s="17" t="str">
        <f t="shared" si="44"/>
        <v>echo $call_dtoc;</v>
      </c>
    </row>
    <row r="19" spans="2:85" s="17" customFormat="1">
      <c r="B19" s="35" t="s">
        <v>122</v>
      </c>
      <c r="C19" s="150" t="s">
        <v>122</v>
      </c>
      <c r="D19" s="36">
        <v>100</v>
      </c>
      <c r="E19" s="89" t="str">
        <f t="shared" si="24"/>
        <v>VARCHAR</v>
      </c>
      <c r="F19" s="35" t="s">
        <v>135</v>
      </c>
      <c r="G19" s="35" t="s">
        <v>24</v>
      </c>
      <c r="H19" s="35"/>
      <c r="I19" s="59"/>
      <c r="K19" s="35">
        <v>1</v>
      </c>
      <c r="L19" s="43" t="s">
        <v>190</v>
      </c>
      <c r="M19" s="42" t="str">
        <f>+"check"&amp;K19</f>
        <v>check1</v>
      </c>
      <c r="AA19" s="47" t="s">
        <v>198</v>
      </c>
      <c r="AB19" s="17" t="str">
        <f t="shared" si="0"/>
        <v>name==""</v>
      </c>
      <c r="AC19" s="17">
        <f t="shared" si="25"/>
        <v>1</v>
      </c>
      <c r="AD19" s="17">
        <f t="shared" si="45"/>
        <v>4</v>
      </c>
      <c r="AE19" s="17" t="str">
        <f t="shared" si="1"/>
        <v>else if (name=="") {document.getElementById("name").focus();}</v>
      </c>
      <c r="AF19" s="17">
        <f t="shared" si="26"/>
        <v>1</v>
      </c>
      <c r="AG19" s="17">
        <f t="shared" si="27"/>
        <v>4</v>
      </c>
      <c r="AH19" s="17" t="str">
        <f t="shared" si="28"/>
        <v>||</v>
      </c>
      <c r="AI19" s="17" t="str">
        <f t="shared" si="2"/>
        <v>||name==""</v>
      </c>
      <c r="AJ19" s="17" t="str">
        <f t="shared" si="29"/>
        <v>if (name=="") {$("#adv_name").html("Requierd");$("#name").css({"background":"yellow"});} else {$("#adv_name").html("");$("#name").css({"background":"white"});}</v>
      </c>
      <c r="AK19" s="17" t="str">
        <f t="shared" si="3"/>
        <v>if (name=="") {$("#adv_name").html("Requierd");$("#name").css({"background":"yellow"});} else {$("#adv_name").html("");$("#name").css({"background":"white"});}</v>
      </c>
      <c r="AL19" s="17" t="str">
        <f t="shared" si="4"/>
        <v>if (name=="") {$("#adv_name").html("Requierd");} else {$("#adv_name").html("");}</v>
      </c>
      <c r="AM19" s="50" t="str">
        <f t="shared" si="5"/>
        <v>name&lt;input type="text" id="name" name="name" size="15" /&gt;</v>
      </c>
      <c r="AN19" s="51" t="str">
        <f t="shared" si="6"/>
        <v>name=$("#name").val();</v>
      </c>
      <c r="AO19" s="51" t="str">
        <f t="shared" si="30"/>
        <v>highlight script</v>
      </c>
      <c r="AP19" s="50" t="str">
        <f t="shared" si="7"/>
        <v>name&lt;input type="checkbox" id="name" name="name" value="1" /&gt;</v>
      </c>
      <c r="AQ19" s="51" t="str">
        <f t="shared" si="8"/>
        <v>name=document.getElementById("name").checked;</v>
      </c>
      <c r="AR19" s="52" t="str">
        <f t="shared" si="9"/>
        <v>if (isset($_GET['name'])) {$name=($_GET['name']);}else $name='';</v>
      </c>
      <c r="AS19" s="17" t="str">
        <f t="shared" si="10"/>
        <v>name</v>
      </c>
      <c r="AT19" s="17" t="str">
        <f t="shared" si="46"/>
        <v>name:</v>
      </c>
      <c r="AU19" s="50" t="str">
        <f t="shared" si="11"/>
        <v>name:&lt;span id="adv_name"&gt;&lt;/span&gt;&lt;br/&gt;name&lt;input type="radio" name="name" id="name" value="name" /&gt;</v>
      </c>
      <c r="AV19" s="15" t="str">
        <f t="shared" si="12"/>
        <v>if (document.getElementById("</v>
      </c>
      <c r="AW19" s="51" t="str">
        <f t="shared" si="13"/>
        <v>if (document.getElementById("name").checked==true) {name="name";}</v>
      </c>
      <c r="AX19" s="17" t="str">
        <f t="shared" si="47"/>
        <v>,name:name</v>
      </c>
      <c r="AY19" s="52" t="str">
        <f t="shared" si="14"/>
        <v>if (isset($_GET['name'])) {$name=($_GET['name']);}else $name='';</v>
      </c>
      <c r="AZ19" s="56" t="str">
        <f t="shared" si="15"/>
        <v>name&lt;br/&gt;&lt;textarea rows="2" cols="80" id="name"&gt;&lt;/textarea&gt;&lt;br/&gt;</v>
      </c>
      <c r="BA19" s="54" t="str">
        <f t="shared" si="16"/>
        <v>name&lt;input type="text"  size="7"  id="name" class="datepicker"/&gt;</v>
      </c>
      <c r="BB19" s="54" t="str">
        <f t="shared" si="48"/>
        <v>name&lt;input type="password" id="name" name="name" size="15" /&gt;</v>
      </c>
      <c r="BC19" s="48" t="str">
        <f t="shared" si="49"/>
        <v>name&lt;input type="text" id="name" name="name" size="15" /&gt;</v>
      </c>
      <c r="BD19" s="49" t="str">
        <f t="shared" si="50"/>
        <v>name=$("#name").val();</v>
      </c>
      <c r="BE19" s="49">
        <f t="shared" ref="BE19:BE82" si="55">+IF(BD19="",0,1)+BE18</f>
        <v>5</v>
      </c>
      <c r="BF19" s="55" t="str">
        <f t="shared" si="31"/>
        <v>,name:name</v>
      </c>
      <c r="BG19" s="6" t="str">
        <f t="shared" si="17"/>
        <v>if (isset($_GET['name'])) {$name=($_GET['name']);}else $name='';</v>
      </c>
      <c r="BH19" s="17" t="str">
        <f t="shared" si="51"/>
        <v>&lt;span id="adv_name"&gt;&lt;/span&gt;&lt;br/&gt;</v>
      </c>
      <c r="BI19" s="17" t="str">
        <f t="shared" si="32"/>
        <v>required advise</v>
      </c>
      <c r="BJ19" s="17">
        <f t="shared" si="33"/>
        <v>0</v>
      </c>
      <c r="BK19" s="17">
        <f t="shared" si="34"/>
        <v>1</v>
      </c>
      <c r="BL19" s="17" t="str">
        <f t="shared" ref="BL19:BL45" si="56">IF(F19="date",","&amp;C19&amp;" "&amp;E19,IF(C19="","",","&amp;C19&amp;" "&amp;E19&amp;" ("&amp;D19&amp;")"))</f>
        <v>,name VARCHAR (100)</v>
      </c>
      <c r="BO19" s="17" t="str">
        <f t="shared" si="52"/>
        <v/>
      </c>
      <c r="BP19" s="17" t="str">
        <f t="shared" si="18"/>
        <v/>
      </c>
      <c r="BQ19" s="17" t="str">
        <f t="shared" si="35"/>
        <v>,</v>
      </c>
      <c r="BR19" s="17" t="str">
        <f t="shared" si="36"/>
        <v>name</v>
      </c>
      <c r="BS19" s="17" t="str">
        <f t="shared" si="53"/>
        <v/>
      </c>
      <c r="BT19" s="17" t="str">
        <f t="shared" si="37"/>
        <v/>
      </c>
      <c r="BU19" s="17" t="str">
        <f t="shared" si="38"/>
        <v>,name</v>
      </c>
      <c r="BV19" s="17" t="str">
        <f t="shared" si="39"/>
        <v>,'$name'</v>
      </c>
      <c r="BW19" s="17" t="str">
        <f t="shared" si="40"/>
        <v>$name</v>
      </c>
      <c r="BX19" s="17" t="str">
        <f t="shared" si="19"/>
        <v>echo 'name'.$name;</v>
      </c>
      <c r="BY19" s="17" t="str">
        <f t="shared" si="54"/>
        <v/>
      </c>
      <c r="BZ19" s="61" t="str">
        <f t="shared" si="41"/>
        <v>$("#name").val("");$("#adv_name").html("");$("#name").css({"background":"#fff"});</v>
      </c>
      <c r="CA19" s="17" t="str">
        <f t="shared" si="20"/>
        <v>$("#name").val("");</v>
      </c>
      <c r="CB19" s="17" t="str">
        <f t="shared" si="21"/>
        <v>$("#adv_name").html("");$("#name").css({"background":"#fff"});</v>
      </c>
      <c r="CC19" s="17" t="str">
        <f t="shared" si="42"/>
        <v>$("#name").val("");$("#adv_name").html("");$("#name").css({"background":"#fff"});</v>
      </c>
      <c r="CD19" s="17" t="str">
        <f t="shared" si="22"/>
        <v/>
      </c>
      <c r="CE19" s="17" t="str">
        <f t="shared" si="23"/>
        <v/>
      </c>
      <c r="CF19" s="17" t="str">
        <f t="shared" si="43"/>
        <v>$call_name=$row['name'];</v>
      </c>
      <c r="CG19" s="17" t="str">
        <f t="shared" si="44"/>
        <v>echo $call_name;</v>
      </c>
    </row>
    <row r="20" spans="2:85" s="17" customFormat="1">
      <c r="B20" s="35" t="s">
        <v>654</v>
      </c>
      <c r="C20" s="150" t="s">
        <v>654</v>
      </c>
      <c r="D20" s="36">
        <v>100</v>
      </c>
      <c r="E20" s="89" t="str">
        <f t="shared" si="24"/>
        <v>VARCHAR</v>
      </c>
      <c r="F20" s="35" t="s">
        <v>135</v>
      </c>
      <c r="G20" s="35" t="s">
        <v>24</v>
      </c>
      <c r="H20" s="35"/>
      <c r="I20" s="59"/>
      <c r="K20" s="17" t="s">
        <v>366</v>
      </c>
      <c r="AA20" s="47" t="s">
        <v>199</v>
      </c>
      <c r="AB20" s="17" t="str">
        <f t="shared" si="0"/>
        <v>surname==""</v>
      </c>
      <c r="AC20" s="17">
        <f t="shared" si="25"/>
        <v>1</v>
      </c>
      <c r="AD20" s="17">
        <f t="shared" si="45"/>
        <v>5</v>
      </c>
      <c r="AE20" s="17" t="str">
        <f t="shared" si="1"/>
        <v>else if (surname=="") {document.getElementById("surname").focus();}</v>
      </c>
      <c r="AF20" s="17">
        <f t="shared" si="26"/>
        <v>1</v>
      </c>
      <c r="AG20" s="17">
        <f t="shared" si="27"/>
        <v>5</v>
      </c>
      <c r="AH20" s="17" t="str">
        <f t="shared" si="28"/>
        <v>||</v>
      </c>
      <c r="AI20" s="17" t="str">
        <f t="shared" si="2"/>
        <v>||surname==""</v>
      </c>
      <c r="AJ20" s="17" t="str">
        <f t="shared" si="29"/>
        <v>if (surname=="") {$("#adv_surname").html("Requierd");$("#surname").css({"background":"yellow"});} else {$("#adv_surname").html("");$("#surname").css({"background":"white"});}</v>
      </c>
      <c r="AK20" s="17" t="str">
        <f t="shared" si="3"/>
        <v>if (surname=="") {$("#adv_surname").html("Requierd");$("#surname").css({"background":"yellow"});} else {$("#adv_surname").html("");$("#surname").css({"background":"white"});}</v>
      </c>
      <c r="AL20" s="17" t="str">
        <f t="shared" si="4"/>
        <v>if (surname=="") {$("#adv_surname").html("Requierd");} else {$("#adv_surname").html("");}</v>
      </c>
      <c r="AM20" s="50" t="str">
        <f t="shared" si="5"/>
        <v>surname&lt;input type="text" id="surname" name="surname" size="15" /&gt;</v>
      </c>
      <c r="AN20" s="51" t="str">
        <f t="shared" si="6"/>
        <v>surname=$("#surname").val();</v>
      </c>
      <c r="AO20" s="51" t="str">
        <f t="shared" si="30"/>
        <v>highlight script</v>
      </c>
      <c r="AP20" s="50" t="str">
        <f t="shared" si="7"/>
        <v>surname&lt;input type="checkbox" id="surname" name="surname" value="1" /&gt;</v>
      </c>
      <c r="AQ20" s="51" t="str">
        <f t="shared" si="8"/>
        <v>surname=document.getElementById("surname").checked;</v>
      </c>
      <c r="AR20" s="52" t="str">
        <f t="shared" si="9"/>
        <v>if (isset($_GET['surname'])) {$surname=($_GET['surname']);}else $surname='';</v>
      </c>
      <c r="AS20" s="17" t="str">
        <f t="shared" si="10"/>
        <v>surname</v>
      </c>
      <c r="AT20" s="17" t="str">
        <f t="shared" si="46"/>
        <v>surname:</v>
      </c>
      <c r="AU20" s="50" t="str">
        <f t="shared" si="11"/>
        <v>surname:&lt;span id="adv_surname"&gt;&lt;/span&gt;&lt;br/&gt;surname&lt;input type="radio" name="surname" id="surname" value="surname" /&gt;</v>
      </c>
      <c r="AV20" s="15" t="str">
        <f t="shared" si="12"/>
        <v>if (document.getElementById("</v>
      </c>
      <c r="AW20" s="51" t="str">
        <f t="shared" si="13"/>
        <v>if (document.getElementById("surname").checked==true) {surname="surname";}</v>
      </c>
      <c r="AX20" s="17" t="str">
        <f t="shared" si="47"/>
        <v>,surname:surname</v>
      </c>
      <c r="AY20" s="52" t="str">
        <f t="shared" si="14"/>
        <v>if (isset($_GET['surname'])) {$surname=($_GET['surname']);}else $surname='';</v>
      </c>
      <c r="AZ20" s="56" t="str">
        <f t="shared" si="15"/>
        <v>surname&lt;br/&gt;&lt;textarea rows="2" cols="80" id="surname"&gt;&lt;/textarea&gt;&lt;br/&gt;</v>
      </c>
      <c r="BA20" s="54" t="str">
        <f t="shared" si="16"/>
        <v>surname&lt;input type="text"  size="7"  id="surname" class="datepicker"/&gt;</v>
      </c>
      <c r="BB20" s="54" t="str">
        <f t="shared" si="48"/>
        <v>surname&lt;input type="password" id="surname" name="surname" size="15" /&gt;</v>
      </c>
      <c r="BC20" s="48" t="str">
        <f t="shared" si="49"/>
        <v>surname&lt;input type="text" id="surname" name="surname" size="15" /&gt;</v>
      </c>
      <c r="BD20" s="49" t="str">
        <f t="shared" si="50"/>
        <v>surname=$("#surname").val();</v>
      </c>
      <c r="BE20" s="49">
        <f t="shared" si="55"/>
        <v>6</v>
      </c>
      <c r="BF20" s="55" t="str">
        <f t="shared" si="31"/>
        <v>,surname:surname</v>
      </c>
      <c r="BG20" s="6" t="str">
        <f t="shared" si="17"/>
        <v>if (isset($_GET['surname'])) {$surname=($_GET['surname']);}else $surname='';</v>
      </c>
      <c r="BH20" s="17" t="str">
        <f t="shared" si="51"/>
        <v>&lt;span id="adv_surname"&gt;&lt;/span&gt;&lt;br/&gt;</v>
      </c>
      <c r="BI20" s="17" t="str">
        <f t="shared" si="32"/>
        <v>required advise</v>
      </c>
      <c r="BJ20" s="17">
        <f t="shared" si="33"/>
        <v>0</v>
      </c>
      <c r="BK20" s="17">
        <f t="shared" si="34"/>
        <v>1</v>
      </c>
      <c r="BL20" s="17" t="str">
        <f t="shared" si="56"/>
        <v>,surname VARCHAR (100)</v>
      </c>
      <c r="BO20" s="17" t="str">
        <f t="shared" si="52"/>
        <v/>
      </c>
      <c r="BP20" s="17" t="str">
        <f t="shared" si="18"/>
        <v/>
      </c>
      <c r="BQ20" s="17" t="str">
        <f t="shared" si="35"/>
        <v>,</v>
      </c>
      <c r="BR20" s="17" t="str">
        <f t="shared" si="36"/>
        <v>surname</v>
      </c>
      <c r="BS20" s="17" t="str">
        <f t="shared" si="53"/>
        <v/>
      </c>
      <c r="BT20" s="17" t="str">
        <f t="shared" si="37"/>
        <v/>
      </c>
      <c r="BU20" s="17" t="str">
        <f t="shared" si="38"/>
        <v>,surname</v>
      </c>
      <c r="BV20" s="17" t="str">
        <f t="shared" si="39"/>
        <v>,'$surname'</v>
      </c>
      <c r="BW20" s="17" t="str">
        <f t="shared" si="40"/>
        <v>$surname</v>
      </c>
      <c r="BX20" s="17" t="str">
        <f t="shared" si="19"/>
        <v>echo 'surname'.$surname;</v>
      </c>
      <c r="BY20" s="17" t="str">
        <f t="shared" si="54"/>
        <v/>
      </c>
      <c r="BZ20" s="61" t="str">
        <f t="shared" si="41"/>
        <v>$("#surname").val("");$("#adv_surname").html("");$("#surname").css({"background":"#fff"});</v>
      </c>
      <c r="CA20" s="17" t="str">
        <f t="shared" si="20"/>
        <v>$("#surname").val("");</v>
      </c>
      <c r="CB20" s="17" t="str">
        <f t="shared" si="21"/>
        <v>$("#adv_surname").html("");$("#surname").css({"background":"#fff"});</v>
      </c>
      <c r="CC20" s="17" t="str">
        <f t="shared" si="42"/>
        <v>$("#surname").val("");$("#adv_surname").html("");$("#surname").css({"background":"#fff"});</v>
      </c>
      <c r="CD20" s="17" t="str">
        <f t="shared" si="22"/>
        <v/>
      </c>
      <c r="CE20" s="17" t="str">
        <f t="shared" si="23"/>
        <v/>
      </c>
      <c r="CF20" s="17" t="str">
        <f t="shared" si="43"/>
        <v>$call_surname=$row['surname'];</v>
      </c>
      <c r="CG20" s="17" t="str">
        <f t="shared" si="44"/>
        <v>echo $call_surname;</v>
      </c>
    </row>
    <row r="21" spans="2:85" s="17" customFormat="1">
      <c r="B21" s="35" t="s">
        <v>1044</v>
      </c>
      <c r="C21" s="35" t="s">
        <v>1045</v>
      </c>
      <c r="D21" s="36">
        <v>30</v>
      </c>
      <c r="E21" s="89" t="s">
        <v>111</v>
      </c>
      <c r="F21" s="35" t="s">
        <v>135</v>
      </c>
      <c r="G21" s="35" t="s">
        <v>24</v>
      </c>
      <c r="H21" s="35"/>
      <c r="I21" s="59"/>
      <c r="K21" s="35" t="s">
        <v>24</v>
      </c>
      <c r="AA21" s="47" t="s">
        <v>200</v>
      </c>
      <c r="AB21" s="17" t="str">
        <f t="shared" si="0"/>
        <v>mobile==""</v>
      </c>
      <c r="AC21" s="17">
        <f t="shared" si="25"/>
        <v>1</v>
      </c>
      <c r="AD21" s="17">
        <f t="shared" si="45"/>
        <v>6</v>
      </c>
      <c r="AE21" s="17" t="str">
        <f t="shared" si="1"/>
        <v>else if (mobile=="") {document.getElementById("mobile").focus();}</v>
      </c>
      <c r="AF21" s="17">
        <f t="shared" si="26"/>
        <v>1</v>
      </c>
      <c r="AG21" s="17">
        <f t="shared" si="27"/>
        <v>6</v>
      </c>
      <c r="AH21" s="17" t="str">
        <f t="shared" si="28"/>
        <v>||</v>
      </c>
      <c r="AI21" s="17" t="str">
        <f t="shared" si="2"/>
        <v>||mobile==""</v>
      </c>
      <c r="AJ21" s="17" t="str">
        <f t="shared" si="29"/>
        <v>if (mobile=="") {$("#adv_mobile").html("Requierd");$("#mobile").css({"background":"yellow"});} else {$("#adv_mobile").html("");$("#mobile").css({"background":"white"});}</v>
      </c>
      <c r="AK21" s="17" t="str">
        <f t="shared" si="3"/>
        <v>if (mobile=="") {$("#adv_mobile").html("Requierd");$("#mobile").css({"background":"yellow"});} else {$("#adv_mobile").html("");$("#mobile").css({"background":"white"});}</v>
      </c>
      <c r="AL21" s="17" t="str">
        <f t="shared" si="4"/>
        <v>if (Mobile phone=="") {$("#adv_Mobile phone").html("Requierd");} else {$("#adv_Mobile phone").html("");}</v>
      </c>
      <c r="AM21" s="50" t="str">
        <f t="shared" si="5"/>
        <v>Mobile phone&lt;input type="text" id="mobile" name="mobile" size="15" /&gt;</v>
      </c>
      <c r="AN21" s="51" t="str">
        <f t="shared" si="6"/>
        <v>mobile=$("#mobile").val();</v>
      </c>
      <c r="AO21" s="51" t="str">
        <f t="shared" si="30"/>
        <v>highlight script</v>
      </c>
      <c r="AP21" s="50" t="str">
        <f t="shared" si="7"/>
        <v>Mobile phone&lt;input type="checkbox" id="mobile" name="mobile" value="1" /&gt;</v>
      </c>
      <c r="AQ21" s="51" t="str">
        <f t="shared" si="8"/>
        <v>mobile=document.getElementById("mobile").checked;</v>
      </c>
      <c r="AR21" s="52" t="str">
        <f t="shared" si="9"/>
        <v>if (isset($_GET['mobile'])) {$mobile=($_GET['mobile']);}else $mobile='';</v>
      </c>
      <c r="AS21" s="17" t="str">
        <f t="shared" si="10"/>
        <v>Mobile phone</v>
      </c>
      <c r="AT21" s="17" t="str">
        <f t="shared" si="46"/>
        <v>Mobile phone:</v>
      </c>
      <c r="AU21" s="50" t="str">
        <f t="shared" si="11"/>
        <v>Mobile phone:&lt;span id="adv_Mobile phone"&gt;&lt;/span&gt;&lt;br/&gt;mobile&lt;input type="radio" name="Mobile phone" id="mobile" value="mobile" /&gt;</v>
      </c>
      <c r="AV21" s="15" t="str">
        <f t="shared" si="12"/>
        <v>if (document.getElementById("</v>
      </c>
      <c r="AW21" s="51" t="str">
        <f t="shared" si="13"/>
        <v>if (document.getElementById("mobile").checked==true) {Mobile phone="mobile";}</v>
      </c>
      <c r="AX21" s="17" t="str">
        <f t="shared" si="47"/>
        <v>,Mobile phone:Mobile phone</v>
      </c>
      <c r="AY21" s="52" t="str">
        <f t="shared" si="14"/>
        <v>if (isset($_GET['Mobile phone'])) {$Mobile phone=($_GET['Mobile phone']);}else $Mobile phone='';</v>
      </c>
      <c r="AZ21" s="56" t="str">
        <f t="shared" si="15"/>
        <v>Mobile phone&lt;br/&gt;&lt;textarea rows="2" cols="80" id="mobile"&gt;&lt;/textarea&gt;&lt;br/&gt;</v>
      </c>
      <c r="BA21" s="54" t="str">
        <f t="shared" si="16"/>
        <v>Mobile phone&lt;input type="text"  size="7"  id="mobile" class="datepicker"/&gt;</v>
      </c>
      <c r="BB21" s="54" t="str">
        <f t="shared" si="48"/>
        <v>Mobile phone&lt;input type="password" id="mobile" name="mobile" size="15" /&gt;</v>
      </c>
      <c r="BC21" s="48" t="str">
        <f t="shared" si="49"/>
        <v>Mobile phone&lt;input type="text" id="mobile" name="mobile" size="15" /&gt;</v>
      </c>
      <c r="BD21" s="49" t="str">
        <f t="shared" si="50"/>
        <v>mobile=$("#mobile").val();</v>
      </c>
      <c r="BE21" s="49">
        <f t="shared" si="55"/>
        <v>7</v>
      </c>
      <c r="BF21" s="55" t="str">
        <f t="shared" si="31"/>
        <v>,mobile:mobile</v>
      </c>
      <c r="BG21" s="6" t="str">
        <f t="shared" si="17"/>
        <v>if (isset($_GET['mobile'])) {$mobile=($_GET['mobile']);}else $mobile='';</v>
      </c>
      <c r="BH21" s="17" t="str">
        <f t="shared" si="51"/>
        <v>&lt;span id="adv_mobile"&gt;&lt;/span&gt;&lt;br/&gt;</v>
      </c>
      <c r="BI21" s="17" t="str">
        <f t="shared" si="32"/>
        <v>required advise</v>
      </c>
      <c r="BJ21" s="17">
        <f t="shared" si="33"/>
        <v>0</v>
      </c>
      <c r="BK21" s="17">
        <f t="shared" si="34"/>
        <v>1</v>
      </c>
      <c r="BL21" s="17" t="str">
        <f t="shared" si="56"/>
        <v>,mobile VARCHAR (30)</v>
      </c>
      <c r="BO21" s="17" t="str">
        <f t="shared" si="52"/>
        <v/>
      </c>
      <c r="BP21" s="17" t="str">
        <f t="shared" si="18"/>
        <v/>
      </c>
      <c r="BQ21" s="17" t="str">
        <f t="shared" si="35"/>
        <v>,</v>
      </c>
      <c r="BR21" s="17" t="str">
        <f t="shared" si="36"/>
        <v>mobile</v>
      </c>
      <c r="BS21" s="17" t="str">
        <f t="shared" si="53"/>
        <v/>
      </c>
      <c r="BT21" s="17" t="str">
        <f t="shared" si="37"/>
        <v/>
      </c>
      <c r="BU21" s="17" t="str">
        <f t="shared" si="38"/>
        <v>,mobile</v>
      </c>
      <c r="BV21" s="17" t="str">
        <f t="shared" si="39"/>
        <v>,'$mobile'</v>
      </c>
      <c r="BW21" s="17" t="str">
        <f t="shared" si="40"/>
        <v>$mobile</v>
      </c>
      <c r="BX21" s="17" t="str">
        <f t="shared" si="19"/>
        <v>echo 'Mobile phone'.$mobile;</v>
      </c>
      <c r="BY21" s="17" t="str">
        <f t="shared" si="54"/>
        <v/>
      </c>
      <c r="BZ21" s="61" t="str">
        <f t="shared" si="41"/>
        <v>$("#mobile").val("");$("#adv_mobile").html("");$("#mobile").css({"background":"#fff"});</v>
      </c>
      <c r="CA21" s="17" t="str">
        <f t="shared" si="20"/>
        <v>$("#mobile").val("");</v>
      </c>
      <c r="CB21" s="17" t="str">
        <f t="shared" si="21"/>
        <v>$("#adv_mobile").html("");$("#mobile").css({"background":"#fff"});</v>
      </c>
      <c r="CC21" s="17" t="str">
        <f t="shared" si="42"/>
        <v>$("#mobile").val("");$("#adv_mobile").html("");$("#mobile").css({"background":"#fff"});</v>
      </c>
      <c r="CD21" s="17" t="str">
        <f t="shared" si="22"/>
        <v/>
      </c>
      <c r="CE21" s="17" t="str">
        <f t="shared" si="23"/>
        <v/>
      </c>
      <c r="CF21" s="17" t="str">
        <f t="shared" si="43"/>
        <v>$call_mobile=$row['mobile'];</v>
      </c>
      <c r="CG21" s="17" t="str">
        <f t="shared" si="44"/>
        <v>echo $call_mobile;</v>
      </c>
    </row>
    <row r="22" spans="2:85" s="17" customFormat="1">
      <c r="B22" s="35"/>
      <c r="C22" s="35"/>
      <c r="D22" s="36"/>
      <c r="E22" s="89" t="str">
        <f t="shared" ref="E22:E25" si="57">+IF(OR(F22="radio",F22="texto",F22="check",F22="selectlist",F22="bigtext",F22="session",F22="password"),"VARCHAR",IF(F22="date","DATE",""))</f>
        <v/>
      </c>
      <c r="F22" s="35"/>
      <c r="G22" s="35"/>
      <c r="H22" s="35"/>
      <c r="I22" s="59"/>
      <c r="K22" s="17" t="s">
        <v>37</v>
      </c>
      <c r="AA22" s="47" t="s">
        <v>201</v>
      </c>
      <c r="AB22" s="17" t="str">
        <f t="shared" si="0"/>
        <v/>
      </c>
      <c r="AC22" s="17">
        <f t="shared" si="25"/>
        <v>0</v>
      </c>
      <c r="AD22" s="17">
        <f t="shared" si="45"/>
        <v>6</v>
      </c>
      <c r="AE22" s="17" t="str">
        <f t="shared" si="1"/>
        <v/>
      </c>
      <c r="AF22" s="17">
        <f t="shared" si="26"/>
        <v>0</v>
      </c>
      <c r="AG22" s="17">
        <f t="shared" si="27"/>
        <v>6</v>
      </c>
      <c r="AH22" s="17" t="str">
        <f t="shared" si="28"/>
        <v/>
      </c>
      <c r="AI22" s="17" t="str">
        <f t="shared" si="2"/>
        <v/>
      </c>
      <c r="AJ22" s="17" t="str">
        <f t="shared" si="29"/>
        <v/>
      </c>
      <c r="AK22" s="17" t="str">
        <f t="shared" si="3"/>
        <v>if () {$("#adv_").html("Requierd");$("#").css({"background":"yellow"});} else {$("#adv_").html("");$("#").css({"background":"white"});}</v>
      </c>
      <c r="AL22" s="17" t="str">
        <f t="shared" si="4"/>
        <v>if (=="") {$("#adv_").html("Requierd");} else {$("#adv_").html("");}</v>
      </c>
      <c r="AM22" s="50" t="str">
        <f t="shared" si="5"/>
        <v/>
      </c>
      <c r="AN22" s="51" t="str">
        <f t="shared" si="6"/>
        <v>=$("#").val();</v>
      </c>
      <c r="AO22" s="51" t="str">
        <f t="shared" si="30"/>
        <v/>
      </c>
      <c r="AP22" s="50" t="str">
        <f t="shared" si="7"/>
        <v>&lt;input type="checkbox" id="" name="" value="1" /&gt;</v>
      </c>
      <c r="AQ22" s="51" t="str">
        <f t="shared" si="8"/>
        <v>=document.getElementById("").checked;</v>
      </c>
      <c r="AR22" s="52" t="str">
        <f t="shared" si="9"/>
        <v>if (isset($_GET[''])) {$=($_GET['']);}else $='';</v>
      </c>
      <c r="AS22" s="17" t="str">
        <f t="shared" si="10"/>
        <v>Mobile phone</v>
      </c>
      <c r="AT22" s="17" t="str">
        <f t="shared" si="46"/>
        <v/>
      </c>
      <c r="AU22" s="50" t="str">
        <f t="shared" si="11"/>
        <v>&lt;input type="radio" name="Mobile phone" id="" value="" /&gt;</v>
      </c>
      <c r="AV22" s="15" t="str">
        <f t="shared" si="12"/>
        <v>else if (document.getElementById("</v>
      </c>
      <c r="AW22" s="51" t="str">
        <f t="shared" si="13"/>
        <v>else if (document.getElementById("").checked==true) {Mobile phone="";}</v>
      </c>
      <c r="AX22" s="17" t="str">
        <f t="shared" si="47"/>
        <v/>
      </c>
      <c r="AY22" s="52" t="str">
        <f t="shared" si="14"/>
        <v/>
      </c>
      <c r="AZ22" s="56" t="str">
        <f t="shared" si="15"/>
        <v>&lt;br/&gt;&lt;textarea rows="2" cols="80" id=""&gt;&lt;/textarea&gt;&lt;br/&gt;</v>
      </c>
      <c r="BA22" s="54" t="str">
        <f t="shared" si="16"/>
        <v>&lt;input type="text"  size="7"  id="" class="datepicker"/&gt;</v>
      </c>
      <c r="BB22" s="54" t="str">
        <f t="shared" si="48"/>
        <v/>
      </c>
      <c r="BC22" s="48" t="str">
        <f t="shared" si="49"/>
        <v/>
      </c>
      <c r="BD22" s="49" t="str">
        <f t="shared" si="50"/>
        <v/>
      </c>
      <c r="BE22" s="49">
        <f t="shared" si="55"/>
        <v>7</v>
      </c>
      <c r="BF22" s="55" t="str">
        <f t="shared" si="31"/>
        <v/>
      </c>
      <c r="BG22" s="6" t="str">
        <f t="shared" si="17"/>
        <v/>
      </c>
      <c r="BH22" s="17" t="str">
        <f t="shared" si="51"/>
        <v/>
      </c>
      <c r="BI22" s="17" t="str">
        <f t="shared" si="32"/>
        <v/>
      </c>
      <c r="BJ22" s="17">
        <f t="shared" si="33"/>
        <v>0</v>
      </c>
      <c r="BK22" s="17">
        <f t="shared" si="34"/>
        <v>1</v>
      </c>
      <c r="BL22" s="17" t="str">
        <f t="shared" si="56"/>
        <v/>
      </c>
      <c r="BO22" s="17" t="str">
        <f t="shared" si="52"/>
        <v/>
      </c>
      <c r="BP22" s="17" t="str">
        <f t="shared" si="18"/>
        <v/>
      </c>
      <c r="BQ22" s="17" t="str">
        <f t="shared" si="35"/>
        <v/>
      </c>
      <c r="BR22" s="17" t="str">
        <f t="shared" si="36"/>
        <v/>
      </c>
      <c r="BS22" s="17" t="str">
        <f t="shared" si="53"/>
        <v/>
      </c>
      <c r="BT22" s="17" t="str">
        <f t="shared" si="37"/>
        <v/>
      </c>
      <c r="BU22" s="17" t="str">
        <f t="shared" si="38"/>
        <v/>
      </c>
      <c r="BV22" s="17" t="str">
        <f t="shared" si="39"/>
        <v/>
      </c>
      <c r="BW22" s="17" t="str">
        <f t="shared" si="40"/>
        <v/>
      </c>
      <c r="BX22" s="17" t="str">
        <f t="shared" si="19"/>
        <v/>
      </c>
      <c r="BY22" s="17" t="str">
        <f t="shared" si="54"/>
        <v/>
      </c>
      <c r="BZ22" s="61" t="str">
        <f t="shared" si="41"/>
        <v/>
      </c>
      <c r="CA22" s="17" t="str">
        <f t="shared" si="20"/>
        <v/>
      </c>
      <c r="CB22" s="17" t="str">
        <f t="shared" si="21"/>
        <v/>
      </c>
      <c r="CC22" s="17" t="str">
        <f t="shared" si="42"/>
        <v/>
      </c>
      <c r="CD22" s="17" t="str">
        <f t="shared" si="22"/>
        <v/>
      </c>
      <c r="CE22" s="17" t="str">
        <f t="shared" si="23"/>
        <v/>
      </c>
      <c r="CF22" s="17" t="str">
        <f t="shared" si="43"/>
        <v/>
      </c>
      <c r="CG22" s="17" t="str">
        <f t="shared" si="44"/>
        <v/>
      </c>
    </row>
    <row r="23" spans="2:85" s="17" customFormat="1">
      <c r="B23" s="35"/>
      <c r="C23" s="35"/>
      <c r="D23" s="36"/>
      <c r="E23" s="89" t="str">
        <f t="shared" si="57"/>
        <v/>
      </c>
      <c r="F23" s="35"/>
      <c r="G23" s="35"/>
      <c r="H23" s="35"/>
      <c r="I23" s="59"/>
      <c r="K23" s="47" t="str">
        <f>+fieldcreatorv2!L23</f>
        <v>healmy5</v>
      </c>
      <c r="AA23" s="47" t="s">
        <v>202</v>
      </c>
      <c r="AB23" s="17" t="str">
        <f t="shared" si="0"/>
        <v/>
      </c>
      <c r="AC23" s="17">
        <f t="shared" si="25"/>
        <v>0</v>
      </c>
      <c r="AD23" s="17">
        <f t="shared" si="45"/>
        <v>6</v>
      </c>
      <c r="AE23" s="17" t="str">
        <f t="shared" si="1"/>
        <v/>
      </c>
      <c r="AF23" s="17">
        <f t="shared" si="26"/>
        <v>0</v>
      </c>
      <c r="AG23" s="17">
        <f t="shared" si="27"/>
        <v>6</v>
      </c>
      <c r="AH23" s="17" t="str">
        <f t="shared" si="28"/>
        <v/>
      </c>
      <c r="AI23" s="17" t="str">
        <f t="shared" si="2"/>
        <v/>
      </c>
      <c r="AJ23" s="17" t="str">
        <f t="shared" si="29"/>
        <v/>
      </c>
      <c r="AK23" s="17" t="str">
        <f t="shared" si="3"/>
        <v>if () {$("#adv_").html("Requierd");$("#").css({"background":"yellow"});} else {$("#adv_").html("");$("#").css({"background":"white"});}</v>
      </c>
      <c r="AL23" s="17" t="str">
        <f t="shared" si="4"/>
        <v>if (=="") {$("#adv_").html("Requierd");} else {$("#adv_").html("");}</v>
      </c>
      <c r="AM23" s="50" t="str">
        <f t="shared" si="5"/>
        <v/>
      </c>
      <c r="AN23" s="51" t="str">
        <f t="shared" si="6"/>
        <v>=$("#").val();</v>
      </c>
      <c r="AO23" s="51" t="str">
        <f t="shared" si="30"/>
        <v/>
      </c>
      <c r="AP23" s="50" t="str">
        <f t="shared" si="7"/>
        <v>&lt;input type="checkbox" id="" name="" value="1" /&gt;</v>
      </c>
      <c r="AQ23" s="51" t="str">
        <f t="shared" si="8"/>
        <v>=document.getElementById("").checked;</v>
      </c>
      <c r="AR23" s="52" t="str">
        <f t="shared" si="9"/>
        <v>if (isset($_GET[''])) {$=($_GET['']);}else $='';</v>
      </c>
      <c r="AS23" s="17" t="str">
        <f t="shared" si="10"/>
        <v>Mobile phone</v>
      </c>
      <c r="AT23" s="17" t="str">
        <f t="shared" si="46"/>
        <v/>
      </c>
      <c r="AU23" s="50" t="str">
        <f t="shared" si="11"/>
        <v>&lt;input type="radio" name="Mobile phone" id="" value="" /&gt;</v>
      </c>
      <c r="AV23" s="15" t="str">
        <f t="shared" si="12"/>
        <v>else if (document.getElementById("</v>
      </c>
      <c r="AW23" s="51" t="str">
        <f t="shared" si="13"/>
        <v>else if (document.getElementById("").checked==true) {Mobile phone="";}</v>
      </c>
      <c r="AX23" s="17" t="str">
        <f t="shared" si="47"/>
        <v/>
      </c>
      <c r="AY23" s="52" t="str">
        <f t="shared" si="14"/>
        <v/>
      </c>
      <c r="AZ23" s="56" t="str">
        <f t="shared" si="15"/>
        <v>&lt;br/&gt;&lt;textarea rows="2" cols="80" id=""&gt;&lt;/textarea&gt;&lt;br/&gt;</v>
      </c>
      <c r="BA23" s="54" t="str">
        <f t="shared" si="16"/>
        <v>&lt;input type="text"  size="7"  id="" class="datepicker"/&gt;</v>
      </c>
      <c r="BB23" s="54" t="str">
        <f t="shared" si="48"/>
        <v/>
      </c>
      <c r="BC23" s="48" t="str">
        <f t="shared" si="49"/>
        <v/>
      </c>
      <c r="BD23" s="49" t="str">
        <f t="shared" si="50"/>
        <v/>
      </c>
      <c r="BE23" s="49">
        <f t="shared" si="55"/>
        <v>7</v>
      </c>
      <c r="BF23" s="55" t="str">
        <f t="shared" si="31"/>
        <v/>
      </c>
      <c r="BG23" s="6" t="str">
        <f t="shared" si="17"/>
        <v/>
      </c>
      <c r="BH23" s="17" t="str">
        <f t="shared" si="51"/>
        <v/>
      </c>
      <c r="BI23" s="17" t="str">
        <f t="shared" si="32"/>
        <v/>
      </c>
      <c r="BJ23" s="17">
        <f t="shared" si="33"/>
        <v>0</v>
      </c>
      <c r="BK23" s="17">
        <f t="shared" si="34"/>
        <v>1</v>
      </c>
      <c r="BL23" s="17" t="str">
        <f t="shared" si="56"/>
        <v/>
      </c>
      <c r="BO23" s="17" t="str">
        <f t="shared" si="52"/>
        <v/>
      </c>
      <c r="BP23" s="17" t="str">
        <f t="shared" si="18"/>
        <v/>
      </c>
      <c r="BQ23" s="17" t="str">
        <f t="shared" si="35"/>
        <v/>
      </c>
      <c r="BR23" s="17" t="str">
        <f t="shared" si="36"/>
        <v/>
      </c>
      <c r="BS23" s="17" t="str">
        <f t="shared" si="53"/>
        <v/>
      </c>
      <c r="BT23" s="17" t="str">
        <f t="shared" si="37"/>
        <v/>
      </c>
      <c r="BU23" s="17" t="str">
        <f t="shared" si="38"/>
        <v/>
      </c>
      <c r="BV23" s="17" t="str">
        <f t="shared" si="39"/>
        <v/>
      </c>
      <c r="BW23" s="17" t="str">
        <f t="shared" si="40"/>
        <v/>
      </c>
      <c r="BX23" s="17" t="str">
        <f t="shared" si="19"/>
        <v/>
      </c>
      <c r="BY23" s="17" t="str">
        <f t="shared" si="54"/>
        <v/>
      </c>
      <c r="BZ23" s="61" t="str">
        <f t="shared" si="41"/>
        <v/>
      </c>
      <c r="CA23" s="17" t="str">
        <f t="shared" si="20"/>
        <v/>
      </c>
      <c r="CB23" s="17" t="str">
        <f t="shared" si="21"/>
        <v/>
      </c>
      <c r="CC23" s="17" t="str">
        <f t="shared" si="42"/>
        <v/>
      </c>
      <c r="CD23" s="17" t="str">
        <f t="shared" si="22"/>
        <v/>
      </c>
      <c r="CE23" s="17" t="str">
        <f t="shared" si="23"/>
        <v/>
      </c>
      <c r="CF23" s="17" t="str">
        <f t="shared" si="43"/>
        <v/>
      </c>
      <c r="CG23" s="17" t="str">
        <f t="shared" si="44"/>
        <v/>
      </c>
    </row>
    <row r="24" spans="2:85" s="17" customFormat="1">
      <c r="B24" s="35"/>
      <c r="C24" s="35"/>
      <c r="D24" s="36"/>
      <c r="E24" s="89" t="str">
        <f t="shared" si="57"/>
        <v/>
      </c>
      <c r="F24" s="35"/>
      <c r="G24" s="35"/>
      <c r="H24" s="35"/>
      <c r="I24" s="59"/>
      <c r="AA24" s="47" t="s">
        <v>203</v>
      </c>
      <c r="AB24" s="17" t="str">
        <f t="shared" si="0"/>
        <v/>
      </c>
      <c r="AC24" s="17">
        <f t="shared" si="25"/>
        <v>0</v>
      </c>
      <c r="AD24" s="17">
        <f t="shared" si="45"/>
        <v>6</v>
      </c>
      <c r="AE24" s="17" t="str">
        <f t="shared" si="1"/>
        <v/>
      </c>
      <c r="AF24" s="17">
        <f t="shared" si="26"/>
        <v>0</v>
      </c>
      <c r="AG24" s="17">
        <f t="shared" si="27"/>
        <v>6</v>
      </c>
      <c r="AH24" s="17" t="str">
        <f t="shared" si="28"/>
        <v/>
      </c>
      <c r="AI24" s="17" t="str">
        <f t="shared" si="2"/>
        <v/>
      </c>
      <c r="AJ24" s="17" t="str">
        <f t="shared" si="29"/>
        <v/>
      </c>
      <c r="AK24" s="17" t="str">
        <f t="shared" si="3"/>
        <v>if () {$("#adv_").html("Requierd");$("#").css({"background":"yellow"});} else {$("#adv_").html("");$("#").css({"background":"white"});}</v>
      </c>
      <c r="AL24" s="17" t="str">
        <f t="shared" si="4"/>
        <v>if (=="") {$("#adv_").html("Requierd");} else {$("#adv_").html("");}</v>
      </c>
      <c r="AM24" s="50" t="str">
        <f t="shared" si="5"/>
        <v/>
      </c>
      <c r="AN24" s="51" t="str">
        <f t="shared" si="6"/>
        <v>=$("#").val();</v>
      </c>
      <c r="AO24" s="51" t="str">
        <f t="shared" si="30"/>
        <v/>
      </c>
      <c r="AP24" s="50" t="str">
        <f t="shared" si="7"/>
        <v>&lt;input type="checkbox" id="" name="" value="1" /&gt;</v>
      </c>
      <c r="AQ24" s="51" t="str">
        <f t="shared" si="8"/>
        <v>=document.getElementById("").checked;</v>
      </c>
      <c r="AR24" s="52" t="str">
        <f t="shared" si="9"/>
        <v>if (isset($_GET[''])) {$=($_GET['']);}else $='';</v>
      </c>
      <c r="AS24" s="17" t="str">
        <f t="shared" si="10"/>
        <v>Mobile phone</v>
      </c>
      <c r="AT24" s="17" t="str">
        <f t="shared" si="46"/>
        <v/>
      </c>
      <c r="AU24" s="50" t="str">
        <f t="shared" si="11"/>
        <v>&lt;input type="radio" name="Mobile phone" id="" value="" /&gt;</v>
      </c>
      <c r="AV24" s="15" t="str">
        <f t="shared" si="12"/>
        <v>else if (document.getElementById("</v>
      </c>
      <c r="AW24" s="51" t="str">
        <f t="shared" si="13"/>
        <v>else if (document.getElementById("").checked==true) {Mobile phone="";}</v>
      </c>
      <c r="AX24" s="17" t="str">
        <f t="shared" si="47"/>
        <v/>
      </c>
      <c r="AY24" s="52" t="str">
        <f t="shared" si="14"/>
        <v/>
      </c>
      <c r="AZ24" s="56" t="str">
        <f t="shared" si="15"/>
        <v>&lt;br/&gt;&lt;textarea rows="2" cols="80" id=""&gt;&lt;/textarea&gt;&lt;br/&gt;</v>
      </c>
      <c r="BA24" s="54" t="str">
        <f t="shared" si="16"/>
        <v>&lt;input type="text"  size="7"  id="" class="datepicker"/&gt;</v>
      </c>
      <c r="BB24" s="54" t="str">
        <f t="shared" si="48"/>
        <v/>
      </c>
      <c r="BC24" s="48" t="str">
        <f t="shared" si="49"/>
        <v/>
      </c>
      <c r="BD24" s="49" t="str">
        <f t="shared" si="50"/>
        <v/>
      </c>
      <c r="BE24" s="49">
        <f t="shared" si="55"/>
        <v>7</v>
      </c>
      <c r="BF24" s="55" t="str">
        <f t="shared" si="31"/>
        <v/>
      </c>
      <c r="BG24" s="6" t="str">
        <f t="shared" si="17"/>
        <v/>
      </c>
      <c r="BH24" s="17" t="str">
        <f t="shared" si="51"/>
        <v/>
      </c>
      <c r="BI24" s="17" t="str">
        <f t="shared" si="32"/>
        <v/>
      </c>
      <c r="BJ24" s="17">
        <f t="shared" si="33"/>
        <v>0</v>
      </c>
      <c r="BK24" s="17">
        <f t="shared" si="34"/>
        <v>1</v>
      </c>
      <c r="BL24" s="17" t="str">
        <f t="shared" si="56"/>
        <v/>
      </c>
      <c r="BO24" s="17" t="str">
        <f t="shared" si="52"/>
        <v/>
      </c>
      <c r="BP24" s="17" t="str">
        <f t="shared" si="18"/>
        <v/>
      </c>
      <c r="BQ24" s="17" t="str">
        <f t="shared" si="35"/>
        <v/>
      </c>
      <c r="BR24" s="17" t="str">
        <f t="shared" si="36"/>
        <v/>
      </c>
      <c r="BS24" s="17" t="str">
        <f t="shared" si="53"/>
        <v/>
      </c>
      <c r="BT24" s="17" t="str">
        <f t="shared" si="37"/>
        <v/>
      </c>
      <c r="BU24" s="17" t="str">
        <f t="shared" si="38"/>
        <v/>
      </c>
      <c r="BV24" s="17" t="str">
        <f t="shared" si="39"/>
        <v/>
      </c>
      <c r="BW24" s="17" t="str">
        <f t="shared" si="40"/>
        <v/>
      </c>
      <c r="BX24" s="17" t="str">
        <f t="shared" si="19"/>
        <v/>
      </c>
      <c r="BY24" s="17" t="str">
        <f t="shared" si="54"/>
        <v/>
      </c>
      <c r="BZ24" s="61" t="str">
        <f t="shared" si="41"/>
        <v/>
      </c>
      <c r="CA24" s="17" t="str">
        <f t="shared" si="20"/>
        <v/>
      </c>
      <c r="CB24" s="17" t="str">
        <f t="shared" si="21"/>
        <v/>
      </c>
      <c r="CC24" s="17" t="str">
        <f t="shared" si="42"/>
        <v/>
      </c>
      <c r="CD24" s="17" t="str">
        <f t="shared" si="22"/>
        <v/>
      </c>
      <c r="CE24" s="17" t="str">
        <f t="shared" si="23"/>
        <v/>
      </c>
      <c r="CF24" s="17" t="str">
        <f t="shared" si="43"/>
        <v/>
      </c>
      <c r="CG24" s="17" t="str">
        <f t="shared" si="44"/>
        <v/>
      </c>
    </row>
    <row r="25" spans="2:85" s="17" customFormat="1">
      <c r="B25" s="35"/>
      <c r="C25" s="35"/>
      <c r="D25" s="36"/>
      <c r="E25" s="89" t="str">
        <f t="shared" si="57"/>
        <v/>
      </c>
      <c r="F25" s="35"/>
      <c r="G25" s="35"/>
      <c r="H25" s="35"/>
      <c r="I25" s="59"/>
      <c r="AA25" s="47" t="s">
        <v>204</v>
      </c>
      <c r="AB25" s="17" t="str">
        <f t="shared" si="0"/>
        <v/>
      </c>
      <c r="AC25" s="17">
        <f t="shared" si="25"/>
        <v>0</v>
      </c>
      <c r="AD25" s="17">
        <f t="shared" si="45"/>
        <v>6</v>
      </c>
      <c r="AE25" s="17" t="str">
        <f t="shared" si="1"/>
        <v/>
      </c>
      <c r="AF25" s="17">
        <f t="shared" si="26"/>
        <v>0</v>
      </c>
      <c r="AG25" s="17">
        <f t="shared" si="27"/>
        <v>6</v>
      </c>
      <c r="AH25" s="17" t="str">
        <f t="shared" si="28"/>
        <v/>
      </c>
      <c r="AI25" s="17" t="str">
        <f t="shared" si="2"/>
        <v/>
      </c>
      <c r="AJ25" s="17" t="str">
        <f t="shared" si="29"/>
        <v/>
      </c>
      <c r="AK25" s="17" t="str">
        <f t="shared" si="3"/>
        <v>if () {$("#adv_").html("Requierd");$("#").css({"background":"yellow"});} else {$("#adv_").html("");$("#").css({"background":"white"});}</v>
      </c>
      <c r="AL25" s="17" t="str">
        <f t="shared" si="4"/>
        <v>if (=="") {$("#adv_").html("Requierd");} else {$("#adv_").html("");}</v>
      </c>
      <c r="AM25" s="50" t="str">
        <f t="shared" si="5"/>
        <v/>
      </c>
      <c r="AN25" s="51" t="str">
        <f t="shared" si="6"/>
        <v>=$("#").val();</v>
      </c>
      <c r="AO25" s="51" t="str">
        <f t="shared" si="30"/>
        <v/>
      </c>
      <c r="AP25" s="50" t="str">
        <f t="shared" si="7"/>
        <v>&lt;input type="checkbox" id="" name="" value="1" /&gt;</v>
      </c>
      <c r="AQ25" s="51" t="str">
        <f t="shared" si="8"/>
        <v>=document.getElementById("").checked;</v>
      </c>
      <c r="AR25" s="52" t="str">
        <f t="shared" si="9"/>
        <v>if (isset($_GET[''])) {$=($_GET['']);}else $='';</v>
      </c>
      <c r="AS25" s="17" t="str">
        <f t="shared" si="10"/>
        <v>Mobile phone</v>
      </c>
      <c r="AT25" s="17" t="str">
        <f t="shared" si="46"/>
        <v/>
      </c>
      <c r="AU25" s="50" t="str">
        <f t="shared" si="11"/>
        <v>&lt;input type="radio" name="Mobile phone" id="" value="" /&gt;</v>
      </c>
      <c r="AV25" s="15" t="str">
        <f t="shared" si="12"/>
        <v>else if (document.getElementById("</v>
      </c>
      <c r="AW25" s="51" t="str">
        <f t="shared" si="13"/>
        <v>else if (document.getElementById("").checked==true) {Mobile phone="";}</v>
      </c>
      <c r="AX25" s="17" t="str">
        <f t="shared" si="47"/>
        <v/>
      </c>
      <c r="AY25" s="52" t="str">
        <f t="shared" si="14"/>
        <v/>
      </c>
      <c r="AZ25" s="56" t="str">
        <f t="shared" si="15"/>
        <v>&lt;br/&gt;&lt;textarea rows="2" cols="80" id=""&gt;&lt;/textarea&gt;&lt;br/&gt;</v>
      </c>
      <c r="BA25" s="54" t="str">
        <f t="shared" si="16"/>
        <v>&lt;input type="text"  size="7"  id="" class="datepicker"/&gt;</v>
      </c>
      <c r="BB25" s="54" t="str">
        <f t="shared" si="48"/>
        <v/>
      </c>
      <c r="BC25" s="48" t="str">
        <f t="shared" si="49"/>
        <v/>
      </c>
      <c r="BD25" s="49" t="str">
        <f t="shared" si="50"/>
        <v/>
      </c>
      <c r="BE25" s="49">
        <f t="shared" si="55"/>
        <v>7</v>
      </c>
      <c r="BF25" s="55" t="str">
        <f t="shared" si="31"/>
        <v/>
      </c>
      <c r="BG25" s="6" t="str">
        <f t="shared" si="17"/>
        <v/>
      </c>
      <c r="BH25" s="17" t="str">
        <f t="shared" si="51"/>
        <v/>
      </c>
      <c r="BI25" s="17" t="str">
        <f t="shared" si="32"/>
        <v/>
      </c>
      <c r="BJ25" s="17">
        <f t="shared" si="33"/>
        <v>0</v>
      </c>
      <c r="BK25" s="17">
        <f t="shared" si="34"/>
        <v>1</v>
      </c>
      <c r="BL25" s="17" t="str">
        <f t="shared" si="56"/>
        <v/>
      </c>
      <c r="BO25" s="17" t="str">
        <f t="shared" si="52"/>
        <v/>
      </c>
      <c r="BP25" s="17" t="str">
        <f t="shared" si="18"/>
        <v/>
      </c>
      <c r="BQ25" s="17" t="str">
        <f t="shared" si="35"/>
        <v/>
      </c>
      <c r="BR25" s="17" t="str">
        <f t="shared" si="36"/>
        <v/>
      </c>
      <c r="BS25" s="17" t="str">
        <f t="shared" si="53"/>
        <v/>
      </c>
      <c r="BT25" s="17" t="str">
        <f t="shared" si="37"/>
        <v/>
      </c>
      <c r="BU25" s="17" t="str">
        <f t="shared" si="38"/>
        <v/>
      </c>
      <c r="BV25" s="17" t="str">
        <f t="shared" si="39"/>
        <v/>
      </c>
      <c r="BW25" s="17" t="str">
        <f t="shared" si="40"/>
        <v/>
      </c>
      <c r="BX25" s="17" t="str">
        <f t="shared" si="19"/>
        <v/>
      </c>
      <c r="BY25" s="17" t="str">
        <f t="shared" si="54"/>
        <v/>
      </c>
      <c r="BZ25" s="61" t="str">
        <f t="shared" si="41"/>
        <v/>
      </c>
      <c r="CA25" s="17" t="str">
        <f t="shared" si="20"/>
        <v/>
      </c>
      <c r="CB25" s="17" t="str">
        <f t="shared" si="21"/>
        <v/>
      </c>
      <c r="CC25" s="17" t="str">
        <f t="shared" si="42"/>
        <v/>
      </c>
      <c r="CD25" s="17" t="str">
        <f t="shared" si="22"/>
        <v/>
      </c>
      <c r="CE25" s="17" t="str">
        <f t="shared" si="23"/>
        <v/>
      </c>
      <c r="CF25" s="17" t="str">
        <f t="shared" si="43"/>
        <v/>
      </c>
      <c r="CG25" s="17" t="str">
        <f t="shared" si="44"/>
        <v/>
      </c>
    </row>
    <row r="26" spans="2:85" s="17" customFormat="1">
      <c r="B26" s="35"/>
      <c r="C26" s="35"/>
      <c r="D26" s="36"/>
      <c r="E26" s="89" t="str">
        <f t="shared" si="24"/>
        <v/>
      </c>
      <c r="F26" s="35"/>
      <c r="G26" s="35"/>
      <c r="H26" s="35"/>
      <c r="I26" s="59"/>
      <c r="K26" s="79"/>
      <c r="AA26" s="47" t="s">
        <v>205</v>
      </c>
      <c r="AB26" s="17" t="str">
        <f t="shared" si="0"/>
        <v/>
      </c>
      <c r="AC26" s="17">
        <f t="shared" si="25"/>
        <v>0</v>
      </c>
      <c r="AD26" s="17">
        <f t="shared" si="45"/>
        <v>6</v>
      </c>
      <c r="AE26" s="17" t="str">
        <f t="shared" si="1"/>
        <v/>
      </c>
      <c r="AF26" s="17">
        <f t="shared" si="26"/>
        <v>0</v>
      </c>
      <c r="AG26" s="17">
        <f t="shared" si="27"/>
        <v>6</v>
      </c>
      <c r="AH26" s="17" t="str">
        <f t="shared" si="28"/>
        <v/>
      </c>
      <c r="AI26" s="17" t="str">
        <f t="shared" si="2"/>
        <v/>
      </c>
      <c r="AJ26" s="17" t="str">
        <f t="shared" si="29"/>
        <v/>
      </c>
      <c r="AK26" s="17" t="str">
        <f t="shared" si="3"/>
        <v>if () {$("#adv_").html("Requierd");$("#").css({"background":"yellow"});} else {$("#adv_").html("");$("#").css({"background":"white"});}</v>
      </c>
      <c r="AL26" s="17" t="str">
        <f t="shared" si="4"/>
        <v>if (=="") {$("#adv_").html("Requierd");} else {$("#adv_").html("");}</v>
      </c>
      <c r="AM26" s="50" t="str">
        <f t="shared" si="5"/>
        <v/>
      </c>
      <c r="AN26" s="51" t="str">
        <f t="shared" si="6"/>
        <v>=$("#").val();</v>
      </c>
      <c r="AO26" s="51" t="str">
        <f t="shared" si="30"/>
        <v/>
      </c>
      <c r="AP26" s="50" t="str">
        <f t="shared" si="7"/>
        <v>&lt;input type="checkbox" id="" name="" value="1" /&gt;</v>
      </c>
      <c r="AQ26" s="51" t="str">
        <f t="shared" si="8"/>
        <v>=document.getElementById("").checked;</v>
      </c>
      <c r="AR26" s="52" t="str">
        <f t="shared" si="9"/>
        <v>if (isset($_GET[''])) {$=($_GET['']);}else $='';</v>
      </c>
      <c r="AS26" s="17" t="str">
        <f t="shared" si="10"/>
        <v>Mobile phone</v>
      </c>
      <c r="AT26" s="17" t="str">
        <f t="shared" si="46"/>
        <v/>
      </c>
      <c r="AU26" s="50" t="str">
        <f t="shared" si="11"/>
        <v>&lt;input type="radio" name="Mobile phone" id="" value="" /&gt;</v>
      </c>
      <c r="AV26" s="15" t="str">
        <f t="shared" si="12"/>
        <v>else if (document.getElementById("</v>
      </c>
      <c r="AW26" s="51" t="str">
        <f t="shared" si="13"/>
        <v>else if (document.getElementById("").checked==true) {Mobile phone="";}</v>
      </c>
      <c r="AX26" s="17" t="str">
        <f t="shared" si="47"/>
        <v/>
      </c>
      <c r="AY26" s="52" t="str">
        <f t="shared" si="14"/>
        <v/>
      </c>
      <c r="AZ26" s="56" t="str">
        <f t="shared" si="15"/>
        <v>&lt;br/&gt;&lt;textarea rows="2" cols="80" id=""&gt;&lt;/textarea&gt;&lt;br/&gt;</v>
      </c>
      <c r="BA26" s="54" t="str">
        <f t="shared" si="16"/>
        <v>&lt;input type="text"  size="7"  id="" class="datepicker"/&gt;</v>
      </c>
      <c r="BB26" s="54" t="str">
        <f t="shared" si="48"/>
        <v/>
      </c>
      <c r="BC26" s="48" t="str">
        <f t="shared" si="49"/>
        <v/>
      </c>
      <c r="BD26" s="49" t="str">
        <f t="shared" si="50"/>
        <v/>
      </c>
      <c r="BE26" s="49">
        <f t="shared" si="55"/>
        <v>7</v>
      </c>
      <c r="BF26" s="55" t="str">
        <f t="shared" si="31"/>
        <v/>
      </c>
      <c r="BG26" s="6" t="str">
        <f t="shared" si="17"/>
        <v/>
      </c>
      <c r="BH26" s="17" t="str">
        <f t="shared" si="51"/>
        <v/>
      </c>
      <c r="BI26" s="17" t="str">
        <f t="shared" si="32"/>
        <v/>
      </c>
      <c r="BJ26" s="17">
        <f t="shared" si="33"/>
        <v>0</v>
      </c>
      <c r="BK26" s="17">
        <f t="shared" si="34"/>
        <v>1</v>
      </c>
      <c r="BL26" s="17" t="str">
        <f t="shared" si="56"/>
        <v/>
      </c>
      <c r="BO26" s="17" t="str">
        <f t="shared" si="52"/>
        <v/>
      </c>
      <c r="BP26" s="17" t="str">
        <f t="shared" si="18"/>
        <v/>
      </c>
      <c r="BQ26" s="17" t="str">
        <f t="shared" si="35"/>
        <v/>
      </c>
      <c r="BR26" s="17" t="str">
        <f t="shared" si="36"/>
        <v/>
      </c>
      <c r="BS26" s="17" t="str">
        <f t="shared" si="53"/>
        <v/>
      </c>
      <c r="BT26" s="17" t="str">
        <f t="shared" si="37"/>
        <v/>
      </c>
      <c r="BU26" s="17" t="str">
        <f t="shared" si="38"/>
        <v/>
      </c>
      <c r="BV26" s="17" t="str">
        <f t="shared" si="39"/>
        <v/>
      </c>
      <c r="BW26" s="17" t="str">
        <f t="shared" si="40"/>
        <v/>
      </c>
      <c r="BX26" s="17" t="str">
        <f t="shared" si="19"/>
        <v/>
      </c>
      <c r="BY26" s="17" t="str">
        <f t="shared" si="54"/>
        <v/>
      </c>
      <c r="BZ26" s="61" t="str">
        <f t="shared" si="41"/>
        <v/>
      </c>
      <c r="CA26" s="17" t="str">
        <f t="shared" si="20"/>
        <v/>
      </c>
      <c r="CB26" s="17" t="str">
        <f t="shared" si="21"/>
        <v/>
      </c>
      <c r="CC26" s="17" t="str">
        <f t="shared" si="42"/>
        <v/>
      </c>
      <c r="CD26" s="17" t="str">
        <f t="shared" si="22"/>
        <v/>
      </c>
      <c r="CE26" s="17" t="str">
        <f t="shared" si="23"/>
        <v/>
      </c>
      <c r="CF26" s="17" t="str">
        <f t="shared" si="43"/>
        <v/>
      </c>
      <c r="CG26" s="17" t="str">
        <f t="shared" si="44"/>
        <v/>
      </c>
    </row>
    <row r="27" spans="2:85" s="17" customFormat="1">
      <c r="B27" s="35"/>
      <c r="C27" s="35"/>
      <c r="D27" s="36"/>
      <c r="E27" s="89" t="str">
        <f t="shared" si="24"/>
        <v/>
      </c>
      <c r="F27" s="35"/>
      <c r="G27" s="35"/>
      <c r="H27" s="35"/>
      <c r="I27" s="59"/>
      <c r="AA27" s="47" t="s">
        <v>206</v>
      </c>
      <c r="AB27" s="17" t="str">
        <f t="shared" si="0"/>
        <v/>
      </c>
      <c r="AC27" s="17">
        <f t="shared" si="25"/>
        <v>0</v>
      </c>
      <c r="AD27" s="17">
        <f t="shared" si="45"/>
        <v>6</v>
      </c>
      <c r="AE27" s="17" t="str">
        <f t="shared" si="1"/>
        <v/>
      </c>
      <c r="AF27" s="17">
        <f t="shared" si="26"/>
        <v>0</v>
      </c>
      <c r="AG27" s="17">
        <f t="shared" si="27"/>
        <v>6</v>
      </c>
      <c r="AH27" s="17" t="str">
        <f t="shared" si="28"/>
        <v/>
      </c>
      <c r="AI27" s="17" t="str">
        <f t="shared" si="2"/>
        <v/>
      </c>
      <c r="AJ27" s="17" t="str">
        <f t="shared" si="29"/>
        <v/>
      </c>
      <c r="AK27" s="17" t="str">
        <f t="shared" si="3"/>
        <v>if () {$("#adv_").html("Requierd");$("#").css({"background":"yellow"});} else {$("#adv_").html("");$("#").css({"background":"white"});}</v>
      </c>
      <c r="AL27" s="17" t="str">
        <f t="shared" si="4"/>
        <v>if (=="") {$("#adv_").html("Requierd");} else {$("#adv_").html("");}</v>
      </c>
      <c r="AM27" s="50" t="str">
        <f t="shared" si="5"/>
        <v/>
      </c>
      <c r="AN27" s="51" t="str">
        <f t="shared" si="6"/>
        <v>=$("#").val();</v>
      </c>
      <c r="AO27" s="51" t="str">
        <f t="shared" si="30"/>
        <v/>
      </c>
      <c r="AP27" s="50" t="str">
        <f t="shared" si="7"/>
        <v>&lt;input type="checkbox" id="" name="" value="1" /&gt;</v>
      </c>
      <c r="AQ27" s="51" t="str">
        <f t="shared" si="8"/>
        <v>=document.getElementById("").checked;</v>
      </c>
      <c r="AR27" s="52" t="str">
        <f t="shared" si="9"/>
        <v>if (isset($_GET[''])) {$=($_GET['']);}else $='';</v>
      </c>
      <c r="AS27" s="17" t="str">
        <f t="shared" si="10"/>
        <v>Mobile phone</v>
      </c>
      <c r="AT27" s="17" t="str">
        <f t="shared" si="46"/>
        <v/>
      </c>
      <c r="AU27" s="50" t="str">
        <f t="shared" si="11"/>
        <v>&lt;input type="radio" name="Mobile phone" id="" value="" /&gt;</v>
      </c>
      <c r="AV27" s="15" t="str">
        <f t="shared" si="12"/>
        <v>else if (document.getElementById("</v>
      </c>
      <c r="AW27" s="51" t="str">
        <f t="shared" si="13"/>
        <v>else if (document.getElementById("").checked==true) {Mobile phone="";}</v>
      </c>
      <c r="AX27" s="17" t="str">
        <f t="shared" si="47"/>
        <v/>
      </c>
      <c r="AY27" s="52" t="str">
        <f t="shared" si="14"/>
        <v/>
      </c>
      <c r="AZ27" s="56" t="str">
        <f t="shared" si="15"/>
        <v>&lt;br/&gt;&lt;textarea rows="2" cols="80" id=""&gt;&lt;/textarea&gt;&lt;br/&gt;</v>
      </c>
      <c r="BA27" s="54" t="str">
        <f t="shared" si="16"/>
        <v>&lt;input type="text"  size="7"  id="" class="datepicker"/&gt;</v>
      </c>
      <c r="BB27" s="54" t="str">
        <f t="shared" si="48"/>
        <v/>
      </c>
      <c r="BC27" s="48" t="str">
        <f t="shared" si="49"/>
        <v/>
      </c>
      <c r="BD27" s="49" t="str">
        <f t="shared" si="50"/>
        <v/>
      </c>
      <c r="BE27" s="49">
        <f t="shared" si="55"/>
        <v>7</v>
      </c>
      <c r="BF27" s="55" t="str">
        <f t="shared" si="31"/>
        <v/>
      </c>
      <c r="BG27" s="6" t="str">
        <f t="shared" si="17"/>
        <v/>
      </c>
      <c r="BH27" s="17" t="str">
        <f t="shared" si="51"/>
        <v/>
      </c>
      <c r="BI27" s="17" t="str">
        <f t="shared" si="32"/>
        <v/>
      </c>
      <c r="BJ27" s="17">
        <f t="shared" si="33"/>
        <v>0</v>
      </c>
      <c r="BK27" s="17">
        <f t="shared" si="34"/>
        <v>1</v>
      </c>
      <c r="BL27" s="17" t="str">
        <f t="shared" si="56"/>
        <v/>
      </c>
      <c r="BO27" s="17" t="str">
        <f t="shared" si="52"/>
        <v/>
      </c>
      <c r="BP27" s="17" t="str">
        <f t="shared" si="18"/>
        <v/>
      </c>
      <c r="BQ27" s="17" t="str">
        <f t="shared" si="35"/>
        <v/>
      </c>
      <c r="BR27" s="17" t="str">
        <f t="shared" si="36"/>
        <v/>
      </c>
      <c r="BS27" s="17" t="str">
        <f t="shared" si="53"/>
        <v/>
      </c>
      <c r="BT27" s="17" t="str">
        <f t="shared" si="37"/>
        <v/>
      </c>
      <c r="BU27" s="17" t="str">
        <f t="shared" si="38"/>
        <v/>
      </c>
      <c r="BV27" s="17" t="str">
        <f t="shared" si="39"/>
        <v/>
      </c>
      <c r="BW27" s="17" t="str">
        <f t="shared" si="40"/>
        <v/>
      </c>
      <c r="BX27" s="17" t="str">
        <f t="shared" si="19"/>
        <v/>
      </c>
      <c r="BY27" s="17" t="str">
        <f t="shared" si="54"/>
        <v/>
      </c>
      <c r="BZ27" s="61" t="str">
        <f t="shared" si="41"/>
        <v/>
      </c>
      <c r="CA27" s="17" t="str">
        <f t="shared" si="20"/>
        <v/>
      </c>
      <c r="CB27" s="17" t="str">
        <f t="shared" si="21"/>
        <v/>
      </c>
      <c r="CC27" s="17" t="str">
        <f t="shared" si="42"/>
        <v/>
      </c>
      <c r="CD27" s="17" t="str">
        <f t="shared" si="22"/>
        <v/>
      </c>
      <c r="CE27" s="17" t="str">
        <f t="shared" si="23"/>
        <v/>
      </c>
      <c r="CF27" s="17" t="str">
        <f t="shared" si="43"/>
        <v/>
      </c>
      <c r="CG27" s="17" t="str">
        <f t="shared" si="44"/>
        <v/>
      </c>
    </row>
    <row r="28" spans="2:85" s="17" customFormat="1">
      <c r="B28" s="35"/>
      <c r="C28" s="35"/>
      <c r="D28" s="36"/>
      <c r="E28" s="89" t="str">
        <f t="shared" si="24"/>
        <v/>
      </c>
      <c r="F28" s="35"/>
      <c r="G28" s="35"/>
      <c r="H28" s="35"/>
      <c r="I28" s="59"/>
      <c r="AA28" s="47" t="s">
        <v>207</v>
      </c>
      <c r="AB28" s="17" t="str">
        <f t="shared" si="0"/>
        <v/>
      </c>
      <c r="AC28" s="17">
        <f t="shared" si="25"/>
        <v>0</v>
      </c>
      <c r="AD28" s="17">
        <f t="shared" si="45"/>
        <v>6</v>
      </c>
      <c r="AE28" s="17" t="str">
        <f t="shared" si="1"/>
        <v/>
      </c>
      <c r="AF28" s="17">
        <f t="shared" si="26"/>
        <v>0</v>
      </c>
      <c r="AG28" s="17">
        <f t="shared" si="27"/>
        <v>6</v>
      </c>
      <c r="AH28" s="17" t="str">
        <f t="shared" si="28"/>
        <v/>
      </c>
      <c r="AI28" s="17" t="str">
        <f t="shared" si="2"/>
        <v/>
      </c>
      <c r="AJ28" s="17" t="str">
        <f t="shared" si="29"/>
        <v/>
      </c>
      <c r="AK28" s="17" t="str">
        <f t="shared" si="3"/>
        <v>if () {$("#adv_").html("Requierd");$("#").css({"background":"yellow"});} else {$("#adv_").html("");$("#").css({"background":"white"});}</v>
      </c>
      <c r="AL28" s="17" t="str">
        <f t="shared" si="4"/>
        <v>if (=="") {$("#adv_").html("Requierd");} else {$("#adv_").html("");}</v>
      </c>
      <c r="AM28" s="50" t="str">
        <f t="shared" si="5"/>
        <v/>
      </c>
      <c r="AN28" s="51" t="str">
        <f t="shared" si="6"/>
        <v>=$("#").val();</v>
      </c>
      <c r="AO28" s="51" t="str">
        <f t="shared" si="30"/>
        <v/>
      </c>
      <c r="AP28" s="50" t="str">
        <f t="shared" si="7"/>
        <v>&lt;input type="checkbox" id="" name="" value="1" /&gt;</v>
      </c>
      <c r="AQ28" s="51" t="str">
        <f t="shared" si="8"/>
        <v>=document.getElementById("").checked;</v>
      </c>
      <c r="AR28" s="52" t="str">
        <f t="shared" si="9"/>
        <v>if (isset($_GET[''])) {$=($_GET['']);}else $='';</v>
      </c>
      <c r="AS28" s="17" t="str">
        <f t="shared" si="10"/>
        <v>Mobile phone</v>
      </c>
      <c r="AT28" s="17" t="str">
        <f t="shared" si="46"/>
        <v/>
      </c>
      <c r="AU28" s="50" t="str">
        <f t="shared" si="11"/>
        <v>&lt;input type="radio" name="Mobile phone" id="" value="" /&gt;</v>
      </c>
      <c r="AV28" s="15" t="str">
        <f t="shared" si="12"/>
        <v>else if (document.getElementById("</v>
      </c>
      <c r="AW28" s="51" t="str">
        <f t="shared" si="13"/>
        <v>else if (document.getElementById("").checked==true) {Mobile phone="";}</v>
      </c>
      <c r="AX28" s="17" t="str">
        <f t="shared" si="47"/>
        <v/>
      </c>
      <c r="AY28" s="52" t="str">
        <f t="shared" si="14"/>
        <v/>
      </c>
      <c r="AZ28" s="56" t="str">
        <f t="shared" si="15"/>
        <v>&lt;br/&gt;&lt;textarea rows="2" cols="80" id=""&gt;&lt;/textarea&gt;&lt;br/&gt;</v>
      </c>
      <c r="BA28" s="54" t="str">
        <f t="shared" si="16"/>
        <v>&lt;input type="text"  size="7"  id="" class="datepicker"/&gt;</v>
      </c>
      <c r="BB28" s="54" t="str">
        <f t="shared" si="48"/>
        <v/>
      </c>
      <c r="BC28" s="48" t="str">
        <f t="shared" si="49"/>
        <v/>
      </c>
      <c r="BD28" s="49" t="str">
        <f t="shared" si="50"/>
        <v/>
      </c>
      <c r="BE28" s="49">
        <f t="shared" si="55"/>
        <v>7</v>
      </c>
      <c r="BF28" s="55" t="str">
        <f t="shared" si="31"/>
        <v/>
      </c>
      <c r="BG28" s="6" t="str">
        <f t="shared" si="17"/>
        <v/>
      </c>
      <c r="BH28" s="17" t="str">
        <f t="shared" si="51"/>
        <v/>
      </c>
      <c r="BI28" s="17" t="str">
        <f t="shared" si="32"/>
        <v/>
      </c>
      <c r="BJ28" s="17">
        <f t="shared" si="33"/>
        <v>0</v>
      </c>
      <c r="BK28" s="17">
        <f t="shared" si="34"/>
        <v>1</v>
      </c>
      <c r="BL28" s="17" t="str">
        <f t="shared" si="56"/>
        <v/>
      </c>
      <c r="BO28" s="17" t="str">
        <f t="shared" si="52"/>
        <v/>
      </c>
      <c r="BP28" s="17" t="str">
        <f t="shared" si="18"/>
        <v/>
      </c>
      <c r="BQ28" s="17" t="str">
        <f t="shared" si="35"/>
        <v/>
      </c>
      <c r="BR28" s="17" t="str">
        <f t="shared" si="36"/>
        <v/>
      </c>
      <c r="BS28" s="17" t="str">
        <f t="shared" si="53"/>
        <v/>
      </c>
      <c r="BT28" s="17" t="str">
        <f t="shared" si="37"/>
        <v/>
      </c>
      <c r="BU28" s="17" t="str">
        <f t="shared" si="38"/>
        <v/>
      </c>
      <c r="BV28" s="17" t="str">
        <f t="shared" si="39"/>
        <v/>
      </c>
      <c r="BW28" s="17" t="str">
        <f t="shared" si="40"/>
        <v/>
      </c>
      <c r="BX28" s="17" t="str">
        <f t="shared" si="19"/>
        <v/>
      </c>
      <c r="BY28" s="17" t="str">
        <f t="shared" si="54"/>
        <v/>
      </c>
      <c r="BZ28" s="61" t="str">
        <f t="shared" si="41"/>
        <v/>
      </c>
      <c r="CA28" s="17" t="str">
        <f t="shared" si="20"/>
        <v/>
      </c>
      <c r="CB28" s="17" t="str">
        <f t="shared" si="21"/>
        <v/>
      </c>
      <c r="CC28" s="17" t="str">
        <f t="shared" si="42"/>
        <v/>
      </c>
      <c r="CD28" s="17" t="str">
        <f t="shared" si="22"/>
        <v/>
      </c>
      <c r="CE28" s="17" t="str">
        <f t="shared" si="23"/>
        <v/>
      </c>
      <c r="CF28" s="17" t="str">
        <f t="shared" si="43"/>
        <v/>
      </c>
      <c r="CG28" s="17" t="str">
        <f t="shared" si="44"/>
        <v/>
      </c>
    </row>
    <row r="29" spans="2:85" s="17" customFormat="1">
      <c r="B29" s="35"/>
      <c r="C29" s="35"/>
      <c r="D29" s="36"/>
      <c r="E29" s="89" t="str">
        <f t="shared" si="24"/>
        <v/>
      </c>
      <c r="F29" s="35"/>
      <c r="G29" s="35"/>
      <c r="H29" s="35"/>
      <c r="I29" s="59"/>
      <c r="K29" s="79"/>
      <c r="AA29" s="47" t="s">
        <v>208</v>
      </c>
      <c r="AB29" s="17" t="str">
        <f t="shared" si="0"/>
        <v/>
      </c>
      <c r="AC29" s="17">
        <f t="shared" si="25"/>
        <v>0</v>
      </c>
      <c r="AD29" s="17">
        <f t="shared" si="45"/>
        <v>6</v>
      </c>
      <c r="AE29" s="17" t="str">
        <f t="shared" si="1"/>
        <v/>
      </c>
      <c r="AF29" s="17">
        <f t="shared" si="26"/>
        <v>0</v>
      </c>
      <c r="AG29" s="17">
        <f t="shared" si="27"/>
        <v>6</v>
      </c>
      <c r="AH29" s="17" t="str">
        <f t="shared" si="28"/>
        <v/>
      </c>
      <c r="AI29" s="17" t="str">
        <f t="shared" si="2"/>
        <v/>
      </c>
      <c r="AJ29" s="17" t="str">
        <f t="shared" si="29"/>
        <v/>
      </c>
      <c r="AK29" s="17" t="str">
        <f t="shared" si="3"/>
        <v>if () {$("#adv_").html("Requierd");$("#").css({"background":"yellow"});} else {$("#adv_").html("");$("#").css({"background":"white"});}</v>
      </c>
      <c r="AL29" s="17" t="str">
        <f t="shared" si="4"/>
        <v>if (=="") {$("#adv_").html("Requierd");} else {$("#adv_").html("");}</v>
      </c>
      <c r="AM29" s="50" t="str">
        <f t="shared" si="5"/>
        <v/>
      </c>
      <c r="AN29" s="51" t="str">
        <f t="shared" si="6"/>
        <v>=$("#").val();</v>
      </c>
      <c r="AO29" s="51" t="str">
        <f t="shared" si="30"/>
        <v/>
      </c>
      <c r="AP29" s="50" t="str">
        <f t="shared" si="7"/>
        <v>&lt;input type="checkbox" id="" name="" value="1" /&gt;</v>
      </c>
      <c r="AQ29" s="51" t="str">
        <f t="shared" si="8"/>
        <v>=document.getElementById("").checked;</v>
      </c>
      <c r="AR29" s="52" t="str">
        <f t="shared" si="9"/>
        <v>if (isset($_GET[''])) {$=($_GET['']);}else $='';</v>
      </c>
      <c r="AS29" s="17" t="str">
        <f t="shared" si="10"/>
        <v>Mobile phone</v>
      </c>
      <c r="AT29" s="17" t="str">
        <f t="shared" si="46"/>
        <v/>
      </c>
      <c r="AU29" s="50" t="str">
        <f t="shared" si="11"/>
        <v>&lt;input type="radio" name="Mobile phone" id="" value="" /&gt;</v>
      </c>
      <c r="AV29" s="15" t="str">
        <f t="shared" si="12"/>
        <v>else if (document.getElementById("</v>
      </c>
      <c r="AW29" s="51" t="str">
        <f t="shared" si="13"/>
        <v>else if (document.getElementById("").checked==true) {Mobile phone="";}</v>
      </c>
      <c r="AX29" s="17" t="str">
        <f t="shared" si="47"/>
        <v/>
      </c>
      <c r="AY29" s="52" t="str">
        <f t="shared" si="14"/>
        <v/>
      </c>
      <c r="AZ29" s="56" t="str">
        <f t="shared" si="15"/>
        <v>&lt;br/&gt;&lt;textarea rows="2" cols="80" id=""&gt;&lt;/textarea&gt;&lt;br/&gt;</v>
      </c>
      <c r="BA29" s="54" t="str">
        <f t="shared" si="16"/>
        <v>&lt;input type="text"  size="7"  id="" class="datepicker"/&gt;</v>
      </c>
      <c r="BB29" s="54" t="str">
        <f t="shared" si="48"/>
        <v/>
      </c>
      <c r="BC29" s="48" t="str">
        <f t="shared" si="49"/>
        <v/>
      </c>
      <c r="BD29" s="49" t="str">
        <f t="shared" si="50"/>
        <v/>
      </c>
      <c r="BE29" s="49">
        <f t="shared" si="55"/>
        <v>7</v>
      </c>
      <c r="BF29" s="55" t="str">
        <f t="shared" si="31"/>
        <v/>
      </c>
      <c r="BG29" s="6" t="str">
        <f t="shared" si="17"/>
        <v/>
      </c>
      <c r="BH29" s="17" t="str">
        <f t="shared" si="51"/>
        <v/>
      </c>
      <c r="BI29" s="17" t="str">
        <f t="shared" si="32"/>
        <v/>
      </c>
      <c r="BJ29" s="17">
        <f t="shared" si="33"/>
        <v>0</v>
      </c>
      <c r="BK29" s="17">
        <f t="shared" si="34"/>
        <v>1</v>
      </c>
      <c r="BL29" s="17" t="str">
        <f t="shared" si="56"/>
        <v/>
      </c>
      <c r="BO29" s="17" t="str">
        <f t="shared" si="52"/>
        <v/>
      </c>
      <c r="BP29" s="17" t="str">
        <f t="shared" si="18"/>
        <v/>
      </c>
      <c r="BQ29" s="17" t="str">
        <f t="shared" si="35"/>
        <v/>
      </c>
      <c r="BR29" s="17" t="str">
        <f t="shared" si="36"/>
        <v/>
      </c>
      <c r="BS29" s="17" t="str">
        <f t="shared" si="53"/>
        <v/>
      </c>
      <c r="BT29" s="17" t="str">
        <f t="shared" si="37"/>
        <v/>
      </c>
      <c r="BU29" s="17" t="str">
        <f t="shared" si="38"/>
        <v/>
      </c>
      <c r="BV29" s="17" t="str">
        <f t="shared" si="39"/>
        <v/>
      </c>
      <c r="BW29" s="17" t="str">
        <f t="shared" si="40"/>
        <v/>
      </c>
      <c r="BX29" s="17" t="str">
        <f t="shared" si="19"/>
        <v/>
      </c>
      <c r="BY29" s="17" t="str">
        <f t="shared" si="54"/>
        <v/>
      </c>
      <c r="BZ29" s="61" t="str">
        <f t="shared" si="41"/>
        <v/>
      </c>
      <c r="CA29" s="17" t="str">
        <f t="shared" si="20"/>
        <v/>
      </c>
      <c r="CB29" s="17" t="str">
        <f t="shared" si="21"/>
        <v/>
      </c>
      <c r="CC29" s="17" t="str">
        <f t="shared" si="42"/>
        <v/>
      </c>
      <c r="CD29" s="17" t="str">
        <f t="shared" si="22"/>
        <v/>
      </c>
      <c r="CE29" s="17" t="str">
        <f t="shared" si="23"/>
        <v/>
      </c>
      <c r="CF29" s="17" t="str">
        <f t="shared" si="43"/>
        <v/>
      </c>
      <c r="CG29" s="17" t="str">
        <f t="shared" si="44"/>
        <v/>
      </c>
    </row>
    <row r="30" spans="2:85" s="17" customFormat="1">
      <c r="B30" s="35"/>
      <c r="C30" s="35"/>
      <c r="D30" s="36"/>
      <c r="E30" s="89" t="str">
        <f t="shared" si="24"/>
        <v/>
      </c>
      <c r="F30" s="35"/>
      <c r="G30" s="35"/>
      <c r="H30" s="35"/>
      <c r="I30" s="59"/>
      <c r="AA30" s="47" t="s">
        <v>209</v>
      </c>
      <c r="AB30" s="17" t="str">
        <f t="shared" si="0"/>
        <v/>
      </c>
      <c r="AC30" s="17">
        <f t="shared" si="25"/>
        <v>0</v>
      </c>
      <c r="AD30" s="17">
        <f t="shared" si="45"/>
        <v>6</v>
      </c>
      <c r="AE30" s="17" t="str">
        <f t="shared" si="1"/>
        <v/>
      </c>
      <c r="AF30" s="17">
        <f t="shared" si="26"/>
        <v>0</v>
      </c>
      <c r="AG30" s="17">
        <f t="shared" si="27"/>
        <v>6</v>
      </c>
      <c r="AH30" s="17" t="str">
        <f t="shared" si="28"/>
        <v/>
      </c>
      <c r="AI30" s="17" t="str">
        <f t="shared" si="2"/>
        <v/>
      </c>
      <c r="AJ30" s="17" t="str">
        <f t="shared" si="29"/>
        <v/>
      </c>
      <c r="AK30" s="17" t="str">
        <f t="shared" si="3"/>
        <v>if () {$("#adv_").html("Requierd");$("#").css({"background":"yellow"});} else {$("#adv_").html("");$("#").css({"background":"white"});}</v>
      </c>
      <c r="AL30" s="17" t="str">
        <f t="shared" si="4"/>
        <v>if (=="") {$("#adv_").html("Requierd");} else {$("#adv_").html("");}</v>
      </c>
      <c r="AM30" s="50" t="str">
        <f t="shared" si="5"/>
        <v/>
      </c>
      <c r="AN30" s="51" t="str">
        <f t="shared" si="6"/>
        <v>=$("#").val();</v>
      </c>
      <c r="AO30" s="51" t="str">
        <f t="shared" si="30"/>
        <v/>
      </c>
      <c r="AP30" s="50" t="str">
        <f t="shared" si="7"/>
        <v>&lt;input type="checkbox" id="" name="" value="1" /&gt;</v>
      </c>
      <c r="AQ30" s="51" t="str">
        <f t="shared" si="8"/>
        <v>=document.getElementById("").checked;</v>
      </c>
      <c r="AR30" s="52" t="str">
        <f t="shared" si="9"/>
        <v>if (isset($_GET[''])) {$=($_GET['']);}else $='';</v>
      </c>
      <c r="AS30" s="17" t="str">
        <f t="shared" si="10"/>
        <v>Mobile phone</v>
      </c>
      <c r="AT30" s="17" t="str">
        <f t="shared" si="46"/>
        <v/>
      </c>
      <c r="AU30" s="50" t="str">
        <f t="shared" si="11"/>
        <v>&lt;input type="radio" name="Mobile phone" id="" value="" /&gt;</v>
      </c>
      <c r="AV30" s="15" t="str">
        <f t="shared" si="12"/>
        <v>else if (document.getElementById("</v>
      </c>
      <c r="AW30" s="51" t="str">
        <f t="shared" si="13"/>
        <v>else if (document.getElementById("").checked==true) {Mobile phone="";}</v>
      </c>
      <c r="AX30" s="17" t="str">
        <f t="shared" si="47"/>
        <v/>
      </c>
      <c r="AY30" s="52" t="str">
        <f t="shared" si="14"/>
        <v/>
      </c>
      <c r="AZ30" s="56" t="str">
        <f t="shared" si="15"/>
        <v>&lt;br/&gt;&lt;textarea rows="2" cols="80" id=""&gt;&lt;/textarea&gt;&lt;br/&gt;</v>
      </c>
      <c r="BA30" s="54" t="str">
        <f t="shared" si="16"/>
        <v>&lt;input type="text"  size="7"  id="" class="datepicker"/&gt;</v>
      </c>
      <c r="BB30" s="54" t="str">
        <f t="shared" si="48"/>
        <v/>
      </c>
      <c r="BC30" s="48" t="str">
        <f t="shared" si="49"/>
        <v/>
      </c>
      <c r="BD30" s="49" t="str">
        <f t="shared" si="50"/>
        <v/>
      </c>
      <c r="BE30" s="49">
        <f t="shared" si="55"/>
        <v>7</v>
      </c>
      <c r="BF30" s="55" t="str">
        <f t="shared" si="31"/>
        <v/>
      </c>
      <c r="BG30" s="6" t="str">
        <f t="shared" si="17"/>
        <v/>
      </c>
      <c r="BH30" s="17" t="str">
        <f t="shared" si="51"/>
        <v/>
      </c>
      <c r="BI30" s="17" t="str">
        <f t="shared" si="32"/>
        <v/>
      </c>
      <c r="BJ30" s="17">
        <f t="shared" si="33"/>
        <v>0</v>
      </c>
      <c r="BK30" s="17">
        <f t="shared" si="34"/>
        <v>1</v>
      </c>
      <c r="BL30" s="17" t="str">
        <f t="shared" si="56"/>
        <v/>
      </c>
      <c r="BO30" s="17" t="str">
        <f t="shared" si="52"/>
        <v/>
      </c>
      <c r="BP30" s="17" t="str">
        <f t="shared" si="18"/>
        <v/>
      </c>
      <c r="BQ30" s="17" t="str">
        <f t="shared" si="35"/>
        <v/>
      </c>
      <c r="BR30" s="17" t="str">
        <f t="shared" si="36"/>
        <v/>
      </c>
      <c r="BS30" s="17" t="str">
        <f t="shared" si="53"/>
        <v/>
      </c>
      <c r="BT30" s="17" t="str">
        <f t="shared" si="37"/>
        <v/>
      </c>
      <c r="BU30" s="17" t="str">
        <f t="shared" si="38"/>
        <v/>
      </c>
      <c r="BV30" s="17" t="str">
        <f t="shared" si="39"/>
        <v/>
      </c>
      <c r="BW30" s="17" t="str">
        <f t="shared" si="40"/>
        <v/>
      </c>
      <c r="BX30" s="17" t="str">
        <f t="shared" si="19"/>
        <v/>
      </c>
      <c r="BY30" s="17" t="str">
        <f t="shared" si="54"/>
        <v/>
      </c>
      <c r="BZ30" s="61" t="str">
        <f t="shared" si="41"/>
        <v/>
      </c>
      <c r="CA30" s="17" t="str">
        <f t="shared" si="20"/>
        <v/>
      </c>
      <c r="CB30" s="17" t="str">
        <f t="shared" si="21"/>
        <v/>
      </c>
      <c r="CC30" s="17" t="str">
        <f t="shared" si="42"/>
        <v/>
      </c>
      <c r="CD30" s="17" t="str">
        <f t="shared" si="22"/>
        <v/>
      </c>
      <c r="CE30" s="17" t="str">
        <f t="shared" si="23"/>
        <v/>
      </c>
      <c r="CF30" s="17" t="str">
        <f t="shared" si="43"/>
        <v/>
      </c>
      <c r="CG30" s="17" t="str">
        <f t="shared" si="44"/>
        <v/>
      </c>
    </row>
    <row r="31" spans="2:85" s="17" customFormat="1">
      <c r="B31" s="35"/>
      <c r="C31" s="35"/>
      <c r="D31" s="36"/>
      <c r="E31" s="89" t="str">
        <f t="shared" si="24"/>
        <v/>
      </c>
      <c r="F31" s="35"/>
      <c r="G31" s="35"/>
      <c r="H31" s="35"/>
      <c r="I31" s="59"/>
      <c r="AA31" s="47" t="s">
        <v>210</v>
      </c>
      <c r="AB31" s="17" t="str">
        <f t="shared" si="0"/>
        <v/>
      </c>
      <c r="AC31" s="17">
        <f t="shared" si="25"/>
        <v>0</v>
      </c>
      <c r="AD31" s="17">
        <f t="shared" si="45"/>
        <v>6</v>
      </c>
      <c r="AE31" s="17" t="str">
        <f t="shared" si="1"/>
        <v/>
      </c>
      <c r="AF31" s="17">
        <f t="shared" si="26"/>
        <v>0</v>
      </c>
      <c r="AG31" s="17">
        <f t="shared" si="27"/>
        <v>6</v>
      </c>
      <c r="AH31" s="17" t="str">
        <f t="shared" si="28"/>
        <v/>
      </c>
      <c r="AI31" s="17" t="str">
        <f t="shared" si="2"/>
        <v/>
      </c>
      <c r="AJ31" s="17" t="str">
        <f t="shared" si="29"/>
        <v/>
      </c>
      <c r="AK31" s="17" t="str">
        <f t="shared" si="3"/>
        <v>if () {$("#adv_").html("Requierd");$("#").css({"background":"yellow"});} else {$("#adv_").html("");$("#").css({"background":"white"});}</v>
      </c>
      <c r="AL31" s="17" t="str">
        <f t="shared" si="4"/>
        <v>if (=="") {$("#adv_").html("Requierd");} else {$("#adv_").html("");}</v>
      </c>
      <c r="AM31" s="50" t="str">
        <f t="shared" si="5"/>
        <v/>
      </c>
      <c r="AN31" s="51" t="str">
        <f t="shared" si="6"/>
        <v>=$("#").val();</v>
      </c>
      <c r="AO31" s="51" t="str">
        <f t="shared" si="30"/>
        <v/>
      </c>
      <c r="AP31" s="50" t="str">
        <f t="shared" si="7"/>
        <v>&lt;input type="checkbox" id="" name="" value="1" /&gt;</v>
      </c>
      <c r="AQ31" s="51" t="str">
        <f t="shared" si="8"/>
        <v>=document.getElementById("").checked;</v>
      </c>
      <c r="AR31" s="52" t="str">
        <f t="shared" si="9"/>
        <v>if (isset($_GET[''])) {$=($_GET['']);}else $='';</v>
      </c>
      <c r="AS31" s="17" t="str">
        <f t="shared" si="10"/>
        <v>Mobile phone</v>
      </c>
      <c r="AT31" s="17" t="str">
        <f t="shared" si="46"/>
        <v/>
      </c>
      <c r="AU31" s="50" t="str">
        <f t="shared" si="11"/>
        <v>&lt;input type="radio" name="Mobile phone" id="" value="" /&gt;</v>
      </c>
      <c r="AV31" s="15" t="str">
        <f t="shared" si="12"/>
        <v>else if (document.getElementById("</v>
      </c>
      <c r="AW31" s="51" t="str">
        <f t="shared" si="13"/>
        <v>else if (document.getElementById("").checked==true) {Mobile phone="";}</v>
      </c>
      <c r="AX31" s="17" t="str">
        <f t="shared" si="47"/>
        <v/>
      </c>
      <c r="AY31" s="52" t="str">
        <f t="shared" si="14"/>
        <v/>
      </c>
      <c r="AZ31" s="56" t="str">
        <f t="shared" si="15"/>
        <v>&lt;br/&gt;&lt;textarea rows="2" cols="80" id=""&gt;&lt;/textarea&gt;&lt;br/&gt;</v>
      </c>
      <c r="BA31" s="54" t="str">
        <f t="shared" si="16"/>
        <v>&lt;input type="text"  size="7"  id="" class="datepicker"/&gt;</v>
      </c>
      <c r="BB31" s="54" t="str">
        <f t="shared" si="48"/>
        <v/>
      </c>
      <c r="BC31" s="48" t="str">
        <f t="shared" si="49"/>
        <v/>
      </c>
      <c r="BD31" s="49" t="str">
        <f t="shared" si="50"/>
        <v/>
      </c>
      <c r="BE31" s="49">
        <f t="shared" si="55"/>
        <v>7</v>
      </c>
      <c r="BF31" s="55" t="str">
        <f t="shared" si="31"/>
        <v/>
      </c>
      <c r="BG31" s="6" t="str">
        <f t="shared" si="17"/>
        <v/>
      </c>
      <c r="BH31" s="17" t="str">
        <f t="shared" si="51"/>
        <v/>
      </c>
      <c r="BI31" s="17" t="str">
        <f t="shared" si="32"/>
        <v/>
      </c>
      <c r="BJ31" s="17">
        <f t="shared" si="33"/>
        <v>0</v>
      </c>
      <c r="BK31" s="17">
        <f t="shared" si="34"/>
        <v>1</v>
      </c>
      <c r="BL31" s="17" t="str">
        <f t="shared" si="56"/>
        <v/>
      </c>
      <c r="BO31" s="17" t="str">
        <f t="shared" si="52"/>
        <v/>
      </c>
      <c r="BP31" s="17" t="str">
        <f t="shared" si="18"/>
        <v/>
      </c>
      <c r="BQ31" s="17" t="str">
        <f t="shared" si="35"/>
        <v/>
      </c>
      <c r="BR31" s="17" t="str">
        <f t="shared" si="36"/>
        <v/>
      </c>
      <c r="BS31" s="17" t="str">
        <f t="shared" si="53"/>
        <v/>
      </c>
      <c r="BT31" s="17" t="str">
        <f t="shared" si="37"/>
        <v/>
      </c>
      <c r="BU31" s="17" t="str">
        <f t="shared" si="38"/>
        <v/>
      </c>
      <c r="BV31" s="17" t="str">
        <f t="shared" si="39"/>
        <v/>
      </c>
      <c r="BW31" s="17" t="str">
        <f t="shared" si="40"/>
        <v/>
      </c>
      <c r="BX31" s="17" t="str">
        <f t="shared" si="19"/>
        <v/>
      </c>
      <c r="BY31" s="17" t="str">
        <f t="shared" si="54"/>
        <v/>
      </c>
      <c r="BZ31" s="61" t="str">
        <f t="shared" si="41"/>
        <v/>
      </c>
      <c r="CA31" s="17" t="str">
        <f t="shared" si="20"/>
        <v/>
      </c>
      <c r="CB31" s="17" t="str">
        <f t="shared" si="21"/>
        <v/>
      </c>
      <c r="CC31" s="17" t="str">
        <f t="shared" si="42"/>
        <v/>
      </c>
      <c r="CD31" s="17" t="str">
        <f t="shared" si="22"/>
        <v/>
      </c>
      <c r="CE31" s="17" t="str">
        <f t="shared" si="23"/>
        <v/>
      </c>
      <c r="CF31" s="17" t="str">
        <f t="shared" si="43"/>
        <v/>
      </c>
      <c r="CG31" s="17" t="str">
        <f t="shared" si="44"/>
        <v/>
      </c>
    </row>
    <row r="32" spans="2:85" s="17" customFormat="1">
      <c r="B32" s="35"/>
      <c r="C32" s="35"/>
      <c r="D32" s="36"/>
      <c r="E32" s="89" t="str">
        <f t="shared" si="24"/>
        <v/>
      </c>
      <c r="F32" s="35"/>
      <c r="G32" s="35"/>
      <c r="H32" s="35"/>
      <c r="I32" s="59"/>
      <c r="AA32" s="47" t="s">
        <v>211</v>
      </c>
      <c r="AB32" s="17" t="str">
        <f t="shared" si="0"/>
        <v/>
      </c>
      <c r="AC32" s="17">
        <f t="shared" si="25"/>
        <v>0</v>
      </c>
      <c r="AD32" s="17">
        <f t="shared" si="45"/>
        <v>6</v>
      </c>
      <c r="AE32" s="17" t="str">
        <f t="shared" si="1"/>
        <v/>
      </c>
      <c r="AF32" s="17">
        <f t="shared" si="26"/>
        <v>0</v>
      </c>
      <c r="AG32" s="17">
        <f t="shared" si="27"/>
        <v>6</v>
      </c>
      <c r="AH32" s="17" t="str">
        <f t="shared" si="28"/>
        <v/>
      </c>
      <c r="AI32" s="17" t="str">
        <f t="shared" si="2"/>
        <v/>
      </c>
      <c r="AJ32" s="17" t="str">
        <f t="shared" si="29"/>
        <v/>
      </c>
      <c r="AK32" s="17" t="str">
        <f t="shared" si="3"/>
        <v>if () {$("#adv_").html("Requierd");$("#").css({"background":"yellow"});} else {$("#adv_").html("");$("#").css({"background":"white"});}</v>
      </c>
      <c r="AL32" s="17" t="str">
        <f t="shared" si="4"/>
        <v>if (=="") {$("#adv_").html("Requierd");} else {$("#adv_").html("");}</v>
      </c>
      <c r="AM32" s="50" t="str">
        <f t="shared" si="5"/>
        <v/>
      </c>
      <c r="AN32" s="51" t="str">
        <f t="shared" si="6"/>
        <v>=$("#").val();</v>
      </c>
      <c r="AO32" s="51" t="str">
        <f t="shared" si="30"/>
        <v/>
      </c>
      <c r="AP32" s="50" t="str">
        <f t="shared" si="7"/>
        <v>&lt;input type="checkbox" id="" name="" value="1" /&gt;</v>
      </c>
      <c r="AQ32" s="51" t="str">
        <f t="shared" si="8"/>
        <v>=document.getElementById("").checked;</v>
      </c>
      <c r="AR32" s="52" t="str">
        <f t="shared" si="9"/>
        <v>if (isset($_GET[''])) {$=($_GET['']);}else $='';</v>
      </c>
      <c r="AS32" s="17" t="str">
        <f t="shared" si="10"/>
        <v>Mobile phone</v>
      </c>
      <c r="AT32" s="17" t="str">
        <f t="shared" si="46"/>
        <v/>
      </c>
      <c r="AU32" s="50" t="str">
        <f t="shared" si="11"/>
        <v>&lt;input type="radio" name="Mobile phone" id="" value="" /&gt;</v>
      </c>
      <c r="AV32" s="15" t="str">
        <f t="shared" si="12"/>
        <v>else if (document.getElementById("</v>
      </c>
      <c r="AW32" s="51" t="str">
        <f t="shared" si="13"/>
        <v>else if (document.getElementById("").checked==true) {Mobile phone="";}</v>
      </c>
      <c r="AX32" s="17" t="str">
        <f t="shared" si="47"/>
        <v/>
      </c>
      <c r="AY32" s="52" t="str">
        <f t="shared" si="14"/>
        <v/>
      </c>
      <c r="AZ32" s="56" t="str">
        <f t="shared" si="15"/>
        <v>&lt;br/&gt;&lt;textarea rows="2" cols="80" id=""&gt;&lt;/textarea&gt;&lt;br/&gt;</v>
      </c>
      <c r="BA32" s="54" t="str">
        <f t="shared" si="16"/>
        <v>&lt;input type="text"  size="7"  id="" class="datepicker"/&gt;</v>
      </c>
      <c r="BB32" s="54" t="str">
        <f t="shared" si="48"/>
        <v/>
      </c>
      <c r="BC32" s="48" t="str">
        <f t="shared" si="49"/>
        <v/>
      </c>
      <c r="BD32" s="49" t="str">
        <f t="shared" si="50"/>
        <v/>
      </c>
      <c r="BE32" s="49">
        <f t="shared" si="55"/>
        <v>7</v>
      </c>
      <c r="BF32" s="55" t="str">
        <f t="shared" si="31"/>
        <v/>
      </c>
      <c r="BG32" s="6" t="str">
        <f t="shared" si="17"/>
        <v/>
      </c>
      <c r="BH32" s="17" t="str">
        <f t="shared" si="51"/>
        <v/>
      </c>
      <c r="BI32" s="17" t="str">
        <f t="shared" si="32"/>
        <v/>
      </c>
      <c r="BJ32" s="17">
        <f t="shared" si="33"/>
        <v>0</v>
      </c>
      <c r="BK32" s="17">
        <f t="shared" si="34"/>
        <v>1</v>
      </c>
      <c r="BL32" s="17" t="str">
        <f t="shared" si="56"/>
        <v/>
      </c>
      <c r="BO32" s="17" t="str">
        <f t="shared" si="52"/>
        <v/>
      </c>
      <c r="BP32" s="17" t="str">
        <f t="shared" si="18"/>
        <v/>
      </c>
      <c r="BQ32" s="17" t="str">
        <f t="shared" si="35"/>
        <v/>
      </c>
      <c r="BR32" s="17" t="str">
        <f t="shared" si="36"/>
        <v/>
      </c>
      <c r="BS32" s="17" t="str">
        <f t="shared" si="53"/>
        <v/>
      </c>
      <c r="BT32" s="17" t="str">
        <f t="shared" si="37"/>
        <v/>
      </c>
      <c r="BU32" s="17" t="str">
        <f t="shared" si="38"/>
        <v/>
      </c>
      <c r="BV32" s="17" t="str">
        <f t="shared" si="39"/>
        <v/>
      </c>
      <c r="BW32" s="17" t="str">
        <f t="shared" si="40"/>
        <v/>
      </c>
      <c r="BX32" s="17" t="str">
        <f t="shared" si="19"/>
        <v/>
      </c>
      <c r="BY32" s="17" t="str">
        <f t="shared" si="54"/>
        <v/>
      </c>
      <c r="BZ32" s="61" t="str">
        <f t="shared" si="41"/>
        <v/>
      </c>
      <c r="CA32" s="17" t="str">
        <f t="shared" si="20"/>
        <v/>
      </c>
      <c r="CB32" s="17" t="str">
        <f t="shared" si="21"/>
        <v/>
      </c>
      <c r="CC32" s="17" t="str">
        <f t="shared" si="42"/>
        <v/>
      </c>
      <c r="CD32" s="17" t="str">
        <f t="shared" si="22"/>
        <v/>
      </c>
      <c r="CE32" s="17" t="str">
        <f t="shared" si="23"/>
        <v/>
      </c>
      <c r="CF32" s="17" t="str">
        <f t="shared" si="43"/>
        <v/>
      </c>
      <c r="CG32" s="17" t="str">
        <f t="shared" si="44"/>
        <v/>
      </c>
    </row>
    <row r="33" spans="2:85" s="17" customFormat="1">
      <c r="B33" s="35"/>
      <c r="C33" s="35"/>
      <c r="D33" s="36"/>
      <c r="E33" s="89" t="str">
        <f t="shared" si="24"/>
        <v/>
      </c>
      <c r="F33" s="35"/>
      <c r="G33" s="35"/>
      <c r="H33" s="35"/>
      <c r="I33" s="59"/>
      <c r="AA33" s="47" t="s">
        <v>212</v>
      </c>
      <c r="AB33" s="17" t="str">
        <f t="shared" si="0"/>
        <v/>
      </c>
      <c r="AC33" s="17">
        <f t="shared" si="25"/>
        <v>0</v>
      </c>
      <c r="AD33" s="17">
        <f t="shared" si="45"/>
        <v>6</v>
      </c>
      <c r="AE33" s="17" t="str">
        <f t="shared" si="1"/>
        <v/>
      </c>
      <c r="AF33" s="17">
        <f t="shared" si="26"/>
        <v>0</v>
      </c>
      <c r="AG33" s="17">
        <f t="shared" si="27"/>
        <v>6</v>
      </c>
      <c r="AH33" s="17" t="str">
        <f t="shared" si="28"/>
        <v/>
      </c>
      <c r="AI33" s="17" t="str">
        <f t="shared" si="2"/>
        <v/>
      </c>
      <c r="AJ33" s="17" t="str">
        <f t="shared" si="29"/>
        <v/>
      </c>
      <c r="AK33" s="17" t="str">
        <f t="shared" si="3"/>
        <v>if () {$("#adv_").html("Requierd");$("#").css({"background":"yellow"});} else {$("#adv_").html("");$("#").css({"background":"white"});}</v>
      </c>
      <c r="AL33" s="17" t="str">
        <f t="shared" si="4"/>
        <v>if (=="") {$("#adv_").html("Requierd");} else {$("#adv_").html("");}</v>
      </c>
      <c r="AM33" s="50" t="str">
        <f t="shared" si="5"/>
        <v/>
      </c>
      <c r="AN33" s="51" t="str">
        <f t="shared" si="6"/>
        <v>=$("#").val();</v>
      </c>
      <c r="AO33" s="51" t="str">
        <f t="shared" si="30"/>
        <v/>
      </c>
      <c r="AP33" s="50" t="str">
        <f t="shared" si="7"/>
        <v>&lt;input type="checkbox" id="" name="" value="1" /&gt;</v>
      </c>
      <c r="AQ33" s="51" t="str">
        <f t="shared" si="8"/>
        <v>=document.getElementById("").checked;</v>
      </c>
      <c r="AR33" s="52" t="str">
        <f t="shared" si="9"/>
        <v>if (isset($_GET[''])) {$=($_GET['']);}else $='';</v>
      </c>
      <c r="AS33" s="17" t="str">
        <f t="shared" si="10"/>
        <v>Mobile phone</v>
      </c>
      <c r="AT33" s="17" t="str">
        <f t="shared" si="46"/>
        <v/>
      </c>
      <c r="AU33" s="50" t="str">
        <f t="shared" si="11"/>
        <v>&lt;input type="radio" name="Mobile phone" id="" value="" /&gt;</v>
      </c>
      <c r="AV33" s="15" t="str">
        <f t="shared" si="12"/>
        <v>else if (document.getElementById("</v>
      </c>
      <c r="AW33" s="51" t="str">
        <f t="shared" si="13"/>
        <v>else if (document.getElementById("").checked==true) {Mobile phone="";}</v>
      </c>
      <c r="AX33" s="17" t="str">
        <f t="shared" si="47"/>
        <v/>
      </c>
      <c r="AY33" s="52" t="str">
        <f t="shared" si="14"/>
        <v/>
      </c>
      <c r="AZ33" s="56" t="str">
        <f t="shared" si="15"/>
        <v>&lt;br/&gt;&lt;textarea rows="2" cols="80" id=""&gt;&lt;/textarea&gt;&lt;br/&gt;</v>
      </c>
      <c r="BA33" s="54" t="str">
        <f t="shared" si="16"/>
        <v>&lt;input type="text"  size="7"  id="" class="datepicker"/&gt;</v>
      </c>
      <c r="BB33" s="54" t="str">
        <f t="shared" si="48"/>
        <v/>
      </c>
      <c r="BC33" s="48" t="str">
        <f t="shared" si="49"/>
        <v/>
      </c>
      <c r="BD33" s="49" t="str">
        <f t="shared" si="50"/>
        <v/>
      </c>
      <c r="BE33" s="49">
        <f t="shared" si="55"/>
        <v>7</v>
      </c>
      <c r="BF33" s="55" t="str">
        <f t="shared" si="31"/>
        <v/>
      </c>
      <c r="BG33" s="6" t="str">
        <f t="shared" si="17"/>
        <v/>
      </c>
      <c r="BH33" s="17" t="str">
        <f t="shared" si="51"/>
        <v/>
      </c>
      <c r="BI33" s="17" t="str">
        <f t="shared" si="32"/>
        <v/>
      </c>
      <c r="BJ33" s="17">
        <f t="shared" si="33"/>
        <v>0</v>
      </c>
      <c r="BK33" s="17">
        <f t="shared" si="34"/>
        <v>1</v>
      </c>
      <c r="BL33" s="17" t="str">
        <f t="shared" si="56"/>
        <v/>
      </c>
      <c r="BO33" s="17" t="str">
        <f t="shared" si="52"/>
        <v/>
      </c>
      <c r="BP33" s="17" t="str">
        <f t="shared" si="18"/>
        <v/>
      </c>
      <c r="BQ33" s="17" t="str">
        <f t="shared" si="35"/>
        <v/>
      </c>
      <c r="BR33" s="17" t="str">
        <f t="shared" si="36"/>
        <v/>
      </c>
      <c r="BS33" s="17" t="str">
        <f t="shared" si="53"/>
        <v/>
      </c>
      <c r="BT33" s="17" t="str">
        <f t="shared" si="37"/>
        <v/>
      </c>
      <c r="BU33" s="17" t="str">
        <f t="shared" si="38"/>
        <v/>
      </c>
      <c r="BV33" s="17" t="str">
        <f t="shared" si="39"/>
        <v/>
      </c>
      <c r="BW33" s="17" t="str">
        <f t="shared" si="40"/>
        <v/>
      </c>
      <c r="BX33" s="17" t="str">
        <f t="shared" si="19"/>
        <v/>
      </c>
      <c r="BY33" s="17" t="str">
        <f t="shared" si="54"/>
        <v/>
      </c>
      <c r="BZ33" s="61" t="str">
        <f t="shared" si="41"/>
        <v/>
      </c>
      <c r="CA33" s="17" t="str">
        <f t="shared" si="20"/>
        <v/>
      </c>
      <c r="CB33" s="17" t="str">
        <f t="shared" si="21"/>
        <v/>
      </c>
      <c r="CC33" s="17" t="str">
        <f t="shared" si="42"/>
        <v/>
      </c>
      <c r="CD33" s="17" t="str">
        <f t="shared" si="22"/>
        <v/>
      </c>
      <c r="CE33" s="17" t="str">
        <f t="shared" si="23"/>
        <v/>
      </c>
      <c r="CF33" s="17" t="str">
        <f t="shared" si="43"/>
        <v/>
      </c>
      <c r="CG33" s="17" t="str">
        <f t="shared" si="44"/>
        <v/>
      </c>
    </row>
    <row r="34" spans="2:85" s="17" customFormat="1">
      <c r="B34" s="35"/>
      <c r="C34" s="35"/>
      <c r="D34" s="36"/>
      <c r="E34" s="89" t="str">
        <f t="shared" si="24"/>
        <v/>
      </c>
      <c r="F34" s="35"/>
      <c r="G34" s="35"/>
      <c r="H34" s="35"/>
      <c r="I34" s="59"/>
      <c r="AA34" s="47" t="s">
        <v>213</v>
      </c>
      <c r="AB34" s="17" t="str">
        <f t="shared" si="0"/>
        <v/>
      </c>
      <c r="AC34" s="17">
        <f t="shared" si="25"/>
        <v>0</v>
      </c>
      <c r="AD34" s="17">
        <f t="shared" si="45"/>
        <v>6</v>
      </c>
      <c r="AE34" s="17" t="str">
        <f t="shared" si="1"/>
        <v/>
      </c>
      <c r="AF34" s="17">
        <f t="shared" si="26"/>
        <v>0</v>
      </c>
      <c r="AG34" s="17">
        <f t="shared" si="27"/>
        <v>6</v>
      </c>
      <c r="AH34" s="17" t="str">
        <f t="shared" si="28"/>
        <v/>
      </c>
      <c r="AI34" s="17" t="str">
        <f t="shared" si="2"/>
        <v/>
      </c>
      <c r="AJ34" s="17" t="str">
        <f t="shared" si="29"/>
        <v/>
      </c>
      <c r="AK34" s="17" t="str">
        <f t="shared" si="3"/>
        <v>if () {$("#adv_").html("Requierd");$("#").css({"background":"yellow"});} else {$("#adv_").html("");$("#").css({"background":"white"});}</v>
      </c>
      <c r="AL34" s="17" t="str">
        <f t="shared" si="4"/>
        <v>if (=="") {$("#adv_").html("Requierd");} else {$("#adv_").html("");}</v>
      </c>
      <c r="AM34" s="50" t="str">
        <f t="shared" si="5"/>
        <v/>
      </c>
      <c r="AN34" s="51" t="str">
        <f t="shared" si="6"/>
        <v>=$("#").val();</v>
      </c>
      <c r="AO34" s="51" t="str">
        <f t="shared" si="30"/>
        <v/>
      </c>
      <c r="AP34" s="50" t="str">
        <f t="shared" si="7"/>
        <v>&lt;input type="checkbox" id="" name="" value="1" /&gt;</v>
      </c>
      <c r="AQ34" s="51" t="str">
        <f t="shared" si="8"/>
        <v>=document.getElementById("").checked;</v>
      </c>
      <c r="AR34" s="52" t="str">
        <f t="shared" si="9"/>
        <v>if (isset($_GET[''])) {$=($_GET['']);}else $='';</v>
      </c>
      <c r="AS34" s="17" t="str">
        <f t="shared" si="10"/>
        <v>Mobile phone</v>
      </c>
      <c r="AT34" s="17" t="str">
        <f t="shared" si="46"/>
        <v/>
      </c>
      <c r="AU34" s="50" t="str">
        <f t="shared" si="11"/>
        <v>&lt;input type="radio" name="Mobile phone" id="" value="" /&gt;</v>
      </c>
      <c r="AV34" s="15" t="str">
        <f t="shared" si="12"/>
        <v>else if (document.getElementById("</v>
      </c>
      <c r="AW34" s="51" t="str">
        <f t="shared" si="13"/>
        <v>else if (document.getElementById("").checked==true) {Mobile phone="";}</v>
      </c>
      <c r="AX34" s="17" t="str">
        <f t="shared" si="47"/>
        <v/>
      </c>
      <c r="AY34" s="52" t="str">
        <f t="shared" si="14"/>
        <v/>
      </c>
      <c r="AZ34" s="56" t="str">
        <f t="shared" si="15"/>
        <v>&lt;br/&gt;&lt;textarea rows="2" cols="80" id=""&gt;&lt;/textarea&gt;&lt;br/&gt;</v>
      </c>
      <c r="BA34" s="54" t="str">
        <f t="shared" si="16"/>
        <v>&lt;input type="text"  size="7"  id="" class="datepicker"/&gt;</v>
      </c>
      <c r="BB34" s="54" t="str">
        <f t="shared" si="48"/>
        <v/>
      </c>
      <c r="BC34" s="48" t="str">
        <f t="shared" si="49"/>
        <v/>
      </c>
      <c r="BD34" s="49" t="str">
        <f t="shared" si="50"/>
        <v/>
      </c>
      <c r="BE34" s="49">
        <f t="shared" si="55"/>
        <v>7</v>
      </c>
      <c r="BF34" s="55" t="str">
        <f t="shared" si="31"/>
        <v/>
      </c>
      <c r="BG34" s="6" t="str">
        <f t="shared" si="17"/>
        <v/>
      </c>
      <c r="BH34" s="17" t="str">
        <f t="shared" si="51"/>
        <v/>
      </c>
      <c r="BI34" s="17" t="str">
        <f t="shared" si="32"/>
        <v/>
      </c>
      <c r="BJ34" s="17">
        <f t="shared" si="33"/>
        <v>0</v>
      </c>
      <c r="BK34" s="17">
        <f t="shared" si="34"/>
        <v>1</v>
      </c>
      <c r="BL34" s="17" t="str">
        <f t="shared" si="56"/>
        <v/>
      </c>
      <c r="BO34" s="17" t="str">
        <f t="shared" si="52"/>
        <v/>
      </c>
      <c r="BP34" s="17" t="str">
        <f t="shared" si="18"/>
        <v/>
      </c>
      <c r="BQ34" s="17" t="str">
        <f t="shared" si="35"/>
        <v/>
      </c>
      <c r="BR34" s="17" t="str">
        <f t="shared" si="36"/>
        <v/>
      </c>
      <c r="BS34" s="17" t="str">
        <f t="shared" si="53"/>
        <v/>
      </c>
      <c r="BT34" s="17" t="str">
        <f t="shared" si="37"/>
        <v/>
      </c>
      <c r="BU34" s="17" t="str">
        <f t="shared" si="38"/>
        <v/>
      </c>
      <c r="BV34" s="17" t="str">
        <f t="shared" si="39"/>
        <v/>
      </c>
      <c r="BW34" s="17" t="str">
        <f t="shared" si="40"/>
        <v/>
      </c>
      <c r="BX34" s="17" t="str">
        <f t="shared" si="19"/>
        <v/>
      </c>
      <c r="BY34" s="17" t="str">
        <f t="shared" si="54"/>
        <v/>
      </c>
      <c r="BZ34" s="61" t="str">
        <f t="shared" si="41"/>
        <v/>
      </c>
      <c r="CA34" s="17" t="str">
        <f t="shared" si="20"/>
        <v/>
      </c>
      <c r="CB34" s="17" t="str">
        <f t="shared" si="21"/>
        <v/>
      </c>
      <c r="CC34" s="17" t="str">
        <f t="shared" si="42"/>
        <v/>
      </c>
      <c r="CD34" s="17" t="str">
        <f t="shared" si="22"/>
        <v/>
      </c>
      <c r="CE34" s="17" t="str">
        <f t="shared" si="23"/>
        <v/>
      </c>
      <c r="CF34" s="17" t="str">
        <f t="shared" si="43"/>
        <v/>
      </c>
      <c r="CG34" s="17" t="str">
        <f t="shared" si="44"/>
        <v/>
      </c>
    </row>
    <row r="35" spans="2:85" s="17" customFormat="1">
      <c r="B35" s="35"/>
      <c r="C35" s="35"/>
      <c r="D35" s="36"/>
      <c r="E35" s="89" t="str">
        <f t="shared" si="24"/>
        <v/>
      </c>
      <c r="F35" s="35"/>
      <c r="G35" s="35"/>
      <c r="H35" s="35"/>
      <c r="I35" s="59"/>
      <c r="AA35" s="47" t="s">
        <v>214</v>
      </c>
      <c r="AB35" s="17" t="str">
        <f t="shared" si="0"/>
        <v/>
      </c>
      <c r="AC35" s="17">
        <f t="shared" si="25"/>
        <v>0</v>
      </c>
      <c r="AD35" s="17">
        <f t="shared" si="45"/>
        <v>6</v>
      </c>
      <c r="AE35" s="17" t="str">
        <f t="shared" si="1"/>
        <v/>
      </c>
      <c r="AF35" s="17">
        <f t="shared" si="26"/>
        <v>0</v>
      </c>
      <c r="AG35" s="17">
        <f t="shared" si="27"/>
        <v>6</v>
      </c>
      <c r="AH35" s="17" t="str">
        <f t="shared" si="28"/>
        <v/>
      </c>
      <c r="AI35" s="17" t="str">
        <f t="shared" si="2"/>
        <v/>
      </c>
      <c r="AJ35" s="17" t="str">
        <f t="shared" si="29"/>
        <v/>
      </c>
      <c r="AK35" s="17" t="str">
        <f t="shared" si="3"/>
        <v>if () {$("#adv_").html("Requierd");$("#").css({"background":"yellow"});} else {$("#adv_").html("");$("#").css({"background":"white"});}</v>
      </c>
      <c r="AL35" s="17" t="str">
        <f t="shared" si="4"/>
        <v>if (=="") {$("#adv_").html("Requierd");} else {$("#adv_").html("");}</v>
      </c>
      <c r="AM35" s="50" t="str">
        <f t="shared" si="5"/>
        <v/>
      </c>
      <c r="AN35" s="51" t="str">
        <f t="shared" si="6"/>
        <v>=$("#").val();</v>
      </c>
      <c r="AO35" s="51" t="str">
        <f t="shared" si="30"/>
        <v/>
      </c>
      <c r="AP35" s="50" t="str">
        <f t="shared" si="7"/>
        <v>&lt;input type="checkbox" id="" name="" value="1" /&gt;</v>
      </c>
      <c r="AQ35" s="51" t="str">
        <f t="shared" si="8"/>
        <v>=document.getElementById("").checked;</v>
      </c>
      <c r="AR35" s="52" t="str">
        <f t="shared" si="9"/>
        <v>if (isset($_GET[''])) {$=($_GET['']);}else $='';</v>
      </c>
      <c r="AS35" s="17" t="str">
        <f t="shared" si="10"/>
        <v>Mobile phone</v>
      </c>
      <c r="AT35" s="17" t="str">
        <f t="shared" si="46"/>
        <v/>
      </c>
      <c r="AU35" s="50" t="str">
        <f t="shared" si="11"/>
        <v>&lt;input type="radio" name="Mobile phone" id="" value="" /&gt;</v>
      </c>
      <c r="AV35" s="15" t="str">
        <f t="shared" si="12"/>
        <v>else if (document.getElementById("</v>
      </c>
      <c r="AW35" s="51" t="str">
        <f t="shared" si="13"/>
        <v>else if (document.getElementById("").checked==true) {Mobile phone="";}</v>
      </c>
      <c r="AX35" s="17" t="str">
        <f t="shared" si="47"/>
        <v/>
      </c>
      <c r="AY35" s="52" t="str">
        <f t="shared" si="14"/>
        <v/>
      </c>
      <c r="AZ35" s="56" t="str">
        <f t="shared" si="15"/>
        <v>&lt;br/&gt;&lt;textarea rows="2" cols="80" id=""&gt;&lt;/textarea&gt;&lt;br/&gt;</v>
      </c>
      <c r="BA35" s="54" t="str">
        <f t="shared" si="16"/>
        <v>&lt;input type="text"  size="7"  id="" class="datepicker"/&gt;</v>
      </c>
      <c r="BB35" s="54" t="str">
        <f t="shared" si="48"/>
        <v/>
      </c>
      <c r="BC35" s="48" t="str">
        <f t="shared" si="49"/>
        <v/>
      </c>
      <c r="BD35" s="49" t="str">
        <f t="shared" si="50"/>
        <v/>
      </c>
      <c r="BE35" s="49">
        <f t="shared" si="55"/>
        <v>7</v>
      </c>
      <c r="BF35" s="55" t="str">
        <f t="shared" si="31"/>
        <v/>
      </c>
      <c r="BG35" s="6" t="str">
        <f t="shared" si="17"/>
        <v/>
      </c>
      <c r="BH35" s="17" t="str">
        <f t="shared" si="51"/>
        <v/>
      </c>
      <c r="BI35" s="17" t="str">
        <f t="shared" si="32"/>
        <v/>
      </c>
      <c r="BJ35" s="17">
        <f t="shared" si="33"/>
        <v>0</v>
      </c>
      <c r="BK35" s="17">
        <f t="shared" si="34"/>
        <v>1</v>
      </c>
      <c r="BL35" s="17" t="str">
        <f t="shared" si="56"/>
        <v/>
      </c>
      <c r="BO35" s="17" t="str">
        <f t="shared" si="52"/>
        <v/>
      </c>
      <c r="BP35" s="17" t="str">
        <f t="shared" si="18"/>
        <v/>
      </c>
      <c r="BQ35" s="17" t="str">
        <f t="shared" si="35"/>
        <v/>
      </c>
      <c r="BR35" s="17" t="str">
        <f t="shared" si="36"/>
        <v/>
      </c>
      <c r="BS35" s="17" t="str">
        <f t="shared" si="53"/>
        <v/>
      </c>
      <c r="BT35" s="17" t="str">
        <f t="shared" si="37"/>
        <v/>
      </c>
      <c r="BU35" s="17" t="str">
        <f t="shared" si="38"/>
        <v/>
      </c>
      <c r="BV35" s="17" t="str">
        <f t="shared" si="39"/>
        <v/>
      </c>
      <c r="BW35" s="17" t="str">
        <f t="shared" si="40"/>
        <v/>
      </c>
      <c r="BX35" s="17" t="str">
        <f t="shared" si="19"/>
        <v/>
      </c>
      <c r="BY35" s="17" t="str">
        <f t="shared" si="54"/>
        <v/>
      </c>
      <c r="BZ35" s="61" t="str">
        <f t="shared" si="41"/>
        <v/>
      </c>
      <c r="CA35" s="17" t="str">
        <f t="shared" si="20"/>
        <v/>
      </c>
      <c r="CB35" s="17" t="str">
        <f t="shared" si="21"/>
        <v/>
      </c>
      <c r="CC35" s="17" t="str">
        <f t="shared" si="42"/>
        <v/>
      </c>
      <c r="CD35" s="17" t="str">
        <f t="shared" si="22"/>
        <v/>
      </c>
      <c r="CE35" s="17" t="str">
        <f t="shared" si="23"/>
        <v/>
      </c>
      <c r="CF35" s="17" t="str">
        <f t="shared" si="43"/>
        <v/>
      </c>
      <c r="CG35" s="17" t="str">
        <f t="shared" si="44"/>
        <v/>
      </c>
    </row>
    <row r="36" spans="2:85" s="17" customFormat="1">
      <c r="B36" s="35"/>
      <c r="C36" s="35"/>
      <c r="D36" s="36"/>
      <c r="E36" s="89" t="str">
        <f t="shared" si="24"/>
        <v/>
      </c>
      <c r="F36" s="35"/>
      <c r="G36" s="35"/>
      <c r="H36" s="35"/>
      <c r="I36" s="59"/>
      <c r="AA36" s="47" t="s">
        <v>215</v>
      </c>
      <c r="AB36" s="17" t="str">
        <f t="shared" si="0"/>
        <v/>
      </c>
      <c r="AC36" s="17">
        <f t="shared" si="25"/>
        <v>0</v>
      </c>
      <c r="AD36" s="17">
        <f t="shared" si="45"/>
        <v>6</v>
      </c>
      <c r="AE36" s="17" t="str">
        <f t="shared" si="1"/>
        <v/>
      </c>
      <c r="AF36" s="17">
        <f t="shared" si="26"/>
        <v>0</v>
      </c>
      <c r="AG36" s="17">
        <f t="shared" si="27"/>
        <v>6</v>
      </c>
      <c r="AH36" s="17" t="str">
        <f t="shared" si="28"/>
        <v/>
      </c>
      <c r="AI36" s="17" t="str">
        <f t="shared" si="2"/>
        <v/>
      </c>
      <c r="AJ36" s="17" t="str">
        <f t="shared" si="29"/>
        <v/>
      </c>
      <c r="AK36" s="17" t="str">
        <f t="shared" si="3"/>
        <v>if () {$("#adv_").html("Requierd");$("#").css({"background":"yellow"});} else {$("#adv_").html("");$("#").css({"background":"white"});}</v>
      </c>
      <c r="AL36" s="17" t="str">
        <f t="shared" si="4"/>
        <v>if (=="") {$("#adv_").html("Requierd");} else {$("#adv_").html("");}</v>
      </c>
      <c r="AM36" s="50" t="str">
        <f t="shared" si="5"/>
        <v/>
      </c>
      <c r="AN36" s="51" t="str">
        <f t="shared" si="6"/>
        <v>=$("#").val();</v>
      </c>
      <c r="AO36" s="51" t="str">
        <f t="shared" si="30"/>
        <v/>
      </c>
      <c r="AP36" s="50" t="str">
        <f t="shared" si="7"/>
        <v>&lt;input type="checkbox" id="" name="" value="1" /&gt;</v>
      </c>
      <c r="AQ36" s="51" t="str">
        <f t="shared" si="8"/>
        <v>=document.getElementById("").checked;</v>
      </c>
      <c r="AR36" s="52" t="str">
        <f t="shared" si="9"/>
        <v>if (isset($_GET[''])) {$=($_GET['']);}else $='';</v>
      </c>
      <c r="AS36" s="17" t="str">
        <f t="shared" si="10"/>
        <v>Mobile phone</v>
      </c>
      <c r="AT36" s="17" t="str">
        <f t="shared" si="46"/>
        <v/>
      </c>
      <c r="AU36" s="50" t="str">
        <f t="shared" si="11"/>
        <v>&lt;input type="radio" name="Mobile phone" id="" value="" /&gt;</v>
      </c>
      <c r="AV36" s="15" t="str">
        <f t="shared" si="12"/>
        <v>else if (document.getElementById("</v>
      </c>
      <c r="AW36" s="51" t="str">
        <f t="shared" si="13"/>
        <v>else if (document.getElementById("").checked==true) {Mobile phone="";}</v>
      </c>
      <c r="AX36" s="17" t="str">
        <f t="shared" si="47"/>
        <v/>
      </c>
      <c r="AY36" s="52" t="str">
        <f t="shared" si="14"/>
        <v/>
      </c>
      <c r="AZ36" s="56" t="str">
        <f t="shared" si="15"/>
        <v>&lt;br/&gt;&lt;textarea rows="2" cols="80" id=""&gt;&lt;/textarea&gt;&lt;br/&gt;</v>
      </c>
      <c r="BA36" s="54" t="str">
        <f t="shared" si="16"/>
        <v>&lt;input type="text"  size="7"  id="" class="datepicker"/&gt;</v>
      </c>
      <c r="BB36" s="54" t="str">
        <f t="shared" si="48"/>
        <v/>
      </c>
      <c r="BC36" s="48" t="str">
        <f t="shared" si="49"/>
        <v/>
      </c>
      <c r="BD36" s="49" t="str">
        <f t="shared" si="50"/>
        <v/>
      </c>
      <c r="BE36" s="49">
        <f t="shared" si="55"/>
        <v>7</v>
      </c>
      <c r="BF36" s="55" t="str">
        <f t="shared" si="31"/>
        <v/>
      </c>
      <c r="BG36" s="6" t="str">
        <f t="shared" si="17"/>
        <v/>
      </c>
      <c r="BH36" s="17" t="str">
        <f t="shared" si="51"/>
        <v/>
      </c>
      <c r="BI36" s="17" t="str">
        <f t="shared" si="32"/>
        <v/>
      </c>
      <c r="BJ36" s="17">
        <f t="shared" si="33"/>
        <v>0</v>
      </c>
      <c r="BK36" s="17">
        <f t="shared" si="34"/>
        <v>1</v>
      </c>
      <c r="BL36" s="17" t="str">
        <f t="shared" si="56"/>
        <v/>
      </c>
      <c r="BO36" s="17" t="str">
        <f t="shared" si="52"/>
        <v/>
      </c>
      <c r="BP36" s="17" t="str">
        <f t="shared" si="18"/>
        <v/>
      </c>
      <c r="BQ36" s="17" t="str">
        <f t="shared" si="35"/>
        <v/>
      </c>
      <c r="BR36" s="17" t="str">
        <f t="shared" si="36"/>
        <v/>
      </c>
      <c r="BS36" s="17" t="str">
        <f t="shared" si="53"/>
        <v/>
      </c>
      <c r="BT36" s="17" t="str">
        <f t="shared" si="37"/>
        <v/>
      </c>
      <c r="BU36" s="17" t="str">
        <f t="shared" si="38"/>
        <v/>
      </c>
      <c r="BV36" s="17" t="str">
        <f t="shared" si="39"/>
        <v/>
      </c>
      <c r="BW36" s="17" t="str">
        <f t="shared" si="40"/>
        <v/>
      </c>
      <c r="BX36" s="17" t="str">
        <f t="shared" si="19"/>
        <v/>
      </c>
      <c r="BY36" s="17" t="str">
        <f t="shared" si="54"/>
        <v/>
      </c>
      <c r="BZ36" s="61" t="str">
        <f t="shared" si="41"/>
        <v/>
      </c>
      <c r="CA36" s="17" t="str">
        <f t="shared" si="20"/>
        <v/>
      </c>
      <c r="CB36" s="17" t="str">
        <f t="shared" si="21"/>
        <v/>
      </c>
      <c r="CC36" s="17" t="str">
        <f t="shared" si="42"/>
        <v/>
      </c>
      <c r="CD36" s="17" t="str">
        <f t="shared" si="22"/>
        <v/>
      </c>
      <c r="CE36" s="17" t="str">
        <f t="shared" si="23"/>
        <v/>
      </c>
      <c r="CF36" s="17" t="str">
        <f t="shared" si="43"/>
        <v/>
      </c>
      <c r="CG36" s="17" t="str">
        <f t="shared" si="44"/>
        <v/>
      </c>
    </row>
    <row r="37" spans="2:85" s="17" customFormat="1">
      <c r="B37" s="35"/>
      <c r="C37" s="35"/>
      <c r="D37" s="36"/>
      <c r="E37" s="89" t="str">
        <f t="shared" si="24"/>
        <v/>
      </c>
      <c r="F37" s="35"/>
      <c r="G37" s="35"/>
      <c r="H37" s="35"/>
      <c r="I37" s="59"/>
      <c r="AA37" s="47" t="s">
        <v>216</v>
      </c>
      <c r="AB37" s="17" t="str">
        <f t="shared" si="0"/>
        <v/>
      </c>
      <c r="AC37" s="17">
        <f t="shared" si="25"/>
        <v>0</v>
      </c>
      <c r="AD37" s="17">
        <f t="shared" si="45"/>
        <v>6</v>
      </c>
      <c r="AE37" s="17" t="str">
        <f t="shared" si="1"/>
        <v/>
      </c>
      <c r="AF37" s="17">
        <f t="shared" si="26"/>
        <v>0</v>
      </c>
      <c r="AG37" s="17">
        <f t="shared" si="27"/>
        <v>6</v>
      </c>
      <c r="AH37" s="17" t="str">
        <f t="shared" si="28"/>
        <v/>
      </c>
      <c r="AI37" s="17" t="str">
        <f t="shared" si="2"/>
        <v/>
      </c>
      <c r="AJ37" s="17" t="str">
        <f t="shared" si="29"/>
        <v/>
      </c>
      <c r="AK37" s="17" t="str">
        <f t="shared" si="3"/>
        <v>if () {$("#adv_").html("Requierd");$("#").css({"background":"yellow"});} else {$("#adv_").html("");$("#").css({"background":"white"});}</v>
      </c>
      <c r="AL37" s="17" t="str">
        <f t="shared" si="4"/>
        <v>if (=="") {$("#adv_").html("Requierd");} else {$("#adv_").html("");}</v>
      </c>
      <c r="AM37" s="50" t="str">
        <f t="shared" si="5"/>
        <v/>
      </c>
      <c r="AN37" s="51" t="str">
        <f t="shared" si="6"/>
        <v>=$("#").val();</v>
      </c>
      <c r="AO37" s="51" t="str">
        <f t="shared" si="30"/>
        <v/>
      </c>
      <c r="AP37" s="50" t="str">
        <f t="shared" si="7"/>
        <v>&lt;input type="checkbox" id="" name="" value="1" /&gt;</v>
      </c>
      <c r="AQ37" s="51" t="str">
        <f t="shared" si="8"/>
        <v>=document.getElementById("").checked;</v>
      </c>
      <c r="AR37" s="52" t="str">
        <f t="shared" si="9"/>
        <v>if (isset($_GET[''])) {$=($_GET['']);}else $='';</v>
      </c>
      <c r="AS37" s="17" t="str">
        <f t="shared" si="10"/>
        <v>Mobile phone</v>
      </c>
      <c r="AT37" s="17" t="str">
        <f t="shared" si="46"/>
        <v/>
      </c>
      <c r="AU37" s="50" t="str">
        <f t="shared" si="11"/>
        <v>&lt;input type="radio" name="Mobile phone" id="" value="" /&gt;</v>
      </c>
      <c r="AV37" s="15" t="str">
        <f t="shared" si="12"/>
        <v>else if (document.getElementById("</v>
      </c>
      <c r="AW37" s="51" t="str">
        <f t="shared" si="13"/>
        <v>else if (document.getElementById("").checked==true) {Mobile phone="";}</v>
      </c>
      <c r="AX37" s="17" t="str">
        <f t="shared" si="47"/>
        <v/>
      </c>
      <c r="AY37" s="52" t="str">
        <f t="shared" si="14"/>
        <v/>
      </c>
      <c r="AZ37" s="56" t="str">
        <f t="shared" si="15"/>
        <v>&lt;br/&gt;&lt;textarea rows="2" cols="80" id=""&gt;&lt;/textarea&gt;&lt;br/&gt;</v>
      </c>
      <c r="BA37" s="54" t="str">
        <f t="shared" si="16"/>
        <v>&lt;input type="text"  size="7"  id="" class="datepicker"/&gt;</v>
      </c>
      <c r="BB37" s="54" t="str">
        <f t="shared" si="48"/>
        <v/>
      </c>
      <c r="BC37" s="48" t="str">
        <f t="shared" si="49"/>
        <v/>
      </c>
      <c r="BD37" s="49" t="str">
        <f t="shared" si="50"/>
        <v/>
      </c>
      <c r="BE37" s="49">
        <f t="shared" si="55"/>
        <v>7</v>
      </c>
      <c r="BF37" s="55" t="str">
        <f t="shared" si="31"/>
        <v/>
      </c>
      <c r="BG37" s="6" t="str">
        <f t="shared" si="17"/>
        <v/>
      </c>
      <c r="BH37" s="17" t="str">
        <f t="shared" si="51"/>
        <v/>
      </c>
      <c r="BI37" s="17" t="str">
        <f t="shared" si="32"/>
        <v/>
      </c>
      <c r="BJ37" s="17">
        <f t="shared" si="33"/>
        <v>0</v>
      </c>
      <c r="BK37" s="17">
        <f t="shared" si="34"/>
        <v>1</v>
      </c>
      <c r="BL37" s="17" t="str">
        <f t="shared" si="56"/>
        <v/>
      </c>
      <c r="BO37" s="17" t="str">
        <f t="shared" si="52"/>
        <v/>
      </c>
      <c r="BP37" s="17" t="str">
        <f t="shared" si="18"/>
        <v/>
      </c>
      <c r="BQ37" s="17" t="str">
        <f t="shared" si="35"/>
        <v/>
      </c>
      <c r="BR37" s="17" t="str">
        <f t="shared" si="36"/>
        <v/>
      </c>
      <c r="BS37" s="17" t="str">
        <f t="shared" si="53"/>
        <v/>
      </c>
      <c r="BT37" s="17" t="str">
        <f t="shared" si="37"/>
        <v/>
      </c>
      <c r="BU37" s="17" t="str">
        <f t="shared" si="38"/>
        <v/>
      </c>
      <c r="BV37" s="17" t="str">
        <f t="shared" si="39"/>
        <v/>
      </c>
      <c r="BW37" s="17" t="str">
        <f t="shared" si="40"/>
        <v/>
      </c>
      <c r="BX37" s="17" t="str">
        <f t="shared" si="19"/>
        <v/>
      </c>
      <c r="BY37" s="17" t="str">
        <f t="shared" si="54"/>
        <v/>
      </c>
      <c r="BZ37" s="61" t="str">
        <f t="shared" si="41"/>
        <v/>
      </c>
      <c r="CA37" s="17" t="str">
        <f t="shared" si="20"/>
        <v/>
      </c>
      <c r="CB37" s="17" t="str">
        <f t="shared" si="21"/>
        <v/>
      </c>
      <c r="CC37" s="17" t="str">
        <f t="shared" si="42"/>
        <v/>
      </c>
      <c r="CD37" s="17" t="str">
        <f t="shared" si="22"/>
        <v/>
      </c>
      <c r="CE37" s="17" t="str">
        <f t="shared" si="23"/>
        <v/>
      </c>
      <c r="CF37" s="17" t="str">
        <f t="shared" si="43"/>
        <v/>
      </c>
      <c r="CG37" s="17" t="str">
        <f t="shared" si="44"/>
        <v/>
      </c>
    </row>
    <row r="38" spans="2:85" s="17" customFormat="1">
      <c r="B38" s="35"/>
      <c r="C38" s="35"/>
      <c r="D38" s="36"/>
      <c r="E38" s="89" t="str">
        <f t="shared" si="24"/>
        <v/>
      </c>
      <c r="F38" s="35"/>
      <c r="G38" s="35"/>
      <c r="H38" s="35"/>
      <c r="I38" s="59"/>
      <c r="AA38" s="47" t="s">
        <v>217</v>
      </c>
      <c r="AB38" s="17" t="str">
        <f t="shared" si="0"/>
        <v/>
      </c>
      <c r="AC38" s="17">
        <f t="shared" si="25"/>
        <v>0</v>
      </c>
      <c r="AD38" s="17">
        <f t="shared" si="45"/>
        <v>6</v>
      </c>
      <c r="AE38" s="17" t="str">
        <f t="shared" si="1"/>
        <v/>
      </c>
      <c r="AF38" s="17">
        <f t="shared" si="26"/>
        <v>0</v>
      </c>
      <c r="AG38" s="17">
        <f t="shared" si="27"/>
        <v>6</v>
      </c>
      <c r="AH38" s="17" t="str">
        <f t="shared" si="28"/>
        <v/>
      </c>
      <c r="AI38" s="17" t="str">
        <f t="shared" si="2"/>
        <v/>
      </c>
      <c r="AJ38" s="17" t="str">
        <f t="shared" si="29"/>
        <v/>
      </c>
      <c r="AK38" s="17" t="str">
        <f t="shared" si="3"/>
        <v>if () {$("#adv_").html("Requierd");$("#").css({"background":"yellow"});} else {$("#adv_").html("");$("#").css({"background":"white"});}</v>
      </c>
      <c r="AL38" s="17" t="str">
        <f t="shared" si="4"/>
        <v>if (=="") {$("#adv_").html("Requierd");} else {$("#adv_").html("");}</v>
      </c>
      <c r="AM38" s="50" t="str">
        <f t="shared" si="5"/>
        <v/>
      </c>
      <c r="AN38" s="51" t="str">
        <f t="shared" si="6"/>
        <v>=$("#").val();</v>
      </c>
      <c r="AO38" s="51" t="str">
        <f t="shared" si="30"/>
        <v/>
      </c>
      <c r="AP38" s="50" t="str">
        <f t="shared" si="7"/>
        <v>&lt;input type="checkbox" id="" name="" value="1" /&gt;</v>
      </c>
      <c r="AQ38" s="51" t="str">
        <f t="shared" si="8"/>
        <v>=document.getElementById("").checked;</v>
      </c>
      <c r="AR38" s="52" t="str">
        <f t="shared" si="9"/>
        <v>if (isset($_GET[''])) {$=($_GET['']);}else $='';</v>
      </c>
      <c r="AS38" s="17" t="str">
        <f t="shared" si="10"/>
        <v>Mobile phone</v>
      </c>
      <c r="AT38" s="17" t="str">
        <f t="shared" si="46"/>
        <v/>
      </c>
      <c r="AU38" s="50" t="str">
        <f t="shared" si="11"/>
        <v>&lt;input type="radio" name="Mobile phone" id="" value="" /&gt;</v>
      </c>
      <c r="AV38" s="15" t="str">
        <f t="shared" si="12"/>
        <v>else if (document.getElementById("</v>
      </c>
      <c r="AW38" s="51" t="str">
        <f t="shared" si="13"/>
        <v>else if (document.getElementById("").checked==true) {Mobile phone="";}</v>
      </c>
      <c r="AX38" s="17" t="str">
        <f t="shared" si="47"/>
        <v/>
      </c>
      <c r="AY38" s="52" t="str">
        <f t="shared" si="14"/>
        <v/>
      </c>
      <c r="AZ38" s="56" t="str">
        <f t="shared" si="15"/>
        <v>&lt;br/&gt;&lt;textarea rows="2" cols="80" id=""&gt;&lt;/textarea&gt;&lt;br/&gt;</v>
      </c>
      <c r="BA38" s="54" t="str">
        <f t="shared" si="16"/>
        <v>&lt;input type="text"  size="7"  id="" class="datepicker"/&gt;</v>
      </c>
      <c r="BB38" s="54" t="str">
        <f t="shared" si="48"/>
        <v/>
      </c>
      <c r="BC38" s="48" t="str">
        <f t="shared" si="49"/>
        <v/>
      </c>
      <c r="BD38" s="49" t="str">
        <f t="shared" si="50"/>
        <v/>
      </c>
      <c r="BE38" s="49">
        <f t="shared" si="55"/>
        <v>7</v>
      </c>
      <c r="BF38" s="55" t="str">
        <f t="shared" si="31"/>
        <v/>
      </c>
      <c r="BG38" s="6" t="str">
        <f t="shared" si="17"/>
        <v/>
      </c>
      <c r="BH38" s="17" t="str">
        <f t="shared" si="51"/>
        <v/>
      </c>
      <c r="BI38" s="17" t="str">
        <f t="shared" si="32"/>
        <v/>
      </c>
      <c r="BJ38" s="17">
        <f t="shared" si="33"/>
        <v>0</v>
      </c>
      <c r="BK38" s="17">
        <f t="shared" si="34"/>
        <v>1</v>
      </c>
      <c r="BL38" s="17" t="str">
        <f t="shared" si="56"/>
        <v/>
      </c>
      <c r="BO38" s="17" t="str">
        <f t="shared" si="52"/>
        <v/>
      </c>
      <c r="BP38" s="17" t="str">
        <f t="shared" si="18"/>
        <v/>
      </c>
      <c r="BQ38" s="17" t="str">
        <f t="shared" si="35"/>
        <v/>
      </c>
      <c r="BR38" s="17" t="str">
        <f t="shared" si="36"/>
        <v/>
      </c>
      <c r="BS38" s="17" t="str">
        <f t="shared" si="53"/>
        <v/>
      </c>
      <c r="BT38" s="17" t="str">
        <f t="shared" si="37"/>
        <v/>
      </c>
      <c r="BU38" s="17" t="str">
        <f t="shared" si="38"/>
        <v/>
      </c>
      <c r="BV38" s="17" t="str">
        <f t="shared" si="39"/>
        <v/>
      </c>
      <c r="BW38" s="17" t="str">
        <f t="shared" si="40"/>
        <v/>
      </c>
      <c r="BX38" s="17" t="str">
        <f t="shared" si="19"/>
        <v/>
      </c>
      <c r="BY38" s="17" t="str">
        <f t="shared" si="54"/>
        <v/>
      </c>
      <c r="BZ38" s="61" t="str">
        <f t="shared" si="41"/>
        <v/>
      </c>
      <c r="CA38" s="17" t="str">
        <f t="shared" si="20"/>
        <v/>
      </c>
      <c r="CB38" s="17" t="str">
        <f t="shared" si="21"/>
        <v/>
      </c>
      <c r="CC38" s="17" t="str">
        <f t="shared" si="42"/>
        <v/>
      </c>
      <c r="CD38" s="17" t="str">
        <f t="shared" si="22"/>
        <v/>
      </c>
      <c r="CE38" s="17" t="str">
        <f t="shared" si="23"/>
        <v/>
      </c>
      <c r="CF38" s="17" t="str">
        <f t="shared" si="43"/>
        <v/>
      </c>
      <c r="CG38" s="17" t="str">
        <f t="shared" si="44"/>
        <v/>
      </c>
    </row>
    <row r="39" spans="2:85" s="17" customFormat="1">
      <c r="B39" s="35"/>
      <c r="C39" s="35"/>
      <c r="D39" s="36"/>
      <c r="E39" s="89" t="str">
        <f t="shared" si="24"/>
        <v/>
      </c>
      <c r="F39" s="35"/>
      <c r="G39" s="35"/>
      <c r="H39" s="35"/>
      <c r="I39" s="59"/>
      <c r="AA39" s="47" t="s">
        <v>218</v>
      </c>
      <c r="AB39" s="17" t="str">
        <f t="shared" si="0"/>
        <v/>
      </c>
      <c r="AC39" s="17">
        <f t="shared" si="25"/>
        <v>0</v>
      </c>
      <c r="AD39" s="17">
        <f t="shared" si="45"/>
        <v>6</v>
      </c>
      <c r="AE39" s="17" t="str">
        <f t="shared" si="1"/>
        <v/>
      </c>
      <c r="AF39" s="17">
        <f t="shared" si="26"/>
        <v>0</v>
      </c>
      <c r="AG39" s="17">
        <f t="shared" si="27"/>
        <v>6</v>
      </c>
      <c r="AH39" s="17" t="str">
        <f t="shared" si="28"/>
        <v/>
      </c>
      <c r="AI39" s="17" t="str">
        <f t="shared" si="2"/>
        <v/>
      </c>
      <c r="AJ39" s="17" t="str">
        <f t="shared" si="29"/>
        <v/>
      </c>
      <c r="AK39" s="17" t="str">
        <f t="shared" si="3"/>
        <v>if () {$("#adv_").html("Requierd");$("#").css({"background":"yellow"});} else {$("#adv_").html("");$("#").css({"background":"white"});}</v>
      </c>
      <c r="AL39" s="17" t="str">
        <f t="shared" si="4"/>
        <v>if (=="") {$("#adv_").html("Requierd");} else {$("#adv_").html("");}</v>
      </c>
      <c r="AM39" s="50" t="str">
        <f t="shared" si="5"/>
        <v/>
      </c>
      <c r="AN39" s="51" t="str">
        <f t="shared" si="6"/>
        <v>=$("#").val();</v>
      </c>
      <c r="AO39" s="51" t="str">
        <f t="shared" si="30"/>
        <v/>
      </c>
      <c r="AP39" s="50" t="str">
        <f t="shared" si="7"/>
        <v>&lt;input type="checkbox" id="" name="" value="1" /&gt;</v>
      </c>
      <c r="AQ39" s="51" t="str">
        <f t="shared" si="8"/>
        <v>=document.getElementById("").checked;</v>
      </c>
      <c r="AR39" s="52" t="str">
        <f t="shared" si="9"/>
        <v>if (isset($_GET[''])) {$=($_GET['']);}else $='';</v>
      </c>
      <c r="AS39" s="17" t="str">
        <f t="shared" si="10"/>
        <v>Mobile phone</v>
      </c>
      <c r="AT39" s="17" t="str">
        <f t="shared" si="46"/>
        <v/>
      </c>
      <c r="AU39" s="50" t="str">
        <f t="shared" si="11"/>
        <v>&lt;input type="radio" name="Mobile phone" id="" value="" /&gt;</v>
      </c>
      <c r="AV39" s="15" t="str">
        <f t="shared" si="12"/>
        <v>else if (document.getElementById("</v>
      </c>
      <c r="AW39" s="51" t="str">
        <f t="shared" si="13"/>
        <v>else if (document.getElementById("").checked==true) {Mobile phone="";}</v>
      </c>
      <c r="AX39" s="17" t="str">
        <f t="shared" si="47"/>
        <v/>
      </c>
      <c r="AY39" s="52" t="str">
        <f t="shared" si="14"/>
        <v/>
      </c>
      <c r="AZ39" s="56" t="str">
        <f t="shared" si="15"/>
        <v>&lt;br/&gt;&lt;textarea rows="2" cols="80" id=""&gt;&lt;/textarea&gt;&lt;br/&gt;</v>
      </c>
      <c r="BA39" s="54" t="str">
        <f t="shared" si="16"/>
        <v>&lt;input type="text"  size="7"  id="" class="datepicker"/&gt;</v>
      </c>
      <c r="BB39" s="54" t="str">
        <f t="shared" si="48"/>
        <v/>
      </c>
      <c r="BC39" s="48" t="str">
        <f t="shared" si="49"/>
        <v/>
      </c>
      <c r="BD39" s="49" t="str">
        <f t="shared" si="50"/>
        <v/>
      </c>
      <c r="BE39" s="49">
        <f t="shared" si="55"/>
        <v>7</v>
      </c>
      <c r="BF39" s="55" t="str">
        <f t="shared" si="31"/>
        <v/>
      </c>
      <c r="BG39" s="6" t="str">
        <f t="shared" si="17"/>
        <v/>
      </c>
      <c r="BH39" s="17" t="str">
        <f t="shared" si="51"/>
        <v/>
      </c>
      <c r="BI39" s="17" t="str">
        <f t="shared" si="32"/>
        <v/>
      </c>
      <c r="BJ39" s="17">
        <f t="shared" si="33"/>
        <v>0</v>
      </c>
      <c r="BK39" s="17">
        <f t="shared" si="34"/>
        <v>1</v>
      </c>
      <c r="BL39" s="17" t="str">
        <f t="shared" si="56"/>
        <v/>
      </c>
      <c r="BO39" s="17" t="str">
        <f t="shared" si="52"/>
        <v/>
      </c>
      <c r="BP39" s="17" t="str">
        <f t="shared" si="18"/>
        <v/>
      </c>
      <c r="BQ39" s="17" t="str">
        <f t="shared" si="35"/>
        <v/>
      </c>
      <c r="BR39" s="17" t="str">
        <f t="shared" si="36"/>
        <v/>
      </c>
      <c r="BS39" s="17" t="str">
        <f t="shared" si="53"/>
        <v/>
      </c>
      <c r="BT39" s="17" t="str">
        <f t="shared" si="37"/>
        <v/>
      </c>
      <c r="BU39" s="17" t="str">
        <f t="shared" si="38"/>
        <v/>
      </c>
      <c r="BV39" s="17" t="str">
        <f t="shared" si="39"/>
        <v/>
      </c>
      <c r="BW39" s="17" t="str">
        <f t="shared" si="40"/>
        <v/>
      </c>
      <c r="BX39" s="17" t="str">
        <f t="shared" si="19"/>
        <v/>
      </c>
      <c r="BY39" s="17" t="str">
        <f t="shared" si="54"/>
        <v/>
      </c>
      <c r="BZ39" s="61" t="str">
        <f t="shared" si="41"/>
        <v/>
      </c>
      <c r="CA39" s="17" t="str">
        <f t="shared" si="20"/>
        <v/>
      </c>
      <c r="CB39" s="17" t="str">
        <f t="shared" si="21"/>
        <v/>
      </c>
      <c r="CC39" s="17" t="str">
        <f t="shared" si="42"/>
        <v/>
      </c>
      <c r="CD39" s="17" t="str">
        <f t="shared" si="22"/>
        <v/>
      </c>
      <c r="CE39" s="17" t="str">
        <f t="shared" si="23"/>
        <v/>
      </c>
      <c r="CF39" s="17" t="str">
        <f t="shared" si="43"/>
        <v/>
      </c>
      <c r="CG39" s="17" t="str">
        <f t="shared" si="44"/>
        <v/>
      </c>
    </row>
    <row r="40" spans="2:85" s="17" customFormat="1">
      <c r="B40" s="35"/>
      <c r="C40" s="35"/>
      <c r="D40" s="36"/>
      <c r="E40" s="89" t="str">
        <f t="shared" si="24"/>
        <v/>
      </c>
      <c r="F40" s="35"/>
      <c r="G40" s="35"/>
      <c r="H40" s="35"/>
      <c r="I40" s="59"/>
      <c r="AA40" s="47" t="s">
        <v>219</v>
      </c>
      <c r="AB40" s="17" t="str">
        <f t="shared" si="0"/>
        <v/>
      </c>
      <c r="AC40" s="17">
        <f t="shared" si="25"/>
        <v>0</v>
      </c>
      <c r="AD40" s="17">
        <f t="shared" si="45"/>
        <v>6</v>
      </c>
      <c r="AE40" s="17" t="str">
        <f t="shared" si="1"/>
        <v/>
      </c>
      <c r="AF40" s="17">
        <f t="shared" si="26"/>
        <v>0</v>
      </c>
      <c r="AG40" s="17">
        <f t="shared" si="27"/>
        <v>6</v>
      </c>
      <c r="AH40" s="17" t="str">
        <f t="shared" si="28"/>
        <v/>
      </c>
      <c r="AI40" s="17" t="str">
        <f t="shared" si="2"/>
        <v/>
      </c>
      <c r="AJ40" s="17" t="str">
        <f t="shared" si="29"/>
        <v/>
      </c>
      <c r="AK40" s="17" t="str">
        <f t="shared" si="3"/>
        <v>if () {$("#adv_").html("Requierd");$("#").css({"background":"yellow"});} else {$("#adv_").html("");$("#").css({"background":"white"});}</v>
      </c>
      <c r="AL40" s="17" t="str">
        <f t="shared" si="4"/>
        <v>if (=="") {$("#adv_").html("Requierd");} else {$("#adv_").html("");}</v>
      </c>
      <c r="AM40" s="50" t="str">
        <f t="shared" si="5"/>
        <v/>
      </c>
      <c r="AN40" s="51" t="str">
        <f t="shared" si="6"/>
        <v>=$("#").val();</v>
      </c>
      <c r="AO40" s="51" t="str">
        <f t="shared" si="30"/>
        <v/>
      </c>
      <c r="AP40" s="50" t="str">
        <f t="shared" si="7"/>
        <v>&lt;input type="checkbox" id="" name="" value="1" /&gt;</v>
      </c>
      <c r="AQ40" s="51" t="str">
        <f t="shared" si="8"/>
        <v>=document.getElementById("").checked;</v>
      </c>
      <c r="AR40" s="52" t="str">
        <f t="shared" si="9"/>
        <v>if (isset($_GET[''])) {$=($_GET['']);}else $='';</v>
      </c>
      <c r="AS40" s="17" t="str">
        <f t="shared" si="10"/>
        <v>Mobile phone</v>
      </c>
      <c r="AT40" s="17" t="str">
        <f t="shared" si="46"/>
        <v/>
      </c>
      <c r="AU40" s="50" t="str">
        <f t="shared" si="11"/>
        <v>&lt;input type="radio" name="Mobile phone" id="" value="" /&gt;</v>
      </c>
      <c r="AV40" s="15" t="str">
        <f t="shared" si="12"/>
        <v>else if (document.getElementById("</v>
      </c>
      <c r="AW40" s="51" t="str">
        <f t="shared" si="13"/>
        <v>else if (document.getElementById("").checked==true) {Mobile phone="";}</v>
      </c>
      <c r="AX40" s="17" t="str">
        <f t="shared" si="47"/>
        <v/>
      </c>
      <c r="AY40" s="52" t="str">
        <f t="shared" si="14"/>
        <v/>
      </c>
      <c r="AZ40" s="56" t="str">
        <f t="shared" si="15"/>
        <v>&lt;br/&gt;&lt;textarea rows="2" cols="80" id=""&gt;&lt;/textarea&gt;&lt;br/&gt;</v>
      </c>
      <c r="BA40" s="54" t="str">
        <f t="shared" si="16"/>
        <v>&lt;input type="text"  size="7"  id="" class="datepicker"/&gt;</v>
      </c>
      <c r="BB40" s="54" t="str">
        <f t="shared" si="48"/>
        <v/>
      </c>
      <c r="BC40" s="48" t="str">
        <f t="shared" si="49"/>
        <v/>
      </c>
      <c r="BD40" s="49" t="str">
        <f t="shared" si="50"/>
        <v/>
      </c>
      <c r="BE40" s="49">
        <f t="shared" si="55"/>
        <v>7</v>
      </c>
      <c r="BF40" s="55" t="str">
        <f t="shared" si="31"/>
        <v/>
      </c>
      <c r="BG40" s="6" t="str">
        <f t="shared" si="17"/>
        <v/>
      </c>
      <c r="BH40" s="17" t="str">
        <f t="shared" si="51"/>
        <v/>
      </c>
      <c r="BI40" s="17" t="str">
        <f t="shared" si="32"/>
        <v/>
      </c>
      <c r="BJ40" s="17">
        <f t="shared" si="33"/>
        <v>0</v>
      </c>
      <c r="BK40" s="17">
        <f t="shared" si="34"/>
        <v>1</v>
      </c>
      <c r="BL40" s="17" t="str">
        <f t="shared" si="56"/>
        <v/>
      </c>
      <c r="BO40" s="17" t="str">
        <f t="shared" si="52"/>
        <v/>
      </c>
      <c r="BP40" s="17" t="str">
        <f t="shared" si="18"/>
        <v/>
      </c>
      <c r="BQ40" s="17" t="str">
        <f t="shared" si="35"/>
        <v/>
      </c>
      <c r="BR40" s="17" t="str">
        <f t="shared" si="36"/>
        <v/>
      </c>
      <c r="BS40" s="17" t="str">
        <f t="shared" si="53"/>
        <v/>
      </c>
      <c r="BT40" s="17" t="str">
        <f t="shared" si="37"/>
        <v/>
      </c>
      <c r="BU40" s="17" t="str">
        <f t="shared" si="38"/>
        <v/>
      </c>
      <c r="BV40" s="17" t="str">
        <f t="shared" si="39"/>
        <v/>
      </c>
      <c r="BW40" s="17" t="str">
        <f t="shared" si="40"/>
        <v/>
      </c>
      <c r="BX40" s="17" t="str">
        <f t="shared" si="19"/>
        <v/>
      </c>
      <c r="BY40" s="17" t="str">
        <f t="shared" si="54"/>
        <v/>
      </c>
      <c r="BZ40" s="61" t="str">
        <f t="shared" si="41"/>
        <v/>
      </c>
      <c r="CA40" s="17" t="str">
        <f t="shared" si="20"/>
        <v/>
      </c>
      <c r="CB40" s="17" t="str">
        <f t="shared" si="21"/>
        <v/>
      </c>
      <c r="CC40" s="17" t="str">
        <f t="shared" si="42"/>
        <v/>
      </c>
      <c r="CD40" s="17" t="str">
        <f t="shared" si="22"/>
        <v/>
      </c>
      <c r="CE40" s="17" t="str">
        <f t="shared" si="23"/>
        <v/>
      </c>
      <c r="CF40" s="17" t="str">
        <f t="shared" si="43"/>
        <v/>
      </c>
      <c r="CG40" s="17" t="str">
        <f t="shared" si="44"/>
        <v/>
      </c>
    </row>
    <row r="41" spans="2:85" s="17" customFormat="1">
      <c r="B41" s="35"/>
      <c r="C41" s="35"/>
      <c r="D41" s="36"/>
      <c r="E41" s="89" t="str">
        <f t="shared" si="24"/>
        <v/>
      </c>
      <c r="F41" s="35"/>
      <c r="G41" s="35"/>
      <c r="H41" s="35"/>
      <c r="I41" s="59"/>
      <c r="AA41" s="47" t="s">
        <v>220</v>
      </c>
      <c r="AB41" s="17" t="str">
        <f t="shared" si="0"/>
        <v/>
      </c>
      <c r="AC41" s="17">
        <f t="shared" si="25"/>
        <v>0</v>
      </c>
      <c r="AD41" s="17">
        <f t="shared" si="45"/>
        <v>6</v>
      </c>
      <c r="AE41" s="17" t="str">
        <f t="shared" si="1"/>
        <v/>
      </c>
      <c r="AF41" s="17">
        <f t="shared" si="26"/>
        <v>0</v>
      </c>
      <c r="AG41" s="17">
        <f t="shared" si="27"/>
        <v>6</v>
      </c>
      <c r="AH41" s="17" t="str">
        <f t="shared" si="28"/>
        <v/>
      </c>
      <c r="AI41" s="17" t="str">
        <f t="shared" si="2"/>
        <v/>
      </c>
      <c r="AJ41" s="17" t="str">
        <f t="shared" si="29"/>
        <v/>
      </c>
      <c r="AK41" s="17" t="str">
        <f t="shared" si="3"/>
        <v>if () {$("#adv_").html("Requierd");$("#").css({"background":"yellow"});} else {$("#adv_").html("");$("#").css({"background":"white"});}</v>
      </c>
      <c r="AL41" s="17" t="str">
        <f t="shared" si="4"/>
        <v>if (=="") {$("#adv_").html("Requierd");} else {$("#adv_").html("");}</v>
      </c>
      <c r="AM41" s="50" t="str">
        <f t="shared" si="5"/>
        <v/>
      </c>
      <c r="AN41" s="51" t="str">
        <f t="shared" si="6"/>
        <v>=$("#").val();</v>
      </c>
      <c r="AO41" s="51" t="str">
        <f t="shared" si="30"/>
        <v/>
      </c>
      <c r="AP41" s="50" t="str">
        <f t="shared" si="7"/>
        <v>&lt;input type="checkbox" id="" name="" value="1" /&gt;</v>
      </c>
      <c r="AQ41" s="51" t="str">
        <f t="shared" si="8"/>
        <v>=document.getElementById("").checked;</v>
      </c>
      <c r="AR41" s="52" t="str">
        <f t="shared" si="9"/>
        <v>if (isset($_GET[''])) {$=($_GET['']);}else $='';</v>
      </c>
      <c r="AS41" s="17" t="str">
        <f t="shared" si="10"/>
        <v>Mobile phone</v>
      </c>
      <c r="AT41" s="17" t="str">
        <f t="shared" si="46"/>
        <v/>
      </c>
      <c r="AU41" s="50" t="str">
        <f t="shared" si="11"/>
        <v>&lt;input type="radio" name="Mobile phone" id="" value="" /&gt;</v>
      </c>
      <c r="AV41" s="15" t="str">
        <f t="shared" si="12"/>
        <v>else if (document.getElementById("</v>
      </c>
      <c r="AW41" s="51" t="str">
        <f t="shared" si="13"/>
        <v>else if (document.getElementById("").checked==true) {Mobile phone="";}</v>
      </c>
      <c r="AX41" s="17" t="str">
        <f t="shared" si="47"/>
        <v/>
      </c>
      <c r="AY41" s="52" t="str">
        <f t="shared" si="14"/>
        <v/>
      </c>
      <c r="AZ41" s="56" t="str">
        <f t="shared" si="15"/>
        <v>&lt;br/&gt;&lt;textarea rows="2" cols="80" id=""&gt;&lt;/textarea&gt;&lt;br/&gt;</v>
      </c>
      <c r="BA41" s="54" t="str">
        <f t="shared" si="16"/>
        <v>&lt;input type="text"  size="7"  id="" class="datepicker"/&gt;</v>
      </c>
      <c r="BB41" s="54" t="str">
        <f t="shared" si="48"/>
        <v/>
      </c>
      <c r="BC41" s="48" t="str">
        <f t="shared" si="49"/>
        <v/>
      </c>
      <c r="BD41" s="49" t="str">
        <f t="shared" si="50"/>
        <v/>
      </c>
      <c r="BE41" s="49">
        <f t="shared" si="55"/>
        <v>7</v>
      </c>
      <c r="BF41" s="55" t="str">
        <f t="shared" si="31"/>
        <v/>
      </c>
      <c r="BG41" s="6" t="str">
        <f t="shared" si="17"/>
        <v/>
      </c>
      <c r="BH41" s="17" t="str">
        <f t="shared" si="51"/>
        <v/>
      </c>
      <c r="BI41" s="17" t="str">
        <f t="shared" si="32"/>
        <v/>
      </c>
      <c r="BJ41" s="17">
        <f t="shared" si="33"/>
        <v>0</v>
      </c>
      <c r="BK41" s="17">
        <f t="shared" si="34"/>
        <v>1</v>
      </c>
      <c r="BL41" s="17" t="str">
        <f t="shared" si="56"/>
        <v/>
      </c>
      <c r="BO41" s="17" t="str">
        <f t="shared" si="52"/>
        <v/>
      </c>
      <c r="BP41" s="17" t="str">
        <f t="shared" si="18"/>
        <v/>
      </c>
      <c r="BQ41" s="17" t="str">
        <f t="shared" si="35"/>
        <v/>
      </c>
      <c r="BR41" s="17" t="str">
        <f t="shared" si="36"/>
        <v/>
      </c>
      <c r="BS41" s="17" t="str">
        <f t="shared" si="53"/>
        <v/>
      </c>
      <c r="BT41" s="17" t="str">
        <f t="shared" si="37"/>
        <v/>
      </c>
      <c r="BU41" s="17" t="str">
        <f t="shared" si="38"/>
        <v/>
      </c>
      <c r="BV41" s="17" t="str">
        <f t="shared" si="39"/>
        <v/>
      </c>
      <c r="BW41" s="17" t="str">
        <f t="shared" si="40"/>
        <v/>
      </c>
      <c r="BX41" s="17" t="str">
        <f t="shared" si="19"/>
        <v/>
      </c>
      <c r="BY41" s="17" t="str">
        <f t="shared" si="54"/>
        <v/>
      </c>
      <c r="BZ41" s="61" t="str">
        <f t="shared" si="41"/>
        <v/>
      </c>
      <c r="CA41" s="17" t="str">
        <f t="shared" si="20"/>
        <v/>
      </c>
      <c r="CB41" s="17" t="str">
        <f t="shared" si="21"/>
        <v/>
      </c>
      <c r="CC41" s="17" t="str">
        <f t="shared" si="42"/>
        <v/>
      </c>
      <c r="CD41" s="17" t="str">
        <f t="shared" si="22"/>
        <v/>
      </c>
      <c r="CE41" s="17" t="str">
        <f t="shared" si="23"/>
        <v/>
      </c>
      <c r="CF41" s="17" t="str">
        <f t="shared" si="43"/>
        <v/>
      </c>
      <c r="CG41" s="17" t="str">
        <f t="shared" si="44"/>
        <v/>
      </c>
    </row>
    <row r="42" spans="2:85" s="17" customFormat="1">
      <c r="B42" s="35"/>
      <c r="C42" s="35"/>
      <c r="D42" s="36"/>
      <c r="E42" s="89" t="str">
        <f t="shared" si="24"/>
        <v/>
      </c>
      <c r="F42" s="35"/>
      <c r="G42" s="35"/>
      <c r="H42" s="35"/>
      <c r="I42" s="59"/>
      <c r="AA42" s="47" t="s">
        <v>221</v>
      </c>
      <c r="AB42" s="17" t="str">
        <f t="shared" si="0"/>
        <v/>
      </c>
      <c r="AC42" s="17">
        <f t="shared" si="25"/>
        <v>0</v>
      </c>
      <c r="AD42" s="17">
        <f t="shared" si="45"/>
        <v>6</v>
      </c>
      <c r="AE42" s="17" t="str">
        <f t="shared" si="1"/>
        <v/>
      </c>
      <c r="AF42" s="17">
        <f t="shared" si="26"/>
        <v>0</v>
      </c>
      <c r="AG42" s="17">
        <f t="shared" si="27"/>
        <v>6</v>
      </c>
      <c r="AH42" s="17" t="str">
        <f t="shared" si="28"/>
        <v/>
      </c>
      <c r="AI42" s="17" t="str">
        <f t="shared" si="2"/>
        <v/>
      </c>
      <c r="AJ42" s="17" t="str">
        <f t="shared" si="29"/>
        <v/>
      </c>
      <c r="AK42" s="17" t="str">
        <f t="shared" si="3"/>
        <v>if () {$("#adv_").html("Requierd");$("#").css({"background":"yellow"});} else {$("#adv_").html("");$("#").css({"background":"white"});}</v>
      </c>
      <c r="AL42" s="17" t="str">
        <f t="shared" si="4"/>
        <v>if (=="") {$("#adv_").html("Requierd");} else {$("#adv_").html("");}</v>
      </c>
      <c r="AM42" s="50" t="str">
        <f t="shared" si="5"/>
        <v/>
      </c>
      <c r="AN42" s="51" t="str">
        <f t="shared" si="6"/>
        <v>=$("#").val();</v>
      </c>
      <c r="AO42" s="51" t="str">
        <f t="shared" si="30"/>
        <v/>
      </c>
      <c r="AP42" s="50" t="str">
        <f t="shared" si="7"/>
        <v>&lt;input type="checkbox" id="" name="" value="1" /&gt;</v>
      </c>
      <c r="AQ42" s="51" t="str">
        <f t="shared" si="8"/>
        <v>=document.getElementById("").checked;</v>
      </c>
      <c r="AR42" s="52" t="str">
        <f t="shared" si="9"/>
        <v>if (isset($_GET[''])) {$=($_GET['']);}else $='';</v>
      </c>
      <c r="AS42" s="17" t="str">
        <f t="shared" si="10"/>
        <v>Mobile phone</v>
      </c>
      <c r="AT42" s="17" t="str">
        <f t="shared" si="46"/>
        <v/>
      </c>
      <c r="AU42" s="50" t="str">
        <f t="shared" si="11"/>
        <v>&lt;input type="radio" name="Mobile phone" id="" value="" /&gt;</v>
      </c>
      <c r="AV42" s="15" t="str">
        <f t="shared" si="12"/>
        <v>else if (document.getElementById("</v>
      </c>
      <c r="AW42" s="51" t="str">
        <f t="shared" si="13"/>
        <v>else if (document.getElementById("").checked==true) {Mobile phone="";}</v>
      </c>
      <c r="AX42" s="17" t="str">
        <f t="shared" si="47"/>
        <v/>
      </c>
      <c r="AY42" s="52" t="str">
        <f t="shared" si="14"/>
        <v/>
      </c>
      <c r="AZ42" s="56" t="str">
        <f t="shared" si="15"/>
        <v>&lt;br/&gt;&lt;textarea rows="2" cols="80" id=""&gt;&lt;/textarea&gt;&lt;br/&gt;</v>
      </c>
      <c r="BA42" s="54" t="str">
        <f t="shared" si="16"/>
        <v>&lt;input type="text"  size="7"  id="" class="datepicker"/&gt;</v>
      </c>
      <c r="BB42" s="54" t="str">
        <f t="shared" si="48"/>
        <v/>
      </c>
      <c r="BC42" s="48" t="str">
        <f t="shared" si="49"/>
        <v/>
      </c>
      <c r="BD42" s="49" t="str">
        <f t="shared" si="50"/>
        <v/>
      </c>
      <c r="BE42" s="49">
        <f t="shared" si="55"/>
        <v>7</v>
      </c>
      <c r="BF42" s="55" t="str">
        <f t="shared" si="31"/>
        <v/>
      </c>
      <c r="BG42" s="6" t="str">
        <f t="shared" si="17"/>
        <v/>
      </c>
      <c r="BH42" s="17" t="str">
        <f t="shared" si="51"/>
        <v/>
      </c>
      <c r="BI42" s="17" t="str">
        <f t="shared" si="32"/>
        <v/>
      </c>
      <c r="BJ42" s="17">
        <f t="shared" si="33"/>
        <v>0</v>
      </c>
      <c r="BK42" s="17">
        <f t="shared" si="34"/>
        <v>1</v>
      </c>
      <c r="BL42" s="17" t="str">
        <f t="shared" si="56"/>
        <v/>
      </c>
      <c r="BO42" s="17" t="str">
        <f t="shared" si="52"/>
        <v/>
      </c>
      <c r="BP42" s="17" t="str">
        <f t="shared" si="18"/>
        <v/>
      </c>
      <c r="BQ42" s="17" t="str">
        <f t="shared" si="35"/>
        <v/>
      </c>
      <c r="BR42" s="17" t="str">
        <f t="shared" si="36"/>
        <v/>
      </c>
      <c r="BS42" s="17" t="str">
        <f t="shared" si="53"/>
        <v/>
      </c>
      <c r="BT42" s="17" t="str">
        <f t="shared" si="37"/>
        <v/>
      </c>
      <c r="BU42" s="17" t="str">
        <f t="shared" si="38"/>
        <v/>
      </c>
      <c r="BV42" s="17" t="str">
        <f t="shared" si="39"/>
        <v/>
      </c>
      <c r="BW42" s="17" t="str">
        <f t="shared" si="40"/>
        <v/>
      </c>
      <c r="BX42" s="17" t="str">
        <f t="shared" si="19"/>
        <v/>
      </c>
      <c r="BY42" s="17" t="str">
        <f t="shared" si="54"/>
        <v/>
      </c>
      <c r="BZ42" s="61" t="str">
        <f t="shared" si="41"/>
        <v/>
      </c>
      <c r="CA42" s="17" t="str">
        <f t="shared" si="20"/>
        <v/>
      </c>
      <c r="CB42" s="17" t="str">
        <f t="shared" si="21"/>
        <v/>
      </c>
      <c r="CC42" s="17" t="str">
        <f t="shared" si="42"/>
        <v/>
      </c>
      <c r="CD42" s="17" t="str">
        <f t="shared" si="22"/>
        <v/>
      </c>
      <c r="CE42" s="17" t="str">
        <f t="shared" si="23"/>
        <v/>
      </c>
      <c r="CF42" s="17" t="str">
        <f t="shared" si="43"/>
        <v/>
      </c>
      <c r="CG42" s="17" t="str">
        <f t="shared" si="44"/>
        <v/>
      </c>
    </row>
    <row r="43" spans="2:85" s="17" customFormat="1">
      <c r="B43" s="35"/>
      <c r="C43" s="35"/>
      <c r="D43" s="36"/>
      <c r="E43" s="89" t="str">
        <f t="shared" si="24"/>
        <v/>
      </c>
      <c r="F43" s="35"/>
      <c r="G43" s="35"/>
      <c r="H43" s="35"/>
      <c r="I43" s="59"/>
      <c r="AA43" s="47" t="s">
        <v>222</v>
      </c>
      <c r="AB43" s="17" t="str">
        <f t="shared" si="0"/>
        <v/>
      </c>
      <c r="AC43" s="17">
        <f t="shared" si="25"/>
        <v>0</v>
      </c>
      <c r="AD43" s="17">
        <f t="shared" si="45"/>
        <v>6</v>
      </c>
      <c r="AE43" s="17" t="str">
        <f t="shared" si="1"/>
        <v/>
      </c>
      <c r="AF43" s="17">
        <f t="shared" si="26"/>
        <v>0</v>
      </c>
      <c r="AG43" s="17">
        <f t="shared" si="27"/>
        <v>6</v>
      </c>
      <c r="AH43" s="17" t="str">
        <f t="shared" si="28"/>
        <v/>
      </c>
      <c r="AI43" s="17" t="str">
        <f t="shared" si="2"/>
        <v/>
      </c>
      <c r="AJ43" s="17" t="str">
        <f t="shared" si="29"/>
        <v/>
      </c>
      <c r="AK43" s="17" t="str">
        <f t="shared" si="3"/>
        <v>if () {$("#adv_").html("Requierd");$("#").css({"background":"yellow"});} else {$("#adv_").html("");$("#").css({"background":"white"});}</v>
      </c>
      <c r="AL43" s="17" t="str">
        <f t="shared" si="4"/>
        <v>if (=="") {$("#adv_").html("Requierd");} else {$("#adv_").html("");}</v>
      </c>
      <c r="AM43" s="50" t="str">
        <f t="shared" si="5"/>
        <v/>
      </c>
      <c r="AN43" s="51" t="str">
        <f t="shared" si="6"/>
        <v>=$("#").val();</v>
      </c>
      <c r="AO43" s="51" t="str">
        <f t="shared" si="30"/>
        <v/>
      </c>
      <c r="AP43" s="50" t="str">
        <f t="shared" si="7"/>
        <v>&lt;input type="checkbox" id="" name="" value="1" /&gt;</v>
      </c>
      <c r="AQ43" s="51" t="str">
        <f t="shared" si="8"/>
        <v>=document.getElementById("").checked;</v>
      </c>
      <c r="AR43" s="52" t="str">
        <f t="shared" si="9"/>
        <v>if (isset($_GET[''])) {$=($_GET['']);}else $='';</v>
      </c>
      <c r="AS43" s="17" t="str">
        <f t="shared" si="10"/>
        <v>Mobile phone</v>
      </c>
      <c r="AT43" s="17" t="str">
        <f t="shared" si="46"/>
        <v/>
      </c>
      <c r="AU43" s="50" t="str">
        <f t="shared" si="11"/>
        <v>&lt;input type="radio" name="Mobile phone" id="" value="" /&gt;</v>
      </c>
      <c r="AV43" s="15" t="str">
        <f t="shared" si="12"/>
        <v>else if (document.getElementById("</v>
      </c>
      <c r="AW43" s="51" t="str">
        <f t="shared" si="13"/>
        <v>else if (document.getElementById("").checked==true) {Mobile phone="";}</v>
      </c>
      <c r="AX43" s="17" t="str">
        <f t="shared" si="47"/>
        <v/>
      </c>
      <c r="AY43" s="52" t="str">
        <f t="shared" si="14"/>
        <v/>
      </c>
      <c r="AZ43" s="56" t="str">
        <f t="shared" si="15"/>
        <v>&lt;br/&gt;&lt;textarea rows="2" cols="80" id=""&gt;&lt;/textarea&gt;&lt;br/&gt;</v>
      </c>
      <c r="BA43" s="54" t="str">
        <f t="shared" si="16"/>
        <v>&lt;input type="text"  size="7"  id="" class="datepicker"/&gt;</v>
      </c>
      <c r="BB43" s="54" t="str">
        <f t="shared" si="48"/>
        <v/>
      </c>
      <c r="BC43" s="48" t="str">
        <f t="shared" si="49"/>
        <v/>
      </c>
      <c r="BD43" s="49" t="str">
        <f t="shared" si="50"/>
        <v/>
      </c>
      <c r="BE43" s="49">
        <f t="shared" si="55"/>
        <v>7</v>
      </c>
      <c r="BF43" s="55" t="str">
        <f t="shared" si="31"/>
        <v/>
      </c>
      <c r="BG43" s="6" t="str">
        <f t="shared" si="17"/>
        <v/>
      </c>
      <c r="BH43" s="17" t="str">
        <f t="shared" si="51"/>
        <v/>
      </c>
      <c r="BI43" s="17" t="str">
        <f t="shared" si="32"/>
        <v/>
      </c>
      <c r="BJ43" s="17">
        <f t="shared" si="33"/>
        <v>0</v>
      </c>
      <c r="BK43" s="17">
        <f t="shared" si="34"/>
        <v>1</v>
      </c>
      <c r="BL43" s="17" t="str">
        <f t="shared" si="56"/>
        <v/>
      </c>
      <c r="BO43" s="17" t="str">
        <f t="shared" si="52"/>
        <v/>
      </c>
      <c r="BP43" s="17" t="str">
        <f t="shared" si="18"/>
        <v/>
      </c>
      <c r="BQ43" s="17" t="str">
        <f t="shared" si="35"/>
        <v/>
      </c>
      <c r="BR43" s="17" t="str">
        <f t="shared" si="36"/>
        <v/>
      </c>
      <c r="BS43" s="17" t="str">
        <f t="shared" si="53"/>
        <v/>
      </c>
      <c r="BT43" s="17" t="str">
        <f t="shared" si="37"/>
        <v/>
      </c>
      <c r="BU43" s="17" t="str">
        <f t="shared" si="38"/>
        <v/>
      </c>
      <c r="BV43" s="17" t="str">
        <f t="shared" si="39"/>
        <v/>
      </c>
      <c r="BW43" s="17" t="str">
        <f t="shared" si="40"/>
        <v/>
      </c>
      <c r="BX43" s="17" t="str">
        <f t="shared" si="19"/>
        <v/>
      </c>
      <c r="BY43" s="17" t="str">
        <f t="shared" si="54"/>
        <v/>
      </c>
      <c r="BZ43" s="61" t="str">
        <f t="shared" si="41"/>
        <v/>
      </c>
      <c r="CA43" s="17" t="str">
        <f t="shared" si="20"/>
        <v/>
      </c>
      <c r="CB43" s="17" t="str">
        <f t="shared" si="21"/>
        <v/>
      </c>
      <c r="CC43" s="17" t="str">
        <f t="shared" si="42"/>
        <v/>
      </c>
      <c r="CD43" s="17" t="str">
        <f t="shared" si="22"/>
        <v/>
      </c>
      <c r="CE43" s="17" t="str">
        <f t="shared" si="23"/>
        <v/>
      </c>
      <c r="CF43" s="17" t="str">
        <f t="shared" si="43"/>
        <v/>
      </c>
      <c r="CG43" s="17" t="str">
        <f t="shared" si="44"/>
        <v/>
      </c>
    </row>
    <row r="44" spans="2:85" s="17" customFormat="1">
      <c r="B44" s="35"/>
      <c r="C44" s="35"/>
      <c r="D44" s="36"/>
      <c r="E44" s="89" t="str">
        <f t="shared" si="24"/>
        <v/>
      </c>
      <c r="F44" s="35"/>
      <c r="G44" s="35"/>
      <c r="H44" s="35"/>
      <c r="I44" s="59"/>
      <c r="AA44" s="47" t="s">
        <v>223</v>
      </c>
      <c r="AB44" s="17" t="str">
        <f t="shared" si="0"/>
        <v/>
      </c>
      <c r="AC44" s="17">
        <f t="shared" si="25"/>
        <v>0</v>
      </c>
      <c r="AD44" s="17">
        <f t="shared" si="45"/>
        <v>6</v>
      </c>
      <c r="AE44" s="17" t="str">
        <f t="shared" si="1"/>
        <v/>
      </c>
      <c r="AF44" s="17">
        <f t="shared" si="26"/>
        <v>0</v>
      </c>
      <c r="AG44" s="17">
        <f t="shared" si="27"/>
        <v>6</v>
      </c>
      <c r="AH44" s="17" t="str">
        <f t="shared" si="28"/>
        <v/>
      </c>
      <c r="AI44" s="17" t="str">
        <f t="shared" si="2"/>
        <v/>
      </c>
      <c r="AJ44" s="17" t="str">
        <f t="shared" si="29"/>
        <v/>
      </c>
      <c r="AK44" s="17" t="str">
        <f t="shared" si="3"/>
        <v>if () {$("#adv_").html("Requierd");$("#").css({"background":"yellow"});} else {$("#adv_").html("");$("#").css({"background":"white"});}</v>
      </c>
      <c r="AL44" s="17" t="str">
        <f t="shared" si="4"/>
        <v>if (=="") {$("#adv_").html("Requierd");} else {$("#adv_").html("");}</v>
      </c>
      <c r="AM44" s="50" t="str">
        <f t="shared" si="5"/>
        <v/>
      </c>
      <c r="AN44" s="51" t="str">
        <f t="shared" si="6"/>
        <v>=$("#").val();</v>
      </c>
      <c r="AO44" s="51" t="str">
        <f t="shared" si="30"/>
        <v/>
      </c>
      <c r="AP44" s="50" t="str">
        <f t="shared" si="7"/>
        <v>&lt;input type="checkbox" id="" name="" value="1" /&gt;</v>
      </c>
      <c r="AQ44" s="51" t="str">
        <f t="shared" si="8"/>
        <v>=document.getElementById("").checked;</v>
      </c>
      <c r="AR44" s="52" t="str">
        <f t="shared" si="9"/>
        <v>if (isset($_GET[''])) {$=($_GET['']);}else $='';</v>
      </c>
      <c r="AS44" s="17" t="str">
        <f t="shared" si="10"/>
        <v>Mobile phone</v>
      </c>
      <c r="AT44" s="17" t="str">
        <f t="shared" si="46"/>
        <v/>
      </c>
      <c r="AU44" s="50" t="str">
        <f t="shared" si="11"/>
        <v>&lt;input type="radio" name="Mobile phone" id="" value="" /&gt;</v>
      </c>
      <c r="AV44" s="15" t="str">
        <f t="shared" si="12"/>
        <v>else if (document.getElementById("</v>
      </c>
      <c r="AW44" s="51" t="str">
        <f t="shared" si="13"/>
        <v>else if (document.getElementById("").checked==true) {Mobile phone="";}</v>
      </c>
      <c r="AX44" s="17" t="str">
        <f t="shared" si="47"/>
        <v/>
      </c>
      <c r="AY44" s="52" t="str">
        <f t="shared" si="14"/>
        <v/>
      </c>
      <c r="AZ44" s="56" t="str">
        <f t="shared" si="15"/>
        <v>&lt;br/&gt;&lt;textarea rows="2" cols="80" id=""&gt;&lt;/textarea&gt;&lt;br/&gt;</v>
      </c>
      <c r="BA44" s="54" t="str">
        <f t="shared" si="16"/>
        <v>&lt;input type="text"  size="7"  id="" class="datepicker"/&gt;</v>
      </c>
      <c r="BB44" s="54" t="str">
        <f t="shared" si="48"/>
        <v/>
      </c>
      <c r="BC44" s="48" t="str">
        <f t="shared" si="49"/>
        <v/>
      </c>
      <c r="BD44" s="49" t="str">
        <f t="shared" si="50"/>
        <v/>
      </c>
      <c r="BE44" s="49">
        <f t="shared" si="55"/>
        <v>7</v>
      </c>
      <c r="BF44" s="55" t="str">
        <f t="shared" si="31"/>
        <v/>
      </c>
      <c r="BG44" s="6" t="str">
        <f t="shared" si="17"/>
        <v/>
      </c>
      <c r="BH44" s="17" t="str">
        <f t="shared" si="51"/>
        <v/>
      </c>
      <c r="BI44" s="17" t="str">
        <f t="shared" si="32"/>
        <v/>
      </c>
      <c r="BJ44" s="17">
        <f t="shared" si="33"/>
        <v>0</v>
      </c>
      <c r="BK44" s="17">
        <f t="shared" si="34"/>
        <v>1</v>
      </c>
      <c r="BL44" s="17" t="str">
        <f t="shared" si="56"/>
        <v/>
      </c>
      <c r="BO44" s="17" t="str">
        <f t="shared" si="52"/>
        <v/>
      </c>
      <c r="BP44" s="17" t="str">
        <f t="shared" si="18"/>
        <v/>
      </c>
      <c r="BQ44" s="17" t="str">
        <f t="shared" si="35"/>
        <v/>
      </c>
      <c r="BR44" s="17" t="str">
        <f t="shared" si="36"/>
        <v/>
      </c>
      <c r="BS44" s="17" t="str">
        <f t="shared" si="53"/>
        <v/>
      </c>
      <c r="BT44" s="17" t="str">
        <f t="shared" si="37"/>
        <v/>
      </c>
      <c r="BU44" s="17" t="str">
        <f t="shared" si="38"/>
        <v/>
      </c>
      <c r="BV44" s="17" t="str">
        <f t="shared" si="39"/>
        <v/>
      </c>
      <c r="BW44" s="17" t="str">
        <f t="shared" si="40"/>
        <v/>
      </c>
      <c r="BX44" s="17" t="str">
        <f t="shared" si="19"/>
        <v/>
      </c>
      <c r="BY44" s="17" t="str">
        <f t="shared" si="54"/>
        <v/>
      </c>
      <c r="BZ44" s="61" t="str">
        <f t="shared" si="41"/>
        <v/>
      </c>
      <c r="CA44" s="17" t="str">
        <f t="shared" si="20"/>
        <v/>
      </c>
      <c r="CB44" s="17" t="str">
        <f t="shared" si="21"/>
        <v/>
      </c>
      <c r="CC44" s="17" t="str">
        <f t="shared" si="42"/>
        <v/>
      </c>
      <c r="CD44" s="17" t="str">
        <f t="shared" si="22"/>
        <v/>
      </c>
      <c r="CE44" s="17" t="str">
        <f t="shared" si="23"/>
        <v/>
      </c>
      <c r="CF44" s="17" t="str">
        <f t="shared" si="43"/>
        <v/>
      </c>
      <c r="CG44" s="17" t="str">
        <f t="shared" si="44"/>
        <v/>
      </c>
    </row>
    <row r="45" spans="2:85" s="17" customFormat="1">
      <c r="B45" s="35"/>
      <c r="C45" s="35"/>
      <c r="D45" s="36"/>
      <c r="E45" s="89" t="str">
        <f t="shared" si="24"/>
        <v/>
      </c>
      <c r="F45" s="35"/>
      <c r="G45" s="35"/>
      <c r="H45" s="35"/>
      <c r="I45" s="59"/>
      <c r="AA45" s="47" t="s">
        <v>224</v>
      </c>
      <c r="AB45" s="17" t="str">
        <f t="shared" si="0"/>
        <v/>
      </c>
      <c r="AC45" s="17">
        <f t="shared" si="25"/>
        <v>0</v>
      </c>
      <c r="AD45" s="17">
        <f t="shared" si="45"/>
        <v>6</v>
      </c>
      <c r="AE45" s="17" t="str">
        <f t="shared" si="1"/>
        <v/>
      </c>
      <c r="AF45" s="17">
        <f t="shared" si="26"/>
        <v>0</v>
      </c>
      <c r="AG45" s="17">
        <f t="shared" si="27"/>
        <v>6</v>
      </c>
      <c r="AH45" s="17" t="str">
        <f t="shared" si="28"/>
        <v/>
      </c>
      <c r="AI45" s="17" t="str">
        <f t="shared" si="2"/>
        <v/>
      </c>
      <c r="AJ45" s="17" t="str">
        <f t="shared" si="29"/>
        <v/>
      </c>
      <c r="AK45" s="17" t="str">
        <f t="shared" si="3"/>
        <v>if () {$("#adv_").html("Requierd");$("#").css({"background":"yellow"});} else {$("#adv_").html("");$("#").css({"background":"white"});}</v>
      </c>
      <c r="AL45" s="17" t="str">
        <f t="shared" si="4"/>
        <v>if (=="") {$("#adv_").html("Requierd");} else {$("#adv_").html("");}</v>
      </c>
      <c r="AM45" s="50" t="str">
        <f t="shared" si="5"/>
        <v/>
      </c>
      <c r="AN45" s="51" t="str">
        <f t="shared" si="6"/>
        <v>=$("#").val();</v>
      </c>
      <c r="AO45" s="51" t="str">
        <f t="shared" si="30"/>
        <v/>
      </c>
      <c r="AP45" s="50" t="str">
        <f t="shared" si="7"/>
        <v>&lt;input type="checkbox" id="" name="" value="1" /&gt;</v>
      </c>
      <c r="AQ45" s="51" t="str">
        <f t="shared" si="8"/>
        <v>=document.getElementById("").checked;</v>
      </c>
      <c r="AR45" s="52" t="str">
        <f t="shared" si="9"/>
        <v>if (isset($_GET[''])) {$=($_GET['']);}else $='';</v>
      </c>
      <c r="AS45" s="17" t="str">
        <f t="shared" si="10"/>
        <v>Mobile phone</v>
      </c>
      <c r="AT45" s="17" t="str">
        <f t="shared" si="46"/>
        <v/>
      </c>
      <c r="AU45" s="50" t="str">
        <f t="shared" si="11"/>
        <v>&lt;input type="radio" name="Mobile phone" id="" value="" /&gt;</v>
      </c>
      <c r="AV45" s="15" t="str">
        <f t="shared" si="12"/>
        <v>else if (document.getElementById("</v>
      </c>
      <c r="AW45" s="51" t="str">
        <f t="shared" si="13"/>
        <v>else if (document.getElementById("").checked==true) {Mobile phone="";}</v>
      </c>
      <c r="AX45" s="17" t="str">
        <f t="shared" si="47"/>
        <v/>
      </c>
      <c r="AY45" s="52" t="str">
        <f t="shared" si="14"/>
        <v/>
      </c>
      <c r="AZ45" s="56" t="str">
        <f t="shared" si="15"/>
        <v>&lt;br/&gt;&lt;textarea rows="2" cols="80" id=""&gt;&lt;/textarea&gt;&lt;br/&gt;</v>
      </c>
      <c r="BA45" s="54" t="str">
        <f t="shared" si="16"/>
        <v>&lt;input type="text"  size="7"  id="" class="datepicker"/&gt;</v>
      </c>
      <c r="BB45" s="54" t="str">
        <f t="shared" si="48"/>
        <v/>
      </c>
      <c r="BC45" s="48" t="str">
        <f t="shared" si="49"/>
        <v/>
      </c>
      <c r="BD45" s="49" t="str">
        <f t="shared" si="50"/>
        <v/>
      </c>
      <c r="BE45" s="49">
        <f t="shared" si="55"/>
        <v>7</v>
      </c>
      <c r="BF45" s="55" t="str">
        <f t="shared" si="31"/>
        <v/>
      </c>
      <c r="BG45" s="6" t="str">
        <f t="shared" si="17"/>
        <v/>
      </c>
      <c r="BH45" s="17" t="str">
        <f t="shared" si="51"/>
        <v/>
      </c>
      <c r="BI45" s="17" t="str">
        <f t="shared" si="32"/>
        <v/>
      </c>
      <c r="BJ45" s="17">
        <f t="shared" si="33"/>
        <v>0</v>
      </c>
      <c r="BK45" s="17">
        <f t="shared" si="34"/>
        <v>1</v>
      </c>
      <c r="BL45" s="17" t="str">
        <f t="shared" si="56"/>
        <v/>
      </c>
      <c r="BO45" s="17" t="str">
        <f t="shared" si="52"/>
        <v/>
      </c>
      <c r="BP45" s="17" t="str">
        <f t="shared" si="18"/>
        <v/>
      </c>
      <c r="BQ45" s="17" t="str">
        <f t="shared" si="35"/>
        <v/>
      </c>
      <c r="BR45" s="17" t="str">
        <f t="shared" si="36"/>
        <v/>
      </c>
      <c r="BS45" s="17" t="str">
        <f t="shared" si="53"/>
        <v/>
      </c>
      <c r="BT45" s="17" t="str">
        <f t="shared" si="37"/>
        <v/>
      </c>
      <c r="BU45" s="17" t="str">
        <f t="shared" si="38"/>
        <v/>
      </c>
      <c r="BV45" s="17" t="str">
        <f t="shared" si="39"/>
        <v/>
      </c>
      <c r="BW45" s="17" t="str">
        <f t="shared" si="40"/>
        <v/>
      </c>
      <c r="BX45" s="17" t="str">
        <f t="shared" si="19"/>
        <v/>
      </c>
      <c r="BY45" s="17" t="str">
        <f t="shared" si="54"/>
        <v/>
      </c>
      <c r="BZ45" s="61" t="str">
        <f t="shared" si="41"/>
        <v/>
      </c>
      <c r="CA45" s="17" t="str">
        <f t="shared" si="20"/>
        <v/>
      </c>
      <c r="CB45" s="17" t="str">
        <f t="shared" si="21"/>
        <v/>
      </c>
      <c r="CC45" s="17" t="str">
        <f t="shared" si="42"/>
        <v/>
      </c>
      <c r="CD45" s="17" t="str">
        <f t="shared" si="22"/>
        <v/>
      </c>
      <c r="CE45" s="17" t="str">
        <f t="shared" si="23"/>
        <v/>
      </c>
      <c r="CF45" s="17" t="str">
        <f t="shared" si="43"/>
        <v/>
      </c>
      <c r="CG45" s="17" t="str">
        <f t="shared" si="44"/>
        <v/>
      </c>
    </row>
    <row r="46" spans="2:85" s="17" customFormat="1" hidden="1">
      <c r="B46" s="35"/>
      <c r="C46" s="35"/>
      <c r="D46" s="36"/>
      <c r="E46" s="35"/>
      <c r="F46" s="35"/>
      <c r="G46" s="35"/>
      <c r="H46" s="35"/>
      <c r="I46" s="59"/>
      <c r="AA46" s="47" t="s">
        <v>225</v>
      </c>
      <c r="AB46" s="17" t="str">
        <f t="shared" si="0"/>
        <v/>
      </c>
      <c r="AC46" s="17">
        <f t="shared" si="25"/>
        <v>0</v>
      </c>
      <c r="AD46" s="17">
        <f t="shared" si="45"/>
        <v>6</v>
      </c>
      <c r="AE46" s="17" t="str">
        <f t="shared" si="1"/>
        <v/>
      </c>
      <c r="AF46" s="17">
        <f t="shared" si="26"/>
        <v>0</v>
      </c>
      <c r="AG46" s="17">
        <f t="shared" si="27"/>
        <v>6</v>
      </c>
      <c r="AH46" s="17" t="str">
        <f t="shared" si="28"/>
        <v/>
      </c>
      <c r="AI46" s="17" t="str">
        <f t="shared" si="2"/>
        <v/>
      </c>
      <c r="AJ46" s="17" t="str">
        <f t="shared" si="29"/>
        <v/>
      </c>
      <c r="AK46" s="17" t="str">
        <f t="shared" si="3"/>
        <v>if () {$("#adv_").html("Requierd");$("#").css({"background":"yellow"});} else {$("#adv_").html("");$("#").css({"background":"white"});}</v>
      </c>
      <c r="AL46" s="17" t="str">
        <f t="shared" si="4"/>
        <v>if (=="") {$("#adv_").html("Requierd");} else {$("#adv_").html("");}</v>
      </c>
      <c r="AM46" s="50" t="str">
        <f t="shared" si="5"/>
        <v/>
      </c>
      <c r="AN46" s="51" t="str">
        <f t="shared" si="6"/>
        <v>=$("#").val();</v>
      </c>
      <c r="AO46" s="51" t="str">
        <f t="shared" si="30"/>
        <v/>
      </c>
      <c r="AP46" s="50" t="str">
        <f t="shared" si="7"/>
        <v>&lt;input type="checkbox" id="" name="" value="1" /&gt;</v>
      </c>
      <c r="AQ46" s="51" t="str">
        <f t="shared" si="8"/>
        <v>=document.getElementById("").checked;</v>
      </c>
      <c r="AR46" s="52" t="str">
        <f t="shared" si="9"/>
        <v>if (isset($_GET[''])) {$=($_GET['']);}else $='';</v>
      </c>
      <c r="AS46" s="17" t="str">
        <f t="shared" si="10"/>
        <v>Mobile phone</v>
      </c>
      <c r="AT46" s="17" t="str">
        <f t="shared" si="46"/>
        <v/>
      </c>
      <c r="AU46" s="50" t="str">
        <f t="shared" si="11"/>
        <v>&lt;input type="radio" name="Mobile phone" id="" value="" /&gt;</v>
      </c>
      <c r="AV46" s="15" t="str">
        <f t="shared" si="12"/>
        <v>else if (document.getElementById("</v>
      </c>
      <c r="AW46" s="51" t="str">
        <f t="shared" si="13"/>
        <v>else if (document.getElementById("").checked==true) {Mobile phone="";}</v>
      </c>
      <c r="AX46" s="17" t="str">
        <f t="shared" si="47"/>
        <v/>
      </c>
      <c r="AY46" s="52" t="str">
        <f t="shared" si="14"/>
        <v/>
      </c>
      <c r="AZ46" s="56" t="str">
        <f t="shared" si="15"/>
        <v>&lt;br/&gt;&lt;textarea rows="2" cols="80" id=""&gt;&lt;/textarea&gt;&lt;br/&gt;</v>
      </c>
      <c r="BA46" s="54" t="str">
        <f t="shared" si="16"/>
        <v>&lt;input type="text"  size="7"  id="" class="datepicker"/&gt;</v>
      </c>
      <c r="BB46" s="54" t="str">
        <f t="shared" si="48"/>
        <v/>
      </c>
      <c r="BC46" s="48" t="str">
        <f t="shared" si="49"/>
        <v/>
      </c>
      <c r="BD46" s="49" t="str">
        <f t="shared" si="50"/>
        <v/>
      </c>
      <c r="BE46" s="49">
        <f t="shared" si="55"/>
        <v>7</v>
      </c>
      <c r="BF46" s="55" t="str">
        <f t="shared" si="31"/>
        <v/>
      </c>
      <c r="BG46" s="6" t="str">
        <f t="shared" si="17"/>
        <v/>
      </c>
      <c r="BH46" s="17" t="str">
        <f t="shared" si="51"/>
        <v/>
      </c>
      <c r="BI46" s="17" t="str">
        <f t="shared" si="32"/>
        <v/>
      </c>
      <c r="BJ46" s="17">
        <f t="shared" si="33"/>
        <v>0</v>
      </c>
      <c r="BK46" s="17">
        <f t="shared" si="34"/>
        <v>1</v>
      </c>
      <c r="BL46" s="17" t="str">
        <f t="shared" ref="BL46:BL79" si="58">IF(C46="","",","&amp;C46&amp;" "&amp;E46&amp;" ("&amp;D46&amp;")")</f>
        <v/>
      </c>
      <c r="BO46" s="17" t="str">
        <f t="shared" si="52"/>
        <v/>
      </c>
      <c r="BP46" s="17" t="str">
        <f t="shared" si="18"/>
        <v/>
      </c>
      <c r="BQ46" s="17" t="str">
        <f t="shared" si="35"/>
        <v/>
      </c>
      <c r="BR46" s="17" t="str">
        <f t="shared" si="36"/>
        <v/>
      </c>
      <c r="BS46" s="17" t="str">
        <f t="shared" si="53"/>
        <v/>
      </c>
      <c r="BT46" s="17" t="str">
        <f t="shared" si="37"/>
        <v/>
      </c>
      <c r="BU46" s="17" t="str">
        <f t="shared" si="38"/>
        <v/>
      </c>
      <c r="BV46" s="17" t="str">
        <f t="shared" si="39"/>
        <v/>
      </c>
      <c r="BW46" s="17" t="str">
        <f t="shared" si="40"/>
        <v/>
      </c>
      <c r="BX46" s="17" t="str">
        <f t="shared" si="19"/>
        <v/>
      </c>
      <c r="BY46" s="17" t="str">
        <f t="shared" si="54"/>
        <v/>
      </c>
      <c r="BZ46" s="61" t="str">
        <f t="shared" si="41"/>
        <v/>
      </c>
      <c r="CA46" s="17" t="str">
        <f t="shared" si="20"/>
        <v/>
      </c>
      <c r="CB46" s="17" t="str">
        <f t="shared" si="21"/>
        <v/>
      </c>
      <c r="CC46" s="17" t="str">
        <f t="shared" si="42"/>
        <v/>
      </c>
      <c r="CD46" s="17" t="str">
        <f t="shared" si="22"/>
        <v/>
      </c>
      <c r="CE46" s="17" t="str">
        <f t="shared" si="23"/>
        <v/>
      </c>
      <c r="CF46" s="17" t="str">
        <f t="shared" si="43"/>
        <v/>
      </c>
      <c r="CG46" s="17" t="str">
        <f t="shared" si="44"/>
        <v/>
      </c>
    </row>
    <row r="47" spans="2:85" s="17" customFormat="1" hidden="1">
      <c r="B47" s="35"/>
      <c r="C47" s="35"/>
      <c r="D47" s="36"/>
      <c r="E47" s="35"/>
      <c r="F47" s="35"/>
      <c r="G47" s="35"/>
      <c r="H47" s="35"/>
      <c r="I47" s="59"/>
      <c r="AA47" s="47" t="s">
        <v>226</v>
      </c>
      <c r="AB47" s="17" t="str">
        <f t="shared" si="0"/>
        <v/>
      </c>
      <c r="AC47" s="17">
        <f t="shared" si="25"/>
        <v>0</v>
      </c>
      <c r="AD47" s="17">
        <f t="shared" si="45"/>
        <v>6</v>
      </c>
      <c r="AE47" s="17" t="str">
        <f t="shared" si="1"/>
        <v/>
      </c>
      <c r="AF47" s="17">
        <f t="shared" si="26"/>
        <v>0</v>
      </c>
      <c r="AG47" s="17">
        <f t="shared" si="27"/>
        <v>6</v>
      </c>
      <c r="AH47" s="17" t="str">
        <f t="shared" si="28"/>
        <v/>
      </c>
      <c r="AI47" s="17" t="str">
        <f t="shared" si="2"/>
        <v/>
      </c>
      <c r="AJ47" s="17" t="str">
        <f t="shared" si="29"/>
        <v/>
      </c>
      <c r="AK47" s="17" t="str">
        <f t="shared" si="3"/>
        <v>if () {$("#adv_").html("Requierd");$("#").css({"background":"yellow"});} else {$("#adv_").html("");$("#").css({"background":"white"});}</v>
      </c>
      <c r="AL47" s="17" t="str">
        <f t="shared" si="4"/>
        <v>if (=="") {$("#adv_").html("Requierd");} else {$("#adv_").html("");}</v>
      </c>
      <c r="AM47" s="50" t="str">
        <f t="shared" si="5"/>
        <v/>
      </c>
      <c r="AN47" s="51" t="str">
        <f t="shared" si="6"/>
        <v>=$("#").val();</v>
      </c>
      <c r="AO47" s="51" t="str">
        <f t="shared" si="30"/>
        <v/>
      </c>
      <c r="AP47" s="50" t="str">
        <f t="shared" si="7"/>
        <v>&lt;input type="checkbox" id="" name="" value="1" /&gt;</v>
      </c>
      <c r="AQ47" s="51" t="str">
        <f t="shared" si="8"/>
        <v>=document.getElementById("").checked;</v>
      </c>
      <c r="AR47" s="52" t="str">
        <f t="shared" si="9"/>
        <v>if (isset($_GET[''])) {$=($_GET['']);}else $='';</v>
      </c>
      <c r="AS47" s="17" t="str">
        <f t="shared" si="10"/>
        <v>Mobile phone</v>
      </c>
      <c r="AT47" s="17" t="str">
        <f t="shared" si="46"/>
        <v/>
      </c>
      <c r="AU47" s="50" t="str">
        <f t="shared" si="11"/>
        <v>&lt;input type="radio" name="Mobile phone" id="" value="" /&gt;</v>
      </c>
      <c r="AV47" s="15" t="str">
        <f t="shared" si="12"/>
        <v>else if (document.getElementById("</v>
      </c>
      <c r="AW47" s="51" t="str">
        <f t="shared" si="13"/>
        <v>else if (document.getElementById("").checked==true) {Mobile phone="";}</v>
      </c>
      <c r="AX47" s="17" t="str">
        <f t="shared" si="47"/>
        <v/>
      </c>
      <c r="AY47" s="52" t="str">
        <f t="shared" si="14"/>
        <v/>
      </c>
      <c r="AZ47" s="56" t="str">
        <f t="shared" si="15"/>
        <v>&lt;br/&gt;&lt;textarea rows="2" cols="80" id=""&gt;&lt;/textarea&gt;&lt;br/&gt;</v>
      </c>
      <c r="BA47" s="54" t="str">
        <f t="shared" si="16"/>
        <v>&lt;input type="text"  size="7"  id="" class="datepicker"/&gt;</v>
      </c>
      <c r="BB47" s="54" t="str">
        <f t="shared" si="48"/>
        <v/>
      </c>
      <c r="BC47" s="48" t="str">
        <f t="shared" si="49"/>
        <v/>
      </c>
      <c r="BD47" s="49" t="str">
        <f t="shared" si="50"/>
        <v/>
      </c>
      <c r="BE47" s="49">
        <f t="shared" si="55"/>
        <v>7</v>
      </c>
      <c r="BF47" s="55" t="str">
        <f t="shared" si="31"/>
        <v/>
      </c>
      <c r="BG47" s="6" t="str">
        <f t="shared" ref="BG47:BG78" si="59">IF(F47=$L$9,"",IF(C47="","",IF(OR(F47="radio",F47="selectlist"),AY47,AR47)))</f>
        <v/>
      </c>
      <c r="BH47" s="17" t="str">
        <f t="shared" si="51"/>
        <v/>
      </c>
      <c r="BI47" s="17" t="str">
        <f t="shared" si="32"/>
        <v/>
      </c>
      <c r="BJ47" s="17">
        <f t="shared" si="33"/>
        <v>0</v>
      </c>
      <c r="BK47" s="17">
        <f t="shared" si="34"/>
        <v>1</v>
      </c>
      <c r="BL47" s="17" t="str">
        <f t="shared" si="58"/>
        <v/>
      </c>
      <c r="BO47" s="17" t="str">
        <f t="shared" si="52"/>
        <v/>
      </c>
      <c r="BP47" s="17" t="str">
        <f t="shared" si="18"/>
        <v/>
      </c>
      <c r="BQ47" s="17" t="str">
        <f t="shared" si="35"/>
        <v/>
      </c>
      <c r="BR47" s="17" t="str">
        <f t="shared" si="36"/>
        <v/>
      </c>
      <c r="BS47" s="17" t="str">
        <f t="shared" si="53"/>
        <v/>
      </c>
      <c r="BT47" s="17" t="str">
        <f t="shared" si="37"/>
        <v/>
      </c>
      <c r="BU47" s="17" t="str">
        <f t="shared" si="38"/>
        <v/>
      </c>
      <c r="BV47" s="17" t="str">
        <f t="shared" si="39"/>
        <v/>
      </c>
      <c r="BW47" s="17" t="str">
        <f t="shared" si="40"/>
        <v/>
      </c>
      <c r="BX47" s="17" t="str">
        <f t="shared" si="19"/>
        <v/>
      </c>
      <c r="BY47" s="17" t="str">
        <f t="shared" si="54"/>
        <v/>
      </c>
      <c r="BZ47" s="61" t="str">
        <f t="shared" si="41"/>
        <v/>
      </c>
      <c r="CA47" s="17" t="str">
        <f t="shared" si="20"/>
        <v/>
      </c>
      <c r="CB47" s="17" t="str">
        <f t="shared" si="21"/>
        <v/>
      </c>
      <c r="CC47" s="17" t="str">
        <f t="shared" si="42"/>
        <v/>
      </c>
      <c r="CD47" s="17" t="str">
        <f t="shared" si="22"/>
        <v/>
      </c>
      <c r="CE47" s="17" t="str">
        <f t="shared" si="23"/>
        <v/>
      </c>
      <c r="CF47" s="17" t="str">
        <f t="shared" si="43"/>
        <v/>
      </c>
      <c r="CG47" s="17" t="str">
        <f t="shared" si="44"/>
        <v/>
      </c>
    </row>
    <row r="48" spans="2:85" s="17" customFormat="1" hidden="1">
      <c r="B48" s="35"/>
      <c r="C48" s="35"/>
      <c r="D48" s="36"/>
      <c r="E48" s="35"/>
      <c r="F48" s="35"/>
      <c r="G48" s="35"/>
      <c r="H48" s="35"/>
      <c r="I48" s="59"/>
      <c r="AA48" s="47" t="s">
        <v>227</v>
      </c>
      <c r="AB48" s="17" t="str">
        <f t="shared" si="0"/>
        <v/>
      </c>
      <c r="AC48" s="17">
        <f t="shared" si="25"/>
        <v>0</v>
      </c>
      <c r="AD48" s="17">
        <f t="shared" si="45"/>
        <v>6</v>
      </c>
      <c r="AE48" s="17" t="str">
        <f t="shared" si="1"/>
        <v/>
      </c>
      <c r="AF48" s="17">
        <f t="shared" si="26"/>
        <v>0</v>
      </c>
      <c r="AG48" s="17">
        <f t="shared" si="27"/>
        <v>6</v>
      </c>
      <c r="AH48" s="17" t="str">
        <f t="shared" si="28"/>
        <v/>
      </c>
      <c r="AI48" s="17" t="str">
        <f t="shared" si="2"/>
        <v/>
      </c>
      <c r="AJ48" s="17" t="str">
        <f t="shared" si="29"/>
        <v/>
      </c>
      <c r="AK48" s="17" t="str">
        <f t="shared" si="3"/>
        <v>if () {$("#adv_").html("Requierd");$("#").css({"background":"yellow"});} else {$("#adv_").html("");$("#").css({"background":"white"});}</v>
      </c>
      <c r="AL48" s="17" t="str">
        <f t="shared" si="4"/>
        <v>if (=="") {$("#adv_").html("Requierd");} else {$("#adv_").html("");}</v>
      </c>
      <c r="AM48" s="50" t="str">
        <f t="shared" si="5"/>
        <v/>
      </c>
      <c r="AN48" s="51" t="str">
        <f t="shared" si="6"/>
        <v>=$("#").val();</v>
      </c>
      <c r="AO48" s="51" t="str">
        <f t="shared" si="30"/>
        <v/>
      </c>
      <c r="AP48" s="50" t="str">
        <f t="shared" si="7"/>
        <v>&lt;input type="checkbox" id="" name="" value="1" /&gt;</v>
      </c>
      <c r="AQ48" s="51" t="str">
        <f t="shared" si="8"/>
        <v>=document.getElementById("").checked;</v>
      </c>
      <c r="AR48" s="52" t="str">
        <f t="shared" si="9"/>
        <v>if (isset($_GET[''])) {$=($_GET['']);}else $='';</v>
      </c>
      <c r="AS48" s="17" t="str">
        <f t="shared" si="10"/>
        <v>Mobile phone</v>
      </c>
      <c r="AT48" s="17" t="str">
        <f t="shared" si="46"/>
        <v/>
      </c>
      <c r="AU48" s="50" t="str">
        <f t="shared" si="11"/>
        <v>&lt;input type="radio" name="Mobile phone" id="" value="" /&gt;</v>
      </c>
      <c r="AV48" s="15" t="str">
        <f t="shared" si="12"/>
        <v>else if (document.getElementById("</v>
      </c>
      <c r="AW48" s="51" t="str">
        <f t="shared" si="13"/>
        <v>else if (document.getElementById("").checked==true) {Mobile phone="";}</v>
      </c>
      <c r="AX48" s="17" t="str">
        <f t="shared" si="47"/>
        <v/>
      </c>
      <c r="AY48" s="52" t="str">
        <f t="shared" si="14"/>
        <v/>
      </c>
      <c r="AZ48" s="56" t="str">
        <f t="shared" si="15"/>
        <v>&lt;br/&gt;&lt;textarea rows="2" cols="80" id=""&gt;&lt;/textarea&gt;&lt;br/&gt;</v>
      </c>
      <c r="BA48" s="54" t="str">
        <f t="shared" si="16"/>
        <v>&lt;input type="text"  size="7"  id="" class="datepicker"/&gt;</v>
      </c>
      <c r="BB48" s="54" t="str">
        <f t="shared" si="48"/>
        <v/>
      </c>
      <c r="BC48" s="48" t="str">
        <f t="shared" si="49"/>
        <v/>
      </c>
      <c r="BD48" s="49" t="str">
        <f t="shared" si="50"/>
        <v/>
      </c>
      <c r="BE48" s="49">
        <f t="shared" si="55"/>
        <v>7</v>
      </c>
      <c r="BF48" s="55" t="str">
        <f t="shared" ref="BF48:BF79" si="60">IF(F48=$L$9,"",IF(C48="","",IF(F48="radio",AX48,IF(BE48=1,"",",")&amp;C48&amp;":"&amp;C48)))</f>
        <v/>
      </c>
      <c r="BG48" s="6" t="str">
        <f t="shared" si="59"/>
        <v/>
      </c>
      <c r="BH48" s="17" t="str">
        <f t="shared" si="51"/>
        <v/>
      </c>
      <c r="BI48" s="17" t="str">
        <f t="shared" si="32"/>
        <v/>
      </c>
      <c r="BJ48" s="17">
        <f t="shared" si="33"/>
        <v>0</v>
      </c>
      <c r="BK48" s="17">
        <f t="shared" si="34"/>
        <v>1</v>
      </c>
      <c r="BL48" s="17" t="str">
        <f t="shared" si="58"/>
        <v/>
      </c>
      <c r="BO48" s="17" t="str">
        <f t="shared" si="52"/>
        <v/>
      </c>
      <c r="BP48" s="17" t="str">
        <f t="shared" si="18"/>
        <v/>
      </c>
      <c r="BQ48" s="17" t="str">
        <f t="shared" si="35"/>
        <v/>
      </c>
      <c r="BR48" s="17" t="str">
        <f t="shared" si="36"/>
        <v/>
      </c>
      <c r="BS48" s="17" t="str">
        <f t="shared" si="53"/>
        <v/>
      </c>
      <c r="BT48" s="17" t="str">
        <f t="shared" si="37"/>
        <v/>
      </c>
      <c r="BU48" s="17" t="str">
        <f t="shared" si="38"/>
        <v/>
      </c>
      <c r="BV48" s="17" t="str">
        <f t="shared" si="39"/>
        <v/>
      </c>
      <c r="BW48" s="17" t="str">
        <f t="shared" si="40"/>
        <v/>
      </c>
      <c r="BX48" s="17" t="str">
        <f t="shared" si="19"/>
        <v/>
      </c>
      <c r="BY48" s="17" t="str">
        <f t="shared" si="54"/>
        <v/>
      </c>
      <c r="BZ48" s="61" t="str">
        <f t="shared" si="41"/>
        <v/>
      </c>
      <c r="CA48" s="17" t="str">
        <f t="shared" si="20"/>
        <v/>
      </c>
      <c r="CB48" s="17" t="str">
        <f t="shared" si="21"/>
        <v/>
      </c>
      <c r="CC48" s="17" t="str">
        <f t="shared" si="42"/>
        <v/>
      </c>
      <c r="CD48" s="17" t="str">
        <f t="shared" si="22"/>
        <v/>
      </c>
      <c r="CE48" s="17" t="str">
        <f t="shared" si="23"/>
        <v/>
      </c>
      <c r="CF48" s="17" t="str">
        <f t="shared" si="43"/>
        <v/>
      </c>
      <c r="CG48" s="17" t="str">
        <f t="shared" si="44"/>
        <v/>
      </c>
    </row>
    <row r="49" spans="2:85" s="17" customFormat="1" hidden="1">
      <c r="B49" s="35"/>
      <c r="C49" s="35"/>
      <c r="D49" s="36"/>
      <c r="E49" s="35"/>
      <c r="F49" s="35"/>
      <c r="G49" s="35"/>
      <c r="H49" s="35"/>
      <c r="I49" s="59"/>
      <c r="AA49" s="47" t="s">
        <v>228</v>
      </c>
      <c r="AB49" s="17" t="str">
        <f t="shared" si="0"/>
        <v/>
      </c>
      <c r="AC49" s="17">
        <f t="shared" si="25"/>
        <v>0</v>
      </c>
      <c r="AD49" s="17">
        <f t="shared" si="45"/>
        <v>6</v>
      </c>
      <c r="AE49" s="17" t="str">
        <f t="shared" si="1"/>
        <v/>
      </c>
      <c r="AF49" s="17">
        <f t="shared" si="26"/>
        <v>0</v>
      </c>
      <c r="AG49" s="17">
        <f t="shared" si="27"/>
        <v>6</v>
      </c>
      <c r="AH49" s="17" t="str">
        <f t="shared" si="28"/>
        <v/>
      </c>
      <c r="AI49" s="17" t="str">
        <f t="shared" si="2"/>
        <v/>
      </c>
      <c r="AJ49" s="17" t="str">
        <f t="shared" si="29"/>
        <v/>
      </c>
      <c r="AK49" s="17" t="str">
        <f t="shared" si="3"/>
        <v>if () {$("#adv_").html("Requierd");$("#").css({"background":"yellow"});} else {$("#adv_").html("");$("#").css({"background":"white"});}</v>
      </c>
      <c r="AL49" s="17" t="str">
        <f t="shared" si="4"/>
        <v>if (=="") {$("#adv_").html("Requierd");} else {$("#adv_").html("");}</v>
      </c>
      <c r="AM49" s="50" t="str">
        <f t="shared" si="5"/>
        <v/>
      </c>
      <c r="AN49" s="51" t="str">
        <f t="shared" si="6"/>
        <v>=$("#").val();</v>
      </c>
      <c r="AO49" s="51" t="str">
        <f t="shared" si="30"/>
        <v/>
      </c>
      <c r="AP49" s="50" t="str">
        <f t="shared" si="7"/>
        <v>&lt;input type="checkbox" id="" name="" value="1" /&gt;</v>
      </c>
      <c r="AQ49" s="51" t="str">
        <f t="shared" si="8"/>
        <v>=document.getElementById("").checked;</v>
      </c>
      <c r="AR49" s="52" t="str">
        <f t="shared" si="9"/>
        <v>if (isset($_GET[''])) {$=($_GET['']);}else $='';</v>
      </c>
      <c r="AS49" s="17" t="str">
        <f t="shared" si="10"/>
        <v>Mobile phone</v>
      </c>
      <c r="AT49" s="17" t="str">
        <f t="shared" si="46"/>
        <v/>
      </c>
      <c r="AU49" s="50" t="str">
        <f t="shared" si="11"/>
        <v>&lt;input type="radio" name="Mobile phone" id="" value="" /&gt;</v>
      </c>
      <c r="AV49" s="15" t="str">
        <f t="shared" si="12"/>
        <v>else if (document.getElementById("</v>
      </c>
      <c r="AW49" s="51" t="str">
        <f t="shared" si="13"/>
        <v>else if (document.getElementById("").checked==true) {Mobile phone="";}</v>
      </c>
      <c r="AX49" s="17" t="str">
        <f t="shared" si="47"/>
        <v/>
      </c>
      <c r="AY49" s="52" t="str">
        <f t="shared" si="14"/>
        <v/>
      </c>
      <c r="AZ49" s="56" t="str">
        <f t="shared" si="15"/>
        <v>&lt;br/&gt;&lt;textarea rows="2" cols="80" id=""&gt;&lt;/textarea&gt;&lt;br/&gt;</v>
      </c>
      <c r="BA49" s="54" t="str">
        <f t="shared" si="16"/>
        <v>&lt;input type="text"  size="7"  id="" class="datepicker"/&gt;</v>
      </c>
      <c r="BB49" s="54" t="str">
        <f t="shared" si="48"/>
        <v/>
      </c>
      <c r="BC49" s="48" t="str">
        <f t="shared" si="49"/>
        <v/>
      </c>
      <c r="BD49" s="49" t="str">
        <f t="shared" si="50"/>
        <v/>
      </c>
      <c r="BE49" s="49">
        <f t="shared" si="55"/>
        <v>7</v>
      </c>
      <c r="BF49" s="55" t="str">
        <f t="shared" si="60"/>
        <v/>
      </c>
      <c r="BG49" s="6" t="str">
        <f t="shared" si="59"/>
        <v/>
      </c>
      <c r="BH49" s="17" t="str">
        <f t="shared" si="51"/>
        <v/>
      </c>
      <c r="BI49" s="17" t="str">
        <f t="shared" si="32"/>
        <v/>
      </c>
      <c r="BJ49" s="17">
        <f t="shared" si="33"/>
        <v>0</v>
      </c>
      <c r="BK49" s="17">
        <f t="shared" si="34"/>
        <v>1</v>
      </c>
      <c r="BL49" s="17" t="str">
        <f t="shared" si="58"/>
        <v/>
      </c>
      <c r="BO49" s="17" t="str">
        <f t="shared" si="52"/>
        <v/>
      </c>
      <c r="BP49" s="17" t="str">
        <f t="shared" si="18"/>
        <v/>
      </c>
      <c r="BQ49" s="17" t="str">
        <f t="shared" si="35"/>
        <v/>
      </c>
      <c r="BR49" s="17" t="str">
        <f t="shared" si="36"/>
        <v/>
      </c>
      <c r="BS49" s="17" t="str">
        <f t="shared" si="53"/>
        <v/>
      </c>
      <c r="BT49" s="17" t="str">
        <f t="shared" si="37"/>
        <v/>
      </c>
      <c r="BU49" s="17" t="str">
        <f t="shared" si="38"/>
        <v/>
      </c>
      <c r="BV49" s="17" t="str">
        <f t="shared" si="39"/>
        <v/>
      </c>
      <c r="BW49" s="17" t="str">
        <f t="shared" si="40"/>
        <v/>
      </c>
      <c r="BX49" s="17" t="str">
        <f t="shared" si="19"/>
        <v/>
      </c>
      <c r="BY49" s="17" t="str">
        <f t="shared" si="54"/>
        <v/>
      </c>
      <c r="BZ49" s="61" t="str">
        <f t="shared" si="41"/>
        <v/>
      </c>
      <c r="CA49" s="17" t="str">
        <f t="shared" si="20"/>
        <v/>
      </c>
      <c r="CB49" s="17" t="str">
        <f t="shared" si="21"/>
        <v/>
      </c>
      <c r="CC49" s="17" t="str">
        <f t="shared" si="42"/>
        <v/>
      </c>
      <c r="CD49" s="17" t="str">
        <f t="shared" si="22"/>
        <v/>
      </c>
      <c r="CE49" s="17" t="str">
        <f t="shared" si="23"/>
        <v/>
      </c>
      <c r="CF49" s="17" t="str">
        <f t="shared" si="43"/>
        <v/>
      </c>
      <c r="CG49" s="17" t="str">
        <f t="shared" si="44"/>
        <v/>
      </c>
    </row>
    <row r="50" spans="2:85" s="17" customFormat="1" hidden="1">
      <c r="B50" s="35"/>
      <c r="C50" s="35"/>
      <c r="D50" s="36"/>
      <c r="E50" s="35"/>
      <c r="F50" s="35"/>
      <c r="G50" s="35"/>
      <c r="H50" s="35"/>
      <c r="I50" s="59"/>
      <c r="AA50" s="47" t="s">
        <v>229</v>
      </c>
      <c r="AB50" s="17" t="str">
        <f t="shared" si="0"/>
        <v/>
      </c>
      <c r="AC50" s="17">
        <f t="shared" si="25"/>
        <v>0</v>
      </c>
      <c r="AD50" s="17">
        <f t="shared" si="45"/>
        <v>6</v>
      </c>
      <c r="AE50" s="17" t="str">
        <f t="shared" si="1"/>
        <v/>
      </c>
      <c r="AF50" s="17">
        <f t="shared" si="26"/>
        <v>0</v>
      </c>
      <c r="AG50" s="17">
        <f t="shared" si="27"/>
        <v>6</v>
      </c>
      <c r="AH50" s="17" t="str">
        <f t="shared" si="28"/>
        <v/>
      </c>
      <c r="AI50" s="17" t="str">
        <f t="shared" si="2"/>
        <v/>
      </c>
      <c r="AJ50" s="17" t="str">
        <f t="shared" si="29"/>
        <v/>
      </c>
      <c r="AK50" s="17" t="str">
        <f t="shared" si="3"/>
        <v>if () {$("#adv_").html("Requierd");$("#").css({"background":"yellow"});} else {$("#adv_").html("");$("#").css({"background":"white"});}</v>
      </c>
      <c r="AL50" s="17" t="str">
        <f t="shared" si="4"/>
        <v>if (=="") {$("#adv_").html("Requierd");} else {$("#adv_").html("");}</v>
      </c>
      <c r="AM50" s="50" t="str">
        <f t="shared" si="5"/>
        <v/>
      </c>
      <c r="AN50" s="51" t="str">
        <f t="shared" si="6"/>
        <v>=$("#").val();</v>
      </c>
      <c r="AO50" s="51" t="str">
        <f t="shared" si="30"/>
        <v/>
      </c>
      <c r="AP50" s="50" t="str">
        <f t="shared" si="7"/>
        <v>&lt;input type="checkbox" id="" name="" value="1" /&gt;</v>
      </c>
      <c r="AQ50" s="51" t="str">
        <f t="shared" si="8"/>
        <v>=document.getElementById("").checked;</v>
      </c>
      <c r="AR50" s="52" t="str">
        <f t="shared" si="9"/>
        <v>if (isset($_GET[''])) {$=($_GET['']);}else $='';</v>
      </c>
      <c r="AS50" s="17" t="str">
        <f t="shared" si="10"/>
        <v>Mobile phone</v>
      </c>
      <c r="AT50" s="17" t="str">
        <f t="shared" si="46"/>
        <v/>
      </c>
      <c r="AU50" s="50" t="str">
        <f t="shared" si="11"/>
        <v>&lt;input type="radio" name="Mobile phone" id="" value="" /&gt;</v>
      </c>
      <c r="AV50" s="15" t="str">
        <f t="shared" si="12"/>
        <v>else if (document.getElementById("</v>
      </c>
      <c r="AW50" s="51" t="str">
        <f t="shared" si="13"/>
        <v>else if (document.getElementById("").checked==true) {Mobile phone="";}</v>
      </c>
      <c r="AX50" s="17" t="str">
        <f t="shared" si="47"/>
        <v/>
      </c>
      <c r="AY50" s="52" t="str">
        <f t="shared" si="14"/>
        <v/>
      </c>
      <c r="AZ50" s="56" t="str">
        <f t="shared" si="15"/>
        <v>&lt;br/&gt;&lt;textarea rows="2" cols="80" id=""&gt;&lt;/textarea&gt;&lt;br/&gt;</v>
      </c>
      <c r="BA50" s="54" t="str">
        <f t="shared" si="16"/>
        <v>&lt;input type="text"  size="7"  id="" class="datepicker"/&gt;</v>
      </c>
      <c r="BB50" s="54" t="str">
        <f t="shared" si="48"/>
        <v/>
      </c>
      <c r="BC50" s="48" t="str">
        <f t="shared" si="49"/>
        <v/>
      </c>
      <c r="BD50" s="49" t="str">
        <f t="shared" si="50"/>
        <v/>
      </c>
      <c r="BE50" s="49">
        <f t="shared" si="55"/>
        <v>7</v>
      </c>
      <c r="BF50" s="55" t="str">
        <f t="shared" si="60"/>
        <v/>
      </c>
      <c r="BG50" s="6" t="str">
        <f t="shared" si="59"/>
        <v/>
      </c>
      <c r="BH50" s="17" t="str">
        <f t="shared" si="51"/>
        <v/>
      </c>
      <c r="BI50" s="17" t="str">
        <f t="shared" si="32"/>
        <v/>
      </c>
      <c r="BJ50" s="17">
        <f t="shared" si="33"/>
        <v>0</v>
      </c>
      <c r="BK50" s="17">
        <f t="shared" si="34"/>
        <v>1</v>
      </c>
      <c r="BL50" s="17" t="str">
        <f t="shared" si="58"/>
        <v/>
      </c>
      <c r="BO50" s="17" t="str">
        <f t="shared" si="52"/>
        <v/>
      </c>
      <c r="BP50" s="17" t="str">
        <f t="shared" si="18"/>
        <v/>
      </c>
      <c r="BQ50" s="17" t="str">
        <f t="shared" si="35"/>
        <v/>
      </c>
      <c r="BR50" s="17" t="str">
        <f t="shared" si="36"/>
        <v/>
      </c>
      <c r="BS50" s="17" t="str">
        <f t="shared" si="53"/>
        <v/>
      </c>
      <c r="BT50" s="17" t="str">
        <f t="shared" si="37"/>
        <v/>
      </c>
      <c r="BU50" s="17" t="str">
        <f t="shared" si="38"/>
        <v/>
      </c>
      <c r="BV50" s="17" t="str">
        <f t="shared" si="39"/>
        <v/>
      </c>
      <c r="BW50" s="17" t="str">
        <f t="shared" si="40"/>
        <v/>
      </c>
      <c r="BX50" s="17" t="str">
        <f t="shared" si="19"/>
        <v/>
      </c>
      <c r="BY50" s="17" t="str">
        <f t="shared" si="54"/>
        <v/>
      </c>
      <c r="BZ50" s="61" t="str">
        <f t="shared" si="41"/>
        <v/>
      </c>
      <c r="CA50" s="17" t="str">
        <f t="shared" si="20"/>
        <v/>
      </c>
      <c r="CB50" s="17" t="str">
        <f t="shared" si="21"/>
        <v/>
      </c>
      <c r="CC50" s="17" t="str">
        <f t="shared" si="42"/>
        <v/>
      </c>
      <c r="CD50" s="17" t="str">
        <f t="shared" si="22"/>
        <v/>
      </c>
      <c r="CE50" s="17" t="str">
        <f t="shared" si="23"/>
        <v/>
      </c>
      <c r="CF50" s="17" t="str">
        <f t="shared" si="43"/>
        <v/>
      </c>
      <c r="CG50" s="17" t="str">
        <f t="shared" si="44"/>
        <v/>
      </c>
    </row>
    <row r="51" spans="2:85" s="17" customFormat="1" hidden="1">
      <c r="B51" s="35"/>
      <c r="C51" s="35"/>
      <c r="D51" s="36"/>
      <c r="E51" s="35"/>
      <c r="F51" s="35"/>
      <c r="G51" s="35"/>
      <c r="H51" s="35"/>
      <c r="I51" s="59"/>
      <c r="AA51" s="47" t="s">
        <v>230</v>
      </c>
      <c r="AB51" s="17" t="str">
        <f t="shared" si="0"/>
        <v/>
      </c>
      <c r="AC51" s="17">
        <f t="shared" si="25"/>
        <v>0</v>
      </c>
      <c r="AD51" s="17">
        <f t="shared" si="45"/>
        <v>6</v>
      </c>
      <c r="AE51" s="17" t="str">
        <f t="shared" si="1"/>
        <v/>
      </c>
      <c r="AF51" s="17">
        <f t="shared" si="26"/>
        <v>0</v>
      </c>
      <c r="AG51" s="17">
        <f t="shared" si="27"/>
        <v>6</v>
      </c>
      <c r="AH51" s="17" t="str">
        <f t="shared" si="28"/>
        <v/>
      </c>
      <c r="AI51" s="17" t="str">
        <f t="shared" si="2"/>
        <v/>
      </c>
      <c r="AJ51" s="17" t="str">
        <f t="shared" si="29"/>
        <v/>
      </c>
      <c r="AK51" s="17" t="str">
        <f t="shared" si="3"/>
        <v>if () {$("#adv_").html("Requierd");$("#").css({"background":"yellow"});} else {$("#adv_").html("");$("#").css({"background":"white"});}</v>
      </c>
      <c r="AL51" s="17" t="str">
        <f t="shared" si="4"/>
        <v>if (=="") {$("#adv_").html("Requierd");} else {$("#adv_").html("");}</v>
      </c>
      <c r="AM51" s="50" t="str">
        <f t="shared" si="5"/>
        <v/>
      </c>
      <c r="AN51" s="51" t="str">
        <f t="shared" si="6"/>
        <v>=$("#").val();</v>
      </c>
      <c r="AO51" s="51" t="str">
        <f t="shared" si="30"/>
        <v/>
      </c>
      <c r="AP51" s="50" t="str">
        <f t="shared" si="7"/>
        <v>&lt;input type="checkbox" id="" name="" value="1" /&gt;</v>
      </c>
      <c r="AQ51" s="51" t="str">
        <f t="shared" si="8"/>
        <v>=document.getElementById("").checked;</v>
      </c>
      <c r="AR51" s="52" t="str">
        <f t="shared" si="9"/>
        <v>if (isset($_GET[''])) {$=($_GET['']);}else $='';</v>
      </c>
      <c r="AS51" s="17" t="str">
        <f t="shared" si="10"/>
        <v>Mobile phone</v>
      </c>
      <c r="AT51" s="17" t="str">
        <f t="shared" si="46"/>
        <v/>
      </c>
      <c r="AU51" s="50" t="str">
        <f t="shared" si="11"/>
        <v>&lt;input type="radio" name="Mobile phone" id="" value="" /&gt;</v>
      </c>
      <c r="AV51" s="15" t="str">
        <f t="shared" si="12"/>
        <v>else if (document.getElementById("</v>
      </c>
      <c r="AW51" s="51" t="str">
        <f t="shared" si="13"/>
        <v>else if (document.getElementById("").checked==true) {Mobile phone="";}</v>
      </c>
      <c r="AX51" s="17" t="str">
        <f t="shared" si="47"/>
        <v/>
      </c>
      <c r="AY51" s="52" t="str">
        <f t="shared" si="14"/>
        <v/>
      </c>
      <c r="AZ51" s="56" t="str">
        <f t="shared" si="15"/>
        <v>&lt;br/&gt;&lt;textarea rows="2" cols="80" id=""&gt;&lt;/textarea&gt;&lt;br/&gt;</v>
      </c>
      <c r="BA51" s="54" t="str">
        <f t="shared" si="16"/>
        <v>&lt;input type="text"  size="7"  id="" class="datepicker"/&gt;</v>
      </c>
      <c r="BB51" s="54" t="str">
        <f t="shared" si="48"/>
        <v/>
      </c>
      <c r="BC51" s="48" t="str">
        <f t="shared" si="49"/>
        <v/>
      </c>
      <c r="BD51" s="49" t="str">
        <f t="shared" si="50"/>
        <v/>
      </c>
      <c r="BE51" s="49">
        <f t="shared" si="55"/>
        <v>7</v>
      </c>
      <c r="BF51" s="55" t="str">
        <f t="shared" si="60"/>
        <v/>
      </c>
      <c r="BG51" s="6" t="str">
        <f t="shared" si="59"/>
        <v/>
      </c>
      <c r="BH51" s="17" t="str">
        <f t="shared" si="51"/>
        <v/>
      </c>
      <c r="BI51" s="17" t="str">
        <f t="shared" si="32"/>
        <v/>
      </c>
      <c r="BJ51" s="17">
        <f t="shared" si="33"/>
        <v>0</v>
      </c>
      <c r="BK51" s="17">
        <f t="shared" si="34"/>
        <v>1</v>
      </c>
      <c r="BL51" s="17" t="str">
        <f t="shared" si="58"/>
        <v/>
      </c>
      <c r="BO51" s="17" t="str">
        <f t="shared" si="52"/>
        <v/>
      </c>
      <c r="BP51" s="17" t="str">
        <f t="shared" si="18"/>
        <v/>
      </c>
      <c r="BQ51" s="17" t="str">
        <f t="shared" si="35"/>
        <v/>
      </c>
      <c r="BR51" s="17" t="str">
        <f t="shared" si="36"/>
        <v/>
      </c>
      <c r="BS51" s="17" t="str">
        <f t="shared" si="53"/>
        <v/>
      </c>
      <c r="BT51" s="17" t="str">
        <f t="shared" si="37"/>
        <v/>
      </c>
      <c r="BU51" s="17" t="str">
        <f t="shared" si="38"/>
        <v/>
      </c>
      <c r="BV51" s="17" t="str">
        <f t="shared" si="39"/>
        <v/>
      </c>
      <c r="BW51" s="17" t="str">
        <f t="shared" si="40"/>
        <v/>
      </c>
      <c r="BX51" s="17" t="str">
        <f t="shared" si="19"/>
        <v/>
      </c>
      <c r="BY51" s="17" t="str">
        <f t="shared" si="54"/>
        <v/>
      </c>
      <c r="BZ51" s="61" t="str">
        <f t="shared" si="41"/>
        <v/>
      </c>
      <c r="CA51" s="17" t="str">
        <f t="shared" si="20"/>
        <v/>
      </c>
      <c r="CB51" s="17" t="str">
        <f t="shared" si="21"/>
        <v/>
      </c>
      <c r="CC51" s="17" t="str">
        <f t="shared" si="42"/>
        <v/>
      </c>
      <c r="CD51" s="17" t="str">
        <f t="shared" si="22"/>
        <v/>
      </c>
      <c r="CE51" s="17" t="str">
        <f t="shared" si="23"/>
        <v/>
      </c>
      <c r="CF51" s="17" t="str">
        <f t="shared" si="43"/>
        <v/>
      </c>
      <c r="CG51" s="17" t="str">
        <f t="shared" si="44"/>
        <v/>
      </c>
    </row>
    <row r="52" spans="2:85" s="17" customFormat="1" hidden="1">
      <c r="B52" s="35"/>
      <c r="C52" s="35"/>
      <c r="D52" s="36"/>
      <c r="E52" s="35"/>
      <c r="F52" s="35"/>
      <c r="G52" s="35"/>
      <c r="H52" s="35"/>
      <c r="I52" s="59"/>
      <c r="AA52" s="47" t="s">
        <v>231</v>
      </c>
      <c r="AB52" s="17" t="str">
        <f t="shared" si="0"/>
        <v/>
      </c>
      <c r="AC52" s="17">
        <f t="shared" si="25"/>
        <v>0</v>
      </c>
      <c r="AD52" s="17">
        <f t="shared" si="45"/>
        <v>6</v>
      </c>
      <c r="AE52" s="17" t="str">
        <f t="shared" si="1"/>
        <v/>
      </c>
      <c r="AF52" s="17">
        <f t="shared" si="26"/>
        <v>0</v>
      </c>
      <c r="AG52" s="17">
        <f t="shared" si="27"/>
        <v>6</v>
      </c>
      <c r="AH52" s="17" t="str">
        <f t="shared" si="28"/>
        <v/>
      </c>
      <c r="AI52" s="17" t="str">
        <f t="shared" si="2"/>
        <v/>
      </c>
      <c r="AJ52" s="17" t="str">
        <f t="shared" si="29"/>
        <v/>
      </c>
      <c r="AK52" s="17" t="str">
        <f t="shared" si="3"/>
        <v>if () {$("#adv_").html("Requierd");$("#").css({"background":"yellow"});} else {$("#adv_").html("");$("#").css({"background":"white"});}</v>
      </c>
      <c r="AL52" s="17" t="str">
        <f t="shared" si="4"/>
        <v>if (=="") {$("#adv_").html("Requierd");} else {$("#adv_").html("");}</v>
      </c>
      <c r="AM52" s="50" t="str">
        <f t="shared" si="5"/>
        <v/>
      </c>
      <c r="AN52" s="51" t="str">
        <f t="shared" si="6"/>
        <v>=$("#").val();</v>
      </c>
      <c r="AO52" s="51" t="str">
        <f t="shared" si="30"/>
        <v/>
      </c>
      <c r="AP52" s="50" t="str">
        <f t="shared" si="7"/>
        <v>&lt;input type="checkbox" id="" name="" value="1" /&gt;</v>
      </c>
      <c r="AQ52" s="51" t="str">
        <f t="shared" si="8"/>
        <v>=document.getElementById("").checked;</v>
      </c>
      <c r="AR52" s="52" t="str">
        <f t="shared" si="9"/>
        <v>if (isset($_GET[''])) {$=($_GET['']);}else $='';</v>
      </c>
      <c r="AS52" s="17" t="str">
        <f t="shared" si="10"/>
        <v>Mobile phone</v>
      </c>
      <c r="AT52" s="17" t="str">
        <f t="shared" si="46"/>
        <v/>
      </c>
      <c r="AU52" s="50" t="str">
        <f t="shared" si="11"/>
        <v>&lt;input type="radio" name="Mobile phone" id="" value="" /&gt;</v>
      </c>
      <c r="AV52" s="15" t="str">
        <f t="shared" si="12"/>
        <v>else if (document.getElementById("</v>
      </c>
      <c r="AW52" s="51" t="str">
        <f t="shared" si="13"/>
        <v>else if (document.getElementById("").checked==true) {Mobile phone="";}</v>
      </c>
      <c r="AX52" s="17" t="str">
        <f t="shared" si="47"/>
        <v/>
      </c>
      <c r="AY52" s="52" t="str">
        <f t="shared" si="14"/>
        <v/>
      </c>
      <c r="AZ52" s="56" t="str">
        <f t="shared" si="15"/>
        <v>&lt;br/&gt;&lt;textarea rows="2" cols="80" id=""&gt;&lt;/textarea&gt;&lt;br/&gt;</v>
      </c>
      <c r="BA52" s="54" t="str">
        <f t="shared" si="16"/>
        <v>&lt;input type="text"  size="7"  id="" class="datepicker"/&gt;</v>
      </c>
      <c r="BB52" s="54" t="str">
        <f t="shared" si="48"/>
        <v/>
      </c>
      <c r="BC52" s="48" t="str">
        <f t="shared" si="49"/>
        <v/>
      </c>
      <c r="BD52" s="49" t="str">
        <f t="shared" si="50"/>
        <v/>
      </c>
      <c r="BE52" s="49">
        <f t="shared" si="55"/>
        <v>7</v>
      </c>
      <c r="BF52" s="55" t="str">
        <f t="shared" si="60"/>
        <v/>
      </c>
      <c r="BG52" s="6" t="str">
        <f t="shared" si="59"/>
        <v/>
      </c>
      <c r="BH52" s="17" t="str">
        <f t="shared" si="51"/>
        <v/>
      </c>
      <c r="BI52" s="17" t="str">
        <f t="shared" si="32"/>
        <v/>
      </c>
      <c r="BJ52" s="17">
        <f t="shared" si="33"/>
        <v>0</v>
      </c>
      <c r="BK52" s="17">
        <f t="shared" si="34"/>
        <v>1</v>
      </c>
      <c r="BL52" s="17" t="str">
        <f t="shared" si="58"/>
        <v/>
      </c>
      <c r="BO52" s="17" t="str">
        <f t="shared" si="52"/>
        <v/>
      </c>
      <c r="BP52" s="17" t="str">
        <f t="shared" si="18"/>
        <v/>
      </c>
      <c r="BQ52" s="17" t="str">
        <f t="shared" si="35"/>
        <v/>
      </c>
      <c r="BR52" s="17" t="str">
        <f t="shared" si="36"/>
        <v/>
      </c>
      <c r="BS52" s="17" t="str">
        <f t="shared" si="53"/>
        <v/>
      </c>
      <c r="BT52" s="17" t="str">
        <f t="shared" si="37"/>
        <v/>
      </c>
      <c r="BU52" s="17" t="str">
        <f t="shared" si="38"/>
        <v/>
      </c>
      <c r="BV52" s="17" t="str">
        <f t="shared" si="39"/>
        <v/>
      </c>
      <c r="BW52" s="17" t="str">
        <f t="shared" si="40"/>
        <v/>
      </c>
      <c r="BX52" s="17" t="str">
        <f t="shared" si="19"/>
        <v/>
      </c>
      <c r="BY52" s="17" t="str">
        <f t="shared" si="54"/>
        <v/>
      </c>
      <c r="BZ52" s="61" t="str">
        <f t="shared" si="41"/>
        <v/>
      </c>
      <c r="CA52" s="17" t="str">
        <f t="shared" si="20"/>
        <v/>
      </c>
      <c r="CB52" s="17" t="str">
        <f t="shared" si="21"/>
        <v/>
      </c>
      <c r="CC52" s="17" t="str">
        <f t="shared" si="42"/>
        <v/>
      </c>
      <c r="CD52" s="17" t="str">
        <f t="shared" si="22"/>
        <v/>
      </c>
      <c r="CE52" s="17" t="str">
        <f t="shared" si="23"/>
        <v/>
      </c>
      <c r="CF52" s="17" t="str">
        <f t="shared" si="43"/>
        <v/>
      </c>
      <c r="CG52" s="17" t="str">
        <f t="shared" si="44"/>
        <v/>
      </c>
    </row>
    <row r="53" spans="2:85" s="17" customFormat="1" hidden="1">
      <c r="B53" s="35"/>
      <c r="C53" s="35"/>
      <c r="D53" s="36"/>
      <c r="E53" s="35"/>
      <c r="F53" s="35"/>
      <c r="G53" s="35"/>
      <c r="H53" s="35"/>
      <c r="I53" s="59"/>
      <c r="AA53" s="47" t="s">
        <v>232</v>
      </c>
      <c r="AB53" s="17" t="str">
        <f t="shared" si="0"/>
        <v/>
      </c>
      <c r="AC53" s="17">
        <f t="shared" si="25"/>
        <v>0</v>
      </c>
      <c r="AD53" s="17">
        <f t="shared" si="45"/>
        <v>6</v>
      </c>
      <c r="AE53" s="17" t="str">
        <f t="shared" si="1"/>
        <v/>
      </c>
      <c r="AF53" s="17">
        <f t="shared" si="26"/>
        <v>0</v>
      </c>
      <c r="AG53" s="17">
        <f t="shared" si="27"/>
        <v>6</v>
      </c>
      <c r="AH53" s="17" t="str">
        <f t="shared" si="28"/>
        <v/>
      </c>
      <c r="AI53" s="17" t="str">
        <f t="shared" si="2"/>
        <v/>
      </c>
      <c r="AJ53" s="17" t="str">
        <f t="shared" si="29"/>
        <v/>
      </c>
      <c r="AK53" s="17" t="str">
        <f t="shared" si="3"/>
        <v>if () {$("#adv_").html("Requierd");$("#").css({"background":"yellow"});} else {$("#adv_").html("");$("#").css({"background":"white"});}</v>
      </c>
      <c r="AL53" s="17" t="str">
        <f t="shared" si="4"/>
        <v>if (=="") {$("#adv_").html("Requierd");} else {$("#adv_").html("");}</v>
      </c>
      <c r="AM53" s="50" t="str">
        <f t="shared" si="5"/>
        <v/>
      </c>
      <c r="AN53" s="51" t="str">
        <f t="shared" si="6"/>
        <v>=$("#").val();</v>
      </c>
      <c r="AO53" s="51" t="str">
        <f t="shared" si="30"/>
        <v/>
      </c>
      <c r="AP53" s="50" t="str">
        <f t="shared" si="7"/>
        <v>&lt;input type="checkbox" id="" name="" value="1" /&gt;</v>
      </c>
      <c r="AQ53" s="51" t="str">
        <f t="shared" si="8"/>
        <v>=document.getElementById("").checked;</v>
      </c>
      <c r="AR53" s="52" t="str">
        <f t="shared" si="9"/>
        <v>if (isset($_GET[''])) {$=($_GET['']);}else $='';</v>
      </c>
      <c r="AS53" s="17" t="str">
        <f t="shared" si="10"/>
        <v>Mobile phone</v>
      </c>
      <c r="AT53" s="17" t="str">
        <f t="shared" si="46"/>
        <v/>
      </c>
      <c r="AU53" s="50" t="str">
        <f t="shared" si="11"/>
        <v>&lt;input type="radio" name="Mobile phone" id="" value="" /&gt;</v>
      </c>
      <c r="AV53" s="15" t="str">
        <f t="shared" si="12"/>
        <v>else if (document.getElementById("</v>
      </c>
      <c r="AW53" s="51" t="str">
        <f t="shared" si="13"/>
        <v>else if (document.getElementById("").checked==true) {Mobile phone="";}</v>
      </c>
      <c r="AX53" s="17" t="str">
        <f t="shared" si="47"/>
        <v/>
      </c>
      <c r="AY53" s="52" t="str">
        <f t="shared" si="14"/>
        <v/>
      </c>
      <c r="AZ53" s="56" t="str">
        <f t="shared" si="15"/>
        <v>&lt;br/&gt;&lt;textarea rows="2" cols="80" id=""&gt;&lt;/textarea&gt;&lt;br/&gt;</v>
      </c>
      <c r="BA53" s="54" t="str">
        <f t="shared" si="16"/>
        <v>&lt;input type="text"  size="7"  id="" class="datepicker"/&gt;</v>
      </c>
      <c r="BB53" s="54" t="str">
        <f t="shared" si="48"/>
        <v/>
      </c>
      <c r="BC53" s="48" t="str">
        <f t="shared" si="49"/>
        <v/>
      </c>
      <c r="BD53" s="49" t="str">
        <f t="shared" si="50"/>
        <v/>
      </c>
      <c r="BE53" s="49">
        <f t="shared" si="55"/>
        <v>7</v>
      </c>
      <c r="BF53" s="55" t="str">
        <f t="shared" si="60"/>
        <v/>
      </c>
      <c r="BG53" s="6" t="str">
        <f t="shared" si="59"/>
        <v/>
      </c>
      <c r="BH53" s="17" t="str">
        <f t="shared" si="51"/>
        <v/>
      </c>
      <c r="BI53" s="17" t="str">
        <f t="shared" si="32"/>
        <v/>
      </c>
      <c r="BJ53" s="17">
        <f t="shared" si="33"/>
        <v>0</v>
      </c>
      <c r="BK53" s="17">
        <f t="shared" si="34"/>
        <v>1</v>
      </c>
      <c r="BL53" s="17" t="str">
        <f t="shared" si="58"/>
        <v/>
      </c>
      <c r="BO53" s="17" t="str">
        <f t="shared" si="52"/>
        <v/>
      </c>
      <c r="BP53" s="17" t="str">
        <f t="shared" si="18"/>
        <v/>
      </c>
      <c r="BQ53" s="17" t="str">
        <f t="shared" si="35"/>
        <v/>
      </c>
      <c r="BR53" s="17" t="str">
        <f t="shared" si="36"/>
        <v/>
      </c>
      <c r="BS53" s="17" t="str">
        <f t="shared" si="53"/>
        <v/>
      </c>
      <c r="BT53" s="17" t="str">
        <f t="shared" si="37"/>
        <v/>
      </c>
      <c r="BU53" s="17" t="str">
        <f t="shared" si="38"/>
        <v/>
      </c>
      <c r="BV53" s="17" t="str">
        <f t="shared" si="39"/>
        <v/>
      </c>
      <c r="BW53" s="17" t="str">
        <f t="shared" si="40"/>
        <v/>
      </c>
      <c r="BX53" s="17" t="str">
        <f t="shared" si="19"/>
        <v/>
      </c>
      <c r="BY53" s="17" t="str">
        <f t="shared" si="54"/>
        <v/>
      </c>
      <c r="BZ53" s="61" t="str">
        <f t="shared" si="41"/>
        <v/>
      </c>
      <c r="CA53" s="17" t="str">
        <f t="shared" si="20"/>
        <v/>
      </c>
      <c r="CB53" s="17" t="str">
        <f t="shared" si="21"/>
        <v/>
      </c>
      <c r="CC53" s="17" t="str">
        <f t="shared" si="42"/>
        <v/>
      </c>
      <c r="CD53" s="17" t="str">
        <f t="shared" si="22"/>
        <v/>
      </c>
      <c r="CE53" s="17" t="str">
        <f t="shared" si="23"/>
        <v/>
      </c>
      <c r="CF53" s="17" t="str">
        <f t="shared" si="43"/>
        <v/>
      </c>
      <c r="CG53" s="17" t="str">
        <f t="shared" si="44"/>
        <v/>
      </c>
    </row>
    <row r="54" spans="2:85" s="17" customFormat="1" hidden="1">
      <c r="B54" s="35"/>
      <c r="C54" s="35"/>
      <c r="D54" s="36"/>
      <c r="E54" s="35"/>
      <c r="F54" s="35"/>
      <c r="G54" s="35"/>
      <c r="H54" s="35"/>
      <c r="I54" s="59"/>
      <c r="AA54" s="47" t="s">
        <v>233</v>
      </c>
      <c r="AB54" s="17" t="str">
        <f t="shared" si="0"/>
        <v/>
      </c>
      <c r="AC54" s="17">
        <f t="shared" si="25"/>
        <v>0</v>
      </c>
      <c r="AD54" s="17">
        <f t="shared" si="45"/>
        <v>6</v>
      </c>
      <c r="AE54" s="17" t="str">
        <f t="shared" si="1"/>
        <v/>
      </c>
      <c r="AF54" s="17">
        <f t="shared" si="26"/>
        <v>0</v>
      </c>
      <c r="AG54" s="17">
        <f t="shared" si="27"/>
        <v>6</v>
      </c>
      <c r="AH54" s="17" t="str">
        <f t="shared" si="28"/>
        <v/>
      </c>
      <c r="AI54" s="17" t="str">
        <f t="shared" si="2"/>
        <v/>
      </c>
      <c r="AJ54" s="17" t="str">
        <f t="shared" si="29"/>
        <v/>
      </c>
      <c r="AK54" s="17" t="str">
        <f t="shared" si="3"/>
        <v>if () {$("#adv_").html("Requierd");$("#").css({"background":"yellow"});} else {$("#adv_").html("");$("#").css({"background":"white"});}</v>
      </c>
      <c r="AL54" s="17" t="str">
        <f t="shared" si="4"/>
        <v>if (=="") {$("#adv_").html("Requierd");} else {$("#adv_").html("");}</v>
      </c>
      <c r="AM54" s="50" t="str">
        <f t="shared" si="5"/>
        <v/>
      </c>
      <c r="AN54" s="51" t="str">
        <f t="shared" si="6"/>
        <v>=$("#").val();</v>
      </c>
      <c r="AO54" s="51" t="str">
        <f t="shared" si="30"/>
        <v/>
      </c>
      <c r="AP54" s="50" t="str">
        <f t="shared" si="7"/>
        <v>&lt;input type="checkbox" id="" name="" value="1" /&gt;</v>
      </c>
      <c r="AQ54" s="51" t="str">
        <f t="shared" si="8"/>
        <v>=document.getElementById("").checked;</v>
      </c>
      <c r="AR54" s="52" t="str">
        <f t="shared" si="9"/>
        <v>if (isset($_GET[''])) {$=($_GET['']);}else $='';</v>
      </c>
      <c r="AS54" s="17" t="str">
        <f t="shared" si="10"/>
        <v>Mobile phone</v>
      </c>
      <c r="AT54" s="17" t="str">
        <f t="shared" si="46"/>
        <v/>
      </c>
      <c r="AU54" s="50" t="str">
        <f t="shared" si="11"/>
        <v>&lt;input type="radio" name="Mobile phone" id="" value="" /&gt;</v>
      </c>
      <c r="AV54" s="15" t="str">
        <f t="shared" si="12"/>
        <v>else if (document.getElementById("</v>
      </c>
      <c r="AW54" s="51" t="str">
        <f t="shared" si="13"/>
        <v>else if (document.getElementById("").checked==true) {Mobile phone="";}</v>
      </c>
      <c r="AX54" s="17" t="str">
        <f t="shared" si="47"/>
        <v/>
      </c>
      <c r="AY54" s="52" t="str">
        <f t="shared" si="14"/>
        <v/>
      </c>
      <c r="AZ54" s="56" t="str">
        <f t="shared" si="15"/>
        <v>&lt;br/&gt;&lt;textarea rows="2" cols="80" id=""&gt;&lt;/textarea&gt;&lt;br/&gt;</v>
      </c>
      <c r="BA54" s="54" t="str">
        <f t="shared" si="16"/>
        <v>&lt;input type="text"  size="7"  id="" class="datepicker"/&gt;</v>
      </c>
      <c r="BB54" s="54" t="str">
        <f t="shared" si="48"/>
        <v/>
      </c>
      <c r="BC54" s="48" t="str">
        <f t="shared" si="49"/>
        <v/>
      </c>
      <c r="BD54" s="49" t="str">
        <f t="shared" si="50"/>
        <v/>
      </c>
      <c r="BE54" s="49">
        <f t="shared" si="55"/>
        <v>7</v>
      </c>
      <c r="BF54" s="55" t="str">
        <f t="shared" si="60"/>
        <v/>
      </c>
      <c r="BG54" s="6" t="str">
        <f t="shared" si="59"/>
        <v/>
      </c>
      <c r="BH54" s="17" t="str">
        <f t="shared" si="51"/>
        <v/>
      </c>
      <c r="BI54" s="17" t="str">
        <f t="shared" si="32"/>
        <v/>
      </c>
      <c r="BJ54" s="17">
        <f t="shared" si="33"/>
        <v>0</v>
      </c>
      <c r="BK54" s="17">
        <f t="shared" si="34"/>
        <v>1</v>
      </c>
      <c r="BL54" s="17" t="str">
        <f t="shared" si="58"/>
        <v/>
      </c>
      <c r="BO54" s="17" t="str">
        <f t="shared" si="52"/>
        <v/>
      </c>
      <c r="BP54" s="17" t="str">
        <f t="shared" si="18"/>
        <v/>
      </c>
      <c r="BQ54" s="17" t="str">
        <f t="shared" si="35"/>
        <v/>
      </c>
      <c r="BR54" s="17" t="str">
        <f t="shared" si="36"/>
        <v/>
      </c>
      <c r="BS54" s="17" t="str">
        <f t="shared" si="53"/>
        <v/>
      </c>
      <c r="BT54" s="17" t="str">
        <f t="shared" si="37"/>
        <v/>
      </c>
      <c r="BU54" s="17" t="str">
        <f t="shared" si="38"/>
        <v/>
      </c>
      <c r="BV54" s="17" t="str">
        <f t="shared" si="39"/>
        <v/>
      </c>
      <c r="BW54" s="17" t="str">
        <f t="shared" si="40"/>
        <v/>
      </c>
      <c r="BX54" s="17" t="str">
        <f t="shared" si="19"/>
        <v/>
      </c>
      <c r="BY54" s="17" t="str">
        <f t="shared" si="54"/>
        <v/>
      </c>
      <c r="BZ54" s="61" t="str">
        <f t="shared" si="41"/>
        <v/>
      </c>
      <c r="CA54" s="17" t="str">
        <f t="shared" si="20"/>
        <v/>
      </c>
      <c r="CB54" s="17" t="str">
        <f t="shared" si="21"/>
        <v/>
      </c>
      <c r="CC54" s="17" t="str">
        <f t="shared" si="42"/>
        <v/>
      </c>
      <c r="CD54" s="17" t="str">
        <f t="shared" si="22"/>
        <v/>
      </c>
      <c r="CE54" s="17" t="str">
        <f t="shared" si="23"/>
        <v/>
      </c>
      <c r="CF54" s="17" t="str">
        <f t="shared" si="43"/>
        <v/>
      </c>
      <c r="CG54" s="17" t="str">
        <f t="shared" si="44"/>
        <v/>
      </c>
    </row>
    <row r="55" spans="2:85" s="17" customFormat="1" hidden="1">
      <c r="B55" s="35"/>
      <c r="C55" s="35"/>
      <c r="D55" s="36"/>
      <c r="E55" s="35"/>
      <c r="F55" s="35"/>
      <c r="G55" s="35"/>
      <c r="H55" s="35"/>
      <c r="I55" s="59"/>
      <c r="AA55" s="47" t="s">
        <v>234</v>
      </c>
      <c r="AB55" s="17" t="str">
        <f t="shared" si="0"/>
        <v/>
      </c>
      <c r="AC55" s="17">
        <f t="shared" si="25"/>
        <v>0</v>
      </c>
      <c r="AD55" s="17">
        <f t="shared" si="45"/>
        <v>6</v>
      </c>
      <c r="AE55" s="17" t="str">
        <f t="shared" si="1"/>
        <v/>
      </c>
      <c r="AF55" s="17">
        <f t="shared" si="26"/>
        <v>0</v>
      </c>
      <c r="AG55" s="17">
        <f t="shared" si="27"/>
        <v>6</v>
      </c>
      <c r="AH55" s="17" t="str">
        <f t="shared" si="28"/>
        <v/>
      </c>
      <c r="AI55" s="17" t="str">
        <f t="shared" si="2"/>
        <v/>
      </c>
      <c r="AJ55" s="17" t="str">
        <f t="shared" si="29"/>
        <v/>
      </c>
      <c r="AK55" s="17" t="str">
        <f t="shared" si="3"/>
        <v>if () {$("#adv_").html("Requierd");$("#").css({"background":"yellow"});} else {$("#adv_").html("");$("#").css({"background":"white"});}</v>
      </c>
      <c r="AL55" s="17" t="str">
        <f t="shared" si="4"/>
        <v>if (=="") {$("#adv_").html("Requierd");} else {$("#adv_").html("");}</v>
      </c>
      <c r="AM55" s="50" t="str">
        <f t="shared" si="5"/>
        <v/>
      </c>
      <c r="AN55" s="51" t="str">
        <f t="shared" si="6"/>
        <v>=$("#").val();</v>
      </c>
      <c r="AO55" s="51" t="str">
        <f t="shared" si="30"/>
        <v/>
      </c>
      <c r="AP55" s="50" t="str">
        <f t="shared" si="7"/>
        <v>&lt;input type="checkbox" id="" name="" value="1" /&gt;</v>
      </c>
      <c r="AQ55" s="51" t="str">
        <f t="shared" si="8"/>
        <v>=document.getElementById("").checked;</v>
      </c>
      <c r="AR55" s="52" t="str">
        <f t="shared" si="9"/>
        <v>if (isset($_GET[''])) {$=($_GET['']);}else $='';</v>
      </c>
      <c r="AS55" s="17" t="str">
        <f t="shared" si="10"/>
        <v>Mobile phone</v>
      </c>
      <c r="AT55" s="17" t="str">
        <f t="shared" si="46"/>
        <v/>
      </c>
      <c r="AU55" s="50" t="str">
        <f t="shared" si="11"/>
        <v>&lt;input type="radio" name="Mobile phone" id="" value="" /&gt;</v>
      </c>
      <c r="AV55" s="15" t="str">
        <f t="shared" si="12"/>
        <v>else if (document.getElementById("</v>
      </c>
      <c r="AW55" s="51" t="str">
        <f t="shared" si="13"/>
        <v>else if (document.getElementById("").checked==true) {Mobile phone="";}</v>
      </c>
      <c r="AX55" s="17" t="str">
        <f t="shared" si="47"/>
        <v/>
      </c>
      <c r="AY55" s="52" t="str">
        <f t="shared" si="14"/>
        <v/>
      </c>
      <c r="AZ55" s="56" t="str">
        <f t="shared" si="15"/>
        <v>&lt;br/&gt;&lt;textarea rows="2" cols="80" id=""&gt;&lt;/textarea&gt;&lt;br/&gt;</v>
      </c>
      <c r="BA55" s="54" t="str">
        <f t="shared" si="16"/>
        <v>&lt;input type="text"  size="7"  id="" class="datepicker"/&gt;</v>
      </c>
      <c r="BB55" s="54" t="str">
        <f t="shared" si="48"/>
        <v/>
      </c>
      <c r="BC55" s="48" t="str">
        <f t="shared" si="49"/>
        <v/>
      </c>
      <c r="BD55" s="49" t="str">
        <f t="shared" si="50"/>
        <v/>
      </c>
      <c r="BE55" s="49">
        <f t="shared" si="55"/>
        <v>7</v>
      </c>
      <c r="BF55" s="55" t="str">
        <f t="shared" si="60"/>
        <v/>
      </c>
      <c r="BG55" s="6" t="str">
        <f t="shared" si="59"/>
        <v/>
      </c>
      <c r="BH55" s="17" t="str">
        <f t="shared" si="51"/>
        <v/>
      </c>
      <c r="BI55" s="17" t="str">
        <f t="shared" si="32"/>
        <v/>
      </c>
      <c r="BJ55" s="17">
        <f t="shared" si="33"/>
        <v>0</v>
      </c>
      <c r="BK55" s="17">
        <f t="shared" si="34"/>
        <v>1</v>
      </c>
      <c r="BL55" s="17" t="str">
        <f t="shared" si="58"/>
        <v/>
      </c>
      <c r="BO55" s="17" t="str">
        <f t="shared" si="52"/>
        <v/>
      </c>
      <c r="BP55" s="17" t="str">
        <f t="shared" si="18"/>
        <v/>
      </c>
      <c r="BQ55" s="17" t="str">
        <f t="shared" si="35"/>
        <v/>
      </c>
      <c r="BR55" s="17" t="str">
        <f t="shared" si="36"/>
        <v/>
      </c>
      <c r="BS55" s="17" t="str">
        <f t="shared" si="53"/>
        <v/>
      </c>
      <c r="BT55" s="17" t="str">
        <f t="shared" si="37"/>
        <v/>
      </c>
      <c r="BU55" s="17" t="str">
        <f t="shared" si="38"/>
        <v/>
      </c>
      <c r="BV55" s="17" t="str">
        <f t="shared" si="39"/>
        <v/>
      </c>
      <c r="BW55" s="17" t="str">
        <f t="shared" si="40"/>
        <v/>
      </c>
      <c r="BX55" s="17" t="str">
        <f t="shared" si="19"/>
        <v/>
      </c>
      <c r="BY55" s="17" t="str">
        <f t="shared" si="54"/>
        <v/>
      </c>
      <c r="BZ55" s="61" t="str">
        <f t="shared" si="41"/>
        <v/>
      </c>
      <c r="CA55" s="17" t="str">
        <f t="shared" si="20"/>
        <v/>
      </c>
      <c r="CB55" s="17" t="str">
        <f t="shared" si="21"/>
        <v/>
      </c>
      <c r="CC55" s="17" t="str">
        <f t="shared" si="42"/>
        <v/>
      </c>
      <c r="CD55" s="17" t="str">
        <f t="shared" si="22"/>
        <v/>
      </c>
      <c r="CE55" s="17" t="str">
        <f t="shared" si="23"/>
        <v/>
      </c>
      <c r="CF55" s="17" t="str">
        <f t="shared" si="43"/>
        <v/>
      </c>
      <c r="CG55" s="17" t="str">
        <f t="shared" si="44"/>
        <v/>
      </c>
    </row>
    <row r="56" spans="2:85" s="17" customFormat="1" hidden="1">
      <c r="B56" s="35"/>
      <c r="C56" s="35"/>
      <c r="D56" s="36"/>
      <c r="E56" s="35"/>
      <c r="F56" s="35"/>
      <c r="G56" s="35"/>
      <c r="H56" s="35"/>
      <c r="I56" s="59"/>
      <c r="AA56" s="47" t="s">
        <v>235</v>
      </c>
      <c r="AB56" s="17" t="str">
        <f t="shared" si="0"/>
        <v/>
      </c>
      <c r="AC56" s="17">
        <f t="shared" si="25"/>
        <v>0</v>
      </c>
      <c r="AD56" s="17">
        <f t="shared" si="45"/>
        <v>6</v>
      </c>
      <c r="AE56" s="17" t="str">
        <f t="shared" si="1"/>
        <v/>
      </c>
      <c r="AF56" s="17">
        <f t="shared" si="26"/>
        <v>0</v>
      </c>
      <c r="AG56" s="17">
        <f t="shared" si="27"/>
        <v>6</v>
      </c>
      <c r="AH56" s="17" t="str">
        <f t="shared" si="28"/>
        <v/>
      </c>
      <c r="AI56" s="17" t="str">
        <f t="shared" si="2"/>
        <v/>
      </c>
      <c r="AJ56" s="17" t="str">
        <f t="shared" si="29"/>
        <v/>
      </c>
      <c r="AK56" s="17" t="str">
        <f t="shared" si="3"/>
        <v>if () {$("#adv_").html("Requierd");$("#").css({"background":"yellow"});} else {$("#adv_").html("");$("#").css({"background":"white"});}</v>
      </c>
      <c r="AL56" s="17" t="str">
        <f t="shared" si="4"/>
        <v>if (=="") {$("#adv_").html("Requierd");} else {$("#adv_").html("");}</v>
      </c>
      <c r="AM56" s="50" t="str">
        <f t="shared" si="5"/>
        <v/>
      </c>
      <c r="AN56" s="51" t="str">
        <f t="shared" si="6"/>
        <v>=$("#").val();</v>
      </c>
      <c r="AO56" s="51" t="str">
        <f t="shared" si="30"/>
        <v/>
      </c>
      <c r="AP56" s="50" t="str">
        <f t="shared" si="7"/>
        <v>&lt;input type="checkbox" id="" name="" value="1" /&gt;</v>
      </c>
      <c r="AQ56" s="51" t="str">
        <f t="shared" si="8"/>
        <v>=document.getElementById("").checked;</v>
      </c>
      <c r="AR56" s="52" t="str">
        <f t="shared" si="9"/>
        <v>if (isset($_GET[''])) {$=($_GET['']);}else $='';</v>
      </c>
      <c r="AS56" s="17" t="str">
        <f t="shared" si="10"/>
        <v>Mobile phone</v>
      </c>
      <c r="AT56" s="17" t="str">
        <f t="shared" si="46"/>
        <v/>
      </c>
      <c r="AU56" s="50" t="str">
        <f t="shared" si="11"/>
        <v>&lt;input type="radio" name="Mobile phone" id="" value="" /&gt;</v>
      </c>
      <c r="AV56" s="15" t="str">
        <f t="shared" si="12"/>
        <v>else if (document.getElementById("</v>
      </c>
      <c r="AW56" s="51" t="str">
        <f t="shared" si="13"/>
        <v>else if (document.getElementById("").checked==true) {Mobile phone="";}</v>
      </c>
      <c r="AX56" s="17" t="str">
        <f t="shared" si="47"/>
        <v/>
      </c>
      <c r="AY56" s="52" t="str">
        <f t="shared" si="14"/>
        <v/>
      </c>
      <c r="AZ56" s="56" t="str">
        <f t="shared" si="15"/>
        <v>&lt;br/&gt;&lt;textarea rows="2" cols="80" id=""&gt;&lt;/textarea&gt;&lt;br/&gt;</v>
      </c>
      <c r="BA56" s="54" t="str">
        <f t="shared" si="16"/>
        <v>&lt;input type="text"  size="7"  id="" class="datepicker"/&gt;</v>
      </c>
      <c r="BB56" s="54" t="str">
        <f t="shared" si="48"/>
        <v/>
      </c>
      <c r="BC56" s="48" t="str">
        <f t="shared" si="49"/>
        <v/>
      </c>
      <c r="BD56" s="49" t="str">
        <f t="shared" si="50"/>
        <v/>
      </c>
      <c r="BE56" s="49">
        <f t="shared" si="55"/>
        <v>7</v>
      </c>
      <c r="BF56" s="55" t="str">
        <f t="shared" si="60"/>
        <v/>
      </c>
      <c r="BG56" s="6" t="str">
        <f t="shared" si="59"/>
        <v/>
      </c>
      <c r="BH56" s="17" t="str">
        <f t="shared" si="51"/>
        <v/>
      </c>
      <c r="BI56" s="17" t="str">
        <f t="shared" si="32"/>
        <v/>
      </c>
      <c r="BJ56" s="17">
        <f t="shared" si="33"/>
        <v>0</v>
      </c>
      <c r="BK56" s="17">
        <f t="shared" si="34"/>
        <v>1</v>
      </c>
      <c r="BL56" s="17" t="str">
        <f t="shared" si="58"/>
        <v/>
      </c>
      <c r="BO56" s="17" t="str">
        <f t="shared" si="52"/>
        <v/>
      </c>
      <c r="BP56" s="17" t="str">
        <f t="shared" si="18"/>
        <v/>
      </c>
      <c r="BQ56" s="17" t="str">
        <f t="shared" si="35"/>
        <v/>
      </c>
      <c r="BR56" s="17" t="str">
        <f t="shared" si="36"/>
        <v/>
      </c>
      <c r="BS56" s="17" t="str">
        <f t="shared" si="53"/>
        <v/>
      </c>
      <c r="BT56" s="17" t="str">
        <f t="shared" si="37"/>
        <v/>
      </c>
      <c r="BU56" s="17" t="str">
        <f t="shared" si="38"/>
        <v/>
      </c>
      <c r="BV56" s="17" t="str">
        <f t="shared" si="39"/>
        <v/>
      </c>
      <c r="BW56" s="17" t="str">
        <f t="shared" si="40"/>
        <v/>
      </c>
      <c r="BX56" s="17" t="str">
        <f t="shared" si="19"/>
        <v/>
      </c>
      <c r="BY56" s="17" t="str">
        <f t="shared" si="54"/>
        <v/>
      </c>
      <c r="BZ56" s="61" t="str">
        <f t="shared" si="41"/>
        <v/>
      </c>
      <c r="CA56" s="17" t="str">
        <f t="shared" si="20"/>
        <v/>
      </c>
      <c r="CB56" s="17" t="str">
        <f t="shared" si="21"/>
        <v/>
      </c>
      <c r="CC56" s="17" t="str">
        <f t="shared" si="42"/>
        <v/>
      </c>
      <c r="CD56" s="17" t="str">
        <f t="shared" si="22"/>
        <v/>
      </c>
      <c r="CE56" s="17" t="str">
        <f t="shared" si="23"/>
        <v/>
      </c>
      <c r="CF56" s="17" t="str">
        <f t="shared" si="43"/>
        <v/>
      </c>
      <c r="CG56" s="17" t="str">
        <f t="shared" si="44"/>
        <v/>
      </c>
    </row>
    <row r="57" spans="2:85" s="17" customFormat="1" hidden="1">
      <c r="B57" s="35"/>
      <c r="C57" s="35"/>
      <c r="D57" s="36"/>
      <c r="E57" s="35"/>
      <c r="F57" s="35"/>
      <c r="G57" s="35"/>
      <c r="H57" s="35"/>
      <c r="I57" s="59"/>
      <c r="AA57" s="47" t="s">
        <v>236</v>
      </c>
      <c r="AB57" s="17" t="str">
        <f t="shared" si="0"/>
        <v/>
      </c>
      <c r="AC57" s="17">
        <f t="shared" si="25"/>
        <v>0</v>
      </c>
      <c r="AD57" s="17">
        <f t="shared" si="45"/>
        <v>6</v>
      </c>
      <c r="AE57" s="17" t="str">
        <f t="shared" si="1"/>
        <v/>
      </c>
      <c r="AF57" s="17">
        <f t="shared" si="26"/>
        <v>0</v>
      </c>
      <c r="AG57" s="17">
        <f t="shared" si="27"/>
        <v>6</v>
      </c>
      <c r="AH57" s="17" t="str">
        <f t="shared" si="28"/>
        <v/>
      </c>
      <c r="AI57" s="17" t="str">
        <f t="shared" si="2"/>
        <v/>
      </c>
      <c r="AJ57" s="17" t="str">
        <f t="shared" si="29"/>
        <v/>
      </c>
      <c r="AK57" s="17" t="str">
        <f t="shared" si="3"/>
        <v>if () {$("#adv_").html("Requierd");$("#").css({"background":"yellow"});} else {$("#adv_").html("");$("#").css({"background":"white"});}</v>
      </c>
      <c r="AL57" s="17" t="str">
        <f t="shared" si="4"/>
        <v>if (=="") {$("#adv_").html("Requierd");} else {$("#adv_").html("");}</v>
      </c>
      <c r="AM57" s="50" t="str">
        <f t="shared" si="5"/>
        <v/>
      </c>
      <c r="AN57" s="51" t="str">
        <f t="shared" si="6"/>
        <v>=$("#").val();</v>
      </c>
      <c r="AO57" s="51" t="str">
        <f t="shared" si="30"/>
        <v/>
      </c>
      <c r="AP57" s="50" t="str">
        <f t="shared" si="7"/>
        <v>&lt;input type="checkbox" id="" name="" value="1" /&gt;</v>
      </c>
      <c r="AQ57" s="51" t="str">
        <f t="shared" si="8"/>
        <v>=document.getElementById("").checked;</v>
      </c>
      <c r="AR57" s="52" t="str">
        <f t="shared" si="9"/>
        <v>if (isset($_GET[''])) {$=($_GET['']);}else $='';</v>
      </c>
      <c r="AS57" s="17" t="str">
        <f t="shared" si="10"/>
        <v>Mobile phone</v>
      </c>
      <c r="AT57" s="17" t="str">
        <f t="shared" si="46"/>
        <v/>
      </c>
      <c r="AU57" s="50" t="str">
        <f t="shared" si="11"/>
        <v>&lt;input type="radio" name="Mobile phone" id="" value="" /&gt;</v>
      </c>
      <c r="AV57" s="15" t="str">
        <f t="shared" si="12"/>
        <v>else if (document.getElementById("</v>
      </c>
      <c r="AW57" s="51" t="str">
        <f t="shared" si="13"/>
        <v>else if (document.getElementById("").checked==true) {Mobile phone="";}</v>
      </c>
      <c r="AX57" s="17" t="str">
        <f t="shared" si="47"/>
        <v/>
      </c>
      <c r="AY57" s="52" t="str">
        <f t="shared" si="14"/>
        <v/>
      </c>
      <c r="AZ57" s="56" t="str">
        <f t="shared" si="15"/>
        <v>&lt;br/&gt;&lt;textarea rows="2" cols="80" id=""&gt;&lt;/textarea&gt;&lt;br/&gt;</v>
      </c>
      <c r="BA57" s="54" t="str">
        <f t="shared" si="16"/>
        <v>&lt;input type="text"  size="7"  id="" class="datepicker"/&gt;</v>
      </c>
      <c r="BB57" s="54" t="str">
        <f t="shared" si="48"/>
        <v/>
      </c>
      <c r="BC57" s="48" t="str">
        <f t="shared" si="49"/>
        <v/>
      </c>
      <c r="BD57" s="49" t="str">
        <f t="shared" si="50"/>
        <v/>
      </c>
      <c r="BE57" s="49">
        <f t="shared" si="55"/>
        <v>7</v>
      </c>
      <c r="BF57" s="55" t="str">
        <f t="shared" si="60"/>
        <v/>
      </c>
      <c r="BG57" s="6" t="str">
        <f t="shared" si="59"/>
        <v/>
      </c>
      <c r="BH57" s="17" t="str">
        <f t="shared" si="51"/>
        <v/>
      </c>
      <c r="BI57" s="17" t="str">
        <f t="shared" si="32"/>
        <v/>
      </c>
      <c r="BJ57" s="17">
        <f t="shared" si="33"/>
        <v>0</v>
      </c>
      <c r="BK57" s="17">
        <f t="shared" si="34"/>
        <v>1</v>
      </c>
      <c r="BL57" s="17" t="str">
        <f t="shared" si="58"/>
        <v/>
      </c>
      <c r="BO57" s="17" t="str">
        <f t="shared" si="52"/>
        <v/>
      </c>
      <c r="BP57" s="17" t="str">
        <f t="shared" si="18"/>
        <v/>
      </c>
      <c r="BQ57" s="17" t="str">
        <f t="shared" si="35"/>
        <v/>
      </c>
      <c r="BR57" s="17" t="str">
        <f t="shared" si="36"/>
        <v/>
      </c>
      <c r="BS57" s="17" t="str">
        <f t="shared" si="53"/>
        <v/>
      </c>
      <c r="BT57" s="17" t="str">
        <f t="shared" si="37"/>
        <v/>
      </c>
      <c r="BU57" s="17" t="str">
        <f t="shared" si="38"/>
        <v/>
      </c>
      <c r="BV57" s="17" t="str">
        <f t="shared" si="39"/>
        <v/>
      </c>
      <c r="BW57" s="17" t="str">
        <f t="shared" si="40"/>
        <v/>
      </c>
      <c r="BX57" s="17" t="str">
        <f t="shared" si="19"/>
        <v/>
      </c>
      <c r="BY57" s="17" t="str">
        <f t="shared" si="54"/>
        <v/>
      </c>
      <c r="BZ57" s="61" t="str">
        <f t="shared" si="41"/>
        <v/>
      </c>
      <c r="CA57" s="17" t="str">
        <f t="shared" si="20"/>
        <v/>
      </c>
      <c r="CB57" s="17" t="str">
        <f t="shared" si="21"/>
        <v/>
      </c>
      <c r="CC57" s="17" t="str">
        <f t="shared" si="42"/>
        <v/>
      </c>
      <c r="CD57" s="17" t="str">
        <f t="shared" si="22"/>
        <v/>
      </c>
      <c r="CE57" s="17" t="str">
        <f t="shared" si="23"/>
        <v/>
      </c>
      <c r="CF57" s="17" t="str">
        <f t="shared" si="43"/>
        <v/>
      </c>
      <c r="CG57" s="17" t="str">
        <f t="shared" si="44"/>
        <v/>
      </c>
    </row>
    <row r="58" spans="2:85" s="17" customFormat="1" hidden="1">
      <c r="B58" s="35"/>
      <c r="C58" s="35"/>
      <c r="D58" s="36"/>
      <c r="E58" s="35"/>
      <c r="F58" s="35"/>
      <c r="G58" s="35"/>
      <c r="H58" s="35"/>
      <c r="I58" s="59"/>
      <c r="AA58" s="47" t="s">
        <v>237</v>
      </c>
      <c r="AB58" s="17" t="str">
        <f t="shared" si="0"/>
        <v/>
      </c>
      <c r="AC58" s="17">
        <f t="shared" si="25"/>
        <v>0</v>
      </c>
      <c r="AD58" s="17">
        <f t="shared" si="45"/>
        <v>6</v>
      </c>
      <c r="AE58" s="17" t="str">
        <f t="shared" si="1"/>
        <v/>
      </c>
      <c r="AF58" s="17">
        <f t="shared" si="26"/>
        <v>0</v>
      </c>
      <c r="AG58" s="17">
        <f t="shared" si="27"/>
        <v>6</v>
      </c>
      <c r="AH58" s="17" t="str">
        <f t="shared" si="28"/>
        <v/>
      </c>
      <c r="AI58" s="17" t="str">
        <f t="shared" si="2"/>
        <v/>
      </c>
      <c r="AJ58" s="17" t="str">
        <f t="shared" si="29"/>
        <v/>
      </c>
      <c r="AK58" s="17" t="str">
        <f t="shared" si="3"/>
        <v>if () {$("#adv_").html("Requierd");$("#").css({"background":"yellow"});} else {$("#adv_").html("");$("#").css({"background":"white"});}</v>
      </c>
      <c r="AL58" s="17" t="str">
        <f t="shared" si="4"/>
        <v>if (=="") {$("#adv_").html("Requierd");} else {$("#adv_").html("");}</v>
      </c>
      <c r="AM58" s="50" t="str">
        <f t="shared" si="5"/>
        <v/>
      </c>
      <c r="AN58" s="51" t="str">
        <f t="shared" si="6"/>
        <v>=$("#").val();</v>
      </c>
      <c r="AO58" s="51" t="str">
        <f t="shared" si="30"/>
        <v/>
      </c>
      <c r="AP58" s="50" t="str">
        <f t="shared" si="7"/>
        <v>&lt;input type="checkbox" id="" name="" value="1" /&gt;</v>
      </c>
      <c r="AQ58" s="51" t="str">
        <f t="shared" si="8"/>
        <v>=document.getElementById("").checked;</v>
      </c>
      <c r="AR58" s="52" t="str">
        <f t="shared" si="9"/>
        <v>if (isset($_GET[''])) {$=($_GET['']);}else $='';</v>
      </c>
      <c r="AS58" s="17" t="str">
        <f t="shared" si="10"/>
        <v>Mobile phone</v>
      </c>
      <c r="AT58" s="17" t="str">
        <f t="shared" si="46"/>
        <v/>
      </c>
      <c r="AU58" s="50" t="str">
        <f t="shared" si="11"/>
        <v>&lt;input type="radio" name="Mobile phone" id="" value="" /&gt;</v>
      </c>
      <c r="AV58" s="15" t="str">
        <f t="shared" si="12"/>
        <v>else if (document.getElementById("</v>
      </c>
      <c r="AW58" s="51" t="str">
        <f t="shared" si="13"/>
        <v>else if (document.getElementById("").checked==true) {Mobile phone="";}</v>
      </c>
      <c r="AX58" s="17" t="str">
        <f t="shared" si="47"/>
        <v/>
      </c>
      <c r="AY58" s="52" t="str">
        <f t="shared" si="14"/>
        <v/>
      </c>
      <c r="AZ58" s="56" t="str">
        <f t="shared" si="15"/>
        <v>&lt;br/&gt;&lt;textarea rows="2" cols="80" id=""&gt;&lt;/textarea&gt;&lt;br/&gt;</v>
      </c>
      <c r="BA58" s="54" t="str">
        <f t="shared" si="16"/>
        <v>&lt;input type="text"  size="7"  id="" class="datepicker"/&gt;</v>
      </c>
      <c r="BB58" s="54" t="str">
        <f t="shared" si="48"/>
        <v/>
      </c>
      <c r="BC58" s="48" t="str">
        <f t="shared" si="49"/>
        <v/>
      </c>
      <c r="BD58" s="49" t="str">
        <f t="shared" si="50"/>
        <v/>
      </c>
      <c r="BE58" s="49">
        <f t="shared" si="55"/>
        <v>7</v>
      </c>
      <c r="BF58" s="55" t="str">
        <f t="shared" si="60"/>
        <v/>
      </c>
      <c r="BG58" s="6" t="str">
        <f t="shared" si="59"/>
        <v/>
      </c>
      <c r="BH58" s="17" t="str">
        <f t="shared" si="51"/>
        <v/>
      </c>
      <c r="BI58" s="17" t="str">
        <f t="shared" si="32"/>
        <v/>
      </c>
      <c r="BJ58" s="17">
        <f t="shared" si="33"/>
        <v>0</v>
      </c>
      <c r="BK58" s="17">
        <f t="shared" si="34"/>
        <v>1</v>
      </c>
      <c r="BL58" s="17" t="str">
        <f t="shared" si="58"/>
        <v/>
      </c>
      <c r="BO58" s="17" t="str">
        <f t="shared" si="52"/>
        <v/>
      </c>
      <c r="BP58" s="17" t="str">
        <f t="shared" si="18"/>
        <v/>
      </c>
      <c r="BQ58" s="17" t="str">
        <f t="shared" si="35"/>
        <v/>
      </c>
      <c r="BR58" s="17" t="str">
        <f t="shared" si="36"/>
        <v/>
      </c>
      <c r="BS58" s="17" t="str">
        <f t="shared" si="53"/>
        <v/>
      </c>
      <c r="BT58" s="17" t="str">
        <f t="shared" si="37"/>
        <v/>
      </c>
      <c r="BU58" s="17" t="str">
        <f t="shared" si="38"/>
        <v/>
      </c>
      <c r="BV58" s="17" t="str">
        <f t="shared" si="39"/>
        <v/>
      </c>
      <c r="BW58" s="17" t="str">
        <f t="shared" si="40"/>
        <v/>
      </c>
      <c r="BX58" s="17" t="str">
        <f t="shared" si="19"/>
        <v/>
      </c>
      <c r="BY58" s="17" t="str">
        <f t="shared" si="54"/>
        <v/>
      </c>
      <c r="BZ58" s="61" t="str">
        <f t="shared" si="41"/>
        <v/>
      </c>
      <c r="CA58" s="17" t="str">
        <f t="shared" si="20"/>
        <v/>
      </c>
      <c r="CB58" s="17" t="str">
        <f t="shared" si="21"/>
        <v/>
      </c>
      <c r="CC58" s="17" t="str">
        <f t="shared" si="42"/>
        <v/>
      </c>
      <c r="CD58" s="17" t="str">
        <f t="shared" si="22"/>
        <v/>
      </c>
      <c r="CE58" s="17" t="str">
        <f t="shared" si="23"/>
        <v/>
      </c>
      <c r="CF58" s="17" t="str">
        <f t="shared" si="43"/>
        <v/>
      </c>
      <c r="CG58" s="17" t="str">
        <f t="shared" si="44"/>
        <v/>
      </c>
    </row>
    <row r="59" spans="2:85" s="17" customFormat="1" hidden="1">
      <c r="B59" s="35"/>
      <c r="C59" s="35"/>
      <c r="D59" s="36"/>
      <c r="E59" s="35"/>
      <c r="F59" s="35"/>
      <c r="G59" s="35"/>
      <c r="H59" s="35"/>
      <c r="I59" s="59"/>
      <c r="AA59" s="47" t="s">
        <v>238</v>
      </c>
      <c r="AB59" s="17" t="str">
        <f t="shared" si="0"/>
        <v/>
      </c>
      <c r="AC59" s="17">
        <f t="shared" si="25"/>
        <v>0</v>
      </c>
      <c r="AD59" s="17">
        <f t="shared" si="45"/>
        <v>6</v>
      </c>
      <c r="AE59" s="17" t="str">
        <f t="shared" si="1"/>
        <v/>
      </c>
      <c r="AF59" s="17">
        <f t="shared" si="26"/>
        <v>0</v>
      </c>
      <c r="AG59" s="17">
        <f t="shared" si="27"/>
        <v>6</v>
      </c>
      <c r="AH59" s="17" t="str">
        <f t="shared" si="28"/>
        <v/>
      </c>
      <c r="AI59" s="17" t="str">
        <f t="shared" si="2"/>
        <v/>
      </c>
      <c r="AJ59" s="17" t="str">
        <f t="shared" si="29"/>
        <v/>
      </c>
      <c r="AK59" s="17" t="str">
        <f t="shared" si="3"/>
        <v>if () {$("#adv_").html("Requierd");$("#").css({"background":"yellow"});} else {$("#adv_").html("");$("#").css({"background":"white"});}</v>
      </c>
      <c r="AL59" s="17" t="str">
        <f t="shared" si="4"/>
        <v>if (=="") {$("#adv_").html("Requierd");} else {$("#adv_").html("");}</v>
      </c>
      <c r="AM59" s="50" t="str">
        <f t="shared" si="5"/>
        <v/>
      </c>
      <c r="AN59" s="51" t="str">
        <f t="shared" si="6"/>
        <v>=$("#").val();</v>
      </c>
      <c r="AO59" s="51" t="str">
        <f t="shared" si="30"/>
        <v/>
      </c>
      <c r="AP59" s="50" t="str">
        <f t="shared" si="7"/>
        <v>&lt;input type="checkbox" id="" name="" value="1" /&gt;</v>
      </c>
      <c r="AQ59" s="51" t="str">
        <f t="shared" si="8"/>
        <v>=document.getElementById("").checked;</v>
      </c>
      <c r="AR59" s="52" t="str">
        <f t="shared" si="9"/>
        <v>if (isset($_GET[''])) {$=($_GET['']);}else $='';</v>
      </c>
      <c r="AS59" s="17" t="str">
        <f t="shared" si="10"/>
        <v>Mobile phone</v>
      </c>
      <c r="AT59" s="17" t="str">
        <f t="shared" si="46"/>
        <v/>
      </c>
      <c r="AU59" s="50" t="str">
        <f t="shared" si="11"/>
        <v>&lt;input type="radio" name="Mobile phone" id="" value="" /&gt;</v>
      </c>
      <c r="AV59" s="15" t="str">
        <f t="shared" si="12"/>
        <v>else if (document.getElementById("</v>
      </c>
      <c r="AW59" s="51" t="str">
        <f t="shared" si="13"/>
        <v>else if (document.getElementById("").checked==true) {Mobile phone="";}</v>
      </c>
      <c r="AX59" s="17" t="str">
        <f t="shared" si="47"/>
        <v/>
      </c>
      <c r="AY59" s="52" t="str">
        <f t="shared" si="14"/>
        <v/>
      </c>
      <c r="AZ59" s="56" t="str">
        <f t="shared" si="15"/>
        <v>&lt;br/&gt;&lt;textarea rows="2" cols="80" id=""&gt;&lt;/textarea&gt;&lt;br/&gt;</v>
      </c>
      <c r="BA59" s="54" t="str">
        <f t="shared" si="16"/>
        <v>&lt;input type="text"  size="7"  id="" class="datepicker"/&gt;</v>
      </c>
      <c r="BB59" s="54" t="str">
        <f t="shared" si="48"/>
        <v/>
      </c>
      <c r="BC59" s="48" t="str">
        <f t="shared" si="49"/>
        <v/>
      </c>
      <c r="BD59" s="49" t="str">
        <f t="shared" si="50"/>
        <v/>
      </c>
      <c r="BE59" s="49">
        <f t="shared" si="55"/>
        <v>7</v>
      </c>
      <c r="BF59" s="55" t="str">
        <f t="shared" si="60"/>
        <v/>
      </c>
      <c r="BG59" s="6" t="str">
        <f t="shared" si="59"/>
        <v/>
      </c>
      <c r="BH59" s="17" t="str">
        <f t="shared" si="51"/>
        <v/>
      </c>
      <c r="BI59" s="17" t="str">
        <f t="shared" si="32"/>
        <v/>
      </c>
      <c r="BJ59" s="17">
        <f t="shared" si="33"/>
        <v>0</v>
      </c>
      <c r="BK59" s="17">
        <f t="shared" si="34"/>
        <v>1</v>
      </c>
      <c r="BL59" s="17" t="str">
        <f t="shared" si="58"/>
        <v/>
      </c>
      <c r="BO59" s="17" t="str">
        <f t="shared" si="52"/>
        <v/>
      </c>
      <c r="BP59" s="17" t="str">
        <f t="shared" si="18"/>
        <v/>
      </c>
      <c r="BQ59" s="17" t="str">
        <f t="shared" si="35"/>
        <v/>
      </c>
      <c r="BR59" s="17" t="str">
        <f t="shared" si="36"/>
        <v/>
      </c>
      <c r="BS59" s="17" t="str">
        <f t="shared" si="53"/>
        <v/>
      </c>
      <c r="BT59" s="17" t="str">
        <f t="shared" si="37"/>
        <v/>
      </c>
      <c r="BU59" s="17" t="str">
        <f t="shared" si="38"/>
        <v/>
      </c>
      <c r="BV59" s="17" t="str">
        <f t="shared" si="39"/>
        <v/>
      </c>
      <c r="BW59" s="17" t="str">
        <f t="shared" si="40"/>
        <v/>
      </c>
      <c r="BX59" s="17" t="str">
        <f t="shared" si="19"/>
        <v/>
      </c>
      <c r="BY59" s="17" t="str">
        <f t="shared" si="54"/>
        <v/>
      </c>
      <c r="BZ59" s="61" t="str">
        <f t="shared" si="41"/>
        <v/>
      </c>
      <c r="CA59" s="17" t="str">
        <f t="shared" si="20"/>
        <v/>
      </c>
      <c r="CB59" s="17" t="str">
        <f t="shared" si="21"/>
        <v/>
      </c>
      <c r="CC59" s="17" t="str">
        <f t="shared" si="42"/>
        <v/>
      </c>
      <c r="CD59" s="17" t="str">
        <f t="shared" si="22"/>
        <v/>
      </c>
      <c r="CE59" s="17" t="str">
        <f t="shared" si="23"/>
        <v/>
      </c>
      <c r="CF59" s="17" t="str">
        <f t="shared" si="43"/>
        <v/>
      </c>
      <c r="CG59" s="17" t="str">
        <f t="shared" si="44"/>
        <v/>
      </c>
    </row>
    <row r="60" spans="2:85" s="17" customFormat="1" hidden="1">
      <c r="B60" s="35"/>
      <c r="C60" s="35"/>
      <c r="D60" s="36"/>
      <c r="E60" s="35"/>
      <c r="F60" s="35"/>
      <c r="G60" s="35"/>
      <c r="H60" s="35"/>
      <c r="I60" s="59"/>
      <c r="AA60" s="47" t="s">
        <v>239</v>
      </c>
      <c r="AB60" s="17" t="str">
        <f t="shared" si="0"/>
        <v/>
      </c>
      <c r="AC60" s="17">
        <f t="shared" si="25"/>
        <v>0</v>
      </c>
      <c r="AD60" s="17">
        <f t="shared" si="45"/>
        <v>6</v>
      </c>
      <c r="AE60" s="17" t="str">
        <f t="shared" si="1"/>
        <v/>
      </c>
      <c r="AF60" s="17">
        <f t="shared" si="26"/>
        <v>0</v>
      </c>
      <c r="AG60" s="17">
        <f t="shared" si="27"/>
        <v>6</v>
      </c>
      <c r="AH60" s="17" t="str">
        <f t="shared" si="28"/>
        <v/>
      </c>
      <c r="AI60" s="17" t="str">
        <f t="shared" si="2"/>
        <v/>
      </c>
      <c r="AJ60" s="17" t="str">
        <f t="shared" si="29"/>
        <v/>
      </c>
      <c r="AK60" s="17" t="str">
        <f t="shared" si="3"/>
        <v>if () {$("#adv_").html("Requierd");$("#").css({"background":"yellow"});} else {$("#adv_").html("");$("#").css({"background":"white"});}</v>
      </c>
      <c r="AL60" s="17" t="str">
        <f t="shared" si="4"/>
        <v>if (=="") {$("#adv_").html("Requierd");} else {$("#adv_").html("");}</v>
      </c>
      <c r="AM60" s="50" t="str">
        <f t="shared" si="5"/>
        <v/>
      </c>
      <c r="AN60" s="51" t="str">
        <f t="shared" si="6"/>
        <v>=$("#").val();</v>
      </c>
      <c r="AO60" s="51" t="str">
        <f t="shared" si="30"/>
        <v/>
      </c>
      <c r="AP60" s="50" t="str">
        <f t="shared" si="7"/>
        <v>&lt;input type="checkbox" id="" name="" value="1" /&gt;</v>
      </c>
      <c r="AQ60" s="51" t="str">
        <f t="shared" si="8"/>
        <v>=document.getElementById("").checked;</v>
      </c>
      <c r="AR60" s="52" t="str">
        <f t="shared" si="9"/>
        <v>if (isset($_GET[''])) {$=($_GET['']);}else $='';</v>
      </c>
      <c r="AS60" s="17" t="str">
        <f t="shared" si="10"/>
        <v>Mobile phone</v>
      </c>
      <c r="AT60" s="17" t="str">
        <f t="shared" si="46"/>
        <v/>
      </c>
      <c r="AU60" s="50" t="str">
        <f t="shared" si="11"/>
        <v>&lt;input type="radio" name="Mobile phone" id="" value="" /&gt;</v>
      </c>
      <c r="AV60" s="15" t="str">
        <f t="shared" si="12"/>
        <v>else if (document.getElementById("</v>
      </c>
      <c r="AW60" s="51" t="str">
        <f t="shared" si="13"/>
        <v>else if (document.getElementById("").checked==true) {Mobile phone="";}</v>
      </c>
      <c r="AX60" s="17" t="str">
        <f t="shared" si="47"/>
        <v/>
      </c>
      <c r="AY60" s="52" t="str">
        <f t="shared" si="14"/>
        <v/>
      </c>
      <c r="AZ60" s="56" t="str">
        <f t="shared" si="15"/>
        <v>&lt;br/&gt;&lt;textarea rows="2" cols="80" id=""&gt;&lt;/textarea&gt;&lt;br/&gt;</v>
      </c>
      <c r="BA60" s="54" t="str">
        <f t="shared" si="16"/>
        <v>&lt;input type="text"  size="7"  id="" class="datepicker"/&gt;</v>
      </c>
      <c r="BB60" s="54" t="str">
        <f t="shared" si="48"/>
        <v/>
      </c>
      <c r="BC60" s="48" t="str">
        <f t="shared" si="49"/>
        <v/>
      </c>
      <c r="BD60" s="49" t="str">
        <f t="shared" si="50"/>
        <v/>
      </c>
      <c r="BE60" s="49">
        <f t="shared" si="55"/>
        <v>7</v>
      </c>
      <c r="BF60" s="55" t="str">
        <f t="shared" si="60"/>
        <v/>
      </c>
      <c r="BG60" s="6" t="str">
        <f t="shared" si="59"/>
        <v/>
      </c>
      <c r="BH60" s="17" t="str">
        <f t="shared" si="51"/>
        <v/>
      </c>
      <c r="BI60" s="17" t="str">
        <f t="shared" si="32"/>
        <v/>
      </c>
      <c r="BJ60" s="17">
        <f t="shared" si="33"/>
        <v>0</v>
      </c>
      <c r="BK60" s="17">
        <f t="shared" si="34"/>
        <v>1</v>
      </c>
      <c r="BL60" s="17" t="str">
        <f t="shared" si="58"/>
        <v/>
      </c>
      <c r="BO60" s="17" t="str">
        <f t="shared" si="52"/>
        <v/>
      </c>
      <c r="BP60" s="17" t="str">
        <f t="shared" si="18"/>
        <v/>
      </c>
      <c r="BQ60" s="17" t="str">
        <f t="shared" si="35"/>
        <v/>
      </c>
      <c r="BR60" s="17" t="str">
        <f t="shared" si="36"/>
        <v/>
      </c>
      <c r="BS60" s="17" t="str">
        <f t="shared" si="53"/>
        <v/>
      </c>
      <c r="BT60" s="17" t="str">
        <f t="shared" si="37"/>
        <v/>
      </c>
      <c r="BU60" s="17" t="str">
        <f t="shared" si="38"/>
        <v/>
      </c>
      <c r="BV60" s="17" t="str">
        <f t="shared" si="39"/>
        <v/>
      </c>
      <c r="BW60" s="17" t="str">
        <f t="shared" si="40"/>
        <v/>
      </c>
      <c r="BX60" s="17" t="str">
        <f t="shared" si="19"/>
        <v/>
      </c>
      <c r="BY60" s="17" t="str">
        <f t="shared" si="54"/>
        <v/>
      </c>
      <c r="BZ60" s="61" t="str">
        <f t="shared" si="41"/>
        <v/>
      </c>
      <c r="CA60" s="17" t="str">
        <f t="shared" si="20"/>
        <v/>
      </c>
      <c r="CB60" s="17" t="str">
        <f t="shared" si="21"/>
        <v/>
      </c>
      <c r="CC60" s="17" t="str">
        <f t="shared" si="42"/>
        <v/>
      </c>
      <c r="CD60" s="17" t="str">
        <f t="shared" si="22"/>
        <v/>
      </c>
      <c r="CE60" s="17" t="str">
        <f t="shared" si="23"/>
        <v/>
      </c>
      <c r="CF60" s="17" t="str">
        <f t="shared" si="43"/>
        <v/>
      </c>
      <c r="CG60" s="17" t="str">
        <f t="shared" si="44"/>
        <v/>
      </c>
    </row>
    <row r="61" spans="2:85" s="17" customFormat="1" hidden="1">
      <c r="B61" s="35"/>
      <c r="C61" s="35"/>
      <c r="D61" s="36"/>
      <c r="E61" s="35"/>
      <c r="F61" s="35"/>
      <c r="G61" s="35"/>
      <c r="H61" s="35"/>
      <c r="I61" s="59"/>
      <c r="AA61" s="47" t="s">
        <v>240</v>
      </c>
      <c r="AB61" s="17" t="str">
        <f t="shared" si="0"/>
        <v/>
      </c>
      <c r="AC61" s="17">
        <f t="shared" si="25"/>
        <v>0</v>
      </c>
      <c r="AD61" s="17">
        <f t="shared" si="45"/>
        <v>6</v>
      </c>
      <c r="AE61" s="17" t="str">
        <f t="shared" si="1"/>
        <v/>
      </c>
      <c r="AF61" s="17">
        <f t="shared" si="26"/>
        <v>0</v>
      </c>
      <c r="AG61" s="17">
        <f t="shared" si="27"/>
        <v>6</v>
      </c>
      <c r="AH61" s="17" t="str">
        <f t="shared" si="28"/>
        <v/>
      </c>
      <c r="AI61" s="17" t="str">
        <f t="shared" si="2"/>
        <v/>
      </c>
      <c r="AJ61" s="17" t="str">
        <f t="shared" si="29"/>
        <v/>
      </c>
      <c r="AK61" s="17" t="str">
        <f t="shared" si="3"/>
        <v>if () {$("#adv_").html("Requierd");$("#").css({"background":"yellow"});} else {$("#adv_").html("");$("#").css({"background":"white"});}</v>
      </c>
      <c r="AL61" s="17" t="str">
        <f t="shared" si="4"/>
        <v>if (=="") {$("#adv_").html("Requierd");} else {$("#adv_").html("");}</v>
      </c>
      <c r="AM61" s="50" t="str">
        <f t="shared" si="5"/>
        <v/>
      </c>
      <c r="AN61" s="51" t="str">
        <f t="shared" si="6"/>
        <v>=$("#").val();</v>
      </c>
      <c r="AO61" s="51" t="str">
        <f t="shared" si="30"/>
        <v/>
      </c>
      <c r="AP61" s="50" t="str">
        <f t="shared" si="7"/>
        <v>&lt;input type="checkbox" id="" name="" value="1" /&gt;</v>
      </c>
      <c r="AQ61" s="51" t="str">
        <f t="shared" si="8"/>
        <v>=document.getElementById("").checked;</v>
      </c>
      <c r="AR61" s="52" t="str">
        <f t="shared" si="9"/>
        <v>if (isset($_GET[''])) {$=($_GET['']);}else $='';</v>
      </c>
      <c r="AS61" s="17" t="str">
        <f t="shared" si="10"/>
        <v>Mobile phone</v>
      </c>
      <c r="AT61" s="17" t="str">
        <f t="shared" si="46"/>
        <v/>
      </c>
      <c r="AU61" s="50" t="str">
        <f t="shared" si="11"/>
        <v>&lt;input type="radio" name="Mobile phone" id="" value="" /&gt;</v>
      </c>
      <c r="AV61" s="15" t="str">
        <f t="shared" si="12"/>
        <v>else if (document.getElementById("</v>
      </c>
      <c r="AW61" s="51" t="str">
        <f t="shared" si="13"/>
        <v>else if (document.getElementById("").checked==true) {Mobile phone="";}</v>
      </c>
      <c r="AX61" s="17" t="str">
        <f t="shared" si="47"/>
        <v/>
      </c>
      <c r="AY61" s="52" t="str">
        <f t="shared" si="14"/>
        <v/>
      </c>
      <c r="AZ61" s="56" t="str">
        <f t="shared" si="15"/>
        <v>&lt;br/&gt;&lt;textarea rows="2" cols="80" id=""&gt;&lt;/textarea&gt;&lt;br/&gt;</v>
      </c>
      <c r="BA61" s="54" t="str">
        <f t="shared" si="16"/>
        <v>&lt;input type="text"  size="7"  id="" class="datepicker"/&gt;</v>
      </c>
      <c r="BB61" s="54" t="str">
        <f t="shared" si="48"/>
        <v/>
      </c>
      <c r="BC61" s="48" t="str">
        <f t="shared" si="49"/>
        <v/>
      </c>
      <c r="BD61" s="49" t="str">
        <f t="shared" si="50"/>
        <v/>
      </c>
      <c r="BE61" s="49">
        <f t="shared" si="55"/>
        <v>7</v>
      </c>
      <c r="BF61" s="55" t="str">
        <f t="shared" si="60"/>
        <v/>
      </c>
      <c r="BG61" s="6" t="str">
        <f t="shared" si="59"/>
        <v/>
      </c>
      <c r="BH61" s="17" t="str">
        <f t="shared" si="51"/>
        <v/>
      </c>
      <c r="BI61" s="17" t="str">
        <f t="shared" si="32"/>
        <v/>
      </c>
      <c r="BJ61" s="17">
        <f t="shared" si="33"/>
        <v>0</v>
      </c>
      <c r="BK61" s="17">
        <f t="shared" si="34"/>
        <v>1</v>
      </c>
      <c r="BL61" s="17" t="str">
        <f t="shared" si="58"/>
        <v/>
      </c>
      <c r="BO61" s="17" t="str">
        <f t="shared" si="52"/>
        <v/>
      </c>
      <c r="BP61" s="17" t="str">
        <f t="shared" si="18"/>
        <v/>
      </c>
      <c r="BQ61" s="17" t="str">
        <f t="shared" si="35"/>
        <v/>
      </c>
      <c r="BR61" s="17" t="str">
        <f t="shared" si="36"/>
        <v/>
      </c>
      <c r="BS61" s="17" t="str">
        <f t="shared" si="53"/>
        <v/>
      </c>
      <c r="BT61" s="17" t="str">
        <f t="shared" si="37"/>
        <v/>
      </c>
      <c r="BU61" s="17" t="str">
        <f t="shared" si="38"/>
        <v/>
      </c>
      <c r="BV61" s="17" t="str">
        <f t="shared" si="39"/>
        <v/>
      </c>
      <c r="BW61" s="17" t="str">
        <f t="shared" si="40"/>
        <v/>
      </c>
      <c r="BX61" s="17" t="str">
        <f t="shared" si="19"/>
        <v/>
      </c>
      <c r="BY61" s="17" t="str">
        <f t="shared" si="54"/>
        <v/>
      </c>
      <c r="BZ61" s="61" t="str">
        <f t="shared" si="41"/>
        <v/>
      </c>
      <c r="CA61" s="17" t="str">
        <f t="shared" si="20"/>
        <v/>
      </c>
      <c r="CB61" s="17" t="str">
        <f t="shared" si="21"/>
        <v/>
      </c>
      <c r="CC61" s="17" t="str">
        <f t="shared" si="42"/>
        <v/>
      </c>
      <c r="CD61" s="17" t="str">
        <f t="shared" si="22"/>
        <v/>
      </c>
      <c r="CE61" s="17" t="str">
        <f t="shared" si="23"/>
        <v/>
      </c>
      <c r="CF61" s="17" t="str">
        <f t="shared" si="43"/>
        <v/>
      </c>
      <c r="CG61" s="17" t="str">
        <f t="shared" si="44"/>
        <v/>
      </c>
    </row>
    <row r="62" spans="2:85" s="17" customFormat="1" hidden="1">
      <c r="B62" s="35"/>
      <c r="C62" s="35"/>
      <c r="D62" s="36"/>
      <c r="E62" s="35"/>
      <c r="F62" s="35"/>
      <c r="G62" s="35"/>
      <c r="H62" s="35"/>
      <c r="I62" s="59"/>
      <c r="AA62" s="47" t="s">
        <v>241</v>
      </c>
      <c r="AB62" s="17" t="str">
        <f t="shared" si="0"/>
        <v/>
      </c>
      <c r="AC62" s="17">
        <f t="shared" si="25"/>
        <v>0</v>
      </c>
      <c r="AD62" s="17">
        <f t="shared" si="45"/>
        <v>6</v>
      </c>
      <c r="AE62" s="17" t="str">
        <f t="shared" si="1"/>
        <v/>
      </c>
      <c r="AF62" s="17">
        <f t="shared" si="26"/>
        <v>0</v>
      </c>
      <c r="AG62" s="17">
        <f t="shared" si="27"/>
        <v>6</v>
      </c>
      <c r="AH62" s="17" t="str">
        <f t="shared" si="28"/>
        <v/>
      </c>
      <c r="AI62" s="17" t="str">
        <f t="shared" si="2"/>
        <v/>
      </c>
      <c r="AJ62" s="17" t="str">
        <f t="shared" si="29"/>
        <v/>
      </c>
      <c r="AK62" s="17" t="str">
        <f t="shared" si="3"/>
        <v>if () {$("#adv_").html("Requierd");$("#").css({"background":"yellow"});} else {$("#adv_").html("");$("#").css({"background":"white"});}</v>
      </c>
      <c r="AL62" s="17" t="str">
        <f t="shared" si="4"/>
        <v>if (=="") {$("#adv_").html("Requierd");} else {$("#adv_").html("");}</v>
      </c>
      <c r="AM62" s="50" t="str">
        <f t="shared" si="5"/>
        <v/>
      </c>
      <c r="AN62" s="51" t="str">
        <f t="shared" si="6"/>
        <v>=$("#").val();</v>
      </c>
      <c r="AO62" s="51" t="str">
        <f t="shared" si="30"/>
        <v/>
      </c>
      <c r="AP62" s="50" t="str">
        <f t="shared" si="7"/>
        <v>&lt;input type="checkbox" id="" name="" value="1" /&gt;</v>
      </c>
      <c r="AQ62" s="51" t="str">
        <f t="shared" si="8"/>
        <v>=document.getElementById("").checked;</v>
      </c>
      <c r="AR62" s="52" t="str">
        <f t="shared" si="9"/>
        <v>if (isset($_GET[''])) {$=($_GET['']);}else $='';</v>
      </c>
      <c r="AS62" s="17" t="str">
        <f t="shared" si="10"/>
        <v>Mobile phone</v>
      </c>
      <c r="AT62" s="17" t="str">
        <f t="shared" si="46"/>
        <v/>
      </c>
      <c r="AU62" s="50" t="str">
        <f t="shared" si="11"/>
        <v>&lt;input type="radio" name="Mobile phone" id="" value="" /&gt;</v>
      </c>
      <c r="AV62" s="15" t="str">
        <f t="shared" si="12"/>
        <v>else if (document.getElementById("</v>
      </c>
      <c r="AW62" s="51" t="str">
        <f t="shared" si="13"/>
        <v>else if (document.getElementById("").checked==true) {Mobile phone="";}</v>
      </c>
      <c r="AX62" s="17" t="str">
        <f t="shared" si="47"/>
        <v/>
      </c>
      <c r="AY62" s="52" t="str">
        <f t="shared" si="14"/>
        <v/>
      </c>
      <c r="AZ62" s="56" t="str">
        <f t="shared" si="15"/>
        <v>&lt;br/&gt;&lt;textarea rows="2" cols="80" id=""&gt;&lt;/textarea&gt;&lt;br/&gt;</v>
      </c>
      <c r="BA62" s="54" t="str">
        <f t="shared" si="16"/>
        <v>&lt;input type="text"  size="7"  id="" class="datepicker"/&gt;</v>
      </c>
      <c r="BB62" s="54" t="str">
        <f t="shared" si="48"/>
        <v/>
      </c>
      <c r="BC62" s="48" t="str">
        <f t="shared" si="49"/>
        <v/>
      </c>
      <c r="BD62" s="49" t="str">
        <f t="shared" si="50"/>
        <v/>
      </c>
      <c r="BE62" s="49">
        <f t="shared" si="55"/>
        <v>7</v>
      </c>
      <c r="BF62" s="55" t="str">
        <f t="shared" si="60"/>
        <v/>
      </c>
      <c r="BG62" s="6" t="str">
        <f t="shared" si="59"/>
        <v/>
      </c>
      <c r="BH62" s="17" t="str">
        <f t="shared" si="51"/>
        <v/>
      </c>
      <c r="BI62" s="17" t="str">
        <f t="shared" si="32"/>
        <v/>
      </c>
      <c r="BJ62" s="17">
        <f t="shared" si="33"/>
        <v>0</v>
      </c>
      <c r="BK62" s="17">
        <f t="shared" si="34"/>
        <v>1</v>
      </c>
      <c r="BL62" s="17" t="str">
        <f t="shared" si="58"/>
        <v/>
      </c>
      <c r="BO62" s="17" t="str">
        <f t="shared" si="52"/>
        <v/>
      </c>
      <c r="BP62" s="17" t="str">
        <f t="shared" si="18"/>
        <v/>
      </c>
      <c r="BQ62" s="17" t="str">
        <f t="shared" si="35"/>
        <v/>
      </c>
      <c r="BR62" s="17" t="str">
        <f t="shared" si="36"/>
        <v/>
      </c>
      <c r="BS62" s="17" t="str">
        <f t="shared" si="53"/>
        <v/>
      </c>
      <c r="BT62" s="17" t="str">
        <f t="shared" si="37"/>
        <v/>
      </c>
      <c r="BU62" s="17" t="str">
        <f t="shared" si="38"/>
        <v/>
      </c>
      <c r="BV62" s="17" t="str">
        <f t="shared" si="39"/>
        <v/>
      </c>
      <c r="BW62" s="17" t="str">
        <f t="shared" si="40"/>
        <v/>
      </c>
      <c r="BX62" s="17" t="str">
        <f t="shared" si="19"/>
        <v/>
      </c>
      <c r="BY62" s="17" t="str">
        <f t="shared" si="54"/>
        <v/>
      </c>
      <c r="BZ62" s="61" t="str">
        <f t="shared" si="41"/>
        <v/>
      </c>
      <c r="CA62" s="17" t="str">
        <f t="shared" si="20"/>
        <v/>
      </c>
      <c r="CB62" s="17" t="str">
        <f t="shared" si="21"/>
        <v/>
      </c>
      <c r="CC62" s="17" t="str">
        <f t="shared" si="42"/>
        <v/>
      </c>
      <c r="CD62" s="17" t="str">
        <f t="shared" si="22"/>
        <v/>
      </c>
      <c r="CE62" s="17" t="str">
        <f t="shared" si="23"/>
        <v/>
      </c>
      <c r="CF62" s="17" t="str">
        <f t="shared" si="43"/>
        <v/>
      </c>
      <c r="CG62" s="17" t="str">
        <f t="shared" si="44"/>
        <v/>
      </c>
    </row>
    <row r="63" spans="2:85" s="17" customFormat="1" hidden="1">
      <c r="B63" s="35"/>
      <c r="C63" s="35"/>
      <c r="D63" s="36"/>
      <c r="E63" s="35"/>
      <c r="F63" s="35"/>
      <c r="G63" s="35"/>
      <c r="H63" s="35"/>
      <c r="I63" s="59"/>
      <c r="AA63" s="47" t="s">
        <v>242</v>
      </c>
      <c r="AB63" s="17" t="str">
        <f t="shared" si="0"/>
        <v/>
      </c>
      <c r="AC63" s="17">
        <f t="shared" si="25"/>
        <v>0</v>
      </c>
      <c r="AD63" s="17">
        <f t="shared" si="45"/>
        <v>6</v>
      </c>
      <c r="AE63" s="17" t="str">
        <f t="shared" si="1"/>
        <v/>
      </c>
      <c r="AF63" s="17">
        <f t="shared" si="26"/>
        <v>0</v>
      </c>
      <c r="AG63" s="17">
        <f t="shared" si="27"/>
        <v>6</v>
      </c>
      <c r="AH63" s="17" t="str">
        <f t="shared" si="28"/>
        <v/>
      </c>
      <c r="AI63" s="17" t="str">
        <f t="shared" si="2"/>
        <v/>
      </c>
      <c r="AJ63" s="17" t="str">
        <f t="shared" si="29"/>
        <v/>
      </c>
      <c r="AK63" s="17" t="str">
        <f t="shared" si="3"/>
        <v>if () {$("#adv_").html("Requierd");$("#").css({"background":"yellow"});} else {$("#adv_").html("");$("#").css({"background":"white"});}</v>
      </c>
      <c r="AL63" s="17" t="str">
        <f t="shared" si="4"/>
        <v>if (=="") {$("#adv_").html("Requierd");} else {$("#adv_").html("");}</v>
      </c>
      <c r="AM63" s="50" t="str">
        <f t="shared" si="5"/>
        <v/>
      </c>
      <c r="AN63" s="51" t="str">
        <f t="shared" si="6"/>
        <v>=$("#").val();</v>
      </c>
      <c r="AO63" s="51" t="str">
        <f t="shared" si="30"/>
        <v/>
      </c>
      <c r="AP63" s="50" t="str">
        <f t="shared" si="7"/>
        <v>&lt;input type="checkbox" id="" name="" value="1" /&gt;</v>
      </c>
      <c r="AQ63" s="51" t="str">
        <f t="shared" si="8"/>
        <v>=document.getElementById("").checked;</v>
      </c>
      <c r="AR63" s="52" t="str">
        <f t="shared" si="9"/>
        <v>if (isset($_GET[''])) {$=($_GET['']);}else $='';</v>
      </c>
      <c r="AS63" s="17" t="str">
        <f t="shared" si="10"/>
        <v>Mobile phone</v>
      </c>
      <c r="AT63" s="17" t="str">
        <f t="shared" si="46"/>
        <v/>
      </c>
      <c r="AU63" s="50" t="str">
        <f t="shared" si="11"/>
        <v>&lt;input type="radio" name="Mobile phone" id="" value="" /&gt;</v>
      </c>
      <c r="AV63" s="15" t="str">
        <f t="shared" si="12"/>
        <v>else if (document.getElementById("</v>
      </c>
      <c r="AW63" s="51" t="str">
        <f t="shared" si="13"/>
        <v>else if (document.getElementById("").checked==true) {Mobile phone="";}</v>
      </c>
      <c r="AX63" s="17" t="str">
        <f t="shared" si="47"/>
        <v/>
      </c>
      <c r="AY63" s="52" t="str">
        <f t="shared" si="14"/>
        <v/>
      </c>
      <c r="AZ63" s="56" t="str">
        <f t="shared" si="15"/>
        <v>&lt;br/&gt;&lt;textarea rows="2" cols="80" id=""&gt;&lt;/textarea&gt;&lt;br/&gt;</v>
      </c>
      <c r="BA63" s="54" t="str">
        <f t="shared" si="16"/>
        <v>&lt;input type="text"  size="7"  id="" class="datepicker"/&gt;</v>
      </c>
      <c r="BB63" s="54" t="str">
        <f t="shared" si="48"/>
        <v/>
      </c>
      <c r="BC63" s="48" t="str">
        <f t="shared" si="49"/>
        <v/>
      </c>
      <c r="BD63" s="49" t="str">
        <f t="shared" si="50"/>
        <v/>
      </c>
      <c r="BE63" s="49">
        <f t="shared" si="55"/>
        <v>7</v>
      </c>
      <c r="BF63" s="55" t="str">
        <f t="shared" si="60"/>
        <v/>
      </c>
      <c r="BG63" s="6" t="str">
        <f t="shared" si="59"/>
        <v/>
      </c>
      <c r="BH63" s="17" t="str">
        <f t="shared" si="51"/>
        <v/>
      </c>
      <c r="BI63" s="17" t="str">
        <f t="shared" si="32"/>
        <v/>
      </c>
      <c r="BJ63" s="17">
        <f t="shared" si="33"/>
        <v>0</v>
      </c>
      <c r="BK63" s="17">
        <f t="shared" si="34"/>
        <v>1</v>
      </c>
      <c r="BL63" s="17" t="str">
        <f t="shared" si="58"/>
        <v/>
      </c>
      <c r="BO63" s="17" t="str">
        <f t="shared" si="52"/>
        <v/>
      </c>
      <c r="BP63" s="17" t="str">
        <f t="shared" si="18"/>
        <v/>
      </c>
      <c r="BQ63" s="17" t="str">
        <f t="shared" si="35"/>
        <v/>
      </c>
      <c r="BR63" s="17" t="str">
        <f t="shared" si="36"/>
        <v/>
      </c>
      <c r="BS63" s="17" t="str">
        <f t="shared" si="53"/>
        <v/>
      </c>
      <c r="BT63" s="17" t="str">
        <f t="shared" si="37"/>
        <v/>
      </c>
      <c r="BU63" s="17" t="str">
        <f t="shared" si="38"/>
        <v/>
      </c>
      <c r="BV63" s="17" t="str">
        <f t="shared" si="39"/>
        <v/>
      </c>
      <c r="BW63" s="17" t="str">
        <f t="shared" si="40"/>
        <v/>
      </c>
      <c r="BX63" s="17" t="str">
        <f t="shared" si="19"/>
        <v/>
      </c>
      <c r="BY63" s="17" t="str">
        <f t="shared" si="54"/>
        <v/>
      </c>
      <c r="BZ63" s="61" t="str">
        <f t="shared" si="41"/>
        <v/>
      </c>
      <c r="CA63" s="17" t="str">
        <f t="shared" si="20"/>
        <v/>
      </c>
      <c r="CB63" s="17" t="str">
        <f t="shared" si="21"/>
        <v/>
      </c>
      <c r="CC63" s="17" t="str">
        <f t="shared" si="42"/>
        <v/>
      </c>
      <c r="CD63" s="17" t="str">
        <f t="shared" si="22"/>
        <v/>
      </c>
      <c r="CE63" s="17" t="str">
        <f t="shared" si="23"/>
        <v/>
      </c>
      <c r="CF63" s="17" t="str">
        <f t="shared" si="43"/>
        <v/>
      </c>
      <c r="CG63" s="17" t="str">
        <f t="shared" si="44"/>
        <v/>
      </c>
    </row>
    <row r="64" spans="2:85" s="17" customFormat="1" hidden="1">
      <c r="B64" s="35"/>
      <c r="C64" s="35"/>
      <c r="D64" s="36"/>
      <c r="E64" s="35"/>
      <c r="F64" s="35"/>
      <c r="G64" s="35"/>
      <c r="H64" s="35"/>
      <c r="I64" s="59"/>
      <c r="AA64" s="47" t="s">
        <v>243</v>
      </c>
      <c r="AB64" s="17" t="str">
        <f t="shared" si="0"/>
        <v/>
      </c>
      <c r="AC64" s="17">
        <f t="shared" si="25"/>
        <v>0</v>
      </c>
      <c r="AD64" s="17">
        <f t="shared" si="45"/>
        <v>6</v>
      </c>
      <c r="AE64" s="17" t="str">
        <f t="shared" si="1"/>
        <v/>
      </c>
      <c r="AF64" s="17">
        <f t="shared" si="26"/>
        <v>0</v>
      </c>
      <c r="AG64" s="17">
        <f t="shared" si="27"/>
        <v>6</v>
      </c>
      <c r="AH64" s="17" t="str">
        <f t="shared" si="28"/>
        <v/>
      </c>
      <c r="AI64" s="17" t="str">
        <f t="shared" si="2"/>
        <v/>
      </c>
      <c r="AJ64" s="17" t="str">
        <f t="shared" si="29"/>
        <v/>
      </c>
      <c r="AK64" s="17" t="str">
        <f t="shared" si="3"/>
        <v>if () {$("#adv_").html("Requierd");$("#").css({"background":"yellow"});} else {$("#adv_").html("");$("#").css({"background":"white"});}</v>
      </c>
      <c r="AL64" s="17" t="str">
        <f t="shared" si="4"/>
        <v>if (=="") {$("#adv_").html("Requierd");} else {$("#adv_").html("");}</v>
      </c>
      <c r="AM64" s="50" t="str">
        <f t="shared" si="5"/>
        <v/>
      </c>
      <c r="AN64" s="51" t="str">
        <f t="shared" si="6"/>
        <v>=$("#").val();</v>
      </c>
      <c r="AO64" s="51" t="str">
        <f t="shared" si="30"/>
        <v/>
      </c>
      <c r="AP64" s="50" t="str">
        <f t="shared" si="7"/>
        <v>&lt;input type="checkbox" id="" name="" value="1" /&gt;</v>
      </c>
      <c r="AQ64" s="51" t="str">
        <f t="shared" si="8"/>
        <v>=document.getElementById("").checked;</v>
      </c>
      <c r="AR64" s="52" t="str">
        <f t="shared" si="9"/>
        <v>if (isset($_GET[''])) {$=($_GET['']);}else $='';</v>
      </c>
      <c r="AS64" s="17" t="str">
        <f t="shared" si="10"/>
        <v>Mobile phone</v>
      </c>
      <c r="AT64" s="17" t="str">
        <f t="shared" si="46"/>
        <v/>
      </c>
      <c r="AU64" s="50" t="str">
        <f t="shared" si="11"/>
        <v>&lt;input type="radio" name="Mobile phone" id="" value="" /&gt;</v>
      </c>
      <c r="AV64" s="15" t="str">
        <f t="shared" si="12"/>
        <v>else if (document.getElementById("</v>
      </c>
      <c r="AW64" s="51" t="str">
        <f t="shared" si="13"/>
        <v>else if (document.getElementById("").checked==true) {Mobile phone="";}</v>
      </c>
      <c r="AX64" s="17" t="str">
        <f t="shared" si="47"/>
        <v/>
      </c>
      <c r="AY64" s="52" t="str">
        <f t="shared" si="14"/>
        <v/>
      </c>
      <c r="AZ64" s="56" t="str">
        <f t="shared" si="15"/>
        <v>&lt;br/&gt;&lt;textarea rows="2" cols="80" id=""&gt;&lt;/textarea&gt;&lt;br/&gt;</v>
      </c>
      <c r="BA64" s="54" t="str">
        <f t="shared" si="16"/>
        <v>&lt;input type="text"  size="7"  id="" class="datepicker"/&gt;</v>
      </c>
      <c r="BB64" s="54" t="str">
        <f t="shared" si="48"/>
        <v/>
      </c>
      <c r="BC64" s="48" t="str">
        <f t="shared" si="49"/>
        <v/>
      </c>
      <c r="BD64" s="49" t="str">
        <f t="shared" si="50"/>
        <v/>
      </c>
      <c r="BE64" s="49">
        <f t="shared" si="55"/>
        <v>7</v>
      </c>
      <c r="BF64" s="55" t="str">
        <f t="shared" si="60"/>
        <v/>
      </c>
      <c r="BG64" s="6" t="str">
        <f t="shared" si="59"/>
        <v/>
      </c>
      <c r="BH64" s="17" t="str">
        <f t="shared" si="51"/>
        <v/>
      </c>
      <c r="BI64" s="17" t="str">
        <f t="shared" si="32"/>
        <v/>
      </c>
      <c r="BJ64" s="17">
        <f t="shared" si="33"/>
        <v>0</v>
      </c>
      <c r="BK64" s="17">
        <f t="shared" si="34"/>
        <v>1</v>
      </c>
      <c r="BL64" s="17" t="str">
        <f t="shared" si="58"/>
        <v/>
      </c>
      <c r="BO64" s="17" t="str">
        <f t="shared" si="52"/>
        <v/>
      </c>
      <c r="BP64" s="17" t="str">
        <f t="shared" si="18"/>
        <v/>
      </c>
      <c r="BQ64" s="17" t="str">
        <f t="shared" si="35"/>
        <v/>
      </c>
      <c r="BR64" s="17" t="str">
        <f t="shared" si="36"/>
        <v/>
      </c>
      <c r="BS64" s="17" t="str">
        <f t="shared" si="53"/>
        <v/>
      </c>
      <c r="BT64" s="17" t="str">
        <f t="shared" si="37"/>
        <v/>
      </c>
      <c r="BU64" s="17" t="str">
        <f t="shared" si="38"/>
        <v/>
      </c>
      <c r="BV64" s="17" t="str">
        <f t="shared" si="39"/>
        <v/>
      </c>
      <c r="BW64" s="17" t="str">
        <f t="shared" si="40"/>
        <v/>
      </c>
      <c r="BX64" s="17" t="str">
        <f t="shared" si="19"/>
        <v/>
      </c>
      <c r="BY64" s="17" t="str">
        <f t="shared" si="54"/>
        <v/>
      </c>
      <c r="BZ64" s="61" t="str">
        <f t="shared" si="41"/>
        <v/>
      </c>
      <c r="CA64" s="17" t="str">
        <f t="shared" si="20"/>
        <v/>
      </c>
      <c r="CB64" s="17" t="str">
        <f t="shared" si="21"/>
        <v/>
      </c>
      <c r="CC64" s="17" t="str">
        <f t="shared" si="42"/>
        <v/>
      </c>
      <c r="CD64" s="17" t="str">
        <f t="shared" si="22"/>
        <v/>
      </c>
      <c r="CE64" s="17" t="str">
        <f t="shared" si="23"/>
        <v/>
      </c>
      <c r="CF64" s="17" t="str">
        <f t="shared" si="43"/>
        <v/>
      </c>
      <c r="CG64" s="17" t="str">
        <f t="shared" si="44"/>
        <v/>
      </c>
    </row>
    <row r="65" spans="2:85" s="17" customFormat="1" hidden="1">
      <c r="B65" s="35"/>
      <c r="C65" s="35"/>
      <c r="D65" s="36"/>
      <c r="E65" s="35"/>
      <c r="F65" s="35"/>
      <c r="G65" s="35"/>
      <c r="H65" s="35"/>
      <c r="I65" s="59"/>
      <c r="AA65" s="47" t="s">
        <v>244</v>
      </c>
      <c r="AB65" s="17" t="str">
        <f t="shared" si="0"/>
        <v/>
      </c>
      <c r="AC65" s="17">
        <f t="shared" si="25"/>
        <v>0</v>
      </c>
      <c r="AD65" s="17">
        <f t="shared" si="45"/>
        <v>6</v>
      </c>
      <c r="AE65" s="17" t="str">
        <f t="shared" si="1"/>
        <v/>
      </c>
      <c r="AF65" s="17">
        <f t="shared" si="26"/>
        <v>0</v>
      </c>
      <c r="AG65" s="17">
        <f t="shared" si="27"/>
        <v>6</v>
      </c>
      <c r="AH65" s="17" t="str">
        <f t="shared" si="28"/>
        <v/>
      </c>
      <c r="AI65" s="17" t="str">
        <f t="shared" si="2"/>
        <v/>
      </c>
      <c r="AJ65" s="17" t="str">
        <f t="shared" si="29"/>
        <v/>
      </c>
      <c r="AK65" s="17" t="str">
        <f t="shared" si="3"/>
        <v>if () {$("#adv_").html("Requierd");$("#").css({"background":"yellow"});} else {$("#adv_").html("");$("#").css({"background":"white"});}</v>
      </c>
      <c r="AL65" s="17" t="str">
        <f t="shared" si="4"/>
        <v>if (=="") {$("#adv_").html("Requierd");} else {$("#adv_").html("");}</v>
      </c>
      <c r="AM65" s="50" t="str">
        <f t="shared" si="5"/>
        <v/>
      </c>
      <c r="AN65" s="51" t="str">
        <f t="shared" si="6"/>
        <v>=$("#").val();</v>
      </c>
      <c r="AO65" s="51" t="str">
        <f t="shared" si="30"/>
        <v/>
      </c>
      <c r="AP65" s="50" t="str">
        <f t="shared" si="7"/>
        <v>&lt;input type="checkbox" id="" name="" value="1" /&gt;</v>
      </c>
      <c r="AQ65" s="51" t="str">
        <f t="shared" si="8"/>
        <v>=document.getElementById("").checked;</v>
      </c>
      <c r="AR65" s="52" t="str">
        <f t="shared" si="9"/>
        <v>if (isset($_GET[''])) {$=($_GET['']);}else $='';</v>
      </c>
      <c r="AS65" s="17" t="str">
        <f t="shared" si="10"/>
        <v>Mobile phone</v>
      </c>
      <c r="AT65" s="17" t="str">
        <f t="shared" si="46"/>
        <v/>
      </c>
      <c r="AU65" s="50" t="str">
        <f t="shared" si="11"/>
        <v>&lt;input type="radio" name="Mobile phone" id="" value="" /&gt;</v>
      </c>
      <c r="AV65" s="15" t="str">
        <f t="shared" si="12"/>
        <v>else if (document.getElementById("</v>
      </c>
      <c r="AW65" s="51" t="str">
        <f t="shared" si="13"/>
        <v>else if (document.getElementById("").checked==true) {Mobile phone="";}</v>
      </c>
      <c r="AX65" s="17" t="str">
        <f t="shared" si="47"/>
        <v/>
      </c>
      <c r="AY65" s="52" t="str">
        <f t="shared" si="14"/>
        <v/>
      </c>
      <c r="AZ65" s="56" t="str">
        <f t="shared" si="15"/>
        <v>&lt;br/&gt;&lt;textarea rows="2" cols="80" id=""&gt;&lt;/textarea&gt;&lt;br/&gt;</v>
      </c>
      <c r="BA65" s="54" t="str">
        <f t="shared" si="16"/>
        <v>&lt;input type="text"  size="7"  id="" class="datepicker"/&gt;</v>
      </c>
      <c r="BB65" s="54" t="str">
        <f t="shared" si="48"/>
        <v/>
      </c>
      <c r="BC65" s="48" t="str">
        <f t="shared" si="49"/>
        <v/>
      </c>
      <c r="BD65" s="49" t="str">
        <f t="shared" si="50"/>
        <v/>
      </c>
      <c r="BE65" s="49">
        <f t="shared" si="55"/>
        <v>7</v>
      </c>
      <c r="BF65" s="55" t="str">
        <f t="shared" si="60"/>
        <v/>
      </c>
      <c r="BG65" s="6" t="str">
        <f t="shared" si="59"/>
        <v/>
      </c>
      <c r="BH65" s="17" t="str">
        <f t="shared" si="51"/>
        <v/>
      </c>
      <c r="BI65" s="17" t="str">
        <f t="shared" si="32"/>
        <v/>
      </c>
      <c r="BJ65" s="17">
        <f t="shared" si="33"/>
        <v>0</v>
      </c>
      <c r="BK65" s="17">
        <f t="shared" si="34"/>
        <v>1</v>
      </c>
      <c r="BL65" s="17" t="str">
        <f t="shared" si="58"/>
        <v/>
      </c>
      <c r="BO65" s="17" t="str">
        <f t="shared" si="52"/>
        <v/>
      </c>
      <c r="BP65" s="17" t="str">
        <f t="shared" si="18"/>
        <v/>
      </c>
      <c r="BQ65" s="17" t="str">
        <f t="shared" si="35"/>
        <v/>
      </c>
      <c r="BR65" s="17" t="str">
        <f t="shared" si="36"/>
        <v/>
      </c>
      <c r="BS65" s="17" t="str">
        <f t="shared" si="53"/>
        <v/>
      </c>
      <c r="BT65" s="17" t="str">
        <f t="shared" si="37"/>
        <v/>
      </c>
      <c r="BU65" s="17" t="str">
        <f t="shared" si="38"/>
        <v/>
      </c>
      <c r="BV65" s="17" t="str">
        <f t="shared" si="39"/>
        <v/>
      </c>
      <c r="BW65" s="17" t="str">
        <f t="shared" si="40"/>
        <v/>
      </c>
      <c r="BX65" s="17" t="str">
        <f t="shared" si="19"/>
        <v/>
      </c>
      <c r="BY65" s="17" t="str">
        <f t="shared" si="54"/>
        <v/>
      </c>
      <c r="BZ65" s="61" t="str">
        <f t="shared" si="41"/>
        <v/>
      </c>
      <c r="CA65" s="17" t="str">
        <f t="shared" si="20"/>
        <v/>
      </c>
      <c r="CB65" s="17" t="str">
        <f t="shared" si="21"/>
        <v/>
      </c>
      <c r="CC65" s="17" t="str">
        <f t="shared" si="42"/>
        <v/>
      </c>
      <c r="CD65" s="17" t="str">
        <f t="shared" si="22"/>
        <v/>
      </c>
      <c r="CE65" s="17" t="str">
        <f t="shared" si="23"/>
        <v/>
      </c>
      <c r="CF65" s="17" t="str">
        <f t="shared" si="43"/>
        <v/>
      </c>
      <c r="CG65" s="17" t="str">
        <f t="shared" si="44"/>
        <v/>
      </c>
    </row>
    <row r="66" spans="2:85" s="17" customFormat="1" hidden="1">
      <c r="B66" s="35"/>
      <c r="C66" s="35"/>
      <c r="D66" s="36"/>
      <c r="E66" s="35"/>
      <c r="F66" s="35"/>
      <c r="G66" s="35"/>
      <c r="H66" s="35"/>
      <c r="I66" s="59"/>
      <c r="AA66" s="47" t="s">
        <v>245</v>
      </c>
      <c r="AB66" s="17" t="str">
        <f t="shared" si="0"/>
        <v/>
      </c>
      <c r="AC66" s="17">
        <f t="shared" si="25"/>
        <v>0</v>
      </c>
      <c r="AD66" s="17">
        <f t="shared" si="45"/>
        <v>6</v>
      </c>
      <c r="AE66" s="17" t="str">
        <f t="shared" si="1"/>
        <v/>
      </c>
      <c r="AF66" s="17">
        <f t="shared" si="26"/>
        <v>0</v>
      </c>
      <c r="AG66" s="17">
        <f t="shared" si="27"/>
        <v>6</v>
      </c>
      <c r="AH66" s="17" t="str">
        <f t="shared" si="28"/>
        <v/>
      </c>
      <c r="AI66" s="17" t="str">
        <f t="shared" si="2"/>
        <v/>
      </c>
      <c r="AJ66" s="17" t="str">
        <f t="shared" si="29"/>
        <v/>
      </c>
      <c r="AK66" s="17" t="str">
        <f t="shared" si="3"/>
        <v>if () {$("#adv_").html("Requierd");$("#").css({"background":"yellow"});} else {$("#adv_").html("");$("#").css({"background":"white"});}</v>
      </c>
      <c r="AL66" s="17" t="str">
        <f t="shared" si="4"/>
        <v>if (=="") {$("#adv_").html("Requierd");} else {$("#adv_").html("");}</v>
      </c>
      <c r="AM66" s="50" t="str">
        <f t="shared" si="5"/>
        <v/>
      </c>
      <c r="AN66" s="51" t="str">
        <f t="shared" si="6"/>
        <v>=$("#").val();</v>
      </c>
      <c r="AO66" s="51" t="str">
        <f t="shared" si="30"/>
        <v/>
      </c>
      <c r="AP66" s="50" t="str">
        <f t="shared" si="7"/>
        <v>&lt;input type="checkbox" id="" name="" value="1" /&gt;</v>
      </c>
      <c r="AQ66" s="51" t="str">
        <f t="shared" si="8"/>
        <v>=document.getElementById("").checked;</v>
      </c>
      <c r="AR66" s="52" t="str">
        <f t="shared" si="9"/>
        <v>if (isset($_GET[''])) {$=($_GET['']);}else $='';</v>
      </c>
      <c r="AS66" s="17" t="str">
        <f t="shared" si="10"/>
        <v>Mobile phone</v>
      </c>
      <c r="AT66" s="17" t="str">
        <f t="shared" si="46"/>
        <v/>
      </c>
      <c r="AU66" s="50" t="str">
        <f t="shared" si="11"/>
        <v>&lt;input type="radio" name="Mobile phone" id="" value="" /&gt;</v>
      </c>
      <c r="AV66" s="15" t="str">
        <f t="shared" si="12"/>
        <v>else if (document.getElementById("</v>
      </c>
      <c r="AW66" s="51" t="str">
        <f t="shared" si="13"/>
        <v>else if (document.getElementById("").checked==true) {Mobile phone="";}</v>
      </c>
      <c r="AX66" s="17" t="str">
        <f t="shared" si="47"/>
        <v/>
      </c>
      <c r="AY66" s="52" t="str">
        <f t="shared" si="14"/>
        <v/>
      </c>
      <c r="AZ66" s="56" t="str">
        <f t="shared" si="15"/>
        <v>&lt;br/&gt;&lt;textarea rows="2" cols="80" id=""&gt;&lt;/textarea&gt;&lt;br/&gt;</v>
      </c>
      <c r="BA66" s="54" t="str">
        <f t="shared" si="16"/>
        <v>&lt;input type="text"  size="7"  id="" class="datepicker"/&gt;</v>
      </c>
      <c r="BB66" s="54" t="str">
        <f t="shared" si="48"/>
        <v/>
      </c>
      <c r="BC66" s="48" t="str">
        <f t="shared" si="49"/>
        <v/>
      </c>
      <c r="BD66" s="49" t="str">
        <f t="shared" si="50"/>
        <v/>
      </c>
      <c r="BE66" s="49">
        <f t="shared" si="55"/>
        <v>7</v>
      </c>
      <c r="BF66" s="55" t="str">
        <f t="shared" si="60"/>
        <v/>
      </c>
      <c r="BG66" s="6" t="str">
        <f t="shared" si="59"/>
        <v/>
      </c>
      <c r="BH66" s="17" t="str">
        <f t="shared" si="51"/>
        <v/>
      </c>
      <c r="BI66" s="17" t="str">
        <f t="shared" si="32"/>
        <v/>
      </c>
      <c r="BJ66" s="17">
        <f t="shared" si="33"/>
        <v>0</v>
      </c>
      <c r="BK66" s="17">
        <f t="shared" si="34"/>
        <v>1</v>
      </c>
      <c r="BL66" s="17" t="str">
        <f t="shared" si="58"/>
        <v/>
      </c>
      <c r="BO66" s="17" t="str">
        <f t="shared" si="52"/>
        <v/>
      </c>
      <c r="BP66" s="17" t="str">
        <f t="shared" si="18"/>
        <v/>
      </c>
      <c r="BQ66" s="17" t="str">
        <f t="shared" si="35"/>
        <v/>
      </c>
      <c r="BR66" s="17" t="str">
        <f t="shared" si="36"/>
        <v/>
      </c>
      <c r="BS66" s="17" t="str">
        <f t="shared" si="53"/>
        <v/>
      </c>
      <c r="BT66" s="17" t="str">
        <f t="shared" si="37"/>
        <v/>
      </c>
      <c r="BU66" s="17" t="str">
        <f t="shared" si="38"/>
        <v/>
      </c>
      <c r="BV66" s="17" t="str">
        <f t="shared" si="39"/>
        <v/>
      </c>
      <c r="BW66" s="17" t="str">
        <f t="shared" si="40"/>
        <v/>
      </c>
      <c r="BX66" s="17" t="str">
        <f t="shared" si="19"/>
        <v/>
      </c>
      <c r="BY66" s="17" t="str">
        <f t="shared" si="54"/>
        <v/>
      </c>
      <c r="BZ66" s="61" t="str">
        <f t="shared" si="41"/>
        <v/>
      </c>
      <c r="CA66" s="17" t="str">
        <f t="shared" si="20"/>
        <v/>
      </c>
      <c r="CB66" s="17" t="str">
        <f t="shared" si="21"/>
        <v/>
      </c>
      <c r="CC66" s="17" t="str">
        <f t="shared" si="42"/>
        <v/>
      </c>
      <c r="CD66" s="17" t="str">
        <f t="shared" si="22"/>
        <v/>
      </c>
      <c r="CE66" s="17" t="str">
        <f t="shared" si="23"/>
        <v/>
      </c>
      <c r="CF66" s="17" t="str">
        <f t="shared" si="43"/>
        <v/>
      </c>
      <c r="CG66" s="17" t="str">
        <f t="shared" si="44"/>
        <v/>
      </c>
    </row>
    <row r="67" spans="2:85" s="17" customFormat="1" hidden="1">
      <c r="B67" s="35"/>
      <c r="C67" s="35"/>
      <c r="D67" s="36"/>
      <c r="E67" s="35"/>
      <c r="F67" s="35"/>
      <c r="G67" s="35"/>
      <c r="H67" s="35"/>
      <c r="I67" s="59"/>
      <c r="AA67" s="47" t="s">
        <v>246</v>
      </c>
      <c r="AB67" s="17" t="str">
        <f t="shared" si="0"/>
        <v/>
      </c>
      <c r="AC67" s="17">
        <f t="shared" si="25"/>
        <v>0</v>
      </c>
      <c r="AD67" s="17">
        <f t="shared" si="45"/>
        <v>6</v>
      </c>
      <c r="AE67" s="17" t="str">
        <f t="shared" si="1"/>
        <v/>
      </c>
      <c r="AF67" s="17">
        <f t="shared" si="26"/>
        <v>0</v>
      </c>
      <c r="AG67" s="17">
        <f t="shared" si="27"/>
        <v>6</v>
      </c>
      <c r="AH67" s="17" t="str">
        <f t="shared" si="28"/>
        <v/>
      </c>
      <c r="AI67" s="17" t="str">
        <f t="shared" si="2"/>
        <v/>
      </c>
      <c r="AJ67" s="17" t="str">
        <f t="shared" si="29"/>
        <v/>
      </c>
      <c r="AK67" s="17" t="str">
        <f t="shared" si="3"/>
        <v>if () {$("#adv_").html("Requierd");$("#").css({"background":"yellow"});} else {$("#adv_").html("");$("#").css({"background":"white"});}</v>
      </c>
      <c r="AL67" s="17" t="str">
        <f t="shared" si="4"/>
        <v>if (=="") {$("#adv_").html("Requierd");} else {$("#adv_").html("");}</v>
      </c>
      <c r="AM67" s="50" t="str">
        <f t="shared" si="5"/>
        <v/>
      </c>
      <c r="AN67" s="51" t="str">
        <f t="shared" si="6"/>
        <v>=$("#").val();</v>
      </c>
      <c r="AO67" s="51" t="str">
        <f t="shared" si="30"/>
        <v/>
      </c>
      <c r="AP67" s="50" t="str">
        <f t="shared" si="7"/>
        <v>&lt;input type="checkbox" id="" name="" value="1" /&gt;</v>
      </c>
      <c r="AQ67" s="51" t="str">
        <f t="shared" si="8"/>
        <v>=document.getElementById("").checked;</v>
      </c>
      <c r="AR67" s="52" t="str">
        <f t="shared" si="9"/>
        <v>if (isset($_GET[''])) {$=($_GET['']);}else $='';</v>
      </c>
      <c r="AS67" s="17" t="str">
        <f t="shared" si="10"/>
        <v>Mobile phone</v>
      </c>
      <c r="AT67" s="17" t="str">
        <f t="shared" si="46"/>
        <v/>
      </c>
      <c r="AU67" s="50" t="str">
        <f t="shared" si="11"/>
        <v>&lt;input type="radio" name="Mobile phone" id="" value="" /&gt;</v>
      </c>
      <c r="AV67" s="15" t="str">
        <f t="shared" si="12"/>
        <v>else if (document.getElementById("</v>
      </c>
      <c r="AW67" s="51" t="str">
        <f t="shared" si="13"/>
        <v>else if (document.getElementById("").checked==true) {Mobile phone="";}</v>
      </c>
      <c r="AX67" s="17" t="str">
        <f t="shared" si="47"/>
        <v/>
      </c>
      <c r="AY67" s="52" t="str">
        <f t="shared" si="14"/>
        <v/>
      </c>
      <c r="AZ67" s="56" t="str">
        <f t="shared" si="15"/>
        <v>&lt;br/&gt;&lt;textarea rows="2" cols="80" id=""&gt;&lt;/textarea&gt;&lt;br/&gt;</v>
      </c>
      <c r="BA67" s="54" t="str">
        <f t="shared" si="16"/>
        <v>&lt;input type="text"  size="7"  id="" class="datepicker"/&gt;</v>
      </c>
      <c r="BB67" s="54" t="str">
        <f t="shared" si="48"/>
        <v/>
      </c>
      <c r="BC67" s="48" t="str">
        <f t="shared" si="49"/>
        <v/>
      </c>
      <c r="BD67" s="49" t="str">
        <f t="shared" si="50"/>
        <v/>
      </c>
      <c r="BE67" s="49">
        <f t="shared" si="55"/>
        <v>7</v>
      </c>
      <c r="BF67" s="55" t="str">
        <f t="shared" si="60"/>
        <v/>
      </c>
      <c r="BG67" s="6" t="str">
        <f t="shared" si="59"/>
        <v/>
      </c>
      <c r="BH67" s="17" t="str">
        <f t="shared" si="51"/>
        <v/>
      </c>
      <c r="BI67" s="17" t="str">
        <f t="shared" si="32"/>
        <v/>
      </c>
      <c r="BJ67" s="17">
        <f t="shared" si="33"/>
        <v>0</v>
      </c>
      <c r="BK67" s="17">
        <f t="shared" si="34"/>
        <v>1</v>
      </c>
      <c r="BL67" s="17" t="str">
        <f t="shared" si="58"/>
        <v/>
      </c>
      <c r="BO67" s="17" t="str">
        <f t="shared" si="52"/>
        <v/>
      </c>
      <c r="BP67" s="17" t="str">
        <f t="shared" si="18"/>
        <v/>
      </c>
      <c r="BQ67" s="17" t="str">
        <f t="shared" si="35"/>
        <v/>
      </c>
      <c r="BR67" s="17" t="str">
        <f t="shared" si="36"/>
        <v/>
      </c>
      <c r="BS67" s="17" t="str">
        <f t="shared" si="53"/>
        <v/>
      </c>
      <c r="BT67" s="17" t="str">
        <f t="shared" si="37"/>
        <v/>
      </c>
      <c r="BU67" s="17" t="str">
        <f t="shared" si="38"/>
        <v/>
      </c>
      <c r="BV67" s="17" t="str">
        <f t="shared" si="39"/>
        <v/>
      </c>
      <c r="BW67" s="17" t="str">
        <f t="shared" si="40"/>
        <v/>
      </c>
      <c r="BX67" s="17" t="str">
        <f t="shared" si="19"/>
        <v/>
      </c>
      <c r="BY67" s="17" t="str">
        <f t="shared" si="54"/>
        <v/>
      </c>
      <c r="BZ67" s="61" t="str">
        <f t="shared" si="41"/>
        <v/>
      </c>
      <c r="CA67" s="17" t="str">
        <f t="shared" si="20"/>
        <v/>
      </c>
      <c r="CB67" s="17" t="str">
        <f t="shared" si="21"/>
        <v/>
      </c>
      <c r="CC67" s="17" t="str">
        <f t="shared" si="42"/>
        <v/>
      </c>
      <c r="CD67" s="17" t="str">
        <f t="shared" si="22"/>
        <v/>
      </c>
      <c r="CE67" s="17" t="str">
        <f t="shared" si="23"/>
        <v/>
      </c>
      <c r="CF67" s="17" t="str">
        <f t="shared" si="43"/>
        <v/>
      </c>
      <c r="CG67" s="17" t="str">
        <f t="shared" si="44"/>
        <v/>
      </c>
    </row>
    <row r="68" spans="2:85" s="17" customFormat="1" hidden="1">
      <c r="B68" s="35"/>
      <c r="C68" s="35"/>
      <c r="D68" s="36"/>
      <c r="E68" s="35"/>
      <c r="F68" s="35"/>
      <c r="G68" s="35"/>
      <c r="H68" s="35"/>
      <c r="I68" s="59"/>
      <c r="AA68" s="47" t="s">
        <v>247</v>
      </c>
      <c r="AB68" s="17" t="str">
        <f t="shared" si="0"/>
        <v/>
      </c>
      <c r="AC68" s="17">
        <f t="shared" si="25"/>
        <v>0</v>
      </c>
      <c r="AD68" s="17">
        <f t="shared" si="45"/>
        <v>6</v>
      </c>
      <c r="AE68" s="17" t="str">
        <f t="shared" si="1"/>
        <v/>
      </c>
      <c r="AF68" s="17">
        <f t="shared" si="26"/>
        <v>0</v>
      </c>
      <c r="AG68" s="17">
        <f t="shared" si="27"/>
        <v>6</v>
      </c>
      <c r="AH68" s="17" t="str">
        <f t="shared" si="28"/>
        <v/>
      </c>
      <c r="AI68" s="17" t="str">
        <f t="shared" si="2"/>
        <v/>
      </c>
      <c r="AJ68" s="17" t="str">
        <f t="shared" si="29"/>
        <v/>
      </c>
      <c r="AK68" s="17" t="str">
        <f t="shared" si="3"/>
        <v>if () {$("#adv_").html("Requierd");$("#").css({"background":"yellow"});} else {$("#adv_").html("");$("#").css({"background":"white"});}</v>
      </c>
      <c r="AL68" s="17" t="str">
        <f t="shared" si="4"/>
        <v>if (=="") {$("#adv_").html("Requierd");} else {$("#adv_").html("");}</v>
      </c>
      <c r="AM68" s="50" t="str">
        <f t="shared" si="5"/>
        <v/>
      </c>
      <c r="AN68" s="51" t="str">
        <f t="shared" si="6"/>
        <v>=$("#").val();</v>
      </c>
      <c r="AO68" s="51" t="str">
        <f t="shared" si="30"/>
        <v/>
      </c>
      <c r="AP68" s="50" t="str">
        <f t="shared" si="7"/>
        <v>&lt;input type="checkbox" id="" name="" value="1" /&gt;</v>
      </c>
      <c r="AQ68" s="51" t="str">
        <f t="shared" si="8"/>
        <v>=document.getElementById("").checked;</v>
      </c>
      <c r="AR68" s="52" t="str">
        <f t="shared" si="9"/>
        <v>if (isset($_GET[''])) {$=($_GET['']);}else $='';</v>
      </c>
      <c r="AS68" s="17" t="str">
        <f t="shared" si="10"/>
        <v>Mobile phone</v>
      </c>
      <c r="AT68" s="17" t="str">
        <f t="shared" si="46"/>
        <v/>
      </c>
      <c r="AU68" s="50" t="str">
        <f t="shared" si="11"/>
        <v>&lt;input type="radio" name="Mobile phone" id="" value="" /&gt;</v>
      </c>
      <c r="AV68" s="15" t="str">
        <f t="shared" si="12"/>
        <v>else if (document.getElementById("</v>
      </c>
      <c r="AW68" s="51" t="str">
        <f t="shared" si="13"/>
        <v>else if (document.getElementById("").checked==true) {Mobile phone="";}</v>
      </c>
      <c r="AX68" s="17" t="str">
        <f t="shared" si="47"/>
        <v/>
      </c>
      <c r="AY68" s="52" t="str">
        <f t="shared" si="14"/>
        <v/>
      </c>
      <c r="AZ68" s="56" t="str">
        <f t="shared" si="15"/>
        <v>&lt;br/&gt;&lt;textarea rows="2" cols="80" id=""&gt;&lt;/textarea&gt;&lt;br/&gt;</v>
      </c>
      <c r="BA68" s="54" t="str">
        <f t="shared" si="16"/>
        <v>&lt;input type="text"  size="7"  id="" class="datepicker"/&gt;</v>
      </c>
      <c r="BB68" s="54" t="str">
        <f t="shared" si="48"/>
        <v/>
      </c>
      <c r="BC68" s="48" t="str">
        <f t="shared" si="49"/>
        <v/>
      </c>
      <c r="BD68" s="49" t="str">
        <f t="shared" si="50"/>
        <v/>
      </c>
      <c r="BE68" s="49">
        <f t="shared" si="55"/>
        <v>7</v>
      </c>
      <c r="BF68" s="55" t="str">
        <f t="shared" si="60"/>
        <v/>
      </c>
      <c r="BG68" s="6" t="str">
        <f t="shared" si="59"/>
        <v/>
      </c>
      <c r="BH68" s="17" t="str">
        <f t="shared" si="51"/>
        <v/>
      </c>
      <c r="BI68" s="17" t="str">
        <f t="shared" si="32"/>
        <v/>
      </c>
      <c r="BJ68" s="17">
        <f t="shared" si="33"/>
        <v>0</v>
      </c>
      <c r="BK68" s="17">
        <f t="shared" si="34"/>
        <v>1</v>
      </c>
      <c r="BL68" s="17" t="str">
        <f t="shared" si="58"/>
        <v/>
      </c>
      <c r="BO68" s="17" t="str">
        <f t="shared" si="52"/>
        <v/>
      </c>
      <c r="BP68" s="17" t="str">
        <f t="shared" si="18"/>
        <v/>
      </c>
      <c r="BQ68" s="17" t="str">
        <f t="shared" si="35"/>
        <v/>
      </c>
      <c r="BR68" s="17" t="str">
        <f t="shared" si="36"/>
        <v/>
      </c>
      <c r="BS68" s="17" t="str">
        <f t="shared" si="53"/>
        <v/>
      </c>
      <c r="BT68" s="17" t="str">
        <f t="shared" si="37"/>
        <v/>
      </c>
      <c r="BU68" s="17" t="str">
        <f t="shared" si="38"/>
        <v/>
      </c>
      <c r="BV68" s="17" t="str">
        <f t="shared" si="39"/>
        <v/>
      </c>
      <c r="BW68" s="17" t="str">
        <f t="shared" si="40"/>
        <v/>
      </c>
      <c r="BX68" s="17" t="str">
        <f t="shared" si="19"/>
        <v/>
      </c>
      <c r="BY68" s="17" t="str">
        <f t="shared" si="54"/>
        <v/>
      </c>
      <c r="BZ68" s="61" t="str">
        <f t="shared" si="41"/>
        <v/>
      </c>
      <c r="CA68" s="17" t="str">
        <f t="shared" si="20"/>
        <v/>
      </c>
      <c r="CB68" s="17" t="str">
        <f t="shared" si="21"/>
        <v/>
      </c>
      <c r="CC68" s="17" t="str">
        <f t="shared" si="42"/>
        <v/>
      </c>
      <c r="CD68" s="17" t="str">
        <f t="shared" si="22"/>
        <v/>
      </c>
      <c r="CE68" s="17" t="str">
        <f t="shared" si="23"/>
        <v/>
      </c>
      <c r="CF68" s="17" t="str">
        <f t="shared" si="43"/>
        <v/>
      </c>
      <c r="CG68" s="17" t="str">
        <f t="shared" si="44"/>
        <v/>
      </c>
    </row>
    <row r="69" spans="2:85" s="17" customFormat="1" hidden="1">
      <c r="B69" s="35"/>
      <c r="C69" s="35"/>
      <c r="D69" s="36"/>
      <c r="E69" s="35"/>
      <c r="F69" s="35"/>
      <c r="G69" s="35"/>
      <c r="H69" s="35"/>
      <c r="I69" s="59"/>
      <c r="AA69" s="47" t="s">
        <v>248</v>
      </c>
      <c r="AB69" s="17" t="str">
        <f t="shared" si="0"/>
        <v/>
      </c>
      <c r="AC69" s="17">
        <f t="shared" si="25"/>
        <v>0</v>
      </c>
      <c r="AD69" s="17">
        <f t="shared" si="45"/>
        <v>6</v>
      </c>
      <c r="AE69" s="17" t="str">
        <f t="shared" si="1"/>
        <v/>
      </c>
      <c r="AF69" s="17">
        <f t="shared" si="26"/>
        <v>0</v>
      </c>
      <c r="AG69" s="17">
        <f t="shared" si="27"/>
        <v>6</v>
      </c>
      <c r="AH69" s="17" t="str">
        <f t="shared" si="28"/>
        <v/>
      </c>
      <c r="AI69" s="17" t="str">
        <f t="shared" si="2"/>
        <v/>
      </c>
      <c r="AJ69" s="17" t="str">
        <f t="shared" si="29"/>
        <v/>
      </c>
      <c r="AK69" s="17" t="str">
        <f t="shared" si="3"/>
        <v>if () {$("#adv_").html("Requierd");$("#").css({"background":"yellow"});} else {$("#adv_").html("");$("#").css({"background":"white"});}</v>
      </c>
      <c r="AL69" s="17" t="str">
        <f t="shared" si="4"/>
        <v>if (=="") {$("#adv_").html("Requierd");} else {$("#adv_").html("");}</v>
      </c>
      <c r="AM69" s="50" t="str">
        <f t="shared" si="5"/>
        <v/>
      </c>
      <c r="AN69" s="51" t="str">
        <f t="shared" si="6"/>
        <v>=$("#").val();</v>
      </c>
      <c r="AO69" s="51" t="str">
        <f t="shared" si="30"/>
        <v/>
      </c>
      <c r="AP69" s="50" t="str">
        <f t="shared" si="7"/>
        <v>&lt;input type="checkbox" id="" name="" value="1" /&gt;</v>
      </c>
      <c r="AQ69" s="51" t="str">
        <f t="shared" si="8"/>
        <v>=document.getElementById("").checked;</v>
      </c>
      <c r="AR69" s="52" t="str">
        <f t="shared" si="9"/>
        <v>if (isset($_GET[''])) {$=($_GET['']);}else $='';</v>
      </c>
      <c r="AS69" s="17" t="str">
        <f t="shared" si="10"/>
        <v>Mobile phone</v>
      </c>
      <c r="AT69" s="17" t="str">
        <f t="shared" si="46"/>
        <v/>
      </c>
      <c r="AU69" s="50" t="str">
        <f t="shared" si="11"/>
        <v>&lt;input type="radio" name="Mobile phone" id="" value="" /&gt;</v>
      </c>
      <c r="AV69" s="15" t="str">
        <f t="shared" si="12"/>
        <v>else if (document.getElementById("</v>
      </c>
      <c r="AW69" s="51" t="str">
        <f t="shared" si="13"/>
        <v>else if (document.getElementById("").checked==true) {Mobile phone="";}</v>
      </c>
      <c r="AX69" s="17" t="str">
        <f t="shared" si="47"/>
        <v/>
      </c>
      <c r="AY69" s="52" t="str">
        <f t="shared" si="14"/>
        <v/>
      </c>
      <c r="AZ69" s="56" t="str">
        <f t="shared" si="15"/>
        <v>&lt;br/&gt;&lt;textarea rows="2" cols="80" id=""&gt;&lt;/textarea&gt;&lt;br/&gt;</v>
      </c>
      <c r="BA69" s="54" t="str">
        <f t="shared" si="16"/>
        <v>&lt;input type="text"  size="7"  id="" class="datepicker"/&gt;</v>
      </c>
      <c r="BB69" s="54" t="str">
        <f t="shared" si="48"/>
        <v/>
      </c>
      <c r="BC69" s="48" t="str">
        <f t="shared" si="49"/>
        <v/>
      </c>
      <c r="BD69" s="49" t="str">
        <f t="shared" si="50"/>
        <v/>
      </c>
      <c r="BE69" s="49">
        <f t="shared" si="55"/>
        <v>7</v>
      </c>
      <c r="BF69" s="55" t="str">
        <f t="shared" si="60"/>
        <v/>
      </c>
      <c r="BG69" s="6" t="str">
        <f t="shared" si="59"/>
        <v/>
      </c>
      <c r="BH69" s="17" t="str">
        <f t="shared" si="51"/>
        <v/>
      </c>
      <c r="BI69" s="17" t="str">
        <f t="shared" si="32"/>
        <v/>
      </c>
      <c r="BJ69" s="17">
        <f t="shared" si="33"/>
        <v>0</v>
      </c>
      <c r="BK69" s="17">
        <f t="shared" si="34"/>
        <v>1</v>
      </c>
      <c r="BL69" s="17" t="str">
        <f t="shared" si="58"/>
        <v/>
      </c>
      <c r="BO69" s="17" t="str">
        <f t="shared" si="52"/>
        <v/>
      </c>
      <c r="BP69" s="17" t="str">
        <f t="shared" si="18"/>
        <v/>
      </c>
      <c r="BQ69" s="17" t="str">
        <f t="shared" si="35"/>
        <v/>
      </c>
      <c r="BR69" s="17" t="str">
        <f t="shared" si="36"/>
        <v/>
      </c>
      <c r="BS69" s="17" t="str">
        <f t="shared" si="53"/>
        <v/>
      </c>
      <c r="BT69" s="17" t="str">
        <f t="shared" si="37"/>
        <v/>
      </c>
      <c r="BU69" s="17" t="str">
        <f t="shared" si="38"/>
        <v/>
      </c>
      <c r="BV69" s="17" t="str">
        <f t="shared" si="39"/>
        <v/>
      </c>
      <c r="BW69" s="17" t="str">
        <f t="shared" si="40"/>
        <v/>
      </c>
      <c r="BX69" s="17" t="str">
        <f t="shared" si="19"/>
        <v/>
      </c>
      <c r="BY69" s="17" t="str">
        <f t="shared" si="54"/>
        <v/>
      </c>
      <c r="BZ69" s="61" t="str">
        <f t="shared" si="41"/>
        <v/>
      </c>
      <c r="CA69" s="17" t="str">
        <f t="shared" si="20"/>
        <v/>
      </c>
      <c r="CB69" s="17" t="str">
        <f t="shared" si="21"/>
        <v/>
      </c>
      <c r="CC69" s="17" t="str">
        <f t="shared" si="42"/>
        <v/>
      </c>
      <c r="CD69" s="17" t="str">
        <f t="shared" si="22"/>
        <v/>
      </c>
      <c r="CE69" s="17" t="str">
        <f t="shared" si="23"/>
        <v/>
      </c>
      <c r="CF69" s="17" t="str">
        <f t="shared" si="43"/>
        <v/>
      </c>
      <c r="CG69" s="17" t="str">
        <f t="shared" si="44"/>
        <v/>
      </c>
    </row>
    <row r="70" spans="2:85" s="17" customFormat="1" hidden="1">
      <c r="B70" s="35"/>
      <c r="C70" s="35"/>
      <c r="D70" s="36"/>
      <c r="E70" s="35"/>
      <c r="F70" s="35"/>
      <c r="G70" s="35"/>
      <c r="H70" s="35"/>
      <c r="I70" s="59"/>
      <c r="AA70" s="47" t="s">
        <v>249</v>
      </c>
      <c r="AB70" s="17" t="str">
        <f t="shared" si="0"/>
        <v/>
      </c>
      <c r="AC70" s="17">
        <f t="shared" si="25"/>
        <v>0</v>
      </c>
      <c r="AD70" s="17">
        <f t="shared" si="45"/>
        <v>6</v>
      </c>
      <c r="AE70" s="17" t="str">
        <f t="shared" si="1"/>
        <v/>
      </c>
      <c r="AF70" s="17">
        <f t="shared" si="26"/>
        <v>0</v>
      </c>
      <c r="AG70" s="17">
        <f t="shared" si="27"/>
        <v>6</v>
      </c>
      <c r="AH70" s="17" t="str">
        <f t="shared" si="28"/>
        <v/>
      </c>
      <c r="AI70" s="17" t="str">
        <f t="shared" si="2"/>
        <v/>
      </c>
      <c r="AJ70" s="17" t="str">
        <f t="shared" si="29"/>
        <v/>
      </c>
      <c r="AK70" s="17" t="str">
        <f t="shared" si="3"/>
        <v>if () {$("#adv_").html("Requierd");$("#").css({"background":"yellow"});} else {$("#adv_").html("");$("#").css({"background":"white"});}</v>
      </c>
      <c r="AL70" s="17" t="str">
        <f t="shared" si="4"/>
        <v>if (=="") {$("#adv_").html("Requierd");} else {$("#adv_").html("");}</v>
      </c>
      <c r="AM70" s="50" t="str">
        <f t="shared" si="5"/>
        <v/>
      </c>
      <c r="AN70" s="51" t="str">
        <f t="shared" si="6"/>
        <v>=$("#").val();</v>
      </c>
      <c r="AO70" s="51" t="str">
        <f t="shared" si="30"/>
        <v/>
      </c>
      <c r="AP70" s="50" t="str">
        <f t="shared" si="7"/>
        <v>&lt;input type="checkbox" id="" name="" value="1" /&gt;</v>
      </c>
      <c r="AQ70" s="51" t="str">
        <f t="shared" si="8"/>
        <v>=document.getElementById("").checked;</v>
      </c>
      <c r="AR70" s="52" t="str">
        <f t="shared" si="9"/>
        <v>if (isset($_GET[''])) {$=($_GET['']);}else $='';</v>
      </c>
      <c r="AS70" s="17" t="str">
        <f t="shared" si="10"/>
        <v>Mobile phone</v>
      </c>
      <c r="AT70" s="17" t="str">
        <f t="shared" si="46"/>
        <v/>
      </c>
      <c r="AU70" s="50" t="str">
        <f t="shared" si="11"/>
        <v>&lt;input type="radio" name="Mobile phone" id="" value="" /&gt;</v>
      </c>
      <c r="AV70" s="15" t="str">
        <f t="shared" si="12"/>
        <v>else if (document.getElementById("</v>
      </c>
      <c r="AW70" s="51" t="str">
        <f t="shared" si="13"/>
        <v>else if (document.getElementById("").checked==true) {Mobile phone="";}</v>
      </c>
      <c r="AX70" s="17" t="str">
        <f t="shared" si="47"/>
        <v/>
      </c>
      <c r="AY70" s="52" t="str">
        <f t="shared" si="14"/>
        <v/>
      </c>
      <c r="AZ70" s="56" t="str">
        <f t="shared" si="15"/>
        <v>&lt;br/&gt;&lt;textarea rows="2" cols="80" id=""&gt;&lt;/textarea&gt;&lt;br/&gt;</v>
      </c>
      <c r="BA70" s="54" t="str">
        <f t="shared" si="16"/>
        <v>&lt;input type="text"  size="7"  id="" class="datepicker"/&gt;</v>
      </c>
      <c r="BB70" s="54" t="str">
        <f t="shared" si="48"/>
        <v/>
      </c>
      <c r="BC70" s="48" t="str">
        <f t="shared" si="49"/>
        <v/>
      </c>
      <c r="BD70" s="49" t="str">
        <f t="shared" si="50"/>
        <v/>
      </c>
      <c r="BE70" s="49">
        <f t="shared" si="55"/>
        <v>7</v>
      </c>
      <c r="BF70" s="55" t="str">
        <f t="shared" si="60"/>
        <v/>
      </c>
      <c r="BG70" s="6" t="str">
        <f t="shared" si="59"/>
        <v/>
      </c>
      <c r="BH70" s="17" t="str">
        <f t="shared" si="51"/>
        <v/>
      </c>
      <c r="BI70" s="17" t="str">
        <f t="shared" si="32"/>
        <v/>
      </c>
      <c r="BJ70" s="17">
        <f t="shared" si="33"/>
        <v>0</v>
      </c>
      <c r="BK70" s="17">
        <f t="shared" si="34"/>
        <v>1</v>
      </c>
      <c r="BL70" s="17" t="str">
        <f t="shared" si="58"/>
        <v/>
      </c>
      <c r="BO70" s="17" t="str">
        <f t="shared" si="52"/>
        <v/>
      </c>
      <c r="BP70" s="17" t="str">
        <f t="shared" si="18"/>
        <v/>
      </c>
      <c r="BQ70" s="17" t="str">
        <f t="shared" si="35"/>
        <v/>
      </c>
      <c r="BR70" s="17" t="str">
        <f t="shared" si="36"/>
        <v/>
      </c>
      <c r="BS70" s="17" t="str">
        <f t="shared" si="53"/>
        <v/>
      </c>
      <c r="BT70" s="17" t="str">
        <f t="shared" si="37"/>
        <v/>
      </c>
      <c r="BU70" s="17" t="str">
        <f t="shared" si="38"/>
        <v/>
      </c>
      <c r="BV70" s="17" t="str">
        <f t="shared" si="39"/>
        <v/>
      </c>
      <c r="BW70" s="17" t="str">
        <f t="shared" si="40"/>
        <v/>
      </c>
      <c r="BX70" s="17" t="str">
        <f t="shared" si="19"/>
        <v/>
      </c>
      <c r="BY70" s="17" t="str">
        <f t="shared" si="54"/>
        <v/>
      </c>
      <c r="BZ70" s="61" t="str">
        <f t="shared" si="41"/>
        <v/>
      </c>
      <c r="CA70" s="17" t="str">
        <f t="shared" si="20"/>
        <v/>
      </c>
      <c r="CB70" s="17" t="str">
        <f t="shared" si="21"/>
        <v/>
      </c>
      <c r="CC70" s="17" t="str">
        <f t="shared" si="42"/>
        <v/>
      </c>
      <c r="CD70" s="17" t="str">
        <f t="shared" si="22"/>
        <v/>
      </c>
      <c r="CE70" s="17" t="str">
        <f t="shared" si="23"/>
        <v/>
      </c>
      <c r="CF70" s="17" t="str">
        <f t="shared" si="43"/>
        <v/>
      </c>
      <c r="CG70" s="17" t="str">
        <f t="shared" si="44"/>
        <v/>
      </c>
    </row>
    <row r="71" spans="2:85" s="17" customFormat="1" hidden="1">
      <c r="B71" s="35"/>
      <c r="C71" s="35"/>
      <c r="D71" s="36"/>
      <c r="E71" s="35"/>
      <c r="F71" s="35"/>
      <c r="G71" s="35"/>
      <c r="H71" s="35"/>
      <c r="I71" s="59"/>
      <c r="AA71" s="47" t="s">
        <v>250</v>
      </c>
      <c r="AB71" s="17" t="str">
        <f t="shared" si="0"/>
        <v/>
      </c>
      <c r="AC71" s="17">
        <f t="shared" si="25"/>
        <v>0</v>
      </c>
      <c r="AD71" s="17">
        <f t="shared" si="45"/>
        <v>6</v>
      </c>
      <c r="AE71" s="17" t="str">
        <f t="shared" si="1"/>
        <v/>
      </c>
      <c r="AF71" s="17">
        <f t="shared" si="26"/>
        <v>0</v>
      </c>
      <c r="AG71" s="17">
        <f t="shared" si="27"/>
        <v>6</v>
      </c>
      <c r="AH71" s="17" t="str">
        <f t="shared" si="28"/>
        <v/>
      </c>
      <c r="AI71" s="17" t="str">
        <f t="shared" si="2"/>
        <v/>
      </c>
      <c r="AJ71" s="17" t="str">
        <f t="shared" si="29"/>
        <v/>
      </c>
      <c r="AK71" s="17" t="str">
        <f t="shared" si="3"/>
        <v>if () {$("#adv_").html("Requierd");$("#").css({"background":"yellow"});} else {$("#adv_").html("");$("#").css({"background":"white"});}</v>
      </c>
      <c r="AL71" s="17" t="str">
        <f t="shared" si="4"/>
        <v>if (=="") {$("#adv_").html("Requierd");} else {$("#adv_").html("");}</v>
      </c>
      <c r="AM71" s="50" t="str">
        <f t="shared" si="5"/>
        <v/>
      </c>
      <c r="AN71" s="51" t="str">
        <f t="shared" si="6"/>
        <v>=$("#").val();</v>
      </c>
      <c r="AO71" s="51" t="str">
        <f t="shared" si="30"/>
        <v/>
      </c>
      <c r="AP71" s="50" t="str">
        <f t="shared" si="7"/>
        <v>&lt;input type="checkbox" id="" name="" value="1" /&gt;</v>
      </c>
      <c r="AQ71" s="51" t="str">
        <f t="shared" si="8"/>
        <v>=document.getElementById("").checked;</v>
      </c>
      <c r="AR71" s="52" t="str">
        <f t="shared" si="9"/>
        <v>if (isset($_GET[''])) {$=($_GET['']);}else $='';</v>
      </c>
      <c r="AS71" s="17" t="str">
        <f t="shared" si="10"/>
        <v>Mobile phone</v>
      </c>
      <c r="AT71" s="17" t="str">
        <f t="shared" si="46"/>
        <v/>
      </c>
      <c r="AU71" s="50" t="str">
        <f t="shared" si="11"/>
        <v>&lt;input type="radio" name="Mobile phone" id="" value="" /&gt;</v>
      </c>
      <c r="AV71" s="15" t="str">
        <f t="shared" si="12"/>
        <v>else if (document.getElementById("</v>
      </c>
      <c r="AW71" s="51" t="str">
        <f t="shared" si="13"/>
        <v>else if (document.getElementById("").checked==true) {Mobile phone="";}</v>
      </c>
      <c r="AX71" s="17" t="str">
        <f t="shared" si="47"/>
        <v/>
      </c>
      <c r="AY71" s="52" t="str">
        <f t="shared" si="14"/>
        <v/>
      </c>
      <c r="AZ71" s="56" t="str">
        <f t="shared" si="15"/>
        <v>&lt;br/&gt;&lt;textarea rows="2" cols="80" id=""&gt;&lt;/textarea&gt;&lt;br/&gt;</v>
      </c>
      <c r="BA71" s="54" t="str">
        <f t="shared" si="16"/>
        <v>&lt;input type="text"  size="7"  id="" class="datepicker"/&gt;</v>
      </c>
      <c r="BB71" s="54" t="str">
        <f t="shared" si="48"/>
        <v/>
      </c>
      <c r="BC71" s="48" t="str">
        <f t="shared" si="49"/>
        <v/>
      </c>
      <c r="BD71" s="49" t="str">
        <f t="shared" si="50"/>
        <v/>
      </c>
      <c r="BE71" s="49">
        <f t="shared" si="55"/>
        <v>7</v>
      </c>
      <c r="BF71" s="55" t="str">
        <f t="shared" si="60"/>
        <v/>
      </c>
      <c r="BG71" s="6" t="str">
        <f t="shared" si="59"/>
        <v/>
      </c>
      <c r="BH71" s="17" t="str">
        <f t="shared" si="51"/>
        <v/>
      </c>
      <c r="BI71" s="17" t="str">
        <f t="shared" si="32"/>
        <v/>
      </c>
      <c r="BJ71" s="17">
        <f t="shared" si="33"/>
        <v>0</v>
      </c>
      <c r="BK71" s="17">
        <f t="shared" si="34"/>
        <v>1</v>
      </c>
      <c r="BL71" s="17" t="str">
        <f t="shared" si="58"/>
        <v/>
      </c>
      <c r="BO71" s="17" t="str">
        <f t="shared" si="52"/>
        <v/>
      </c>
      <c r="BP71" s="17" t="str">
        <f t="shared" si="18"/>
        <v/>
      </c>
      <c r="BQ71" s="17" t="str">
        <f t="shared" si="35"/>
        <v/>
      </c>
      <c r="BR71" s="17" t="str">
        <f t="shared" si="36"/>
        <v/>
      </c>
      <c r="BS71" s="17" t="str">
        <f t="shared" si="53"/>
        <v/>
      </c>
      <c r="BT71" s="17" t="str">
        <f t="shared" si="37"/>
        <v/>
      </c>
      <c r="BU71" s="17" t="str">
        <f t="shared" si="38"/>
        <v/>
      </c>
      <c r="BV71" s="17" t="str">
        <f t="shared" si="39"/>
        <v/>
      </c>
      <c r="BW71" s="17" t="str">
        <f t="shared" si="40"/>
        <v/>
      </c>
      <c r="BX71" s="17" t="str">
        <f t="shared" si="19"/>
        <v/>
      </c>
      <c r="BY71" s="17" t="str">
        <f t="shared" si="54"/>
        <v/>
      </c>
      <c r="BZ71" s="61" t="str">
        <f t="shared" si="41"/>
        <v/>
      </c>
      <c r="CA71" s="17" t="str">
        <f t="shared" si="20"/>
        <v/>
      </c>
      <c r="CB71" s="17" t="str">
        <f t="shared" si="21"/>
        <v/>
      </c>
      <c r="CC71" s="17" t="str">
        <f t="shared" si="42"/>
        <v/>
      </c>
      <c r="CD71" s="17" t="str">
        <f t="shared" si="22"/>
        <v/>
      </c>
      <c r="CE71" s="17" t="str">
        <f t="shared" si="23"/>
        <v/>
      </c>
      <c r="CF71" s="17" t="str">
        <f t="shared" si="43"/>
        <v/>
      </c>
      <c r="CG71" s="17" t="str">
        <f t="shared" si="44"/>
        <v/>
      </c>
    </row>
    <row r="72" spans="2:85" s="17" customFormat="1" hidden="1">
      <c r="B72" s="35"/>
      <c r="C72" s="35"/>
      <c r="D72" s="36"/>
      <c r="E72" s="35"/>
      <c r="F72" s="35"/>
      <c r="G72" s="35"/>
      <c r="H72" s="35"/>
      <c r="I72" s="59"/>
      <c r="AA72" s="47" t="s">
        <v>251</v>
      </c>
      <c r="AB72" s="17" t="str">
        <f t="shared" si="0"/>
        <v/>
      </c>
      <c r="AC72" s="17">
        <f t="shared" si="25"/>
        <v>0</v>
      </c>
      <c r="AD72" s="17">
        <f t="shared" si="45"/>
        <v>6</v>
      </c>
      <c r="AE72" s="17" t="str">
        <f t="shared" si="1"/>
        <v/>
      </c>
      <c r="AF72" s="17">
        <f t="shared" si="26"/>
        <v>0</v>
      </c>
      <c r="AG72" s="17">
        <f t="shared" si="27"/>
        <v>6</v>
      </c>
      <c r="AH72" s="17" t="str">
        <f t="shared" si="28"/>
        <v/>
      </c>
      <c r="AI72" s="17" t="str">
        <f t="shared" si="2"/>
        <v/>
      </c>
      <c r="AJ72" s="17" t="str">
        <f t="shared" si="29"/>
        <v/>
      </c>
      <c r="AK72" s="17" t="str">
        <f t="shared" si="3"/>
        <v>if () {$("#adv_").html("Requierd");$("#").css({"background":"yellow"});} else {$("#adv_").html("");$("#").css({"background":"white"});}</v>
      </c>
      <c r="AL72" s="17" t="str">
        <f t="shared" si="4"/>
        <v>if (=="") {$("#adv_").html("Requierd");} else {$("#adv_").html("");}</v>
      </c>
      <c r="AM72" s="50" t="str">
        <f t="shared" si="5"/>
        <v/>
      </c>
      <c r="AN72" s="51" t="str">
        <f t="shared" si="6"/>
        <v>=$("#").val();</v>
      </c>
      <c r="AO72" s="51" t="str">
        <f t="shared" si="30"/>
        <v/>
      </c>
      <c r="AP72" s="50" t="str">
        <f t="shared" si="7"/>
        <v>&lt;input type="checkbox" id="" name="" value="1" /&gt;</v>
      </c>
      <c r="AQ72" s="51" t="str">
        <f t="shared" si="8"/>
        <v>=document.getElementById("").checked;</v>
      </c>
      <c r="AR72" s="52" t="str">
        <f t="shared" si="9"/>
        <v>if (isset($_GET[''])) {$=($_GET['']);}else $='';</v>
      </c>
      <c r="AS72" s="17" t="str">
        <f t="shared" si="10"/>
        <v>Mobile phone</v>
      </c>
      <c r="AT72" s="17" t="str">
        <f t="shared" si="46"/>
        <v/>
      </c>
      <c r="AU72" s="50" t="str">
        <f t="shared" si="11"/>
        <v>&lt;input type="radio" name="Mobile phone" id="" value="" /&gt;</v>
      </c>
      <c r="AV72" s="15" t="str">
        <f t="shared" si="12"/>
        <v>else if (document.getElementById("</v>
      </c>
      <c r="AW72" s="51" t="str">
        <f t="shared" si="13"/>
        <v>else if (document.getElementById("").checked==true) {Mobile phone="";}</v>
      </c>
      <c r="AX72" s="17" t="str">
        <f t="shared" si="47"/>
        <v/>
      </c>
      <c r="AY72" s="52" t="str">
        <f t="shared" si="14"/>
        <v/>
      </c>
      <c r="AZ72" s="56" t="str">
        <f t="shared" si="15"/>
        <v>&lt;br/&gt;&lt;textarea rows="2" cols="80" id=""&gt;&lt;/textarea&gt;&lt;br/&gt;</v>
      </c>
      <c r="BA72" s="54" t="str">
        <f t="shared" si="16"/>
        <v>&lt;input type="text"  size="7"  id="" class="datepicker"/&gt;</v>
      </c>
      <c r="BB72" s="54" t="str">
        <f t="shared" si="48"/>
        <v/>
      </c>
      <c r="BC72" s="48" t="str">
        <f t="shared" si="49"/>
        <v/>
      </c>
      <c r="BD72" s="49" t="str">
        <f t="shared" si="50"/>
        <v/>
      </c>
      <c r="BE72" s="49">
        <f t="shared" si="55"/>
        <v>7</v>
      </c>
      <c r="BF72" s="55" t="str">
        <f t="shared" si="60"/>
        <v/>
      </c>
      <c r="BG72" s="6" t="str">
        <f t="shared" si="59"/>
        <v/>
      </c>
      <c r="BH72" s="17" t="str">
        <f t="shared" si="51"/>
        <v/>
      </c>
      <c r="BI72" s="17" t="str">
        <f t="shared" si="32"/>
        <v/>
      </c>
      <c r="BJ72" s="17">
        <f t="shared" si="33"/>
        <v>0</v>
      </c>
      <c r="BK72" s="17">
        <f t="shared" si="34"/>
        <v>1</v>
      </c>
      <c r="BL72" s="17" t="str">
        <f t="shared" si="58"/>
        <v/>
      </c>
      <c r="BO72" s="17" t="str">
        <f t="shared" si="52"/>
        <v/>
      </c>
      <c r="BP72" s="17" t="str">
        <f t="shared" si="18"/>
        <v/>
      </c>
      <c r="BQ72" s="17" t="str">
        <f t="shared" si="35"/>
        <v/>
      </c>
      <c r="BR72" s="17" t="str">
        <f t="shared" si="36"/>
        <v/>
      </c>
      <c r="BS72" s="17" t="str">
        <f t="shared" si="53"/>
        <v/>
      </c>
      <c r="BT72" s="17" t="str">
        <f t="shared" si="37"/>
        <v/>
      </c>
      <c r="BU72" s="17" t="str">
        <f t="shared" si="38"/>
        <v/>
      </c>
      <c r="BV72" s="17" t="str">
        <f t="shared" si="39"/>
        <v/>
      </c>
      <c r="BW72" s="17" t="str">
        <f t="shared" si="40"/>
        <v/>
      </c>
      <c r="BX72" s="17" t="str">
        <f t="shared" si="19"/>
        <v/>
      </c>
      <c r="BY72" s="17" t="str">
        <f t="shared" si="54"/>
        <v/>
      </c>
      <c r="BZ72" s="61" t="str">
        <f t="shared" si="41"/>
        <v/>
      </c>
      <c r="CA72" s="17" t="str">
        <f t="shared" si="20"/>
        <v/>
      </c>
      <c r="CB72" s="17" t="str">
        <f t="shared" si="21"/>
        <v/>
      </c>
      <c r="CC72" s="17" t="str">
        <f t="shared" si="42"/>
        <v/>
      </c>
      <c r="CD72" s="17" t="str">
        <f t="shared" si="22"/>
        <v/>
      </c>
      <c r="CE72" s="17" t="str">
        <f t="shared" si="23"/>
        <v/>
      </c>
      <c r="CF72" s="17" t="str">
        <f t="shared" si="43"/>
        <v/>
      </c>
      <c r="CG72" s="17" t="str">
        <f t="shared" si="44"/>
        <v/>
      </c>
    </row>
    <row r="73" spans="2:85" s="17" customFormat="1" hidden="1">
      <c r="B73" s="35"/>
      <c r="C73" s="35"/>
      <c r="D73" s="36"/>
      <c r="E73" s="35"/>
      <c r="F73" s="35"/>
      <c r="G73" s="35"/>
      <c r="H73" s="35"/>
      <c r="I73" s="59"/>
      <c r="AA73" s="47" t="s">
        <v>252</v>
      </c>
      <c r="AB73" s="17" t="str">
        <f t="shared" si="0"/>
        <v/>
      </c>
      <c r="AC73" s="17">
        <f t="shared" si="25"/>
        <v>0</v>
      </c>
      <c r="AD73" s="17">
        <f t="shared" si="45"/>
        <v>6</v>
      </c>
      <c r="AE73" s="17" t="str">
        <f t="shared" si="1"/>
        <v/>
      </c>
      <c r="AF73" s="17">
        <f t="shared" si="26"/>
        <v>0</v>
      </c>
      <c r="AG73" s="17">
        <f t="shared" si="27"/>
        <v>6</v>
      </c>
      <c r="AH73" s="17" t="str">
        <f t="shared" si="28"/>
        <v/>
      </c>
      <c r="AI73" s="17" t="str">
        <f t="shared" si="2"/>
        <v/>
      </c>
      <c r="AJ73" s="17" t="str">
        <f t="shared" si="29"/>
        <v/>
      </c>
      <c r="AK73" s="17" t="str">
        <f t="shared" si="3"/>
        <v>if () {$("#adv_").html("Requierd");$("#").css({"background":"yellow"});} else {$("#adv_").html("");$("#").css({"background":"white"});}</v>
      </c>
      <c r="AL73" s="17" t="str">
        <f t="shared" si="4"/>
        <v>if (=="") {$("#adv_").html("Requierd");} else {$("#adv_").html("");}</v>
      </c>
      <c r="AM73" s="50" t="str">
        <f t="shared" si="5"/>
        <v/>
      </c>
      <c r="AN73" s="51" t="str">
        <f t="shared" si="6"/>
        <v>=$("#").val();</v>
      </c>
      <c r="AO73" s="51" t="str">
        <f t="shared" si="30"/>
        <v/>
      </c>
      <c r="AP73" s="50" t="str">
        <f t="shared" si="7"/>
        <v>&lt;input type="checkbox" id="" name="" value="1" /&gt;</v>
      </c>
      <c r="AQ73" s="51" t="str">
        <f t="shared" si="8"/>
        <v>=document.getElementById("").checked;</v>
      </c>
      <c r="AR73" s="52" t="str">
        <f t="shared" si="9"/>
        <v>if (isset($_GET[''])) {$=($_GET['']);}else $='';</v>
      </c>
      <c r="AS73" s="17" t="str">
        <f t="shared" si="10"/>
        <v>Mobile phone</v>
      </c>
      <c r="AT73" s="17" t="str">
        <f t="shared" si="46"/>
        <v/>
      </c>
      <c r="AU73" s="50" t="str">
        <f t="shared" si="11"/>
        <v>&lt;input type="radio" name="Mobile phone" id="" value="" /&gt;</v>
      </c>
      <c r="AV73" s="15" t="str">
        <f t="shared" si="12"/>
        <v>else if (document.getElementById("</v>
      </c>
      <c r="AW73" s="51" t="str">
        <f t="shared" si="13"/>
        <v>else if (document.getElementById("").checked==true) {Mobile phone="";}</v>
      </c>
      <c r="AX73" s="17" t="str">
        <f t="shared" si="47"/>
        <v/>
      </c>
      <c r="AY73" s="52" t="str">
        <f t="shared" si="14"/>
        <v/>
      </c>
      <c r="AZ73" s="56" t="str">
        <f t="shared" si="15"/>
        <v>&lt;br/&gt;&lt;textarea rows="2" cols="80" id=""&gt;&lt;/textarea&gt;&lt;br/&gt;</v>
      </c>
      <c r="BA73" s="54" t="str">
        <f t="shared" si="16"/>
        <v>&lt;input type="text"  size="7"  id="" class="datepicker"/&gt;</v>
      </c>
      <c r="BB73" s="54" t="str">
        <f t="shared" si="48"/>
        <v/>
      </c>
      <c r="BC73" s="48" t="str">
        <f t="shared" si="49"/>
        <v/>
      </c>
      <c r="BD73" s="49" t="str">
        <f t="shared" si="50"/>
        <v/>
      </c>
      <c r="BE73" s="49">
        <f t="shared" si="55"/>
        <v>7</v>
      </c>
      <c r="BF73" s="55" t="str">
        <f t="shared" si="60"/>
        <v/>
      </c>
      <c r="BG73" s="6" t="str">
        <f t="shared" si="59"/>
        <v/>
      </c>
      <c r="BH73" s="17" t="str">
        <f t="shared" si="51"/>
        <v/>
      </c>
      <c r="BI73" s="17" t="str">
        <f t="shared" si="32"/>
        <v/>
      </c>
      <c r="BJ73" s="17">
        <f t="shared" si="33"/>
        <v>0</v>
      </c>
      <c r="BK73" s="17">
        <f t="shared" si="34"/>
        <v>1</v>
      </c>
      <c r="BL73" s="17" t="str">
        <f t="shared" si="58"/>
        <v/>
      </c>
      <c r="BO73" s="17" t="str">
        <f t="shared" si="52"/>
        <v/>
      </c>
      <c r="BP73" s="17" t="str">
        <f t="shared" si="18"/>
        <v/>
      </c>
      <c r="BQ73" s="17" t="str">
        <f t="shared" si="35"/>
        <v/>
      </c>
      <c r="BR73" s="17" t="str">
        <f t="shared" si="36"/>
        <v/>
      </c>
      <c r="BS73" s="17" t="str">
        <f t="shared" si="53"/>
        <v/>
      </c>
      <c r="BT73" s="17" t="str">
        <f t="shared" si="37"/>
        <v/>
      </c>
      <c r="BU73" s="17" t="str">
        <f t="shared" si="38"/>
        <v/>
      </c>
      <c r="BV73" s="17" t="str">
        <f t="shared" si="39"/>
        <v/>
      </c>
      <c r="BW73" s="17" t="str">
        <f t="shared" si="40"/>
        <v/>
      </c>
      <c r="BX73" s="17" t="str">
        <f t="shared" si="19"/>
        <v/>
      </c>
      <c r="BY73" s="17" t="str">
        <f t="shared" si="54"/>
        <v/>
      </c>
      <c r="BZ73" s="61" t="str">
        <f t="shared" si="41"/>
        <v/>
      </c>
      <c r="CA73" s="17" t="str">
        <f t="shared" si="20"/>
        <v/>
      </c>
      <c r="CB73" s="17" t="str">
        <f t="shared" si="21"/>
        <v/>
      </c>
      <c r="CC73" s="17" t="str">
        <f t="shared" si="42"/>
        <v/>
      </c>
      <c r="CD73" s="17" t="str">
        <f t="shared" si="22"/>
        <v/>
      </c>
      <c r="CE73" s="17" t="str">
        <f t="shared" si="23"/>
        <v/>
      </c>
      <c r="CF73" s="17" t="str">
        <f t="shared" si="43"/>
        <v/>
      </c>
      <c r="CG73" s="17" t="str">
        <f t="shared" si="44"/>
        <v/>
      </c>
    </row>
    <row r="74" spans="2:85" s="17" customFormat="1" hidden="1">
      <c r="B74" s="35"/>
      <c r="C74" s="35"/>
      <c r="D74" s="36"/>
      <c r="E74" s="35"/>
      <c r="F74" s="35"/>
      <c r="G74" s="35"/>
      <c r="H74" s="35"/>
      <c r="I74" s="59"/>
      <c r="AA74" s="47" t="s">
        <v>253</v>
      </c>
      <c r="AB74" s="17" t="str">
        <f t="shared" si="0"/>
        <v/>
      </c>
      <c r="AC74" s="17">
        <f t="shared" si="25"/>
        <v>0</v>
      </c>
      <c r="AD74" s="17">
        <f t="shared" si="45"/>
        <v>6</v>
      </c>
      <c r="AE74" s="17" t="str">
        <f t="shared" si="1"/>
        <v/>
      </c>
      <c r="AF74" s="17">
        <f t="shared" si="26"/>
        <v>0</v>
      </c>
      <c r="AG74" s="17">
        <f t="shared" si="27"/>
        <v>6</v>
      </c>
      <c r="AH74" s="17" t="str">
        <f t="shared" si="28"/>
        <v/>
      </c>
      <c r="AI74" s="17" t="str">
        <f t="shared" si="2"/>
        <v/>
      </c>
      <c r="AJ74" s="17" t="str">
        <f t="shared" si="29"/>
        <v/>
      </c>
      <c r="AK74" s="17" t="str">
        <f t="shared" si="3"/>
        <v>if () {$("#adv_").html("Requierd");$("#").css({"background":"yellow"});} else {$("#adv_").html("");$("#").css({"background":"white"});}</v>
      </c>
      <c r="AL74" s="17" t="str">
        <f t="shared" si="4"/>
        <v>if (=="") {$("#adv_").html("Requierd");} else {$("#adv_").html("");}</v>
      </c>
      <c r="AM74" s="50" t="str">
        <f t="shared" si="5"/>
        <v/>
      </c>
      <c r="AN74" s="51" t="str">
        <f t="shared" si="6"/>
        <v>=$("#").val();</v>
      </c>
      <c r="AO74" s="51" t="str">
        <f t="shared" si="30"/>
        <v/>
      </c>
      <c r="AP74" s="50" t="str">
        <f t="shared" si="7"/>
        <v>&lt;input type="checkbox" id="" name="" value="1" /&gt;</v>
      </c>
      <c r="AQ74" s="51" t="str">
        <f t="shared" si="8"/>
        <v>=document.getElementById("").checked;</v>
      </c>
      <c r="AR74" s="52" t="str">
        <f t="shared" si="9"/>
        <v>if (isset($_GET[''])) {$=($_GET['']);}else $='';</v>
      </c>
      <c r="AS74" s="17" t="str">
        <f t="shared" si="10"/>
        <v>Mobile phone</v>
      </c>
      <c r="AT74" s="17" t="str">
        <f t="shared" si="46"/>
        <v/>
      </c>
      <c r="AU74" s="50" t="str">
        <f t="shared" si="11"/>
        <v>&lt;input type="radio" name="Mobile phone" id="" value="" /&gt;</v>
      </c>
      <c r="AV74" s="15" t="str">
        <f t="shared" si="12"/>
        <v>else if (document.getElementById("</v>
      </c>
      <c r="AW74" s="51" t="str">
        <f t="shared" si="13"/>
        <v>else if (document.getElementById("").checked==true) {Mobile phone="";}</v>
      </c>
      <c r="AX74" s="17" t="str">
        <f t="shared" si="47"/>
        <v/>
      </c>
      <c r="AY74" s="52" t="str">
        <f t="shared" si="14"/>
        <v/>
      </c>
      <c r="AZ74" s="56" t="str">
        <f t="shared" si="15"/>
        <v>&lt;br/&gt;&lt;textarea rows="2" cols="80" id=""&gt;&lt;/textarea&gt;&lt;br/&gt;</v>
      </c>
      <c r="BA74" s="54" t="str">
        <f t="shared" si="16"/>
        <v>&lt;input type="text"  size="7"  id="" class="datepicker"/&gt;</v>
      </c>
      <c r="BB74" s="54" t="str">
        <f t="shared" si="48"/>
        <v/>
      </c>
      <c r="BC74" s="48" t="str">
        <f t="shared" si="49"/>
        <v/>
      </c>
      <c r="BD74" s="49" t="str">
        <f t="shared" si="50"/>
        <v/>
      </c>
      <c r="BE74" s="49">
        <f t="shared" si="55"/>
        <v>7</v>
      </c>
      <c r="BF74" s="55" t="str">
        <f t="shared" si="60"/>
        <v/>
      </c>
      <c r="BG74" s="6" t="str">
        <f t="shared" si="59"/>
        <v/>
      </c>
      <c r="BH74" s="17" t="str">
        <f t="shared" si="51"/>
        <v/>
      </c>
      <c r="BI74" s="17" t="str">
        <f t="shared" si="32"/>
        <v/>
      </c>
      <c r="BJ74" s="17">
        <f t="shared" si="33"/>
        <v>0</v>
      </c>
      <c r="BK74" s="17">
        <f t="shared" si="34"/>
        <v>1</v>
      </c>
      <c r="BL74" s="17" t="str">
        <f t="shared" si="58"/>
        <v/>
      </c>
      <c r="BO74" s="17" t="str">
        <f t="shared" si="52"/>
        <v/>
      </c>
      <c r="BP74" s="17" t="str">
        <f t="shared" si="18"/>
        <v/>
      </c>
      <c r="BQ74" s="17" t="str">
        <f t="shared" si="35"/>
        <v/>
      </c>
      <c r="BR74" s="17" t="str">
        <f t="shared" si="36"/>
        <v/>
      </c>
      <c r="BS74" s="17" t="str">
        <f t="shared" si="53"/>
        <v/>
      </c>
      <c r="BT74" s="17" t="str">
        <f t="shared" si="37"/>
        <v/>
      </c>
      <c r="BU74" s="17" t="str">
        <f t="shared" si="38"/>
        <v/>
      </c>
      <c r="BV74" s="17" t="str">
        <f t="shared" si="39"/>
        <v/>
      </c>
      <c r="BW74" s="17" t="str">
        <f t="shared" si="40"/>
        <v/>
      </c>
      <c r="BX74" s="17" t="str">
        <f t="shared" si="19"/>
        <v/>
      </c>
      <c r="BY74" s="17" t="str">
        <f t="shared" si="54"/>
        <v/>
      </c>
      <c r="BZ74" s="61" t="str">
        <f t="shared" si="41"/>
        <v/>
      </c>
      <c r="CA74" s="17" t="str">
        <f t="shared" si="20"/>
        <v/>
      </c>
      <c r="CB74" s="17" t="str">
        <f t="shared" si="21"/>
        <v/>
      </c>
      <c r="CC74" s="17" t="str">
        <f t="shared" si="42"/>
        <v/>
      </c>
      <c r="CD74" s="17" t="str">
        <f t="shared" si="22"/>
        <v/>
      </c>
      <c r="CE74" s="17" t="str">
        <f t="shared" si="23"/>
        <v/>
      </c>
      <c r="CF74" s="17" t="str">
        <f t="shared" si="43"/>
        <v/>
      </c>
      <c r="CG74" s="17" t="str">
        <f t="shared" si="44"/>
        <v/>
      </c>
    </row>
    <row r="75" spans="2:85" s="17" customFormat="1" hidden="1">
      <c r="B75" s="35"/>
      <c r="C75" s="35"/>
      <c r="D75" s="36"/>
      <c r="E75" s="35"/>
      <c r="F75" s="35"/>
      <c r="G75" s="35"/>
      <c r="H75" s="35"/>
      <c r="I75" s="59"/>
      <c r="AA75" s="47" t="s">
        <v>254</v>
      </c>
      <c r="AB75" s="17" t="str">
        <f t="shared" si="0"/>
        <v/>
      </c>
      <c r="AC75" s="17">
        <f t="shared" si="25"/>
        <v>0</v>
      </c>
      <c r="AD75" s="17">
        <f t="shared" si="45"/>
        <v>6</v>
      </c>
      <c r="AE75" s="17" t="str">
        <f t="shared" si="1"/>
        <v/>
      </c>
      <c r="AF75" s="17">
        <f t="shared" si="26"/>
        <v>0</v>
      </c>
      <c r="AG75" s="17">
        <f t="shared" si="27"/>
        <v>6</v>
      </c>
      <c r="AH75" s="17" t="str">
        <f t="shared" si="28"/>
        <v/>
      </c>
      <c r="AI75" s="17" t="str">
        <f t="shared" si="2"/>
        <v/>
      </c>
      <c r="AJ75" s="17" t="str">
        <f t="shared" si="29"/>
        <v/>
      </c>
      <c r="AK75" s="17" t="str">
        <f t="shared" si="3"/>
        <v>if () {$("#adv_").html("Requierd");$("#").css({"background":"yellow"});} else {$("#adv_").html("");$("#").css({"background":"white"});}</v>
      </c>
      <c r="AL75" s="17" t="str">
        <f t="shared" si="4"/>
        <v>if (=="") {$("#adv_").html("Requierd");} else {$("#adv_").html("");}</v>
      </c>
      <c r="AM75" s="50" t="str">
        <f t="shared" si="5"/>
        <v/>
      </c>
      <c r="AN75" s="51" t="str">
        <f t="shared" si="6"/>
        <v>=$("#").val();</v>
      </c>
      <c r="AO75" s="51" t="str">
        <f t="shared" si="30"/>
        <v/>
      </c>
      <c r="AP75" s="50" t="str">
        <f t="shared" si="7"/>
        <v>&lt;input type="checkbox" id="" name="" value="1" /&gt;</v>
      </c>
      <c r="AQ75" s="51" t="str">
        <f t="shared" si="8"/>
        <v>=document.getElementById("").checked;</v>
      </c>
      <c r="AR75" s="52" t="str">
        <f t="shared" si="9"/>
        <v>if (isset($_GET[''])) {$=($_GET['']);}else $='';</v>
      </c>
      <c r="AS75" s="17" t="str">
        <f t="shared" si="10"/>
        <v>Mobile phone</v>
      </c>
      <c r="AT75" s="17" t="str">
        <f t="shared" si="46"/>
        <v/>
      </c>
      <c r="AU75" s="50" t="str">
        <f t="shared" si="11"/>
        <v>&lt;input type="radio" name="Mobile phone" id="" value="" /&gt;</v>
      </c>
      <c r="AV75" s="15" t="str">
        <f t="shared" si="12"/>
        <v>else if (document.getElementById("</v>
      </c>
      <c r="AW75" s="51" t="str">
        <f t="shared" si="13"/>
        <v>else if (document.getElementById("").checked==true) {Mobile phone="";}</v>
      </c>
      <c r="AX75" s="17" t="str">
        <f t="shared" si="47"/>
        <v/>
      </c>
      <c r="AY75" s="52" t="str">
        <f t="shared" si="14"/>
        <v/>
      </c>
      <c r="AZ75" s="56" t="str">
        <f t="shared" si="15"/>
        <v>&lt;br/&gt;&lt;textarea rows="2" cols="80" id=""&gt;&lt;/textarea&gt;&lt;br/&gt;</v>
      </c>
      <c r="BA75" s="54" t="str">
        <f t="shared" si="16"/>
        <v>&lt;input type="text"  size="7"  id="" class="datepicker"/&gt;</v>
      </c>
      <c r="BB75" s="54" t="str">
        <f t="shared" si="48"/>
        <v/>
      </c>
      <c r="BC75" s="48" t="str">
        <f t="shared" si="49"/>
        <v/>
      </c>
      <c r="BD75" s="49" t="str">
        <f t="shared" si="50"/>
        <v/>
      </c>
      <c r="BE75" s="49">
        <f t="shared" si="55"/>
        <v>7</v>
      </c>
      <c r="BF75" s="55" t="str">
        <f t="shared" si="60"/>
        <v/>
      </c>
      <c r="BG75" s="6" t="str">
        <f t="shared" si="59"/>
        <v/>
      </c>
      <c r="BH75" s="17" t="str">
        <f t="shared" si="51"/>
        <v/>
      </c>
      <c r="BI75" s="17" t="str">
        <f t="shared" si="32"/>
        <v/>
      </c>
      <c r="BJ75" s="17">
        <f t="shared" si="33"/>
        <v>0</v>
      </c>
      <c r="BK75" s="17">
        <f t="shared" si="34"/>
        <v>1</v>
      </c>
      <c r="BL75" s="17" t="str">
        <f t="shared" si="58"/>
        <v/>
      </c>
      <c r="BO75" s="17" t="str">
        <f t="shared" si="52"/>
        <v/>
      </c>
      <c r="BP75" s="17" t="str">
        <f t="shared" si="18"/>
        <v/>
      </c>
      <c r="BQ75" s="17" t="str">
        <f t="shared" si="35"/>
        <v/>
      </c>
      <c r="BR75" s="17" t="str">
        <f t="shared" si="36"/>
        <v/>
      </c>
      <c r="BS75" s="17" t="str">
        <f t="shared" si="53"/>
        <v/>
      </c>
      <c r="BT75" s="17" t="str">
        <f t="shared" si="37"/>
        <v/>
      </c>
      <c r="BU75" s="17" t="str">
        <f t="shared" si="38"/>
        <v/>
      </c>
      <c r="BV75" s="17" t="str">
        <f t="shared" si="39"/>
        <v/>
      </c>
      <c r="BW75" s="17" t="str">
        <f t="shared" si="40"/>
        <v/>
      </c>
      <c r="BX75" s="17" t="str">
        <f t="shared" si="19"/>
        <v/>
      </c>
      <c r="BY75" s="17" t="str">
        <f t="shared" si="54"/>
        <v/>
      </c>
      <c r="BZ75" s="61" t="str">
        <f t="shared" si="41"/>
        <v/>
      </c>
      <c r="CA75" s="17" t="str">
        <f t="shared" si="20"/>
        <v/>
      </c>
      <c r="CB75" s="17" t="str">
        <f t="shared" si="21"/>
        <v/>
      </c>
      <c r="CC75" s="17" t="str">
        <f t="shared" si="42"/>
        <v/>
      </c>
      <c r="CD75" s="17" t="str">
        <f t="shared" si="22"/>
        <v/>
      </c>
      <c r="CE75" s="17" t="str">
        <f t="shared" si="23"/>
        <v/>
      </c>
      <c r="CF75" s="17" t="str">
        <f t="shared" si="43"/>
        <v/>
      </c>
      <c r="CG75" s="17" t="str">
        <f t="shared" si="44"/>
        <v/>
      </c>
    </row>
    <row r="76" spans="2:85" s="17" customFormat="1" hidden="1">
      <c r="B76" s="35"/>
      <c r="C76" s="35"/>
      <c r="D76" s="36"/>
      <c r="E76" s="35"/>
      <c r="F76" s="35"/>
      <c r="G76" s="35"/>
      <c r="H76" s="35"/>
      <c r="I76" s="59"/>
      <c r="AA76" s="47" t="s">
        <v>255</v>
      </c>
      <c r="AB76" s="17" t="str">
        <f t="shared" si="0"/>
        <v/>
      </c>
      <c r="AC76" s="17">
        <f t="shared" si="25"/>
        <v>0</v>
      </c>
      <c r="AD76" s="17">
        <f t="shared" si="45"/>
        <v>6</v>
      </c>
      <c r="AE76" s="17" t="str">
        <f t="shared" si="1"/>
        <v/>
      </c>
      <c r="AF76" s="17">
        <f t="shared" si="26"/>
        <v>0</v>
      </c>
      <c r="AG76" s="17">
        <f t="shared" si="27"/>
        <v>6</v>
      </c>
      <c r="AH76" s="17" t="str">
        <f t="shared" si="28"/>
        <v/>
      </c>
      <c r="AI76" s="17" t="str">
        <f t="shared" si="2"/>
        <v/>
      </c>
      <c r="AJ76" s="17" t="str">
        <f t="shared" si="29"/>
        <v/>
      </c>
      <c r="AK76" s="17" t="str">
        <f t="shared" si="3"/>
        <v>if () {$("#adv_").html("Requierd");$("#").css({"background":"yellow"});} else {$("#adv_").html("");$("#").css({"background":"white"});}</v>
      </c>
      <c r="AL76" s="17" t="str">
        <f t="shared" si="4"/>
        <v>if (=="") {$("#adv_").html("Requierd");} else {$("#adv_").html("");}</v>
      </c>
      <c r="AM76" s="50" t="str">
        <f t="shared" si="5"/>
        <v/>
      </c>
      <c r="AN76" s="51" t="str">
        <f t="shared" si="6"/>
        <v>=$("#").val();</v>
      </c>
      <c r="AO76" s="51" t="str">
        <f t="shared" si="30"/>
        <v/>
      </c>
      <c r="AP76" s="50" t="str">
        <f t="shared" si="7"/>
        <v>&lt;input type="checkbox" id="" name="" value="1" /&gt;</v>
      </c>
      <c r="AQ76" s="51" t="str">
        <f t="shared" si="8"/>
        <v>=document.getElementById("").checked;</v>
      </c>
      <c r="AR76" s="52" t="str">
        <f t="shared" si="9"/>
        <v>if (isset($_GET[''])) {$=($_GET['']);}else $='';</v>
      </c>
      <c r="AS76" s="17" t="str">
        <f t="shared" si="10"/>
        <v>Mobile phone</v>
      </c>
      <c r="AT76" s="17" t="str">
        <f t="shared" si="46"/>
        <v/>
      </c>
      <c r="AU76" s="50" t="str">
        <f t="shared" si="11"/>
        <v>&lt;input type="radio" name="Mobile phone" id="" value="" /&gt;</v>
      </c>
      <c r="AV76" s="15" t="str">
        <f t="shared" si="12"/>
        <v>else if (document.getElementById("</v>
      </c>
      <c r="AW76" s="51" t="str">
        <f t="shared" si="13"/>
        <v>else if (document.getElementById("").checked==true) {Mobile phone="";}</v>
      </c>
      <c r="AX76" s="17" t="str">
        <f t="shared" si="47"/>
        <v/>
      </c>
      <c r="AY76" s="52" t="str">
        <f t="shared" si="14"/>
        <v/>
      </c>
      <c r="AZ76" s="56" t="str">
        <f t="shared" si="15"/>
        <v>&lt;br/&gt;&lt;textarea rows="2" cols="80" id=""&gt;&lt;/textarea&gt;&lt;br/&gt;</v>
      </c>
      <c r="BA76" s="54" t="str">
        <f t="shared" si="16"/>
        <v>&lt;input type="text"  size="7"  id="" class="datepicker"/&gt;</v>
      </c>
      <c r="BB76" s="54" t="str">
        <f t="shared" si="48"/>
        <v/>
      </c>
      <c r="BC76" s="48" t="str">
        <f t="shared" si="49"/>
        <v/>
      </c>
      <c r="BD76" s="49" t="str">
        <f t="shared" si="50"/>
        <v/>
      </c>
      <c r="BE76" s="49">
        <f t="shared" si="55"/>
        <v>7</v>
      </c>
      <c r="BF76" s="55" t="str">
        <f t="shared" si="60"/>
        <v/>
      </c>
      <c r="BG76" s="6" t="str">
        <f t="shared" si="59"/>
        <v/>
      </c>
      <c r="BH76" s="17" t="str">
        <f t="shared" si="51"/>
        <v/>
      </c>
      <c r="BI76" s="17" t="str">
        <f t="shared" si="32"/>
        <v/>
      </c>
      <c r="BJ76" s="17">
        <f t="shared" si="33"/>
        <v>0</v>
      </c>
      <c r="BK76" s="17">
        <f t="shared" si="34"/>
        <v>1</v>
      </c>
      <c r="BL76" s="17" t="str">
        <f t="shared" si="58"/>
        <v/>
      </c>
      <c r="BO76" s="17" t="str">
        <f t="shared" si="52"/>
        <v/>
      </c>
      <c r="BP76" s="17" t="str">
        <f t="shared" si="18"/>
        <v/>
      </c>
      <c r="BQ76" s="17" t="str">
        <f t="shared" si="35"/>
        <v/>
      </c>
      <c r="BR76" s="17" t="str">
        <f t="shared" si="36"/>
        <v/>
      </c>
      <c r="BS76" s="17" t="str">
        <f t="shared" si="53"/>
        <v/>
      </c>
      <c r="BT76" s="17" t="str">
        <f t="shared" si="37"/>
        <v/>
      </c>
      <c r="BU76" s="17" t="str">
        <f t="shared" si="38"/>
        <v/>
      </c>
      <c r="BV76" s="17" t="str">
        <f t="shared" si="39"/>
        <v/>
      </c>
      <c r="BW76" s="17" t="str">
        <f t="shared" si="40"/>
        <v/>
      </c>
      <c r="BX76" s="17" t="str">
        <f t="shared" si="19"/>
        <v/>
      </c>
      <c r="BY76" s="17" t="str">
        <f t="shared" si="54"/>
        <v/>
      </c>
      <c r="BZ76" s="61" t="str">
        <f t="shared" si="41"/>
        <v/>
      </c>
      <c r="CA76" s="17" t="str">
        <f t="shared" si="20"/>
        <v/>
      </c>
      <c r="CB76" s="17" t="str">
        <f t="shared" si="21"/>
        <v/>
      </c>
      <c r="CC76" s="17" t="str">
        <f t="shared" si="42"/>
        <v/>
      </c>
      <c r="CD76" s="17" t="str">
        <f t="shared" si="22"/>
        <v/>
      </c>
      <c r="CE76" s="17" t="str">
        <f t="shared" si="23"/>
        <v/>
      </c>
      <c r="CF76" s="17" t="str">
        <f t="shared" si="43"/>
        <v/>
      </c>
      <c r="CG76" s="17" t="str">
        <f t="shared" si="44"/>
        <v/>
      </c>
    </row>
    <row r="77" spans="2:85" s="17" customFormat="1" hidden="1">
      <c r="B77" s="35"/>
      <c r="C77" s="35"/>
      <c r="D77" s="36"/>
      <c r="E77" s="35"/>
      <c r="F77" s="35"/>
      <c r="G77" s="35"/>
      <c r="H77" s="35"/>
      <c r="I77" s="59"/>
      <c r="AA77" s="47" t="s">
        <v>256</v>
      </c>
      <c r="AB77" s="17" t="str">
        <f t="shared" si="0"/>
        <v/>
      </c>
      <c r="AC77" s="17">
        <f t="shared" si="25"/>
        <v>0</v>
      </c>
      <c r="AD77" s="17">
        <f t="shared" si="45"/>
        <v>6</v>
      </c>
      <c r="AE77" s="17" t="str">
        <f t="shared" si="1"/>
        <v/>
      </c>
      <c r="AF77" s="17">
        <f t="shared" si="26"/>
        <v>0</v>
      </c>
      <c r="AG77" s="17">
        <f t="shared" si="27"/>
        <v>6</v>
      </c>
      <c r="AH77" s="17" t="str">
        <f t="shared" si="28"/>
        <v/>
      </c>
      <c r="AI77" s="17" t="str">
        <f t="shared" si="2"/>
        <v/>
      </c>
      <c r="AJ77" s="17" t="str">
        <f t="shared" si="29"/>
        <v/>
      </c>
      <c r="AK77" s="17" t="str">
        <f t="shared" si="3"/>
        <v>if () {$("#adv_").html("Requierd");$("#").css({"background":"yellow"});} else {$("#adv_").html("");$("#").css({"background":"white"});}</v>
      </c>
      <c r="AL77" s="17" t="str">
        <f t="shared" si="4"/>
        <v>if (=="") {$("#adv_").html("Requierd");} else {$("#adv_").html("");}</v>
      </c>
      <c r="AM77" s="50" t="str">
        <f t="shared" si="5"/>
        <v/>
      </c>
      <c r="AN77" s="51" t="str">
        <f t="shared" si="6"/>
        <v>=$("#").val();</v>
      </c>
      <c r="AO77" s="51" t="str">
        <f t="shared" si="30"/>
        <v/>
      </c>
      <c r="AP77" s="50" t="str">
        <f t="shared" si="7"/>
        <v>&lt;input type="checkbox" id="" name="" value="1" /&gt;</v>
      </c>
      <c r="AQ77" s="51" t="str">
        <f t="shared" si="8"/>
        <v>=document.getElementById("").checked;</v>
      </c>
      <c r="AR77" s="52" t="str">
        <f t="shared" si="9"/>
        <v>if (isset($_GET[''])) {$=($_GET['']);}else $='';</v>
      </c>
      <c r="AS77" s="17" t="str">
        <f t="shared" si="10"/>
        <v>Mobile phone</v>
      </c>
      <c r="AT77" s="17" t="str">
        <f t="shared" si="46"/>
        <v/>
      </c>
      <c r="AU77" s="50" t="str">
        <f t="shared" si="11"/>
        <v>&lt;input type="radio" name="Mobile phone" id="" value="" /&gt;</v>
      </c>
      <c r="AV77" s="15" t="str">
        <f t="shared" si="12"/>
        <v>else if (document.getElementById("</v>
      </c>
      <c r="AW77" s="51" t="str">
        <f t="shared" si="13"/>
        <v>else if (document.getElementById("").checked==true) {Mobile phone="";}</v>
      </c>
      <c r="AX77" s="17" t="str">
        <f t="shared" si="47"/>
        <v/>
      </c>
      <c r="AY77" s="52" t="str">
        <f t="shared" si="14"/>
        <v/>
      </c>
      <c r="AZ77" s="56" t="str">
        <f t="shared" si="15"/>
        <v>&lt;br/&gt;&lt;textarea rows="2" cols="80" id=""&gt;&lt;/textarea&gt;&lt;br/&gt;</v>
      </c>
      <c r="BA77" s="54" t="str">
        <f t="shared" si="16"/>
        <v>&lt;input type="text"  size="7"  id="" class="datepicker"/&gt;</v>
      </c>
      <c r="BB77" s="54" t="str">
        <f t="shared" si="48"/>
        <v/>
      </c>
      <c r="BC77" s="48" t="str">
        <f t="shared" si="49"/>
        <v/>
      </c>
      <c r="BD77" s="49" t="str">
        <f t="shared" si="50"/>
        <v/>
      </c>
      <c r="BE77" s="49">
        <f t="shared" si="55"/>
        <v>7</v>
      </c>
      <c r="BF77" s="55" t="str">
        <f t="shared" si="60"/>
        <v/>
      </c>
      <c r="BG77" s="6" t="str">
        <f t="shared" si="59"/>
        <v/>
      </c>
      <c r="BH77" s="17" t="str">
        <f t="shared" si="51"/>
        <v/>
      </c>
      <c r="BI77" s="17" t="str">
        <f t="shared" si="32"/>
        <v/>
      </c>
      <c r="BJ77" s="17">
        <f t="shared" si="33"/>
        <v>0</v>
      </c>
      <c r="BK77" s="17">
        <f t="shared" si="34"/>
        <v>1</v>
      </c>
      <c r="BL77" s="17" t="str">
        <f t="shared" si="58"/>
        <v/>
      </c>
      <c r="BO77" s="17" t="str">
        <f t="shared" si="52"/>
        <v/>
      </c>
      <c r="BP77" s="17" t="str">
        <f t="shared" si="18"/>
        <v/>
      </c>
      <c r="BQ77" s="17" t="str">
        <f t="shared" si="35"/>
        <v/>
      </c>
      <c r="BR77" s="17" t="str">
        <f t="shared" si="36"/>
        <v/>
      </c>
      <c r="BS77" s="17" t="str">
        <f t="shared" si="53"/>
        <v/>
      </c>
      <c r="BT77" s="17" t="str">
        <f t="shared" si="37"/>
        <v/>
      </c>
      <c r="BU77" s="17" t="str">
        <f t="shared" si="38"/>
        <v/>
      </c>
      <c r="BV77" s="17" t="str">
        <f t="shared" si="39"/>
        <v/>
      </c>
      <c r="BW77" s="17" t="str">
        <f t="shared" si="40"/>
        <v/>
      </c>
      <c r="BX77" s="17" t="str">
        <f t="shared" si="19"/>
        <v/>
      </c>
      <c r="BY77" s="17" t="str">
        <f t="shared" si="54"/>
        <v/>
      </c>
      <c r="BZ77" s="61" t="str">
        <f t="shared" si="41"/>
        <v/>
      </c>
      <c r="CA77" s="17" t="str">
        <f t="shared" si="20"/>
        <v/>
      </c>
      <c r="CB77" s="17" t="str">
        <f t="shared" si="21"/>
        <v/>
      </c>
      <c r="CC77" s="17" t="str">
        <f t="shared" si="42"/>
        <v/>
      </c>
      <c r="CD77" s="17" t="str">
        <f t="shared" si="22"/>
        <v/>
      </c>
      <c r="CE77" s="17" t="str">
        <f t="shared" si="23"/>
        <v/>
      </c>
      <c r="CF77" s="17" t="str">
        <f t="shared" si="43"/>
        <v/>
      </c>
      <c r="CG77" s="17" t="str">
        <f t="shared" si="44"/>
        <v/>
      </c>
    </row>
    <row r="78" spans="2:85" s="17" customFormat="1" hidden="1">
      <c r="B78" s="35"/>
      <c r="C78" s="35"/>
      <c r="D78" s="36"/>
      <c r="E78" s="35"/>
      <c r="F78" s="35"/>
      <c r="G78" s="35"/>
      <c r="H78" s="35"/>
      <c r="I78" s="59"/>
      <c r="AA78" s="47" t="s">
        <v>257</v>
      </c>
      <c r="AB78" s="17" t="str">
        <f t="shared" si="0"/>
        <v/>
      </c>
      <c r="AC78" s="17">
        <f t="shared" si="25"/>
        <v>0</v>
      </c>
      <c r="AD78" s="17">
        <f t="shared" si="45"/>
        <v>6</v>
      </c>
      <c r="AE78" s="17" t="str">
        <f t="shared" si="1"/>
        <v/>
      </c>
      <c r="AF78" s="17">
        <f t="shared" si="26"/>
        <v>0</v>
      </c>
      <c r="AG78" s="17">
        <f t="shared" si="27"/>
        <v>6</v>
      </c>
      <c r="AH78" s="17" t="str">
        <f t="shared" si="28"/>
        <v/>
      </c>
      <c r="AI78" s="17" t="str">
        <f t="shared" si="2"/>
        <v/>
      </c>
      <c r="AJ78" s="17" t="str">
        <f t="shared" si="29"/>
        <v/>
      </c>
      <c r="AK78" s="17" t="str">
        <f t="shared" si="3"/>
        <v>if () {$("#adv_").html("Requierd");$("#").css({"background":"yellow"});} else {$("#adv_").html("");$("#").css({"background":"white"});}</v>
      </c>
      <c r="AL78" s="17" t="str">
        <f t="shared" si="4"/>
        <v>if (=="") {$("#adv_").html("Requierd");} else {$("#adv_").html("");}</v>
      </c>
      <c r="AM78" s="50" t="str">
        <f t="shared" si="5"/>
        <v/>
      </c>
      <c r="AN78" s="51" t="str">
        <f t="shared" si="6"/>
        <v>=$("#").val();</v>
      </c>
      <c r="AO78" s="51" t="str">
        <f t="shared" si="30"/>
        <v/>
      </c>
      <c r="AP78" s="50" t="str">
        <f t="shared" si="7"/>
        <v>&lt;input type="checkbox" id="" name="" value="1" /&gt;</v>
      </c>
      <c r="AQ78" s="51" t="str">
        <f t="shared" si="8"/>
        <v>=document.getElementById("").checked;</v>
      </c>
      <c r="AR78" s="52" t="str">
        <f t="shared" si="9"/>
        <v>if (isset($_GET[''])) {$=($_GET['']);}else $='';</v>
      </c>
      <c r="AS78" s="17" t="str">
        <f t="shared" si="10"/>
        <v>Mobile phone</v>
      </c>
      <c r="AT78" s="17" t="str">
        <f t="shared" si="46"/>
        <v/>
      </c>
      <c r="AU78" s="50" t="str">
        <f t="shared" si="11"/>
        <v>&lt;input type="radio" name="Mobile phone" id="" value="" /&gt;</v>
      </c>
      <c r="AV78" s="15" t="str">
        <f t="shared" si="12"/>
        <v>else if (document.getElementById("</v>
      </c>
      <c r="AW78" s="51" t="str">
        <f t="shared" si="13"/>
        <v>else if (document.getElementById("").checked==true) {Mobile phone="";}</v>
      </c>
      <c r="AX78" s="17" t="str">
        <f t="shared" si="47"/>
        <v/>
      </c>
      <c r="AY78" s="52" t="str">
        <f t="shared" si="14"/>
        <v/>
      </c>
      <c r="AZ78" s="56" t="str">
        <f t="shared" si="15"/>
        <v>&lt;br/&gt;&lt;textarea rows="2" cols="80" id=""&gt;&lt;/textarea&gt;&lt;br/&gt;</v>
      </c>
      <c r="BA78" s="54" t="str">
        <f t="shared" si="16"/>
        <v>&lt;input type="text"  size="7"  id="" class="datepicker"/&gt;</v>
      </c>
      <c r="BB78" s="54" t="str">
        <f t="shared" si="48"/>
        <v/>
      </c>
      <c r="BC78" s="48" t="str">
        <f t="shared" si="49"/>
        <v/>
      </c>
      <c r="BD78" s="49" t="str">
        <f t="shared" si="50"/>
        <v/>
      </c>
      <c r="BE78" s="49">
        <f t="shared" si="55"/>
        <v>7</v>
      </c>
      <c r="BF78" s="55" t="str">
        <f t="shared" si="60"/>
        <v/>
      </c>
      <c r="BG78" s="6" t="str">
        <f t="shared" si="59"/>
        <v/>
      </c>
      <c r="BH78" s="17" t="str">
        <f t="shared" si="51"/>
        <v/>
      </c>
      <c r="BI78" s="17" t="str">
        <f t="shared" si="32"/>
        <v/>
      </c>
      <c r="BJ78" s="17">
        <f t="shared" si="33"/>
        <v>0</v>
      </c>
      <c r="BK78" s="17">
        <f t="shared" si="34"/>
        <v>1</v>
      </c>
      <c r="BL78" s="17" t="str">
        <f t="shared" si="58"/>
        <v/>
      </c>
      <c r="BO78" s="17" t="str">
        <f t="shared" si="52"/>
        <v/>
      </c>
      <c r="BP78" s="17" t="str">
        <f t="shared" si="18"/>
        <v/>
      </c>
      <c r="BQ78" s="17" t="str">
        <f t="shared" si="35"/>
        <v/>
      </c>
      <c r="BR78" s="17" t="str">
        <f t="shared" si="36"/>
        <v/>
      </c>
      <c r="BS78" s="17" t="str">
        <f t="shared" si="53"/>
        <v/>
      </c>
      <c r="BT78" s="17" t="str">
        <f t="shared" si="37"/>
        <v/>
      </c>
      <c r="BU78" s="17" t="str">
        <f t="shared" si="38"/>
        <v/>
      </c>
      <c r="BV78" s="17" t="str">
        <f t="shared" si="39"/>
        <v/>
      </c>
      <c r="BW78" s="17" t="str">
        <f t="shared" si="40"/>
        <v/>
      </c>
      <c r="BX78" s="17" t="str">
        <f t="shared" si="19"/>
        <v/>
      </c>
      <c r="BY78" s="17" t="str">
        <f t="shared" si="54"/>
        <v/>
      </c>
      <c r="BZ78" s="61" t="str">
        <f t="shared" si="41"/>
        <v/>
      </c>
      <c r="CA78" s="17" t="str">
        <f t="shared" si="20"/>
        <v/>
      </c>
      <c r="CB78" s="17" t="str">
        <f t="shared" si="21"/>
        <v/>
      </c>
      <c r="CC78" s="17" t="str">
        <f t="shared" si="42"/>
        <v/>
      </c>
      <c r="CD78" s="17" t="str">
        <f t="shared" si="22"/>
        <v/>
      </c>
      <c r="CE78" s="17" t="str">
        <f t="shared" si="23"/>
        <v/>
      </c>
      <c r="CF78" s="17" t="str">
        <f t="shared" si="43"/>
        <v/>
      </c>
      <c r="CG78" s="17" t="str">
        <f t="shared" si="44"/>
        <v/>
      </c>
    </row>
    <row r="79" spans="2:85" s="17" customFormat="1" hidden="1">
      <c r="B79" s="35"/>
      <c r="C79" s="35"/>
      <c r="D79" s="36"/>
      <c r="E79" s="35"/>
      <c r="F79" s="35"/>
      <c r="G79" s="35"/>
      <c r="H79" s="35"/>
      <c r="I79" s="59"/>
      <c r="AA79" s="47" t="s">
        <v>258</v>
      </c>
      <c r="AB79" s="17" t="str">
        <f t="shared" ref="AB79:AB114" si="61">+IF(G79="si",C79&amp;"=="&amp;$B$4,IF(AND(F79="radio",AT79&lt;&gt;""),B79&amp;"=="&amp;$B$4,""))</f>
        <v/>
      </c>
      <c r="AC79" s="17">
        <f t="shared" si="25"/>
        <v>0</v>
      </c>
      <c r="AD79" s="17">
        <f t="shared" si="45"/>
        <v>6</v>
      </c>
      <c r="AE79" s="17" t="str">
        <f t="shared" ref="AE79:AE114" si="62">+IF(AC79=0,"",IF(AD79=1,"if (","else if (")&amp;C79&amp;$H$5&amp;C79&amp;$H$6)</f>
        <v/>
      </c>
      <c r="AF79" s="17">
        <f t="shared" si="26"/>
        <v>0</v>
      </c>
      <c r="AG79" s="17">
        <f t="shared" si="27"/>
        <v>6</v>
      </c>
      <c r="AH79" s="17" t="str">
        <f t="shared" si="28"/>
        <v/>
      </c>
      <c r="AI79" s="17" t="str">
        <f t="shared" ref="AI79:AI114" si="63">IF($B$3&lt;&gt;"",AH79&amp;AB79,"")</f>
        <v/>
      </c>
      <c r="AJ79" s="17" t="str">
        <f t="shared" si="29"/>
        <v/>
      </c>
      <c r="AK79" s="17" t="str">
        <f t="shared" ref="AK79:AK114" si="64">+$F$7&amp;AB79&amp;$F$8&amp;C79&amp;$F$9&amp;$C$5&amp;C79&amp;$G$6&amp;$G$5&amp;C79&amp;$G$7&amp;C79&amp;$G$8</f>
        <v>if () {$("#adv_").html("Requierd");$("#").css({"background":"yellow"});} else {$("#adv_").html("");$("#").css({"background":"white"});}</v>
      </c>
      <c r="AL79" s="17" t="str">
        <f t="shared" ref="AL79:AL114" si="65">$F$7&amp;B79&amp;"=="&amp;$B$4&amp;$F$8&amp;B79&amp;$F$9&amp;$G$5&amp;B79&amp;$B$10&amp;$B$11&amp;$G$9</f>
        <v>if (=="") {$("#adv_").html("Requierd");} else {$("#adv_").html("");}</v>
      </c>
      <c r="AM79" s="50" t="str">
        <f t="shared" ref="AM79:AM114" si="66">IF(C79="","",B79&amp;$C$1&amp;C79&amp;$C$2&amp;C79&amp;$C$3)</f>
        <v/>
      </c>
      <c r="AN79" s="51" t="str">
        <f t="shared" ref="AN79:AN114" si="67">+C79&amp;$A$3&amp;C79&amp;$A$4</f>
        <v>=$("#").val();</v>
      </c>
      <c r="AO79" s="51" t="str">
        <f t="shared" si="30"/>
        <v/>
      </c>
      <c r="AP79" s="50" t="str">
        <f t="shared" ref="AP79:AP114" si="68">B79&amp;$C$4&amp;C79&amp;$C$2&amp;C79&amp;$C$10</f>
        <v>&lt;input type="checkbox" id="" name="" value="1" /&gt;</v>
      </c>
      <c r="AQ79" s="51" t="str">
        <f t="shared" ref="AQ79:AQ114" si="69">+C79&amp;"="&amp;$D$6&amp;C79&amp;$D$7</f>
        <v>=document.getElementById("").checked;</v>
      </c>
      <c r="AR79" s="52" t="str">
        <f t="shared" ref="AR79:AR114" si="70">+$D$8&amp;C79&amp;$D$9&amp;C79&amp;$D$10&amp;C79&amp;$D$11&amp;C79&amp;$D$12</f>
        <v>if (isset($_GET[''])) {$=($_GET['']);}else $='';</v>
      </c>
      <c r="AS79" s="17" t="str">
        <f t="shared" ref="AS79:AS114" si="71">+IF(B79="",AS78,B79)</f>
        <v>Mobile phone</v>
      </c>
      <c r="AT79" s="17" t="str">
        <f t="shared" si="46"/>
        <v/>
      </c>
      <c r="AU79" s="50" t="str">
        <f t="shared" ref="AU79:AU114" si="72">AT79&amp;IF(AT79="","",$C$6&amp;AS79&amp;$C$7&amp;"&lt;br/&gt;")&amp;C79&amp;$C$9&amp;AS79&amp;$C$11&amp;C79&amp;$C$12&amp;C79&amp;$D$1</f>
        <v>&lt;input type="radio" name="Mobile phone" id="" value="" /&gt;</v>
      </c>
      <c r="AV79" s="15" t="str">
        <f t="shared" ref="AV79:AV114" si="73">IF(AS79&lt;&gt;AS78,$D$2,"else "&amp;$D$2)</f>
        <v>else if (document.getElementById("</v>
      </c>
      <c r="AW79" s="51" t="str">
        <f t="shared" ref="AW79:AW114" si="74">AV79&amp;C79&amp;$D$3&amp;AS79&amp;"="&amp;$D$4&amp;C79&amp;$D$5&amp;IF(AND(AT79="",AT80&lt;&gt;""),"else "&amp;AS79&amp;"="&amp;$B$4&amp;";","")</f>
        <v>else if (document.getElementById("").checked==true) {Mobile phone="";}</v>
      </c>
      <c r="AX79" s="17" t="str">
        <f t="shared" si="47"/>
        <v/>
      </c>
      <c r="AY79" s="52" t="str">
        <f t="shared" ref="AY79:AY114" si="75">IF(AT79="","",$D$8&amp;AS79&amp;$D$9&amp;AS79&amp;$D$10&amp;AS79&amp;$D$11&amp;AS79&amp;$D$12)</f>
        <v/>
      </c>
      <c r="AZ79" s="56" t="str">
        <f t="shared" ref="AZ79:AZ114" si="76">+B79&amp;$F$5&amp;C79&amp;$F$6</f>
        <v>&lt;br/&gt;&lt;textarea rows="2" cols="80" id=""&gt;&lt;/textarea&gt;&lt;br/&gt;</v>
      </c>
      <c r="BA79" s="54" t="str">
        <f t="shared" ref="BA79:BA114" si="77">+B79&amp;$F$3&amp;C79&amp;$F$4</f>
        <v>&lt;input type="text"  size="7"  id="" class="datepicker"/&gt;</v>
      </c>
      <c r="BB79" s="54" t="str">
        <f t="shared" si="48"/>
        <v/>
      </c>
      <c r="BC79" s="48" t="str">
        <f t="shared" si="49"/>
        <v/>
      </c>
      <c r="BD79" s="49" t="str">
        <f t="shared" si="50"/>
        <v/>
      </c>
      <c r="BE79" s="49">
        <f t="shared" si="55"/>
        <v>7</v>
      </c>
      <c r="BF79" s="55" t="str">
        <f t="shared" si="60"/>
        <v/>
      </c>
      <c r="BG79" s="6" t="str">
        <f t="shared" ref="BG79:BG114" si="78">IF(F79=$L$9,"",IF(C79="","",IF(OR(F79="radio",F79="selectlist"),AY79,AR79)))</f>
        <v/>
      </c>
      <c r="BH79" s="17" t="str">
        <f t="shared" ref="BH79:BH114" si="79">IF(BC79="","",IF(G79="si",$C$6&amp;C79&amp;$C$7,"")&amp;"&lt;br/&gt;")</f>
        <v/>
      </c>
      <c r="BI79" s="17" t="str">
        <f t="shared" si="32"/>
        <v/>
      </c>
      <c r="BJ79" s="17">
        <f t="shared" si="33"/>
        <v>0</v>
      </c>
      <c r="BK79" s="17">
        <f t="shared" si="34"/>
        <v>1</v>
      </c>
      <c r="BL79" s="17" t="str">
        <f t="shared" si="58"/>
        <v/>
      </c>
      <c r="BO79" s="17" t="str">
        <f t="shared" si="52"/>
        <v/>
      </c>
      <c r="BP79" s="17" t="str">
        <f t="shared" ref="BP79:BP114" si="80">+IF(BO79=" AND ",$E$10,"")</f>
        <v/>
      </c>
      <c r="BQ79" s="17" t="str">
        <f t="shared" si="35"/>
        <v/>
      </c>
      <c r="BR79" s="17" t="str">
        <f t="shared" si="36"/>
        <v/>
      </c>
      <c r="BS79" s="17" t="str">
        <f t="shared" si="53"/>
        <v/>
      </c>
      <c r="BT79" s="17" t="str">
        <f t="shared" si="37"/>
        <v/>
      </c>
      <c r="BU79" s="17" t="str">
        <f t="shared" si="38"/>
        <v/>
      </c>
      <c r="BV79" s="17" t="str">
        <f t="shared" si="39"/>
        <v/>
      </c>
      <c r="BW79" s="17" t="str">
        <f t="shared" si="40"/>
        <v/>
      </c>
      <c r="BX79" s="17" t="str">
        <f t="shared" ref="BX79:BX114" si="81">IF(BR79="","",$F$1&amp;B79&amp;$F$2&amp;BW79&amp;";")</f>
        <v/>
      </c>
      <c r="BY79" s="17" t="str">
        <f t="shared" si="54"/>
        <v/>
      </c>
      <c r="BZ79" s="61" t="str">
        <f t="shared" si="41"/>
        <v/>
      </c>
      <c r="CA79" s="17" t="str">
        <f t="shared" ref="CA79:CA114" si="82">IF(C79="","",$C$5&amp;C79&amp;$H$2)</f>
        <v/>
      </c>
      <c r="CB79" s="17" t="str">
        <f t="shared" ref="CB79:CB114" si="83">IF(AND(G79="si",C79&lt;&gt;""),$G$11&amp;C79&amp;$G$12&amp;$C$5&amp;C79&amp;$H$1,"")</f>
        <v/>
      </c>
      <c r="CC79" s="17" t="str">
        <f t="shared" si="42"/>
        <v/>
      </c>
      <c r="CD79" s="17" t="str">
        <f t="shared" ref="CD79:CD114" si="84">IF(F79="radio",$D$6&amp;C79&amp;$H$3&amp;IF(B79="","",$G$11&amp;B79&amp;$G$12),"")</f>
        <v/>
      </c>
      <c r="CE79" s="17" t="str">
        <f t="shared" ref="CE79:CE114" si="85">IF(F79="check",$D$6&amp;C79&amp;$H$3,"")</f>
        <v/>
      </c>
      <c r="CF79" s="17" t="str">
        <f t="shared" si="43"/>
        <v/>
      </c>
      <c r="CG79" s="17" t="str">
        <f t="shared" si="44"/>
        <v/>
      </c>
    </row>
    <row r="80" spans="2:85" s="17" customFormat="1" hidden="1">
      <c r="B80" s="35"/>
      <c r="C80" s="35"/>
      <c r="D80" s="36"/>
      <c r="E80" s="35"/>
      <c r="F80" s="35"/>
      <c r="G80" s="35"/>
      <c r="H80" s="35"/>
      <c r="I80" s="59"/>
      <c r="AA80" s="47" t="s">
        <v>259</v>
      </c>
      <c r="AB80" s="17" t="str">
        <f t="shared" si="61"/>
        <v/>
      </c>
      <c r="AC80" s="17">
        <f t="shared" ref="AC80:AC114" si="86">+IF(OR(F80=$L$2,F80=$L$6,F80=$L$7),1,0)</f>
        <v>0</v>
      </c>
      <c r="AD80" s="17">
        <f t="shared" si="45"/>
        <v>6</v>
      </c>
      <c r="AE80" s="17" t="str">
        <f t="shared" si="62"/>
        <v/>
      </c>
      <c r="AF80" s="17">
        <f t="shared" ref="AF80:AF114" si="87">+IF(G80="si",1,IF(AND(F80="radio",AT80&lt;&gt;""),1,0))</f>
        <v>0</v>
      </c>
      <c r="AG80" s="17">
        <f t="shared" ref="AG80:AG114" si="88">+AF80+AG79</f>
        <v>6</v>
      </c>
      <c r="AH80" s="17" t="str">
        <f t="shared" ref="AH80:AH114" si="89">IF(AG79=0,"",IF(AG80=AG79,"","||"))</f>
        <v/>
      </c>
      <c r="AI80" s="17" t="str">
        <f t="shared" si="63"/>
        <v/>
      </c>
      <c r="AJ80" s="17" t="str">
        <f t="shared" ref="AJ80:AJ114" si="90">IF(G80="si",AK80,IF(AND(F80="radio",AT80&lt;&gt;""),AL80,""))</f>
        <v/>
      </c>
      <c r="AK80" s="17" t="str">
        <f t="shared" si="64"/>
        <v>if () {$("#adv_").html("Requierd");$("#").css({"background":"yellow"});} else {$("#adv_").html("");$("#").css({"background":"white"});}</v>
      </c>
      <c r="AL80" s="17" t="str">
        <f t="shared" si="65"/>
        <v>if (=="") {$("#adv_").html("Requierd");} else {$("#adv_").html("");}</v>
      </c>
      <c r="AM80" s="50" t="str">
        <f t="shared" si="66"/>
        <v/>
      </c>
      <c r="AN80" s="51" t="str">
        <f t="shared" si="67"/>
        <v>=$("#").val();</v>
      </c>
      <c r="AO80" s="51" t="str">
        <f t="shared" ref="AO80:AO114" si="91">+IF(F80="texto","highlight script","")</f>
        <v/>
      </c>
      <c r="AP80" s="50" t="str">
        <f t="shared" si="68"/>
        <v>&lt;input type="checkbox" id="" name="" value="1" /&gt;</v>
      </c>
      <c r="AQ80" s="51" t="str">
        <f t="shared" si="69"/>
        <v>=document.getElementById("").checked;</v>
      </c>
      <c r="AR80" s="52" t="str">
        <f t="shared" si="70"/>
        <v>if (isset($_GET[''])) {$=($_GET['']);}else $='';</v>
      </c>
      <c r="AS80" s="17" t="str">
        <f t="shared" si="71"/>
        <v>Mobile phone</v>
      </c>
      <c r="AT80" s="17" t="str">
        <f t="shared" si="46"/>
        <v/>
      </c>
      <c r="AU80" s="50" t="str">
        <f t="shared" si="72"/>
        <v>&lt;input type="radio" name="Mobile phone" id="" value="" /&gt;</v>
      </c>
      <c r="AV80" s="15" t="str">
        <f t="shared" si="73"/>
        <v>else if (document.getElementById("</v>
      </c>
      <c r="AW80" s="51" t="str">
        <f t="shared" si="74"/>
        <v>else if (document.getElementById("").checked==true) {Mobile phone="";}</v>
      </c>
      <c r="AX80" s="17" t="str">
        <f t="shared" si="47"/>
        <v/>
      </c>
      <c r="AY80" s="52" t="str">
        <f t="shared" si="75"/>
        <v/>
      </c>
      <c r="AZ80" s="56" t="str">
        <f t="shared" si="76"/>
        <v>&lt;br/&gt;&lt;textarea rows="2" cols="80" id=""&gt;&lt;/textarea&gt;&lt;br/&gt;</v>
      </c>
      <c r="BA80" s="54" t="str">
        <f t="shared" si="77"/>
        <v>&lt;input type="text"  size="7"  id="" class="datepicker"/&gt;</v>
      </c>
      <c r="BB80" s="54" t="str">
        <f t="shared" ref="BB80:BB114" si="92">IF(C80="","",B80&amp;$J$2&amp;C80&amp;$C$2&amp;C80&amp;$C$3)</f>
        <v/>
      </c>
      <c r="BC80" s="48" t="str">
        <f t="shared" si="49"/>
        <v/>
      </c>
      <c r="BD80" s="49" t="str">
        <f t="shared" si="50"/>
        <v/>
      </c>
      <c r="BE80" s="49">
        <f t="shared" si="55"/>
        <v>7</v>
      </c>
      <c r="BF80" s="55" t="str">
        <f t="shared" ref="BF80:BF111" si="93">IF(F80=$L$9,"",IF(C80="","",IF(F80="radio",AX80,IF(BE80=1,"",",")&amp;C80&amp;":"&amp;C80)))</f>
        <v/>
      </c>
      <c r="BG80" s="6" t="str">
        <f t="shared" si="78"/>
        <v/>
      </c>
      <c r="BH80" s="17" t="str">
        <f t="shared" si="79"/>
        <v/>
      </c>
      <c r="BI80" s="17" t="str">
        <f t="shared" ref="BI80:BI114" si="94">+IF(G80="si","required advise","")</f>
        <v/>
      </c>
      <c r="BJ80" s="17">
        <f t="shared" ref="BJ80:BJ114" si="95">+IF(H80="si",1,0)</f>
        <v>0</v>
      </c>
      <c r="BK80" s="17">
        <f t="shared" ref="BK80:BK114" si="96">+BJ80+BK79</f>
        <v>1</v>
      </c>
      <c r="BL80" s="17" t="str">
        <f t="shared" ref="BL80:BL113" si="97">IF(C80="","",","&amp;C80&amp;" "&amp;E80&amp;" ("&amp;D80&amp;")")</f>
        <v/>
      </c>
      <c r="BO80" s="17" t="str">
        <f t="shared" si="52"/>
        <v/>
      </c>
      <c r="BP80" s="17" t="str">
        <f t="shared" si="80"/>
        <v/>
      </c>
      <c r="BQ80" s="17" t="str">
        <f t="shared" ref="BQ80:BQ114" si="98">+IF(BR80="","",",")</f>
        <v/>
      </c>
      <c r="BR80" s="17" t="str">
        <f t="shared" ref="BR80:BR114" si="99">IF(B80="","",IF(OR(F80="radio",F80="selectlilst"),B80,C80))</f>
        <v/>
      </c>
      <c r="BS80" s="17" t="str">
        <f t="shared" si="53"/>
        <v/>
      </c>
      <c r="BT80" s="17" t="str">
        <f t="shared" ref="BT80:BT114" si="100">+IF(BJ80=0,"",BP80&amp;".$"&amp;BR80)</f>
        <v/>
      </c>
      <c r="BU80" s="17" t="str">
        <f t="shared" ref="BU80:BU114" si="101">+BQ80&amp;BR80</f>
        <v/>
      </c>
      <c r="BV80" s="17" t="str">
        <f t="shared" ref="BV80:BV114" si="102">IF(BR80="","",BQ80&amp;"'$"&amp;BR80&amp;"'")</f>
        <v/>
      </c>
      <c r="BW80" s="17" t="str">
        <f t="shared" ref="BW80:BW114" si="103">IF(BR80="","","$"&amp;BR80)</f>
        <v/>
      </c>
      <c r="BX80" s="17" t="str">
        <f t="shared" si="81"/>
        <v/>
      </c>
      <c r="BY80" s="17" t="str">
        <f t="shared" ref="BY80:BY114" si="104">IF(F80=$L$9,"$"&amp;C80&amp;"="&amp;I80&amp;";","")</f>
        <v/>
      </c>
      <c r="BZ80" s="61" t="str">
        <f t="shared" ref="BZ80:BZ114" si="105">+IF(OR(F80="texto",F80="bigtext",F80="selectlist",F80="date"),CC80,IF(F80="check",CE80,CD80))</f>
        <v/>
      </c>
      <c r="CA80" s="17" t="str">
        <f t="shared" si="82"/>
        <v/>
      </c>
      <c r="CB80" s="17" t="str">
        <f t="shared" si="83"/>
        <v/>
      </c>
      <c r="CC80" s="17" t="str">
        <f t="shared" ref="CC80:CC114" si="106">+CA80&amp;CB80</f>
        <v/>
      </c>
      <c r="CD80" s="17" t="str">
        <f t="shared" si="84"/>
        <v/>
      </c>
      <c r="CE80" s="17" t="str">
        <f t="shared" si="85"/>
        <v/>
      </c>
      <c r="CF80" s="17" t="str">
        <f t="shared" ref="CF80:CF114" si="107">IF(C80="","",$I$8&amp;BR80&amp;$I$9&amp;BR80&amp;$I$10)</f>
        <v/>
      </c>
      <c r="CG80" s="17" t="str">
        <f t="shared" ref="CG80:CG114" si="108">IF(B80="","",$I$11&amp;$I$8&amp;BR80&amp;";")</f>
        <v/>
      </c>
    </row>
    <row r="81" spans="2:85" s="17" customFormat="1" hidden="1">
      <c r="B81" s="35"/>
      <c r="C81" s="35"/>
      <c r="D81" s="36"/>
      <c r="E81" s="35"/>
      <c r="F81" s="35"/>
      <c r="G81" s="35"/>
      <c r="H81" s="35"/>
      <c r="I81" s="59"/>
      <c r="AA81" s="47" t="s">
        <v>260</v>
      </c>
      <c r="AB81" s="17" t="str">
        <f t="shared" si="61"/>
        <v/>
      </c>
      <c r="AC81" s="17">
        <f t="shared" si="86"/>
        <v>0</v>
      </c>
      <c r="AD81" s="17">
        <f t="shared" ref="AD81:AD114" si="109">+AD80+AC81</f>
        <v>6</v>
      </c>
      <c r="AE81" s="17" t="str">
        <f t="shared" si="62"/>
        <v/>
      </c>
      <c r="AF81" s="17">
        <f t="shared" si="87"/>
        <v>0</v>
      </c>
      <c r="AG81" s="17">
        <f t="shared" si="88"/>
        <v>6</v>
      </c>
      <c r="AH81" s="17" t="str">
        <f t="shared" si="89"/>
        <v/>
      </c>
      <c r="AI81" s="17" t="str">
        <f t="shared" si="63"/>
        <v/>
      </c>
      <c r="AJ81" s="17" t="str">
        <f t="shared" si="90"/>
        <v/>
      </c>
      <c r="AK81" s="17" t="str">
        <f t="shared" si="64"/>
        <v>if () {$("#adv_").html("Requierd");$("#").css({"background":"yellow"});} else {$("#adv_").html("");$("#").css({"background":"white"});}</v>
      </c>
      <c r="AL81" s="17" t="str">
        <f t="shared" si="65"/>
        <v>if (=="") {$("#adv_").html("Requierd");} else {$("#adv_").html("");}</v>
      </c>
      <c r="AM81" s="50" t="str">
        <f t="shared" si="66"/>
        <v/>
      </c>
      <c r="AN81" s="51" t="str">
        <f t="shared" si="67"/>
        <v>=$("#").val();</v>
      </c>
      <c r="AO81" s="51" t="str">
        <f t="shared" si="91"/>
        <v/>
      </c>
      <c r="AP81" s="50" t="str">
        <f t="shared" si="68"/>
        <v>&lt;input type="checkbox" id="" name="" value="1" /&gt;</v>
      </c>
      <c r="AQ81" s="51" t="str">
        <f t="shared" si="69"/>
        <v>=document.getElementById("").checked;</v>
      </c>
      <c r="AR81" s="52" t="str">
        <f t="shared" si="70"/>
        <v>if (isset($_GET[''])) {$=($_GET['']);}else $='';</v>
      </c>
      <c r="AS81" s="17" t="str">
        <f t="shared" si="71"/>
        <v>Mobile phone</v>
      </c>
      <c r="AT81" s="17" t="str">
        <f t="shared" ref="AT81:AT114" si="110">+IF(AS81=AS80,"",AS81&amp;":")</f>
        <v/>
      </c>
      <c r="AU81" s="50" t="str">
        <f t="shared" si="72"/>
        <v>&lt;input type="radio" name="Mobile phone" id="" value="" /&gt;</v>
      </c>
      <c r="AV81" s="15" t="str">
        <f t="shared" si="73"/>
        <v>else if (document.getElementById("</v>
      </c>
      <c r="AW81" s="51" t="str">
        <f t="shared" si="74"/>
        <v>else if (document.getElementById("").checked==true) {Mobile phone="";}</v>
      </c>
      <c r="AX81" s="17" t="str">
        <f t="shared" ref="AX81:AX114" si="111">IF(AT81="","",","&amp;AT81&amp;LEFT(AT81,LEN(AT81)-1))</f>
        <v/>
      </c>
      <c r="AY81" s="52" t="str">
        <f t="shared" si="75"/>
        <v/>
      </c>
      <c r="AZ81" s="56" t="str">
        <f t="shared" si="76"/>
        <v>&lt;br/&gt;&lt;textarea rows="2" cols="80" id=""&gt;&lt;/textarea&gt;&lt;br/&gt;</v>
      </c>
      <c r="BA81" s="54" t="str">
        <f t="shared" si="77"/>
        <v>&lt;input type="text"  size="7"  id="" class="datepicker"/&gt;</v>
      </c>
      <c r="BB81" s="54" t="str">
        <f t="shared" si="92"/>
        <v/>
      </c>
      <c r="BC81" s="48" t="str">
        <f t="shared" ref="BC81:BC114" si="112">IF(C81="","",IF(F81=$L$8,BB81,IF(F81="check",AP81,IF(F81="texto",AM81,IF(F81="radio",AU81,IF(F81="date",BA81,IF(F81="bigtext",AZ81,IF(F81=$L$9,"","pending select"))))))))</f>
        <v/>
      </c>
      <c r="BD81" s="49" t="str">
        <f t="shared" ref="BD81:BD114" si="113">IF(C81="","",IF(OR(F81="texto",F81=$L$8),AN81,IF(F81="check",AQ81,IF(F81="radio",AW81,IF(F81="date",AN81,IF(F81="bigtext",AN81,IF(F81=$L$9,"","pending selectlist")))))))</f>
        <v/>
      </c>
      <c r="BE81" s="49">
        <f t="shared" si="55"/>
        <v>7</v>
      </c>
      <c r="BF81" s="55" t="str">
        <f t="shared" si="93"/>
        <v/>
      </c>
      <c r="BG81" s="6" t="str">
        <f t="shared" si="78"/>
        <v/>
      </c>
      <c r="BH81" s="17" t="str">
        <f t="shared" si="79"/>
        <v/>
      </c>
      <c r="BI81" s="17" t="str">
        <f t="shared" si="94"/>
        <v/>
      </c>
      <c r="BJ81" s="17">
        <f t="shared" si="95"/>
        <v>0</v>
      </c>
      <c r="BK81" s="17">
        <f t="shared" si="96"/>
        <v>1</v>
      </c>
      <c r="BL81" s="17" t="str">
        <f t="shared" si="97"/>
        <v/>
      </c>
      <c r="BO81" s="17" t="str">
        <f t="shared" ref="BO81:BO114" si="114">IF(BK80=0,"",IF(BK81=BK80,""," AND "))</f>
        <v/>
      </c>
      <c r="BP81" s="17" t="str">
        <f t="shared" si="80"/>
        <v/>
      </c>
      <c r="BQ81" s="17" t="str">
        <f t="shared" si="98"/>
        <v/>
      </c>
      <c r="BR81" s="17" t="str">
        <f t="shared" si="99"/>
        <v/>
      </c>
      <c r="BS81" s="17" t="str">
        <f t="shared" ref="BS81:BS114" si="115">IF(BJ81=0,"",IF(BR81="","",BO81&amp;BR81&amp;"='$"&amp;BR81&amp;"'"))</f>
        <v/>
      </c>
      <c r="BT81" s="17" t="str">
        <f t="shared" si="100"/>
        <v/>
      </c>
      <c r="BU81" s="17" t="str">
        <f t="shared" si="101"/>
        <v/>
      </c>
      <c r="BV81" s="17" t="str">
        <f t="shared" si="102"/>
        <v/>
      </c>
      <c r="BW81" s="17" t="str">
        <f t="shared" si="103"/>
        <v/>
      </c>
      <c r="BX81" s="17" t="str">
        <f t="shared" si="81"/>
        <v/>
      </c>
      <c r="BY81" s="17" t="str">
        <f t="shared" si="104"/>
        <v/>
      </c>
      <c r="BZ81" s="61" t="str">
        <f t="shared" si="105"/>
        <v/>
      </c>
      <c r="CA81" s="17" t="str">
        <f t="shared" si="82"/>
        <v/>
      </c>
      <c r="CB81" s="17" t="str">
        <f t="shared" si="83"/>
        <v/>
      </c>
      <c r="CC81" s="17" t="str">
        <f t="shared" si="106"/>
        <v/>
      </c>
      <c r="CD81" s="17" t="str">
        <f t="shared" si="84"/>
        <v/>
      </c>
      <c r="CE81" s="17" t="str">
        <f t="shared" si="85"/>
        <v/>
      </c>
      <c r="CF81" s="17" t="str">
        <f t="shared" si="107"/>
        <v/>
      </c>
      <c r="CG81" s="17" t="str">
        <f t="shared" si="108"/>
        <v/>
      </c>
    </row>
    <row r="82" spans="2:85" s="17" customFormat="1" hidden="1">
      <c r="B82" s="35"/>
      <c r="C82" s="35"/>
      <c r="D82" s="36"/>
      <c r="E82" s="35"/>
      <c r="F82" s="35"/>
      <c r="G82" s="35"/>
      <c r="H82" s="35"/>
      <c r="I82" s="59"/>
      <c r="AA82" s="47" t="s">
        <v>261</v>
      </c>
      <c r="AB82" s="17" t="str">
        <f t="shared" si="61"/>
        <v/>
      </c>
      <c r="AC82" s="17">
        <f t="shared" si="86"/>
        <v>0</v>
      </c>
      <c r="AD82" s="17">
        <f t="shared" si="109"/>
        <v>6</v>
      </c>
      <c r="AE82" s="17" t="str">
        <f t="shared" si="62"/>
        <v/>
      </c>
      <c r="AF82" s="17">
        <f t="shared" si="87"/>
        <v>0</v>
      </c>
      <c r="AG82" s="17">
        <f t="shared" si="88"/>
        <v>6</v>
      </c>
      <c r="AH82" s="17" t="str">
        <f t="shared" si="89"/>
        <v/>
      </c>
      <c r="AI82" s="17" t="str">
        <f t="shared" si="63"/>
        <v/>
      </c>
      <c r="AJ82" s="17" t="str">
        <f t="shared" si="90"/>
        <v/>
      </c>
      <c r="AK82" s="17" t="str">
        <f t="shared" si="64"/>
        <v>if () {$("#adv_").html("Requierd");$("#").css({"background":"yellow"});} else {$("#adv_").html("");$("#").css({"background":"white"});}</v>
      </c>
      <c r="AL82" s="17" t="str">
        <f t="shared" si="65"/>
        <v>if (=="") {$("#adv_").html("Requierd");} else {$("#adv_").html("");}</v>
      </c>
      <c r="AM82" s="50" t="str">
        <f t="shared" si="66"/>
        <v/>
      </c>
      <c r="AN82" s="51" t="str">
        <f t="shared" si="67"/>
        <v>=$("#").val();</v>
      </c>
      <c r="AO82" s="51" t="str">
        <f t="shared" si="91"/>
        <v/>
      </c>
      <c r="AP82" s="50" t="str">
        <f t="shared" si="68"/>
        <v>&lt;input type="checkbox" id="" name="" value="1" /&gt;</v>
      </c>
      <c r="AQ82" s="51" t="str">
        <f t="shared" si="69"/>
        <v>=document.getElementById("").checked;</v>
      </c>
      <c r="AR82" s="52" t="str">
        <f t="shared" si="70"/>
        <v>if (isset($_GET[''])) {$=($_GET['']);}else $='';</v>
      </c>
      <c r="AS82" s="17" t="str">
        <f t="shared" si="71"/>
        <v>Mobile phone</v>
      </c>
      <c r="AT82" s="17" t="str">
        <f t="shared" si="110"/>
        <v/>
      </c>
      <c r="AU82" s="50" t="str">
        <f t="shared" si="72"/>
        <v>&lt;input type="radio" name="Mobile phone" id="" value="" /&gt;</v>
      </c>
      <c r="AV82" s="15" t="str">
        <f t="shared" si="73"/>
        <v>else if (document.getElementById("</v>
      </c>
      <c r="AW82" s="51" t="str">
        <f t="shared" si="74"/>
        <v>else if (document.getElementById("").checked==true) {Mobile phone="";}</v>
      </c>
      <c r="AX82" s="17" t="str">
        <f t="shared" si="111"/>
        <v/>
      </c>
      <c r="AY82" s="52" t="str">
        <f t="shared" si="75"/>
        <v/>
      </c>
      <c r="AZ82" s="56" t="str">
        <f t="shared" si="76"/>
        <v>&lt;br/&gt;&lt;textarea rows="2" cols="80" id=""&gt;&lt;/textarea&gt;&lt;br/&gt;</v>
      </c>
      <c r="BA82" s="54" t="str">
        <f t="shared" si="77"/>
        <v>&lt;input type="text"  size="7"  id="" class="datepicker"/&gt;</v>
      </c>
      <c r="BB82" s="54" t="str">
        <f t="shared" si="92"/>
        <v/>
      </c>
      <c r="BC82" s="48" t="str">
        <f t="shared" si="112"/>
        <v/>
      </c>
      <c r="BD82" s="49" t="str">
        <f t="shared" si="113"/>
        <v/>
      </c>
      <c r="BE82" s="49">
        <f t="shared" si="55"/>
        <v>7</v>
      </c>
      <c r="BF82" s="55" t="str">
        <f t="shared" si="93"/>
        <v/>
      </c>
      <c r="BG82" s="6" t="str">
        <f t="shared" si="78"/>
        <v/>
      </c>
      <c r="BH82" s="17" t="str">
        <f t="shared" si="79"/>
        <v/>
      </c>
      <c r="BI82" s="17" t="str">
        <f t="shared" si="94"/>
        <v/>
      </c>
      <c r="BJ82" s="17">
        <f t="shared" si="95"/>
        <v>0</v>
      </c>
      <c r="BK82" s="17">
        <f t="shared" si="96"/>
        <v>1</v>
      </c>
      <c r="BL82" s="17" t="str">
        <f t="shared" si="97"/>
        <v/>
      </c>
      <c r="BO82" s="17" t="str">
        <f t="shared" si="114"/>
        <v/>
      </c>
      <c r="BP82" s="17" t="str">
        <f t="shared" si="80"/>
        <v/>
      </c>
      <c r="BQ82" s="17" t="str">
        <f t="shared" si="98"/>
        <v/>
      </c>
      <c r="BR82" s="17" t="str">
        <f t="shared" si="99"/>
        <v/>
      </c>
      <c r="BS82" s="17" t="str">
        <f t="shared" si="115"/>
        <v/>
      </c>
      <c r="BT82" s="17" t="str">
        <f t="shared" si="100"/>
        <v/>
      </c>
      <c r="BU82" s="17" t="str">
        <f t="shared" si="101"/>
        <v/>
      </c>
      <c r="BV82" s="17" t="str">
        <f t="shared" si="102"/>
        <v/>
      </c>
      <c r="BW82" s="17" t="str">
        <f t="shared" si="103"/>
        <v/>
      </c>
      <c r="BX82" s="17" t="str">
        <f t="shared" si="81"/>
        <v/>
      </c>
      <c r="BY82" s="17" t="str">
        <f t="shared" si="104"/>
        <v/>
      </c>
      <c r="BZ82" s="61" t="str">
        <f t="shared" si="105"/>
        <v/>
      </c>
      <c r="CA82" s="17" t="str">
        <f t="shared" si="82"/>
        <v/>
      </c>
      <c r="CB82" s="17" t="str">
        <f t="shared" si="83"/>
        <v/>
      </c>
      <c r="CC82" s="17" t="str">
        <f t="shared" si="106"/>
        <v/>
      </c>
      <c r="CD82" s="17" t="str">
        <f t="shared" si="84"/>
        <v/>
      </c>
      <c r="CE82" s="17" t="str">
        <f t="shared" si="85"/>
        <v/>
      </c>
      <c r="CF82" s="17" t="str">
        <f t="shared" si="107"/>
        <v/>
      </c>
      <c r="CG82" s="17" t="str">
        <f t="shared" si="108"/>
        <v/>
      </c>
    </row>
    <row r="83" spans="2:85" s="17" customFormat="1" hidden="1">
      <c r="B83" s="35"/>
      <c r="C83" s="35"/>
      <c r="D83" s="36"/>
      <c r="E83" s="35"/>
      <c r="F83" s="35"/>
      <c r="G83" s="35"/>
      <c r="H83" s="35"/>
      <c r="I83" s="59"/>
      <c r="AA83" s="47" t="s">
        <v>262</v>
      </c>
      <c r="AB83" s="17" t="str">
        <f t="shared" si="61"/>
        <v/>
      </c>
      <c r="AC83" s="17">
        <f t="shared" si="86"/>
        <v>0</v>
      </c>
      <c r="AD83" s="17">
        <f t="shared" si="109"/>
        <v>6</v>
      </c>
      <c r="AE83" s="17" t="str">
        <f t="shared" si="62"/>
        <v/>
      </c>
      <c r="AF83" s="17">
        <f t="shared" si="87"/>
        <v>0</v>
      </c>
      <c r="AG83" s="17">
        <f t="shared" si="88"/>
        <v>6</v>
      </c>
      <c r="AH83" s="17" t="str">
        <f t="shared" si="89"/>
        <v/>
      </c>
      <c r="AI83" s="17" t="str">
        <f t="shared" si="63"/>
        <v/>
      </c>
      <c r="AJ83" s="17" t="str">
        <f t="shared" si="90"/>
        <v/>
      </c>
      <c r="AK83" s="17" t="str">
        <f t="shared" si="64"/>
        <v>if () {$("#adv_").html("Requierd");$("#").css({"background":"yellow"});} else {$("#adv_").html("");$("#").css({"background":"white"});}</v>
      </c>
      <c r="AL83" s="17" t="str">
        <f t="shared" si="65"/>
        <v>if (=="") {$("#adv_").html("Requierd");} else {$("#adv_").html("");}</v>
      </c>
      <c r="AM83" s="50" t="str">
        <f t="shared" si="66"/>
        <v/>
      </c>
      <c r="AN83" s="51" t="str">
        <f t="shared" si="67"/>
        <v>=$("#").val();</v>
      </c>
      <c r="AO83" s="51" t="str">
        <f t="shared" si="91"/>
        <v/>
      </c>
      <c r="AP83" s="50" t="str">
        <f t="shared" si="68"/>
        <v>&lt;input type="checkbox" id="" name="" value="1" /&gt;</v>
      </c>
      <c r="AQ83" s="51" t="str">
        <f t="shared" si="69"/>
        <v>=document.getElementById("").checked;</v>
      </c>
      <c r="AR83" s="52" t="str">
        <f t="shared" si="70"/>
        <v>if (isset($_GET[''])) {$=($_GET['']);}else $='';</v>
      </c>
      <c r="AS83" s="17" t="str">
        <f t="shared" si="71"/>
        <v>Mobile phone</v>
      </c>
      <c r="AT83" s="17" t="str">
        <f t="shared" si="110"/>
        <v/>
      </c>
      <c r="AU83" s="50" t="str">
        <f t="shared" si="72"/>
        <v>&lt;input type="radio" name="Mobile phone" id="" value="" /&gt;</v>
      </c>
      <c r="AV83" s="15" t="str">
        <f t="shared" si="73"/>
        <v>else if (document.getElementById("</v>
      </c>
      <c r="AW83" s="51" t="str">
        <f t="shared" si="74"/>
        <v>else if (document.getElementById("").checked==true) {Mobile phone="";}</v>
      </c>
      <c r="AX83" s="17" t="str">
        <f t="shared" si="111"/>
        <v/>
      </c>
      <c r="AY83" s="52" t="str">
        <f t="shared" si="75"/>
        <v/>
      </c>
      <c r="AZ83" s="56" t="str">
        <f t="shared" si="76"/>
        <v>&lt;br/&gt;&lt;textarea rows="2" cols="80" id=""&gt;&lt;/textarea&gt;&lt;br/&gt;</v>
      </c>
      <c r="BA83" s="54" t="str">
        <f t="shared" si="77"/>
        <v>&lt;input type="text"  size="7"  id="" class="datepicker"/&gt;</v>
      </c>
      <c r="BB83" s="54" t="str">
        <f t="shared" si="92"/>
        <v/>
      </c>
      <c r="BC83" s="48" t="str">
        <f t="shared" si="112"/>
        <v/>
      </c>
      <c r="BD83" s="49" t="str">
        <f t="shared" si="113"/>
        <v/>
      </c>
      <c r="BE83" s="49">
        <f t="shared" ref="BE83:BE114" si="116">+IF(BD83="",0,1)+BE82</f>
        <v>7</v>
      </c>
      <c r="BF83" s="55" t="str">
        <f t="shared" si="93"/>
        <v/>
      </c>
      <c r="BG83" s="6" t="str">
        <f t="shared" si="78"/>
        <v/>
      </c>
      <c r="BH83" s="17" t="str">
        <f t="shared" si="79"/>
        <v/>
      </c>
      <c r="BI83" s="17" t="str">
        <f t="shared" si="94"/>
        <v/>
      </c>
      <c r="BJ83" s="17">
        <f t="shared" si="95"/>
        <v>0</v>
      </c>
      <c r="BK83" s="17">
        <f t="shared" si="96"/>
        <v>1</v>
      </c>
      <c r="BL83" s="17" t="str">
        <f t="shared" si="97"/>
        <v/>
      </c>
      <c r="BO83" s="17" t="str">
        <f t="shared" si="114"/>
        <v/>
      </c>
      <c r="BP83" s="17" t="str">
        <f t="shared" si="80"/>
        <v/>
      </c>
      <c r="BQ83" s="17" t="str">
        <f t="shared" si="98"/>
        <v/>
      </c>
      <c r="BR83" s="17" t="str">
        <f t="shared" si="99"/>
        <v/>
      </c>
      <c r="BS83" s="17" t="str">
        <f t="shared" si="115"/>
        <v/>
      </c>
      <c r="BT83" s="17" t="str">
        <f t="shared" si="100"/>
        <v/>
      </c>
      <c r="BU83" s="17" t="str">
        <f t="shared" si="101"/>
        <v/>
      </c>
      <c r="BV83" s="17" t="str">
        <f t="shared" si="102"/>
        <v/>
      </c>
      <c r="BW83" s="17" t="str">
        <f t="shared" si="103"/>
        <v/>
      </c>
      <c r="BX83" s="17" t="str">
        <f t="shared" si="81"/>
        <v/>
      </c>
      <c r="BY83" s="17" t="str">
        <f t="shared" si="104"/>
        <v/>
      </c>
      <c r="BZ83" s="61" t="str">
        <f t="shared" si="105"/>
        <v/>
      </c>
      <c r="CA83" s="17" t="str">
        <f t="shared" si="82"/>
        <v/>
      </c>
      <c r="CB83" s="17" t="str">
        <f t="shared" si="83"/>
        <v/>
      </c>
      <c r="CC83" s="17" t="str">
        <f t="shared" si="106"/>
        <v/>
      </c>
      <c r="CD83" s="17" t="str">
        <f t="shared" si="84"/>
        <v/>
      </c>
      <c r="CE83" s="17" t="str">
        <f t="shared" si="85"/>
        <v/>
      </c>
      <c r="CF83" s="17" t="str">
        <f t="shared" si="107"/>
        <v/>
      </c>
      <c r="CG83" s="17" t="str">
        <f t="shared" si="108"/>
        <v/>
      </c>
    </row>
    <row r="84" spans="2:85" s="17" customFormat="1" hidden="1">
      <c r="B84" s="35"/>
      <c r="C84" s="35"/>
      <c r="D84" s="36"/>
      <c r="E84" s="35"/>
      <c r="F84" s="35"/>
      <c r="G84" s="35"/>
      <c r="H84" s="35"/>
      <c r="I84" s="59"/>
      <c r="AA84" s="47" t="s">
        <v>263</v>
      </c>
      <c r="AB84" s="17" t="str">
        <f t="shared" si="61"/>
        <v/>
      </c>
      <c r="AC84" s="17">
        <f t="shared" si="86"/>
        <v>0</v>
      </c>
      <c r="AD84" s="17">
        <f t="shared" si="109"/>
        <v>6</v>
      </c>
      <c r="AE84" s="17" t="str">
        <f t="shared" si="62"/>
        <v/>
      </c>
      <c r="AF84" s="17">
        <f t="shared" si="87"/>
        <v>0</v>
      </c>
      <c r="AG84" s="17">
        <f t="shared" si="88"/>
        <v>6</v>
      </c>
      <c r="AH84" s="17" t="str">
        <f t="shared" si="89"/>
        <v/>
      </c>
      <c r="AI84" s="17" t="str">
        <f t="shared" si="63"/>
        <v/>
      </c>
      <c r="AJ84" s="17" t="str">
        <f t="shared" si="90"/>
        <v/>
      </c>
      <c r="AK84" s="17" t="str">
        <f t="shared" si="64"/>
        <v>if () {$("#adv_").html("Requierd");$("#").css({"background":"yellow"});} else {$("#adv_").html("");$("#").css({"background":"white"});}</v>
      </c>
      <c r="AL84" s="17" t="str">
        <f t="shared" si="65"/>
        <v>if (=="") {$("#adv_").html("Requierd");} else {$("#adv_").html("");}</v>
      </c>
      <c r="AM84" s="50" t="str">
        <f t="shared" si="66"/>
        <v/>
      </c>
      <c r="AN84" s="51" t="str">
        <f t="shared" si="67"/>
        <v>=$("#").val();</v>
      </c>
      <c r="AO84" s="51" t="str">
        <f t="shared" si="91"/>
        <v/>
      </c>
      <c r="AP84" s="50" t="str">
        <f t="shared" si="68"/>
        <v>&lt;input type="checkbox" id="" name="" value="1" /&gt;</v>
      </c>
      <c r="AQ84" s="51" t="str">
        <f t="shared" si="69"/>
        <v>=document.getElementById("").checked;</v>
      </c>
      <c r="AR84" s="52" t="str">
        <f t="shared" si="70"/>
        <v>if (isset($_GET[''])) {$=($_GET['']);}else $='';</v>
      </c>
      <c r="AS84" s="17" t="str">
        <f t="shared" si="71"/>
        <v>Mobile phone</v>
      </c>
      <c r="AT84" s="17" t="str">
        <f t="shared" si="110"/>
        <v/>
      </c>
      <c r="AU84" s="50" t="str">
        <f t="shared" si="72"/>
        <v>&lt;input type="radio" name="Mobile phone" id="" value="" /&gt;</v>
      </c>
      <c r="AV84" s="15" t="str">
        <f t="shared" si="73"/>
        <v>else if (document.getElementById("</v>
      </c>
      <c r="AW84" s="51" t="str">
        <f t="shared" si="74"/>
        <v>else if (document.getElementById("").checked==true) {Mobile phone="";}</v>
      </c>
      <c r="AX84" s="17" t="str">
        <f t="shared" si="111"/>
        <v/>
      </c>
      <c r="AY84" s="52" t="str">
        <f t="shared" si="75"/>
        <v/>
      </c>
      <c r="AZ84" s="56" t="str">
        <f t="shared" si="76"/>
        <v>&lt;br/&gt;&lt;textarea rows="2" cols="80" id=""&gt;&lt;/textarea&gt;&lt;br/&gt;</v>
      </c>
      <c r="BA84" s="54" t="str">
        <f t="shared" si="77"/>
        <v>&lt;input type="text"  size="7"  id="" class="datepicker"/&gt;</v>
      </c>
      <c r="BB84" s="54" t="str">
        <f t="shared" si="92"/>
        <v/>
      </c>
      <c r="BC84" s="48" t="str">
        <f t="shared" si="112"/>
        <v/>
      </c>
      <c r="BD84" s="49" t="str">
        <f t="shared" si="113"/>
        <v/>
      </c>
      <c r="BE84" s="49">
        <f t="shared" si="116"/>
        <v>7</v>
      </c>
      <c r="BF84" s="55" t="str">
        <f t="shared" si="93"/>
        <v/>
      </c>
      <c r="BG84" s="6" t="str">
        <f t="shared" si="78"/>
        <v/>
      </c>
      <c r="BH84" s="17" t="str">
        <f t="shared" si="79"/>
        <v/>
      </c>
      <c r="BI84" s="17" t="str">
        <f t="shared" si="94"/>
        <v/>
      </c>
      <c r="BJ84" s="17">
        <f t="shared" si="95"/>
        <v>0</v>
      </c>
      <c r="BK84" s="17">
        <f t="shared" si="96"/>
        <v>1</v>
      </c>
      <c r="BL84" s="17" t="str">
        <f t="shared" si="97"/>
        <v/>
      </c>
      <c r="BO84" s="17" t="str">
        <f t="shared" si="114"/>
        <v/>
      </c>
      <c r="BP84" s="17" t="str">
        <f t="shared" si="80"/>
        <v/>
      </c>
      <c r="BQ84" s="17" t="str">
        <f t="shared" si="98"/>
        <v/>
      </c>
      <c r="BR84" s="17" t="str">
        <f t="shared" si="99"/>
        <v/>
      </c>
      <c r="BS84" s="17" t="str">
        <f t="shared" si="115"/>
        <v/>
      </c>
      <c r="BT84" s="17" t="str">
        <f t="shared" si="100"/>
        <v/>
      </c>
      <c r="BU84" s="17" t="str">
        <f t="shared" si="101"/>
        <v/>
      </c>
      <c r="BV84" s="17" t="str">
        <f t="shared" si="102"/>
        <v/>
      </c>
      <c r="BW84" s="17" t="str">
        <f t="shared" si="103"/>
        <v/>
      </c>
      <c r="BX84" s="17" t="str">
        <f t="shared" si="81"/>
        <v/>
      </c>
      <c r="BY84" s="17" t="str">
        <f t="shared" si="104"/>
        <v/>
      </c>
      <c r="BZ84" s="61" t="str">
        <f t="shared" si="105"/>
        <v/>
      </c>
      <c r="CA84" s="17" t="str">
        <f t="shared" si="82"/>
        <v/>
      </c>
      <c r="CB84" s="17" t="str">
        <f t="shared" si="83"/>
        <v/>
      </c>
      <c r="CC84" s="17" t="str">
        <f t="shared" si="106"/>
        <v/>
      </c>
      <c r="CD84" s="17" t="str">
        <f t="shared" si="84"/>
        <v/>
      </c>
      <c r="CE84" s="17" t="str">
        <f t="shared" si="85"/>
        <v/>
      </c>
      <c r="CF84" s="17" t="str">
        <f t="shared" si="107"/>
        <v/>
      </c>
      <c r="CG84" s="17" t="str">
        <f t="shared" si="108"/>
        <v/>
      </c>
    </row>
    <row r="85" spans="2:85" s="17" customFormat="1" hidden="1">
      <c r="B85" s="35"/>
      <c r="C85" s="35"/>
      <c r="D85" s="36"/>
      <c r="E85" s="35"/>
      <c r="F85" s="35"/>
      <c r="G85" s="35"/>
      <c r="H85" s="35"/>
      <c r="I85" s="59"/>
      <c r="AA85" s="47" t="s">
        <v>264</v>
      </c>
      <c r="AB85" s="17" t="str">
        <f t="shared" si="61"/>
        <v/>
      </c>
      <c r="AC85" s="17">
        <f t="shared" si="86"/>
        <v>0</v>
      </c>
      <c r="AD85" s="17">
        <f t="shared" si="109"/>
        <v>6</v>
      </c>
      <c r="AE85" s="17" t="str">
        <f t="shared" si="62"/>
        <v/>
      </c>
      <c r="AF85" s="17">
        <f t="shared" si="87"/>
        <v>0</v>
      </c>
      <c r="AG85" s="17">
        <f t="shared" si="88"/>
        <v>6</v>
      </c>
      <c r="AH85" s="17" t="str">
        <f t="shared" si="89"/>
        <v/>
      </c>
      <c r="AI85" s="17" t="str">
        <f t="shared" si="63"/>
        <v/>
      </c>
      <c r="AJ85" s="17" t="str">
        <f t="shared" si="90"/>
        <v/>
      </c>
      <c r="AK85" s="17" t="str">
        <f t="shared" si="64"/>
        <v>if () {$("#adv_").html("Requierd");$("#").css({"background":"yellow"});} else {$("#adv_").html("");$("#").css({"background":"white"});}</v>
      </c>
      <c r="AL85" s="17" t="str">
        <f t="shared" si="65"/>
        <v>if (=="") {$("#adv_").html("Requierd");} else {$("#adv_").html("");}</v>
      </c>
      <c r="AM85" s="50" t="str">
        <f t="shared" si="66"/>
        <v/>
      </c>
      <c r="AN85" s="51" t="str">
        <f t="shared" si="67"/>
        <v>=$("#").val();</v>
      </c>
      <c r="AO85" s="51" t="str">
        <f t="shared" si="91"/>
        <v/>
      </c>
      <c r="AP85" s="50" t="str">
        <f t="shared" si="68"/>
        <v>&lt;input type="checkbox" id="" name="" value="1" /&gt;</v>
      </c>
      <c r="AQ85" s="51" t="str">
        <f t="shared" si="69"/>
        <v>=document.getElementById("").checked;</v>
      </c>
      <c r="AR85" s="52" t="str">
        <f t="shared" si="70"/>
        <v>if (isset($_GET[''])) {$=($_GET['']);}else $='';</v>
      </c>
      <c r="AS85" s="17" t="str">
        <f t="shared" si="71"/>
        <v>Mobile phone</v>
      </c>
      <c r="AT85" s="17" t="str">
        <f t="shared" si="110"/>
        <v/>
      </c>
      <c r="AU85" s="50" t="str">
        <f t="shared" si="72"/>
        <v>&lt;input type="radio" name="Mobile phone" id="" value="" /&gt;</v>
      </c>
      <c r="AV85" s="15" t="str">
        <f t="shared" si="73"/>
        <v>else if (document.getElementById("</v>
      </c>
      <c r="AW85" s="51" t="str">
        <f t="shared" si="74"/>
        <v>else if (document.getElementById("").checked==true) {Mobile phone="";}</v>
      </c>
      <c r="AX85" s="17" t="str">
        <f t="shared" si="111"/>
        <v/>
      </c>
      <c r="AY85" s="52" t="str">
        <f t="shared" si="75"/>
        <v/>
      </c>
      <c r="AZ85" s="56" t="str">
        <f t="shared" si="76"/>
        <v>&lt;br/&gt;&lt;textarea rows="2" cols="80" id=""&gt;&lt;/textarea&gt;&lt;br/&gt;</v>
      </c>
      <c r="BA85" s="54" t="str">
        <f t="shared" si="77"/>
        <v>&lt;input type="text"  size="7"  id="" class="datepicker"/&gt;</v>
      </c>
      <c r="BB85" s="54" t="str">
        <f t="shared" si="92"/>
        <v/>
      </c>
      <c r="BC85" s="48" t="str">
        <f t="shared" si="112"/>
        <v/>
      </c>
      <c r="BD85" s="49" t="str">
        <f t="shared" si="113"/>
        <v/>
      </c>
      <c r="BE85" s="49">
        <f t="shared" si="116"/>
        <v>7</v>
      </c>
      <c r="BF85" s="55" t="str">
        <f t="shared" si="93"/>
        <v/>
      </c>
      <c r="BG85" s="6" t="str">
        <f t="shared" si="78"/>
        <v/>
      </c>
      <c r="BH85" s="17" t="str">
        <f t="shared" si="79"/>
        <v/>
      </c>
      <c r="BI85" s="17" t="str">
        <f t="shared" si="94"/>
        <v/>
      </c>
      <c r="BJ85" s="17">
        <f t="shared" si="95"/>
        <v>0</v>
      </c>
      <c r="BK85" s="17">
        <f t="shared" si="96"/>
        <v>1</v>
      </c>
      <c r="BL85" s="17" t="str">
        <f t="shared" si="97"/>
        <v/>
      </c>
      <c r="BO85" s="17" t="str">
        <f t="shared" si="114"/>
        <v/>
      </c>
      <c r="BP85" s="17" t="str">
        <f t="shared" si="80"/>
        <v/>
      </c>
      <c r="BQ85" s="17" t="str">
        <f t="shared" si="98"/>
        <v/>
      </c>
      <c r="BR85" s="17" t="str">
        <f t="shared" si="99"/>
        <v/>
      </c>
      <c r="BS85" s="17" t="str">
        <f t="shared" si="115"/>
        <v/>
      </c>
      <c r="BT85" s="17" t="str">
        <f t="shared" si="100"/>
        <v/>
      </c>
      <c r="BU85" s="17" t="str">
        <f t="shared" si="101"/>
        <v/>
      </c>
      <c r="BV85" s="17" t="str">
        <f t="shared" si="102"/>
        <v/>
      </c>
      <c r="BW85" s="17" t="str">
        <f t="shared" si="103"/>
        <v/>
      </c>
      <c r="BX85" s="17" t="str">
        <f t="shared" si="81"/>
        <v/>
      </c>
      <c r="BY85" s="17" t="str">
        <f t="shared" si="104"/>
        <v/>
      </c>
      <c r="BZ85" s="61" t="str">
        <f t="shared" si="105"/>
        <v/>
      </c>
      <c r="CA85" s="17" t="str">
        <f t="shared" si="82"/>
        <v/>
      </c>
      <c r="CB85" s="17" t="str">
        <f t="shared" si="83"/>
        <v/>
      </c>
      <c r="CC85" s="17" t="str">
        <f t="shared" si="106"/>
        <v/>
      </c>
      <c r="CD85" s="17" t="str">
        <f t="shared" si="84"/>
        <v/>
      </c>
      <c r="CE85" s="17" t="str">
        <f t="shared" si="85"/>
        <v/>
      </c>
      <c r="CF85" s="17" t="str">
        <f t="shared" si="107"/>
        <v/>
      </c>
      <c r="CG85" s="17" t="str">
        <f t="shared" si="108"/>
        <v/>
      </c>
    </row>
    <row r="86" spans="2:85" s="17" customFormat="1" hidden="1">
      <c r="B86" s="35"/>
      <c r="C86" s="35"/>
      <c r="D86" s="36"/>
      <c r="E86" s="35"/>
      <c r="F86" s="35"/>
      <c r="G86" s="35"/>
      <c r="H86" s="35"/>
      <c r="I86" s="59"/>
      <c r="AA86" s="47" t="s">
        <v>265</v>
      </c>
      <c r="AB86" s="17" t="str">
        <f t="shared" si="61"/>
        <v/>
      </c>
      <c r="AC86" s="17">
        <f t="shared" si="86"/>
        <v>0</v>
      </c>
      <c r="AD86" s="17">
        <f t="shared" si="109"/>
        <v>6</v>
      </c>
      <c r="AE86" s="17" t="str">
        <f t="shared" si="62"/>
        <v/>
      </c>
      <c r="AF86" s="17">
        <f t="shared" si="87"/>
        <v>0</v>
      </c>
      <c r="AG86" s="17">
        <f t="shared" si="88"/>
        <v>6</v>
      </c>
      <c r="AH86" s="17" t="str">
        <f t="shared" si="89"/>
        <v/>
      </c>
      <c r="AI86" s="17" t="str">
        <f t="shared" si="63"/>
        <v/>
      </c>
      <c r="AJ86" s="17" t="str">
        <f t="shared" si="90"/>
        <v/>
      </c>
      <c r="AK86" s="17" t="str">
        <f t="shared" si="64"/>
        <v>if () {$("#adv_").html("Requierd");$("#").css({"background":"yellow"});} else {$("#adv_").html("");$("#").css({"background":"white"});}</v>
      </c>
      <c r="AL86" s="17" t="str">
        <f t="shared" si="65"/>
        <v>if (=="") {$("#adv_").html("Requierd");} else {$("#adv_").html("");}</v>
      </c>
      <c r="AM86" s="50" t="str">
        <f t="shared" si="66"/>
        <v/>
      </c>
      <c r="AN86" s="51" t="str">
        <f t="shared" si="67"/>
        <v>=$("#").val();</v>
      </c>
      <c r="AO86" s="51" t="str">
        <f t="shared" si="91"/>
        <v/>
      </c>
      <c r="AP86" s="50" t="str">
        <f t="shared" si="68"/>
        <v>&lt;input type="checkbox" id="" name="" value="1" /&gt;</v>
      </c>
      <c r="AQ86" s="51" t="str">
        <f t="shared" si="69"/>
        <v>=document.getElementById("").checked;</v>
      </c>
      <c r="AR86" s="52" t="str">
        <f t="shared" si="70"/>
        <v>if (isset($_GET[''])) {$=($_GET['']);}else $='';</v>
      </c>
      <c r="AS86" s="17" t="str">
        <f t="shared" si="71"/>
        <v>Mobile phone</v>
      </c>
      <c r="AT86" s="17" t="str">
        <f t="shared" si="110"/>
        <v/>
      </c>
      <c r="AU86" s="50" t="str">
        <f t="shared" si="72"/>
        <v>&lt;input type="radio" name="Mobile phone" id="" value="" /&gt;</v>
      </c>
      <c r="AV86" s="15" t="str">
        <f t="shared" si="73"/>
        <v>else if (document.getElementById("</v>
      </c>
      <c r="AW86" s="51" t="str">
        <f t="shared" si="74"/>
        <v>else if (document.getElementById("").checked==true) {Mobile phone="";}</v>
      </c>
      <c r="AX86" s="17" t="str">
        <f t="shared" si="111"/>
        <v/>
      </c>
      <c r="AY86" s="52" t="str">
        <f t="shared" si="75"/>
        <v/>
      </c>
      <c r="AZ86" s="56" t="str">
        <f t="shared" si="76"/>
        <v>&lt;br/&gt;&lt;textarea rows="2" cols="80" id=""&gt;&lt;/textarea&gt;&lt;br/&gt;</v>
      </c>
      <c r="BA86" s="54" t="str">
        <f t="shared" si="77"/>
        <v>&lt;input type="text"  size="7"  id="" class="datepicker"/&gt;</v>
      </c>
      <c r="BB86" s="54" t="str">
        <f t="shared" si="92"/>
        <v/>
      </c>
      <c r="BC86" s="48" t="str">
        <f t="shared" si="112"/>
        <v/>
      </c>
      <c r="BD86" s="49" t="str">
        <f t="shared" si="113"/>
        <v/>
      </c>
      <c r="BE86" s="49">
        <f t="shared" si="116"/>
        <v>7</v>
      </c>
      <c r="BF86" s="55" t="str">
        <f t="shared" si="93"/>
        <v/>
      </c>
      <c r="BG86" s="6" t="str">
        <f t="shared" si="78"/>
        <v/>
      </c>
      <c r="BH86" s="17" t="str">
        <f t="shared" si="79"/>
        <v/>
      </c>
      <c r="BI86" s="17" t="str">
        <f t="shared" si="94"/>
        <v/>
      </c>
      <c r="BJ86" s="17">
        <f t="shared" si="95"/>
        <v>0</v>
      </c>
      <c r="BK86" s="17">
        <f t="shared" si="96"/>
        <v>1</v>
      </c>
      <c r="BL86" s="17" t="str">
        <f t="shared" si="97"/>
        <v/>
      </c>
      <c r="BO86" s="17" t="str">
        <f t="shared" si="114"/>
        <v/>
      </c>
      <c r="BP86" s="17" t="str">
        <f t="shared" si="80"/>
        <v/>
      </c>
      <c r="BQ86" s="17" t="str">
        <f t="shared" si="98"/>
        <v/>
      </c>
      <c r="BR86" s="17" t="str">
        <f t="shared" si="99"/>
        <v/>
      </c>
      <c r="BS86" s="17" t="str">
        <f t="shared" si="115"/>
        <v/>
      </c>
      <c r="BT86" s="17" t="str">
        <f t="shared" si="100"/>
        <v/>
      </c>
      <c r="BU86" s="17" t="str">
        <f t="shared" si="101"/>
        <v/>
      </c>
      <c r="BV86" s="17" t="str">
        <f t="shared" si="102"/>
        <v/>
      </c>
      <c r="BW86" s="17" t="str">
        <f t="shared" si="103"/>
        <v/>
      </c>
      <c r="BX86" s="17" t="str">
        <f t="shared" si="81"/>
        <v/>
      </c>
      <c r="BY86" s="17" t="str">
        <f t="shared" si="104"/>
        <v/>
      </c>
      <c r="BZ86" s="61" t="str">
        <f t="shared" si="105"/>
        <v/>
      </c>
      <c r="CA86" s="17" t="str">
        <f t="shared" si="82"/>
        <v/>
      </c>
      <c r="CB86" s="17" t="str">
        <f t="shared" si="83"/>
        <v/>
      </c>
      <c r="CC86" s="17" t="str">
        <f t="shared" si="106"/>
        <v/>
      </c>
      <c r="CD86" s="17" t="str">
        <f t="shared" si="84"/>
        <v/>
      </c>
      <c r="CE86" s="17" t="str">
        <f t="shared" si="85"/>
        <v/>
      </c>
      <c r="CF86" s="17" t="str">
        <f t="shared" si="107"/>
        <v/>
      </c>
      <c r="CG86" s="17" t="str">
        <f t="shared" si="108"/>
        <v/>
      </c>
    </row>
    <row r="87" spans="2:85" s="17" customFormat="1" hidden="1">
      <c r="B87" s="35"/>
      <c r="C87" s="35"/>
      <c r="D87" s="36"/>
      <c r="E87" s="35"/>
      <c r="F87" s="35"/>
      <c r="G87" s="35"/>
      <c r="H87" s="35"/>
      <c r="I87" s="59"/>
      <c r="AA87" s="47" t="s">
        <v>266</v>
      </c>
      <c r="AB87" s="17" t="str">
        <f t="shared" si="61"/>
        <v/>
      </c>
      <c r="AC87" s="17">
        <f t="shared" si="86"/>
        <v>0</v>
      </c>
      <c r="AD87" s="17">
        <f t="shared" si="109"/>
        <v>6</v>
      </c>
      <c r="AE87" s="17" t="str">
        <f t="shared" si="62"/>
        <v/>
      </c>
      <c r="AF87" s="17">
        <f t="shared" si="87"/>
        <v>0</v>
      </c>
      <c r="AG87" s="17">
        <f t="shared" si="88"/>
        <v>6</v>
      </c>
      <c r="AH87" s="17" t="str">
        <f t="shared" si="89"/>
        <v/>
      </c>
      <c r="AI87" s="17" t="str">
        <f t="shared" si="63"/>
        <v/>
      </c>
      <c r="AJ87" s="17" t="str">
        <f t="shared" si="90"/>
        <v/>
      </c>
      <c r="AK87" s="17" t="str">
        <f t="shared" si="64"/>
        <v>if () {$("#adv_").html("Requierd");$("#").css({"background":"yellow"});} else {$("#adv_").html("");$("#").css({"background":"white"});}</v>
      </c>
      <c r="AL87" s="17" t="str">
        <f t="shared" si="65"/>
        <v>if (=="") {$("#adv_").html("Requierd");} else {$("#adv_").html("");}</v>
      </c>
      <c r="AM87" s="50" t="str">
        <f t="shared" si="66"/>
        <v/>
      </c>
      <c r="AN87" s="51" t="str">
        <f t="shared" si="67"/>
        <v>=$("#").val();</v>
      </c>
      <c r="AO87" s="51" t="str">
        <f t="shared" si="91"/>
        <v/>
      </c>
      <c r="AP87" s="50" t="str">
        <f t="shared" si="68"/>
        <v>&lt;input type="checkbox" id="" name="" value="1" /&gt;</v>
      </c>
      <c r="AQ87" s="51" t="str">
        <f t="shared" si="69"/>
        <v>=document.getElementById("").checked;</v>
      </c>
      <c r="AR87" s="52" t="str">
        <f t="shared" si="70"/>
        <v>if (isset($_GET[''])) {$=($_GET['']);}else $='';</v>
      </c>
      <c r="AS87" s="17" t="str">
        <f t="shared" si="71"/>
        <v>Mobile phone</v>
      </c>
      <c r="AT87" s="17" t="str">
        <f t="shared" si="110"/>
        <v/>
      </c>
      <c r="AU87" s="50" t="str">
        <f t="shared" si="72"/>
        <v>&lt;input type="radio" name="Mobile phone" id="" value="" /&gt;</v>
      </c>
      <c r="AV87" s="15" t="str">
        <f t="shared" si="73"/>
        <v>else if (document.getElementById("</v>
      </c>
      <c r="AW87" s="51" t="str">
        <f t="shared" si="74"/>
        <v>else if (document.getElementById("").checked==true) {Mobile phone="";}</v>
      </c>
      <c r="AX87" s="17" t="str">
        <f t="shared" si="111"/>
        <v/>
      </c>
      <c r="AY87" s="52" t="str">
        <f t="shared" si="75"/>
        <v/>
      </c>
      <c r="AZ87" s="56" t="str">
        <f t="shared" si="76"/>
        <v>&lt;br/&gt;&lt;textarea rows="2" cols="80" id=""&gt;&lt;/textarea&gt;&lt;br/&gt;</v>
      </c>
      <c r="BA87" s="54" t="str">
        <f t="shared" si="77"/>
        <v>&lt;input type="text"  size="7"  id="" class="datepicker"/&gt;</v>
      </c>
      <c r="BB87" s="54" t="str">
        <f t="shared" si="92"/>
        <v/>
      </c>
      <c r="BC87" s="48" t="str">
        <f t="shared" si="112"/>
        <v/>
      </c>
      <c r="BD87" s="49" t="str">
        <f t="shared" si="113"/>
        <v/>
      </c>
      <c r="BE87" s="49">
        <f t="shared" si="116"/>
        <v>7</v>
      </c>
      <c r="BF87" s="55" t="str">
        <f t="shared" si="93"/>
        <v/>
      </c>
      <c r="BG87" s="6" t="str">
        <f t="shared" si="78"/>
        <v/>
      </c>
      <c r="BH87" s="17" t="str">
        <f t="shared" si="79"/>
        <v/>
      </c>
      <c r="BI87" s="17" t="str">
        <f t="shared" si="94"/>
        <v/>
      </c>
      <c r="BJ87" s="17">
        <f t="shared" si="95"/>
        <v>0</v>
      </c>
      <c r="BK87" s="17">
        <f t="shared" si="96"/>
        <v>1</v>
      </c>
      <c r="BL87" s="17" t="str">
        <f t="shared" si="97"/>
        <v/>
      </c>
      <c r="BO87" s="17" t="str">
        <f t="shared" si="114"/>
        <v/>
      </c>
      <c r="BP87" s="17" t="str">
        <f t="shared" si="80"/>
        <v/>
      </c>
      <c r="BQ87" s="17" t="str">
        <f t="shared" si="98"/>
        <v/>
      </c>
      <c r="BR87" s="17" t="str">
        <f t="shared" si="99"/>
        <v/>
      </c>
      <c r="BS87" s="17" t="str">
        <f t="shared" si="115"/>
        <v/>
      </c>
      <c r="BT87" s="17" t="str">
        <f t="shared" si="100"/>
        <v/>
      </c>
      <c r="BU87" s="17" t="str">
        <f t="shared" si="101"/>
        <v/>
      </c>
      <c r="BV87" s="17" t="str">
        <f t="shared" si="102"/>
        <v/>
      </c>
      <c r="BW87" s="17" t="str">
        <f t="shared" si="103"/>
        <v/>
      </c>
      <c r="BX87" s="17" t="str">
        <f t="shared" si="81"/>
        <v/>
      </c>
      <c r="BY87" s="17" t="str">
        <f t="shared" si="104"/>
        <v/>
      </c>
      <c r="BZ87" s="61" t="str">
        <f t="shared" si="105"/>
        <v/>
      </c>
      <c r="CA87" s="17" t="str">
        <f t="shared" si="82"/>
        <v/>
      </c>
      <c r="CB87" s="17" t="str">
        <f t="shared" si="83"/>
        <v/>
      </c>
      <c r="CC87" s="17" t="str">
        <f t="shared" si="106"/>
        <v/>
      </c>
      <c r="CD87" s="17" t="str">
        <f t="shared" si="84"/>
        <v/>
      </c>
      <c r="CE87" s="17" t="str">
        <f t="shared" si="85"/>
        <v/>
      </c>
      <c r="CF87" s="17" t="str">
        <f t="shared" si="107"/>
        <v/>
      </c>
      <c r="CG87" s="17" t="str">
        <f t="shared" si="108"/>
        <v/>
      </c>
    </row>
    <row r="88" spans="2:85" s="17" customFormat="1" hidden="1">
      <c r="B88" s="35"/>
      <c r="C88" s="35"/>
      <c r="D88" s="36"/>
      <c r="E88" s="35"/>
      <c r="F88" s="35"/>
      <c r="G88" s="35"/>
      <c r="H88" s="35"/>
      <c r="I88" s="59"/>
      <c r="AA88" s="47" t="s">
        <v>267</v>
      </c>
      <c r="AB88" s="17" t="str">
        <f t="shared" si="61"/>
        <v/>
      </c>
      <c r="AC88" s="17">
        <f t="shared" si="86"/>
        <v>0</v>
      </c>
      <c r="AD88" s="17">
        <f t="shared" si="109"/>
        <v>6</v>
      </c>
      <c r="AE88" s="17" t="str">
        <f t="shared" si="62"/>
        <v/>
      </c>
      <c r="AF88" s="17">
        <f t="shared" si="87"/>
        <v>0</v>
      </c>
      <c r="AG88" s="17">
        <f t="shared" si="88"/>
        <v>6</v>
      </c>
      <c r="AH88" s="17" t="str">
        <f t="shared" si="89"/>
        <v/>
      </c>
      <c r="AI88" s="17" t="str">
        <f t="shared" si="63"/>
        <v/>
      </c>
      <c r="AJ88" s="17" t="str">
        <f t="shared" si="90"/>
        <v/>
      </c>
      <c r="AK88" s="17" t="str">
        <f t="shared" si="64"/>
        <v>if () {$("#adv_").html("Requierd");$("#").css({"background":"yellow"});} else {$("#adv_").html("");$("#").css({"background":"white"});}</v>
      </c>
      <c r="AL88" s="17" t="str">
        <f t="shared" si="65"/>
        <v>if (=="") {$("#adv_").html("Requierd");} else {$("#adv_").html("");}</v>
      </c>
      <c r="AM88" s="50" t="str">
        <f t="shared" si="66"/>
        <v/>
      </c>
      <c r="AN88" s="51" t="str">
        <f t="shared" si="67"/>
        <v>=$("#").val();</v>
      </c>
      <c r="AO88" s="51" t="str">
        <f t="shared" si="91"/>
        <v/>
      </c>
      <c r="AP88" s="50" t="str">
        <f t="shared" si="68"/>
        <v>&lt;input type="checkbox" id="" name="" value="1" /&gt;</v>
      </c>
      <c r="AQ88" s="51" t="str">
        <f t="shared" si="69"/>
        <v>=document.getElementById("").checked;</v>
      </c>
      <c r="AR88" s="52" t="str">
        <f t="shared" si="70"/>
        <v>if (isset($_GET[''])) {$=($_GET['']);}else $='';</v>
      </c>
      <c r="AS88" s="17" t="str">
        <f t="shared" si="71"/>
        <v>Mobile phone</v>
      </c>
      <c r="AT88" s="17" t="str">
        <f t="shared" si="110"/>
        <v/>
      </c>
      <c r="AU88" s="50" t="str">
        <f t="shared" si="72"/>
        <v>&lt;input type="radio" name="Mobile phone" id="" value="" /&gt;</v>
      </c>
      <c r="AV88" s="15" t="str">
        <f t="shared" si="73"/>
        <v>else if (document.getElementById("</v>
      </c>
      <c r="AW88" s="51" t="str">
        <f t="shared" si="74"/>
        <v>else if (document.getElementById("").checked==true) {Mobile phone="";}</v>
      </c>
      <c r="AX88" s="17" t="str">
        <f t="shared" si="111"/>
        <v/>
      </c>
      <c r="AY88" s="52" t="str">
        <f t="shared" si="75"/>
        <v/>
      </c>
      <c r="AZ88" s="56" t="str">
        <f t="shared" si="76"/>
        <v>&lt;br/&gt;&lt;textarea rows="2" cols="80" id=""&gt;&lt;/textarea&gt;&lt;br/&gt;</v>
      </c>
      <c r="BA88" s="54" t="str">
        <f t="shared" si="77"/>
        <v>&lt;input type="text"  size="7"  id="" class="datepicker"/&gt;</v>
      </c>
      <c r="BB88" s="54" t="str">
        <f t="shared" si="92"/>
        <v/>
      </c>
      <c r="BC88" s="48" t="str">
        <f t="shared" si="112"/>
        <v/>
      </c>
      <c r="BD88" s="49" t="str">
        <f t="shared" si="113"/>
        <v/>
      </c>
      <c r="BE88" s="49">
        <f t="shared" si="116"/>
        <v>7</v>
      </c>
      <c r="BF88" s="55" t="str">
        <f t="shared" si="93"/>
        <v/>
      </c>
      <c r="BG88" s="6" t="str">
        <f t="shared" si="78"/>
        <v/>
      </c>
      <c r="BH88" s="17" t="str">
        <f t="shared" si="79"/>
        <v/>
      </c>
      <c r="BI88" s="17" t="str">
        <f t="shared" si="94"/>
        <v/>
      </c>
      <c r="BJ88" s="17">
        <f t="shared" si="95"/>
        <v>0</v>
      </c>
      <c r="BK88" s="17">
        <f t="shared" si="96"/>
        <v>1</v>
      </c>
      <c r="BL88" s="17" t="str">
        <f t="shared" si="97"/>
        <v/>
      </c>
      <c r="BO88" s="17" t="str">
        <f t="shared" si="114"/>
        <v/>
      </c>
      <c r="BP88" s="17" t="str">
        <f t="shared" si="80"/>
        <v/>
      </c>
      <c r="BQ88" s="17" t="str">
        <f t="shared" si="98"/>
        <v/>
      </c>
      <c r="BR88" s="17" t="str">
        <f t="shared" si="99"/>
        <v/>
      </c>
      <c r="BS88" s="17" t="str">
        <f t="shared" si="115"/>
        <v/>
      </c>
      <c r="BT88" s="17" t="str">
        <f t="shared" si="100"/>
        <v/>
      </c>
      <c r="BU88" s="17" t="str">
        <f t="shared" si="101"/>
        <v/>
      </c>
      <c r="BV88" s="17" t="str">
        <f t="shared" si="102"/>
        <v/>
      </c>
      <c r="BW88" s="17" t="str">
        <f t="shared" si="103"/>
        <v/>
      </c>
      <c r="BX88" s="17" t="str">
        <f t="shared" si="81"/>
        <v/>
      </c>
      <c r="BY88" s="17" t="str">
        <f t="shared" si="104"/>
        <v/>
      </c>
      <c r="BZ88" s="61" t="str">
        <f t="shared" si="105"/>
        <v/>
      </c>
      <c r="CA88" s="17" t="str">
        <f t="shared" si="82"/>
        <v/>
      </c>
      <c r="CB88" s="17" t="str">
        <f t="shared" si="83"/>
        <v/>
      </c>
      <c r="CC88" s="17" t="str">
        <f t="shared" si="106"/>
        <v/>
      </c>
      <c r="CD88" s="17" t="str">
        <f t="shared" si="84"/>
        <v/>
      </c>
      <c r="CE88" s="17" t="str">
        <f t="shared" si="85"/>
        <v/>
      </c>
      <c r="CF88" s="17" t="str">
        <f t="shared" si="107"/>
        <v/>
      </c>
      <c r="CG88" s="17" t="str">
        <f t="shared" si="108"/>
        <v/>
      </c>
    </row>
    <row r="89" spans="2:85" s="17" customFormat="1" hidden="1">
      <c r="B89" s="35"/>
      <c r="C89" s="35"/>
      <c r="D89" s="36"/>
      <c r="E89" s="35"/>
      <c r="F89" s="35"/>
      <c r="G89" s="35"/>
      <c r="H89" s="35"/>
      <c r="I89" s="59"/>
      <c r="AA89" s="47" t="s">
        <v>268</v>
      </c>
      <c r="AB89" s="17" t="str">
        <f t="shared" si="61"/>
        <v/>
      </c>
      <c r="AC89" s="17">
        <f t="shared" si="86"/>
        <v>0</v>
      </c>
      <c r="AD89" s="17">
        <f t="shared" si="109"/>
        <v>6</v>
      </c>
      <c r="AE89" s="17" t="str">
        <f t="shared" si="62"/>
        <v/>
      </c>
      <c r="AF89" s="17">
        <f t="shared" si="87"/>
        <v>0</v>
      </c>
      <c r="AG89" s="17">
        <f t="shared" si="88"/>
        <v>6</v>
      </c>
      <c r="AH89" s="17" t="str">
        <f t="shared" si="89"/>
        <v/>
      </c>
      <c r="AI89" s="17" t="str">
        <f t="shared" si="63"/>
        <v/>
      </c>
      <c r="AJ89" s="17" t="str">
        <f t="shared" si="90"/>
        <v/>
      </c>
      <c r="AK89" s="17" t="str">
        <f t="shared" si="64"/>
        <v>if () {$("#adv_").html("Requierd");$("#").css({"background":"yellow"});} else {$("#adv_").html("");$("#").css({"background":"white"});}</v>
      </c>
      <c r="AL89" s="17" t="str">
        <f t="shared" si="65"/>
        <v>if (=="") {$("#adv_").html("Requierd");} else {$("#adv_").html("");}</v>
      </c>
      <c r="AM89" s="50" t="str">
        <f t="shared" si="66"/>
        <v/>
      </c>
      <c r="AN89" s="51" t="str">
        <f t="shared" si="67"/>
        <v>=$("#").val();</v>
      </c>
      <c r="AO89" s="51" t="str">
        <f t="shared" si="91"/>
        <v/>
      </c>
      <c r="AP89" s="50" t="str">
        <f t="shared" si="68"/>
        <v>&lt;input type="checkbox" id="" name="" value="1" /&gt;</v>
      </c>
      <c r="AQ89" s="51" t="str">
        <f t="shared" si="69"/>
        <v>=document.getElementById("").checked;</v>
      </c>
      <c r="AR89" s="52" t="str">
        <f t="shared" si="70"/>
        <v>if (isset($_GET[''])) {$=($_GET['']);}else $='';</v>
      </c>
      <c r="AS89" s="17" t="str">
        <f t="shared" si="71"/>
        <v>Mobile phone</v>
      </c>
      <c r="AT89" s="17" t="str">
        <f t="shared" si="110"/>
        <v/>
      </c>
      <c r="AU89" s="50" t="str">
        <f t="shared" si="72"/>
        <v>&lt;input type="radio" name="Mobile phone" id="" value="" /&gt;</v>
      </c>
      <c r="AV89" s="15" t="str">
        <f t="shared" si="73"/>
        <v>else if (document.getElementById("</v>
      </c>
      <c r="AW89" s="51" t="str">
        <f t="shared" si="74"/>
        <v>else if (document.getElementById("").checked==true) {Mobile phone="";}</v>
      </c>
      <c r="AX89" s="17" t="str">
        <f t="shared" si="111"/>
        <v/>
      </c>
      <c r="AY89" s="52" t="str">
        <f t="shared" si="75"/>
        <v/>
      </c>
      <c r="AZ89" s="56" t="str">
        <f t="shared" si="76"/>
        <v>&lt;br/&gt;&lt;textarea rows="2" cols="80" id=""&gt;&lt;/textarea&gt;&lt;br/&gt;</v>
      </c>
      <c r="BA89" s="54" t="str">
        <f t="shared" si="77"/>
        <v>&lt;input type="text"  size="7"  id="" class="datepicker"/&gt;</v>
      </c>
      <c r="BB89" s="54" t="str">
        <f t="shared" si="92"/>
        <v/>
      </c>
      <c r="BC89" s="48" t="str">
        <f t="shared" si="112"/>
        <v/>
      </c>
      <c r="BD89" s="49" t="str">
        <f t="shared" si="113"/>
        <v/>
      </c>
      <c r="BE89" s="49">
        <f t="shared" si="116"/>
        <v>7</v>
      </c>
      <c r="BF89" s="55" t="str">
        <f t="shared" si="93"/>
        <v/>
      </c>
      <c r="BG89" s="6" t="str">
        <f t="shared" si="78"/>
        <v/>
      </c>
      <c r="BH89" s="17" t="str">
        <f t="shared" si="79"/>
        <v/>
      </c>
      <c r="BI89" s="17" t="str">
        <f t="shared" si="94"/>
        <v/>
      </c>
      <c r="BJ89" s="17">
        <f t="shared" si="95"/>
        <v>0</v>
      </c>
      <c r="BK89" s="17">
        <f t="shared" si="96"/>
        <v>1</v>
      </c>
      <c r="BL89" s="17" t="str">
        <f t="shared" si="97"/>
        <v/>
      </c>
      <c r="BO89" s="17" t="str">
        <f t="shared" si="114"/>
        <v/>
      </c>
      <c r="BP89" s="17" t="str">
        <f t="shared" si="80"/>
        <v/>
      </c>
      <c r="BQ89" s="17" t="str">
        <f t="shared" si="98"/>
        <v/>
      </c>
      <c r="BR89" s="17" t="str">
        <f t="shared" si="99"/>
        <v/>
      </c>
      <c r="BS89" s="17" t="str">
        <f t="shared" si="115"/>
        <v/>
      </c>
      <c r="BT89" s="17" t="str">
        <f t="shared" si="100"/>
        <v/>
      </c>
      <c r="BU89" s="17" t="str">
        <f t="shared" si="101"/>
        <v/>
      </c>
      <c r="BV89" s="17" t="str">
        <f t="shared" si="102"/>
        <v/>
      </c>
      <c r="BW89" s="17" t="str">
        <f t="shared" si="103"/>
        <v/>
      </c>
      <c r="BX89" s="17" t="str">
        <f t="shared" si="81"/>
        <v/>
      </c>
      <c r="BY89" s="17" t="str">
        <f t="shared" si="104"/>
        <v/>
      </c>
      <c r="BZ89" s="61" t="str">
        <f t="shared" si="105"/>
        <v/>
      </c>
      <c r="CA89" s="17" t="str">
        <f t="shared" si="82"/>
        <v/>
      </c>
      <c r="CB89" s="17" t="str">
        <f t="shared" si="83"/>
        <v/>
      </c>
      <c r="CC89" s="17" t="str">
        <f t="shared" si="106"/>
        <v/>
      </c>
      <c r="CD89" s="17" t="str">
        <f t="shared" si="84"/>
        <v/>
      </c>
      <c r="CE89" s="17" t="str">
        <f t="shared" si="85"/>
        <v/>
      </c>
      <c r="CF89" s="17" t="str">
        <f t="shared" si="107"/>
        <v/>
      </c>
      <c r="CG89" s="17" t="str">
        <f t="shared" si="108"/>
        <v/>
      </c>
    </row>
    <row r="90" spans="2:85" s="17" customFormat="1" hidden="1">
      <c r="B90" s="35"/>
      <c r="C90" s="35"/>
      <c r="D90" s="36"/>
      <c r="E90" s="35"/>
      <c r="F90" s="35"/>
      <c r="G90" s="35"/>
      <c r="H90" s="35"/>
      <c r="I90" s="59"/>
      <c r="AA90" s="47" t="s">
        <v>269</v>
      </c>
      <c r="AB90" s="17" t="str">
        <f t="shared" si="61"/>
        <v/>
      </c>
      <c r="AC90" s="17">
        <f t="shared" si="86"/>
        <v>0</v>
      </c>
      <c r="AD90" s="17">
        <f t="shared" si="109"/>
        <v>6</v>
      </c>
      <c r="AE90" s="17" t="str">
        <f t="shared" si="62"/>
        <v/>
      </c>
      <c r="AF90" s="17">
        <f t="shared" si="87"/>
        <v>0</v>
      </c>
      <c r="AG90" s="17">
        <f t="shared" si="88"/>
        <v>6</v>
      </c>
      <c r="AH90" s="17" t="str">
        <f t="shared" si="89"/>
        <v/>
      </c>
      <c r="AI90" s="17" t="str">
        <f t="shared" si="63"/>
        <v/>
      </c>
      <c r="AJ90" s="17" t="str">
        <f t="shared" si="90"/>
        <v/>
      </c>
      <c r="AK90" s="17" t="str">
        <f t="shared" si="64"/>
        <v>if () {$("#adv_").html("Requierd");$("#").css({"background":"yellow"});} else {$("#adv_").html("");$("#").css({"background":"white"});}</v>
      </c>
      <c r="AL90" s="17" t="str">
        <f t="shared" si="65"/>
        <v>if (=="") {$("#adv_").html("Requierd");} else {$("#adv_").html("");}</v>
      </c>
      <c r="AM90" s="50" t="str">
        <f t="shared" si="66"/>
        <v/>
      </c>
      <c r="AN90" s="51" t="str">
        <f t="shared" si="67"/>
        <v>=$("#").val();</v>
      </c>
      <c r="AO90" s="51" t="str">
        <f t="shared" si="91"/>
        <v/>
      </c>
      <c r="AP90" s="50" t="str">
        <f t="shared" si="68"/>
        <v>&lt;input type="checkbox" id="" name="" value="1" /&gt;</v>
      </c>
      <c r="AQ90" s="51" t="str">
        <f t="shared" si="69"/>
        <v>=document.getElementById("").checked;</v>
      </c>
      <c r="AR90" s="52" t="str">
        <f t="shared" si="70"/>
        <v>if (isset($_GET[''])) {$=($_GET['']);}else $='';</v>
      </c>
      <c r="AS90" s="17" t="str">
        <f t="shared" si="71"/>
        <v>Mobile phone</v>
      </c>
      <c r="AT90" s="17" t="str">
        <f t="shared" si="110"/>
        <v/>
      </c>
      <c r="AU90" s="50" t="str">
        <f t="shared" si="72"/>
        <v>&lt;input type="radio" name="Mobile phone" id="" value="" /&gt;</v>
      </c>
      <c r="AV90" s="15" t="str">
        <f t="shared" si="73"/>
        <v>else if (document.getElementById("</v>
      </c>
      <c r="AW90" s="51" t="str">
        <f t="shared" si="74"/>
        <v>else if (document.getElementById("").checked==true) {Mobile phone="";}</v>
      </c>
      <c r="AX90" s="17" t="str">
        <f t="shared" si="111"/>
        <v/>
      </c>
      <c r="AY90" s="52" t="str">
        <f t="shared" si="75"/>
        <v/>
      </c>
      <c r="AZ90" s="56" t="str">
        <f t="shared" si="76"/>
        <v>&lt;br/&gt;&lt;textarea rows="2" cols="80" id=""&gt;&lt;/textarea&gt;&lt;br/&gt;</v>
      </c>
      <c r="BA90" s="54" t="str">
        <f t="shared" si="77"/>
        <v>&lt;input type="text"  size="7"  id="" class="datepicker"/&gt;</v>
      </c>
      <c r="BB90" s="54" t="str">
        <f t="shared" si="92"/>
        <v/>
      </c>
      <c r="BC90" s="48" t="str">
        <f t="shared" si="112"/>
        <v/>
      </c>
      <c r="BD90" s="49" t="str">
        <f t="shared" si="113"/>
        <v/>
      </c>
      <c r="BE90" s="49">
        <f t="shared" si="116"/>
        <v>7</v>
      </c>
      <c r="BF90" s="55" t="str">
        <f t="shared" si="93"/>
        <v/>
      </c>
      <c r="BG90" s="6" t="str">
        <f t="shared" si="78"/>
        <v/>
      </c>
      <c r="BH90" s="17" t="str">
        <f t="shared" si="79"/>
        <v/>
      </c>
      <c r="BI90" s="17" t="str">
        <f t="shared" si="94"/>
        <v/>
      </c>
      <c r="BJ90" s="17">
        <f t="shared" si="95"/>
        <v>0</v>
      </c>
      <c r="BK90" s="17">
        <f t="shared" si="96"/>
        <v>1</v>
      </c>
      <c r="BL90" s="17" t="str">
        <f t="shared" si="97"/>
        <v/>
      </c>
      <c r="BO90" s="17" t="str">
        <f t="shared" si="114"/>
        <v/>
      </c>
      <c r="BP90" s="17" t="str">
        <f t="shared" si="80"/>
        <v/>
      </c>
      <c r="BQ90" s="17" t="str">
        <f t="shared" si="98"/>
        <v/>
      </c>
      <c r="BR90" s="17" t="str">
        <f t="shared" si="99"/>
        <v/>
      </c>
      <c r="BS90" s="17" t="str">
        <f t="shared" si="115"/>
        <v/>
      </c>
      <c r="BT90" s="17" t="str">
        <f t="shared" si="100"/>
        <v/>
      </c>
      <c r="BU90" s="17" t="str">
        <f t="shared" si="101"/>
        <v/>
      </c>
      <c r="BV90" s="17" t="str">
        <f t="shared" si="102"/>
        <v/>
      </c>
      <c r="BW90" s="17" t="str">
        <f t="shared" si="103"/>
        <v/>
      </c>
      <c r="BX90" s="17" t="str">
        <f t="shared" si="81"/>
        <v/>
      </c>
      <c r="BY90" s="17" t="str">
        <f t="shared" si="104"/>
        <v/>
      </c>
      <c r="BZ90" s="61" t="str">
        <f t="shared" si="105"/>
        <v/>
      </c>
      <c r="CA90" s="17" t="str">
        <f t="shared" si="82"/>
        <v/>
      </c>
      <c r="CB90" s="17" t="str">
        <f t="shared" si="83"/>
        <v/>
      </c>
      <c r="CC90" s="17" t="str">
        <f t="shared" si="106"/>
        <v/>
      </c>
      <c r="CD90" s="17" t="str">
        <f t="shared" si="84"/>
        <v/>
      </c>
      <c r="CE90" s="17" t="str">
        <f t="shared" si="85"/>
        <v/>
      </c>
      <c r="CF90" s="17" t="str">
        <f t="shared" si="107"/>
        <v/>
      </c>
      <c r="CG90" s="17" t="str">
        <f t="shared" si="108"/>
        <v/>
      </c>
    </row>
    <row r="91" spans="2:85" s="17" customFormat="1" hidden="1">
      <c r="B91" s="35"/>
      <c r="C91" s="35"/>
      <c r="D91" s="36"/>
      <c r="E91" s="35"/>
      <c r="F91" s="35"/>
      <c r="G91" s="35"/>
      <c r="H91" s="35"/>
      <c r="I91" s="59"/>
      <c r="AA91" s="47" t="s">
        <v>270</v>
      </c>
      <c r="AB91" s="17" t="str">
        <f t="shared" si="61"/>
        <v/>
      </c>
      <c r="AC91" s="17">
        <f t="shared" si="86"/>
        <v>0</v>
      </c>
      <c r="AD91" s="17">
        <f t="shared" si="109"/>
        <v>6</v>
      </c>
      <c r="AE91" s="17" t="str">
        <f t="shared" si="62"/>
        <v/>
      </c>
      <c r="AF91" s="17">
        <f t="shared" si="87"/>
        <v>0</v>
      </c>
      <c r="AG91" s="17">
        <f t="shared" si="88"/>
        <v>6</v>
      </c>
      <c r="AH91" s="17" t="str">
        <f t="shared" si="89"/>
        <v/>
      </c>
      <c r="AI91" s="17" t="str">
        <f t="shared" si="63"/>
        <v/>
      </c>
      <c r="AJ91" s="17" t="str">
        <f t="shared" si="90"/>
        <v/>
      </c>
      <c r="AK91" s="17" t="str">
        <f t="shared" si="64"/>
        <v>if () {$("#adv_").html("Requierd");$("#").css({"background":"yellow"});} else {$("#adv_").html("");$("#").css({"background":"white"});}</v>
      </c>
      <c r="AL91" s="17" t="str">
        <f t="shared" si="65"/>
        <v>if (=="") {$("#adv_").html("Requierd");} else {$("#adv_").html("");}</v>
      </c>
      <c r="AM91" s="50" t="str">
        <f t="shared" si="66"/>
        <v/>
      </c>
      <c r="AN91" s="51" t="str">
        <f t="shared" si="67"/>
        <v>=$("#").val();</v>
      </c>
      <c r="AO91" s="51" t="str">
        <f t="shared" si="91"/>
        <v/>
      </c>
      <c r="AP91" s="50" t="str">
        <f t="shared" si="68"/>
        <v>&lt;input type="checkbox" id="" name="" value="1" /&gt;</v>
      </c>
      <c r="AQ91" s="51" t="str">
        <f t="shared" si="69"/>
        <v>=document.getElementById("").checked;</v>
      </c>
      <c r="AR91" s="52" t="str">
        <f t="shared" si="70"/>
        <v>if (isset($_GET[''])) {$=($_GET['']);}else $='';</v>
      </c>
      <c r="AS91" s="17" t="str">
        <f t="shared" si="71"/>
        <v>Mobile phone</v>
      </c>
      <c r="AT91" s="17" t="str">
        <f t="shared" si="110"/>
        <v/>
      </c>
      <c r="AU91" s="50" t="str">
        <f t="shared" si="72"/>
        <v>&lt;input type="radio" name="Mobile phone" id="" value="" /&gt;</v>
      </c>
      <c r="AV91" s="15" t="str">
        <f t="shared" si="73"/>
        <v>else if (document.getElementById("</v>
      </c>
      <c r="AW91" s="51" t="str">
        <f t="shared" si="74"/>
        <v>else if (document.getElementById("").checked==true) {Mobile phone="";}</v>
      </c>
      <c r="AX91" s="17" t="str">
        <f t="shared" si="111"/>
        <v/>
      </c>
      <c r="AY91" s="52" t="str">
        <f t="shared" si="75"/>
        <v/>
      </c>
      <c r="AZ91" s="56" t="str">
        <f t="shared" si="76"/>
        <v>&lt;br/&gt;&lt;textarea rows="2" cols="80" id=""&gt;&lt;/textarea&gt;&lt;br/&gt;</v>
      </c>
      <c r="BA91" s="54" t="str">
        <f t="shared" si="77"/>
        <v>&lt;input type="text"  size="7"  id="" class="datepicker"/&gt;</v>
      </c>
      <c r="BB91" s="54" t="str">
        <f t="shared" si="92"/>
        <v/>
      </c>
      <c r="BC91" s="48" t="str">
        <f t="shared" si="112"/>
        <v/>
      </c>
      <c r="BD91" s="49" t="str">
        <f t="shared" si="113"/>
        <v/>
      </c>
      <c r="BE91" s="49">
        <f t="shared" si="116"/>
        <v>7</v>
      </c>
      <c r="BF91" s="55" t="str">
        <f t="shared" si="93"/>
        <v/>
      </c>
      <c r="BG91" s="6" t="str">
        <f t="shared" si="78"/>
        <v/>
      </c>
      <c r="BH91" s="17" t="str">
        <f t="shared" si="79"/>
        <v/>
      </c>
      <c r="BI91" s="17" t="str">
        <f t="shared" si="94"/>
        <v/>
      </c>
      <c r="BJ91" s="17">
        <f t="shared" si="95"/>
        <v>0</v>
      </c>
      <c r="BK91" s="17">
        <f t="shared" si="96"/>
        <v>1</v>
      </c>
      <c r="BL91" s="17" t="str">
        <f t="shared" si="97"/>
        <v/>
      </c>
      <c r="BO91" s="17" t="str">
        <f t="shared" si="114"/>
        <v/>
      </c>
      <c r="BP91" s="17" t="str">
        <f t="shared" si="80"/>
        <v/>
      </c>
      <c r="BQ91" s="17" t="str">
        <f t="shared" si="98"/>
        <v/>
      </c>
      <c r="BR91" s="17" t="str">
        <f t="shared" si="99"/>
        <v/>
      </c>
      <c r="BS91" s="17" t="str">
        <f t="shared" si="115"/>
        <v/>
      </c>
      <c r="BT91" s="17" t="str">
        <f t="shared" si="100"/>
        <v/>
      </c>
      <c r="BU91" s="17" t="str">
        <f t="shared" si="101"/>
        <v/>
      </c>
      <c r="BV91" s="17" t="str">
        <f t="shared" si="102"/>
        <v/>
      </c>
      <c r="BW91" s="17" t="str">
        <f t="shared" si="103"/>
        <v/>
      </c>
      <c r="BX91" s="17" t="str">
        <f t="shared" si="81"/>
        <v/>
      </c>
      <c r="BY91" s="17" t="str">
        <f t="shared" si="104"/>
        <v/>
      </c>
      <c r="BZ91" s="61" t="str">
        <f t="shared" si="105"/>
        <v/>
      </c>
      <c r="CA91" s="17" t="str">
        <f t="shared" si="82"/>
        <v/>
      </c>
      <c r="CB91" s="17" t="str">
        <f t="shared" si="83"/>
        <v/>
      </c>
      <c r="CC91" s="17" t="str">
        <f t="shared" si="106"/>
        <v/>
      </c>
      <c r="CD91" s="17" t="str">
        <f t="shared" si="84"/>
        <v/>
      </c>
      <c r="CE91" s="17" t="str">
        <f t="shared" si="85"/>
        <v/>
      </c>
      <c r="CF91" s="17" t="str">
        <f t="shared" si="107"/>
        <v/>
      </c>
      <c r="CG91" s="17" t="str">
        <f t="shared" si="108"/>
        <v/>
      </c>
    </row>
    <row r="92" spans="2:85" s="17" customFormat="1" hidden="1">
      <c r="B92" s="35"/>
      <c r="C92" s="35"/>
      <c r="D92" s="36"/>
      <c r="E92" s="35"/>
      <c r="F92" s="35"/>
      <c r="G92" s="35"/>
      <c r="H92" s="35"/>
      <c r="I92" s="59"/>
      <c r="AA92" s="47" t="s">
        <v>271</v>
      </c>
      <c r="AB92" s="17" t="str">
        <f t="shared" si="61"/>
        <v/>
      </c>
      <c r="AC92" s="17">
        <f t="shared" si="86"/>
        <v>0</v>
      </c>
      <c r="AD92" s="17">
        <f t="shared" si="109"/>
        <v>6</v>
      </c>
      <c r="AE92" s="17" t="str">
        <f t="shared" si="62"/>
        <v/>
      </c>
      <c r="AF92" s="17">
        <f t="shared" si="87"/>
        <v>0</v>
      </c>
      <c r="AG92" s="17">
        <f t="shared" si="88"/>
        <v>6</v>
      </c>
      <c r="AH92" s="17" t="str">
        <f t="shared" si="89"/>
        <v/>
      </c>
      <c r="AI92" s="17" t="str">
        <f t="shared" si="63"/>
        <v/>
      </c>
      <c r="AJ92" s="17" t="str">
        <f t="shared" si="90"/>
        <v/>
      </c>
      <c r="AK92" s="17" t="str">
        <f t="shared" si="64"/>
        <v>if () {$("#adv_").html("Requierd");$("#").css({"background":"yellow"});} else {$("#adv_").html("");$("#").css({"background":"white"});}</v>
      </c>
      <c r="AL92" s="17" t="str">
        <f t="shared" si="65"/>
        <v>if (=="") {$("#adv_").html("Requierd");} else {$("#adv_").html("");}</v>
      </c>
      <c r="AM92" s="50" t="str">
        <f t="shared" si="66"/>
        <v/>
      </c>
      <c r="AN92" s="51" t="str">
        <f t="shared" si="67"/>
        <v>=$("#").val();</v>
      </c>
      <c r="AO92" s="51" t="str">
        <f t="shared" si="91"/>
        <v/>
      </c>
      <c r="AP92" s="50" t="str">
        <f t="shared" si="68"/>
        <v>&lt;input type="checkbox" id="" name="" value="1" /&gt;</v>
      </c>
      <c r="AQ92" s="51" t="str">
        <f t="shared" si="69"/>
        <v>=document.getElementById("").checked;</v>
      </c>
      <c r="AR92" s="52" t="str">
        <f t="shared" si="70"/>
        <v>if (isset($_GET[''])) {$=($_GET['']);}else $='';</v>
      </c>
      <c r="AS92" s="17" t="str">
        <f t="shared" si="71"/>
        <v>Mobile phone</v>
      </c>
      <c r="AT92" s="17" t="str">
        <f t="shared" si="110"/>
        <v/>
      </c>
      <c r="AU92" s="50" t="str">
        <f t="shared" si="72"/>
        <v>&lt;input type="radio" name="Mobile phone" id="" value="" /&gt;</v>
      </c>
      <c r="AV92" s="15" t="str">
        <f t="shared" si="73"/>
        <v>else if (document.getElementById("</v>
      </c>
      <c r="AW92" s="51" t="str">
        <f t="shared" si="74"/>
        <v>else if (document.getElementById("").checked==true) {Mobile phone="";}</v>
      </c>
      <c r="AX92" s="17" t="str">
        <f t="shared" si="111"/>
        <v/>
      </c>
      <c r="AY92" s="52" t="str">
        <f t="shared" si="75"/>
        <v/>
      </c>
      <c r="AZ92" s="56" t="str">
        <f t="shared" si="76"/>
        <v>&lt;br/&gt;&lt;textarea rows="2" cols="80" id=""&gt;&lt;/textarea&gt;&lt;br/&gt;</v>
      </c>
      <c r="BA92" s="54" t="str">
        <f t="shared" si="77"/>
        <v>&lt;input type="text"  size="7"  id="" class="datepicker"/&gt;</v>
      </c>
      <c r="BB92" s="54" t="str">
        <f t="shared" si="92"/>
        <v/>
      </c>
      <c r="BC92" s="48" t="str">
        <f t="shared" si="112"/>
        <v/>
      </c>
      <c r="BD92" s="49" t="str">
        <f t="shared" si="113"/>
        <v/>
      </c>
      <c r="BE92" s="49">
        <f t="shared" si="116"/>
        <v>7</v>
      </c>
      <c r="BF92" s="55" t="str">
        <f t="shared" si="93"/>
        <v/>
      </c>
      <c r="BG92" s="6" t="str">
        <f t="shared" si="78"/>
        <v/>
      </c>
      <c r="BH92" s="17" t="str">
        <f t="shared" si="79"/>
        <v/>
      </c>
      <c r="BI92" s="17" t="str">
        <f t="shared" si="94"/>
        <v/>
      </c>
      <c r="BJ92" s="17">
        <f t="shared" si="95"/>
        <v>0</v>
      </c>
      <c r="BK92" s="17">
        <f t="shared" si="96"/>
        <v>1</v>
      </c>
      <c r="BL92" s="17" t="str">
        <f t="shared" si="97"/>
        <v/>
      </c>
      <c r="BO92" s="17" t="str">
        <f t="shared" si="114"/>
        <v/>
      </c>
      <c r="BP92" s="17" t="str">
        <f t="shared" si="80"/>
        <v/>
      </c>
      <c r="BQ92" s="17" t="str">
        <f t="shared" si="98"/>
        <v/>
      </c>
      <c r="BR92" s="17" t="str">
        <f t="shared" si="99"/>
        <v/>
      </c>
      <c r="BS92" s="17" t="str">
        <f t="shared" si="115"/>
        <v/>
      </c>
      <c r="BT92" s="17" t="str">
        <f t="shared" si="100"/>
        <v/>
      </c>
      <c r="BU92" s="17" t="str">
        <f t="shared" si="101"/>
        <v/>
      </c>
      <c r="BV92" s="17" t="str">
        <f t="shared" si="102"/>
        <v/>
      </c>
      <c r="BW92" s="17" t="str">
        <f t="shared" si="103"/>
        <v/>
      </c>
      <c r="BX92" s="17" t="str">
        <f t="shared" si="81"/>
        <v/>
      </c>
      <c r="BY92" s="17" t="str">
        <f t="shared" si="104"/>
        <v/>
      </c>
      <c r="BZ92" s="61" t="str">
        <f t="shared" si="105"/>
        <v/>
      </c>
      <c r="CA92" s="17" t="str">
        <f t="shared" si="82"/>
        <v/>
      </c>
      <c r="CB92" s="17" t="str">
        <f t="shared" si="83"/>
        <v/>
      </c>
      <c r="CC92" s="17" t="str">
        <f t="shared" si="106"/>
        <v/>
      </c>
      <c r="CD92" s="17" t="str">
        <f t="shared" si="84"/>
        <v/>
      </c>
      <c r="CE92" s="17" t="str">
        <f t="shared" si="85"/>
        <v/>
      </c>
      <c r="CF92" s="17" t="str">
        <f t="shared" si="107"/>
        <v/>
      </c>
      <c r="CG92" s="17" t="str">
        <f t="shared" si="108"/>
        <v/>
      </c>
    </row>
    <row r="93" spans="2:85" s="17" customFormat="1" hidden="1">
      <c r="B93" s="35"/>
      <c r="C93" s="35"/>
      <c r="D93" s="36"/>
      <c r="E93" s="35"/>
      <c r="F93" s="35"/>
      <c r="G93" s="35"/>
      <c r="H93" s="35"/>
      <c r="I93" s="59"/>
      <c r="AA93" s="47" t="s">
        <v>272</v>
      </c>
      <c r="AB93" s="17" t="str">
        <f t="shared" si="61"/>
        <v/>
      </c>
      <c r="AC93" s="17">
        <f t="shared" si="86"/>
        <v>0</v>
      </c>
      <c r="AD93" s="17">
        <f t="shared" si="109"/>
        <v>6</v>
      </c>
      <c r="AE93" s="17" t="str">
        <f t="shared" si="62"/>
        <v/>
      </c>
      <c r="AF93" s="17">
        <f t="shared" si="87"/>
        <v>0</v>
      </c>
      <c r="AG93" s="17">
        <f t="shared" si="88"/>
        <v>6</v>
      </c>
      <c r="AH93" s="17" t="str">
        <f t="shared" si="89"/>
        <v/>
      </c>
      <c r="AI93" s="17" t="str">
        <f t="shared" si="63"/>
        <v/>
      </c>
      <c r="AJ93" s="17" t="str">
        <f t="shared" si="90"/>
        <v/>
      </c>
      <c r="AK93" s="17" t="str">
        <f t="shared" si="64"/>
        <v>if () {$("#adv_").html("Requierd");$("#").css({"background":"yellow"});} else {$("#adv_").html("");$("#").css({"background":"white"});}</v>
      </c>
      <c r="AL93" s="17" t="str">
        <f t="shared" si="65"/>
        <v>if (=="") {$("#adv_").html("Requierd");} else {$("#adv_").html("");}</v>
      </c>
      <c r="AM93" s="50" t="str">
        <f t="shared" si="66"/>
        <v/>
      </c>
      <c r="AN93" s="51" t="str">
        <f t="shared" si="67"/>
        <v>=$("#").val();</v>
      </c>
      <c r="AO93" s="51" t="str">
        <f t="shared" si="91"/>
        <v/>
      </c>
      <c r="AP93" s="50" t="str">
        <f t="shared" si="68"/>
        <v>&lt;input type="checkbox" id="" name="" value="1" /&gt;</v>
      </c>
      <c r="AQ93" s="51" t="str">
        <f t="shared" si="69"/>
        <v>=document.getElementById("").checked;</v>
      </c>
      <c r="AR93" s="52" t="str">
        <f t="shared" si="70"/>
        <v>if (isset($_GET[''])) {$=($_GET['']);}else $='';</v>
      </c>
      <c r="AS93" s="17" t="str">
        <f t="shared" si="71"/>
        <v>Mobile phone</v>
      </c>
      <c r="AT93" s="17" t="str">
        <f t="shared" si="110"/>
        <v/>
      </c>
      <c r="AU93" s="50" t="str">
        <f t="shared" si="72"/>
        <v>&lt;input type="radio" name="Mobile phone" id="" value="" /&gt;</v>
      </c>
      <c r="AV93" s="15" t="str">
        <f t="shared" si="73"/>
        <v>else if (document.getElementById("</v>
      </c>
      <c r="AW93" s="51" t="str">
        <f t="shared" si="74"/>
        <v>else if (document.getElementById("").checked==true) {Mobile phone="";}</v>
      </c>
      <c r="AX93" s="17" t="str">
        <f t="shared" si="111"/>
        <v/>
      </c>
      <c r="AY93" s="52" t="str">
        <f t="shared" si="75"/>
        <v/>
      </c>
      <c r="AZ93" s="56" t="str">
        <f t="shared" si="76"/>
        <v>&lt;br/&gt;&lt;textarea rows="2" cols="80" id=""&gt;&lt;/textarea&gt;&lt;br/&gt;</v>
      </c>
      <c r="BA93" s="54" t="str">
        <f t="shared" si="77"/>
        <v>&lt;input type="text"  size="7"  id="" class="datepicker"/&gt;</v>
      </c>
      <c r="BB93" s="54" t="str">
        <f t="shared" si="92"/>
        <v/>
      </c>
      <c r="BC93" s="48" t="str">
        <f t="shared" si="112"/>
        <v/>
      </c>
      <c r="BD93" s="49" t="str">
        <f t="shared" si="113"/>
        <v/>
      </c>
      <c r="BE93" s="49">
        <f t="shared" si="116"/>
        <v>7</v>
      </c>
      <c r="BF93" s="55" t="str">
        <f t="shared" si="93"/>
        <v/>
      </c>
      <c r="BG93" s="6" t="str">
        <f t="shared" si="78"/>
        <v/>
      </c>
      <c r="BH93" s="17" t="str">
        <f t="shared" si="79"/>
        <v/>
      </c>
      <c r="BI93" s="17" t="str">
        <f t="shared" si="94"/>
        <v/>
      </c>
      <c r="BJ93" s="17">
        <f t="shared" si="95"/>
        <v>0</v>
      </c>
      <c r="BK93" s="17">
        <f t="shared" si="96"/>
        <v>1</v>
      </c>
      <c r="BL93" s="17" t="str">
        <f t="shared" si="97"/>
        <v/>
      </c>
      <c r="BO93" s="17" t="str">
        <f t="shared" si="114"/>
        <v/>
      </c>
      <c r="BP93" s="17" t="str">
        <f t="shared" si="80"/>
        <v/>
      </c>
      <c r="BQ93" s="17" t="str">
        <f t="shared" si="98"/>
        <v/>
      </c>
      <c r="BR93" s="17" t="str">
        <f t="shared" si="99"/>
        <v/>
      </c>
      <c r="BS93" s="17" t="str">
        <f t="shared" si="115"/>
        <v/>
      </c>
      <c r="BT93" s="17" t="str">
        <f t="shared" si="100"/>
        <v/>
      </c>
      <c r="BU93" s="17" t="str">
        <f t="shared" si="101"/>
        <v/>
      </c>
      <c r="BV93" s="17" t="str">
        <f t="shared" si="102"/>
        <v/>
      </c>
      <c r="BW93" s="17" t="str">
        <f t="shared" si="103"/>
        <v/>
      </c>
      <c r="BX93" s="17" t="str">
        <f t="shared" si="81"/>
        <v/>
      </c>
      <c r="BY93" s="17" t="str">
        <f t="shared" si="104"/>
        <v/>
      </c>
      <c r="BZ93" s="61" t="str">
        <f t="shared" si="105"/>
        <v/>
      </c>
      <c r="CA93" s="17" t="str">
        <f t="shared" si="82"/>
        <v/>
      </c>
      <c r="CB93" s="17" t="str">
        <f t="shared" si="83"/>
        <v/>
      </c>
      <c r="CC93" s="17" t="str">
        <f t="shared" si="106"/>
        <v/>
      </c>
      <c r="CD93" s="17" t="str">
        <f t="shared" si="84"/>
        <v/>
      </c>
      <c r="CE93" s="17" t="str">
        <f t="shared" si="85"/>
        <v/>
      </c>
      <c r="CF93" s="17" t="str">
        <f t="shared" si="107"/>
        <v/>
      </c>
      <c r="CG93" s="17" t="str">
        <f t="shared" si="108"/>
        <v/>
      </c>
    </row>
    <row r="94" spans="2:85" s="17" customFormat="1" hidden="1">
      <c r="B94" s="35"/>
      <c r="C94" s="35"/>
      <c r="D94" s="36"/>
      <c r="E94" s="35"/>
      <c r="F94" s="35"/>
      <c r="G94" s="35"/>
      <c r="H94" s="35"/>
      <c r="I94" s="59"/>
      <c r="AA94" s="47" t="s">
        <v>273</v>
      </c>
      <c r="AB94" s="17" t="str">
        <f t="shared" si="61"/>
        <v/>
      </c>
      <c r="AC94" s="17">
        <f t="shared" si="86"/>
        <v>0</v>
      </c>
      <c r="AD94" s="17">
        <f t="shared" si="109"/>
        <v>6</v>
      </c>
      <c r="AE94" s="17" t="str">
        <f t="shared" si="62"/>
        <v/>
      </c>
      <c r="AF94" s="17">
        <f t="shared" si="87"/>
        <v>0</v>
      </c>
      <c r="AG94" s="17">
        <f t="shared" si="88"/>
        <v>6</v>
      </c>
      <c r="AH94" s="17" t="str">
        <f t="shared" si="89"/>
        <v/>
      </c>
      <c r="AI94" s="17" t="str">
        <f t="shared" si="63"/>
        <v/>
      </c>
      <c r="AJ94" s="17" t="str">
        <f t="shared" si="90"/>
        <v/>
      </c>
      <c r="AK94" s="17" t="str">
        <f t="shared" si="64"/>
        <v>if () {$("#adv_").html("Requierd");$("#").css({"background":"yellow"});} else {$("#adv_").html("");$("#").css({"background":"white"});}</v>
      </c>
      <c r="AL94" s="17" t="str">
        <f t="shared" si="65"/>
        <v>if (=="") {$("#adv_").html("Requierd");} else {$("#adv_").html("");}</v>
      </c>
      <c r="AM94" s="50" t="str">
        <f t="shared" si="66"/>
        <v/>
      </c>
      <c r="AN94" s="51" t="str">
        <f t="shared" si="67"/>
        <v>=$("#").val();</v>
      </c>
      <c r="AO94" s="51" t="str">
        <f t="shared" si="91"/>
        <v/>
      </c>
      <c r="AP94" s="50" t="str">
        <f t="shared" si="68"/>
        <v>&lt;input type="checkbox" id="" name="" value="1" /&gt;</v>
      </c>
      <c r="AQ94" s="51" t="str">
        <f t="shared" si="69"/>
        <v>=document.getElementById("").checked;</v>
      </c>
      <c r="AR94" s="52" t="str">
        <f t="shared" si="70"/>
        <v>if (isset($_GET[''])) {$=($_GET['']);}else $='';</v>
      </c>
      <c r="AS94" s="17" t="str">
        <f t="shared" si="71"/>
        <v>Mobile phone</v>
      </c>
      <c r="AT94" s="17" t="str">
        <f t="shared" si="110"/>
        <v/>
      </c>
      <c r="AU94" s="50" t="str">
        <f t="shared" si="72"/>
        <v>&lt;input type="radio" name="Mobile phone" id="" value="" /&gt;</v>
      </c>
      <c r="AV94" s="15" t="str">
        <f t="shared" si="73"/>
        <v>else if (document.getElementById("</v>
      </c>
      <c r="AW94" s="51" t="str">
        <f t="shared" si="74"/>
        <v>else if (document.getElementById("").checked==true) {Mobile phone="";}</v>
      </c>
      <c r="AX94" s="17" t="str">
        <f t="shared" si="111"/>
        <v/>
      </c>
      <c r="AY94" s="52" t="str">
        <f t="shared" si="75"/>
        <v/>
      </c>
      <c r="AZ94" s="56" t="str">
        <f t="shared" si="76"/>
        <v>&lt;br/&gt;&lt;textarea rows="2" cols="80" id=""&gt;&lt;/textarea&gt;&lt;br/&gt;</v>
      </c>
      <c r="BA94" s="54" t="str">
        <f t="shared" si="77"/>
        <v>&lt;input type="text"  size="7"  id="" class="datepicker"/&gt;</v>
      </c>
      <c r="BB94" s="54" t="str">
        <f t="shared" si="92"/>
        <v/>
      </c>
      <c r="BC94" s="48" t="str">
        <f t="shared" si="112"/>
        <v/>
      </c>
      <c r="BD94" s="49" t="str">
        <f t="shared" si="113"/>
        <v/>
      </c>
      <c r="BE94" s="49">
        <f t="shared" si="116"/>
        <v>7</v>
      </c>
      <c r="BF94" s="55" t="str">
        <f t="shared" si="93"/>
        <v/>
      </c>
      <c r="BG94" s="6" t="str">
        <f t="shared" si="78"/>
        <v/>
      </c>
      <c r="BH94" s="17" t="str">
        <f t="shared" si="79"/>
        <v/>
      </c>
      <c r="BI94" s="17" t="str">
        <f t="shared" si="94"/>
        <v/>
      </c>
      <c r="BJ94" s="17">
        <f t="shared" si="95"/>
        <v>0</v>
      </c>
      <c r="BK94" s="17">
        <f t="shared" si="96"/>
        <v>1</v>
      </c>
      <c r="BL94" s="17" t="str">
        <f t="shared" si="97"/>
        <v/>
      </c>
      <c r="BO94" s="17" t="str">
        <f t="shared" si="114"/>
        <v/>
      </c>
      <c r="BP94" s="17" t="str">
        <f t="shared" si="80"/>
        <v/>
      </c>
      <c r="BQ94" s="17" t="str">
        <f t="shared" si="98"/>
        <v/>
      </c>
      <c r="BR94" s="17" t="str">
        <f t="shared" si="99"/>
        <v/>
      </c>
      <c r="BS94" s="17" t="str">
        <f t="shared" si="115"/>
        <v/>
      </c>
      <c r="BT94" s="17" t="str">
        <f t="shared" si="100"/>
        <v/>
      </c>
      <c r="BU94" s="17" t="str">
        <f t="shared" si="101"/>
        <v/>
      </c>
      <c r="BV94" s="17" t="str">
        <f t="shared" si="102"/>
        <v/>
      </c>
      <c r="BW94" s="17" t="str">
        <f t="shared" si="103"/>
        <v/>
      </c>
      <c r="BX94" s="17" t="str">
        <f t="shared" si="81"/>
        <v/>
      </c>
      <c r="BY94" s="17" t="str">
        <f t="shared" si="104"/>
        <v/>
      </c>
      <c r="BZ94" s="61" t="str">
        <f t="shared" si="105"/>
        <v/>
      </c>
      <c r="CA94" s="17" t="str">
        <f t="shared" si="82"/>
        <v/>
      </c>
      <c r="CB94" s="17" t="str">
        <f t="shared" si="83"/>
        <v/>
      </c>
      <c r="CC94" s="17" t="str">
        <f t="shared" si="106"/>
        <v/>
      </c>
      <c r="CD94" s="17" t="str">
        <f t="shared" si="84"/>
        <v/>
      </c>
      <c r="CE94" s="17" t="str">
        <f t="shared" si="85"/>
        <v/>
      </c>
      <c r="CF94" s="17" t="str">
        <f t="shared" si="107"/>
        <v/>
      </c>
      <c r="CG94" s="17" t="str">
        <f t="shared" si="108"/>
        <v/>
      </c>
    </row>
    <row r="95" spans="2:85" s="17" customFormat="1" hidden="1">
      <c r="B95" s="35"/>
      <c r="C95" s="35"/>
      <c r="D95" s="36"/>
      <c r="E95" s="35"/>
      <c r="F95" s="35"/>
      <c r="G95" s="35"/>
      <c r="H95" s="35"/>
      <c r="I95" s="59"/>
      <c r="AA95" s="47" t="s">
        <v>274</v>
      </c>
      <c r="AB95" s="17" t="str">
        <f t="shared" si="61"/>
        <v/>
      </c>
      <c r="AC95" s="17">
        <f t="shared" si="86"/>
        <v>0</v>
      </c>
      <c r="AD95" s="17">
        <f t="shared" si="109"/>
        <v>6</v>
      </c>
      <c r="AE95" s="17" t="str">
        <f t="shared" si="62"/>
        <v/>
      </c>
      <c r="AF95" s="17">
        <f t="shared" si="87"/>
        <v>0</v>
      </c>
      <c r="AG95" s="17">
        <f t="shared" si="88"/>
        <v>6</v>
      </c>
      <c r="AH95" s="17" t="str">
        <f t="shared" si="89"/>
        <v/>
      </c>
      <c r="AI95" s="17" t="str">
        <f t="shared" si="63"/>
        <v/>
      </c>
      <c r="AJ95" s="17" t="str">
        <f t="shared" si="90"/>
        <v/>
      </c>
      <c r="AK95" s="17" t="str">
        <f t="shared" si="64"/>
        <v>if () {$("#adv_").html("Requierd");$("#").css({"background":"yellow"});} else {$("#adv_").html("");$("#").css({"background":"white"});}</v>
      </c>
      <c r="AL95" s="17" t="str">
        <f t="shared" si="65"/>
        <v>if (=="") {$("#adv_").html("Requierd");} else {$("#adv_").html("");}</v>
      </c>
      <c r="AM95" s="50" t="str">
        <f t="shared" si="66"/>
        <v/>
      </c>
      <c r="AN95" s="51" t="str">
        <f t="shared" si="67"/>
        <v>=$("#").val();</v>
      </c>
      <c r="AO95" s="51" t="str">
        <f t="shared" si="91"/>
        <v/>
      </c>
      <c r="AP95" s="50" t="str">
        <f t="shared" si="68"/>
        <v>&lt;input type="checkbox" id="" name="" value="1" /&gt;</v>
      </c>
      <c r="AQ95" s="51" t="str">
        <f t="shared" si="69"/>
        <v>=document.getElementById("").checked;</v>
      </c>
      <c r="AR95" s="52" t="str">
        <f t="shared" si="70"/>
        <v>if (isset($_GET[''])) {$=($_GET['']);}else $='';</v>
      </c>
      <c r="AS95" s="17" t="str">
        <f t="shared" si="71"/>
        <v>Mobile phone</v>
      </c>
      <c r="AT95" s="17" t="str">
        <f t="shared" si="110"/>
        <v/>
      </c>
      <c r="AU95" s="50" t="str">
        <f t="shared" si="72"/>
        <v>&lt;input type="radio" name="Mobile phone" id="" value="" /&gt;</v>
      </c>
      <c r="AV95" s="15" t="str">
        <f t="shared" si="73"/>
        <v>else if (document.getElementById("</v>
      </c>
      <c r="AW95" s="51" t="str">
        <f t="shared" si="74"/>
        <v>else if (document.getElementById("").checked==true) {Mobile phone="";}</v>
      </c>
      <c r="AX95" s="17" t="str">
        <f t="shared" si="111"/>
        <v/>
      </c>
      <c r="AY95" s="52" t="str">
        <f t="shared" si="75"/>
        <v/>
      </c>
      <c r="AZ95" s="56" t="str">
        <f t="shared" si="76"/>
        <v>&lt;br/&gt;&lt;textarea rows="2" cols="80" id=""&gt;&lt;/textarea&gt;&lt;br/&gt;</v>
      </c>
      <c r="BA95" s="54" t="str">
        <f t="shared" si="77"/>
        <v>&lt;input type="text"  size="7"  id="" class="datepicker"/&gt;</v>
      </c>
      <c r="BB95" s="54" t="str">
        <f t="shared" si="92"/>
        <v/>
      </c>
      <c r="BC95" s="48" t="str">
        <f t="shared" si="112"/>
        <v/>
      </c>
      <c r="BD95" s="49" t="str">
        <f t="shared" si="113"/>
        <v/>
      </c>
      <c r="BE95" s="49">
        <f t="shared" si="116"/>
        <v>7</v>
      </c>
      <c r="BF95" s="55" t="str">
        <f t="shared" si="93"/>
        <v/>
      </c>
      <c r="BG95" s="6" t="str">
        <f t="shared" si="78"/>
        <v/>
      </c>
      <c r="BH95" s="17" t="str">
        <f t="shared" si="79"/>
        <v/>
      </c>
      <c r="BI95" s="17" t="str">
        <f t="shared" si="94"/>
        <v/>
      </c>
      <c r="BJ95" s="17">
        <f t="shared" si="95"/>
        <v>0</v>
      </c>
      <c r="BK95" s="17">
        <f t="shared" si="96"/>
        <v>1</v>
      </c>
      <c r="BL95" s="17" t="str">
        <f t="shared" si="97"/>
        <v/>
      </c>
      <c r="BO95" s="17" t="str">
        <f t="shared" si="114"/>
        <v/>
      </c>
      <c r="BP95" s="17" t="str">
        <f t="shared" si="80"/>
        <v/>
      </c>
      <c r="BQ95" s="17" t="str">
        <f t="shared" si="98"/>
        <v/>
      </c>
      <c r="BR95" s="17" t="str">
        <f t="shared" si="99"/>
        <v/>
      </c>
      <c r="BS95" s="17" t="str">
        <f t="shared" si="115"/>
        <v/>
      </c>
      <c r="BT95" s="17" t="str">
        <f t="shared" si="100"/>
        <v/>
      </c>
      <c r="BU95" s="17" t="str">
        <f t="shared" si="101"/>
        <v/>
      </c>
      <c r="BV95" s="17" t="str">
        <f t="shared" si="102"/>
        <v/>
      </c>
      <c r="BW95" s="17" t="str">
        <f t="shared" si="103"/>
        <v/>
      </c>
      <c r="BX95" s="17" t="str">
        <f t="shared" si="81"/>
        <v/>
      </c>
      <c r="BY95" s="17" t="str">
        <f t="shared" si="104"/>
        <v/>
      </c>
      <c r="BZ95" s="61" t="str">
        <f t="shared" si="105"/>
        <v/>
      </c>
      <c r="CA95" s="17" t="str">
        <f t="shared" si="82"/>
        <v/>
      </c>
      <c r="CB95" s="17" t="str">
        <f t="shared" si="83"/>
        <v/>
      </c>
      <c r="CC95" s="17" t="str">
        <f t="shared" si="106"/>
        <v/>
      </c>
      <c r="CD95" s="17" t="str">
        <f t="shared" si="84"/>
        <v/>
      </c>
      <c r="CE95" s="17" t="str">
        <f t="shared" si="85"/>
        <v/>
      </c>
      <c r="CF95" s="17" t="str">
        <f t="shared" si="107"/>
        <v/>
      </c>
      <c r="CG95" s="17" t="str">
        <f t="shared" si="108"/>
        <v/>
      </c>
    </row>
    <row r="96" spans="2:85" s="17" customFormat="1" hidden="1">
      <c r="B96" s="35"/>
      <c r="C96" s="35"/>
      <c r="D96" s="36"/>
      <c r="E96" s="35"/>
      <c r="F96" s="35"/>
      <c r="G96" s="35"/>
      <c r="H96" s="35"/>
      <c r="I96" s="59"/>
      <c r="AA96" s="47" t="s">
        <v>275</v>
      </c>
      <c r="AB96" s="17" t="str">
        <f t="shared" si="61"/>
        <v/>
      </c>
      <c r="AC96" s="17">
        <f t="shared" si="86"/>
        <v>0</v>
      </c>
      <c r="AD96" s="17">
        <f t="shared" si="109"/>
        <v>6</v>
      </c>
      <c r="AE96" s="17" t="str">
        <f t="shared" si="62"/>
        <v/>
      </c>
      <c r="AF96" s="17">
        <f t="shared" si="87"/>
        <v>0</v>
      </c>
      <c r="AG96" s="17">
        <f t="shared" si="88"/>
        <v>6</v>
      </c>
      <c r="AH96" s="17" t="str">
        <f t="shared" si="89"/>
        <v/>
      </c>
      <c r="AI96" s="17" t="str">
        <f t="shared" si="63"/>
        <v/>
      </c>
      <c r="AJ96" s="17" t="str">
        <f t="shared" si="90"/>
        <v/>
      </c>
      <c r="AK96" s="17" t="str">
        <f t="shared" si="64"/>
        <v>if () {$("#adv_").html("Requierd");$("#").css({"background":"yellow"});} else {$("#adv_").html("");$("#").css({"background":"white"});}</v>
      </c>
      <c r="AL96" s="17" t="str">
        <f t="shared" si="65"/>
        <v>if (=="") {$("#adv_").html("Requierd");} else {$("#adv_").html("");}</v>
      </c>
      <c r="AM96" s="50" t="str">
        <f t="shared" si="66"/>
        <v/>
      </c>
      <c r="AN96" s="51" t="str">
        <f t="shared" si="67"/>
        <v>=$("#").val();</v>
      </c>
      <c r="AO96" s="51" t="str">
        <f t="shared" si="91"/>
        <v/>
      </c>
      <c r="AP96" s="50" t="str">
        <f t="shared" si="68"/>
        <v>&lt;input type="checkbox" id="" name="" value="1" /&gt;</v>
      </c>
      <c r="AQ96" s="51" t="str">
        <f t="shared" si="69"/>
        <v>=document.getElementById("").checked;</v>
      </c>
      <c r="AR96" s="52" t="str">
        <f t="shared" si="70"/>
        <v>if (isset($_GET[''])) {$=($_GET['']);}else $='';</v>
      </c>
      <c r="AS96" s="17" t="str">
        <f t="shared" si="71"/>
        <v>Mobile phone</v>
      </c>
      <c r="AT96" s="17" t="str">
        <f t="shared" si="110"/>
        <v/>
      </c>
      <c r="AU96" s="50" t="str">
        <f t="shared" si="72"/>
        <v>&lt;input type="radio" name="Mobile phone" id="" value="" /&gt;</v>
      </c>
      <c r="AV96" s="15" t="str">
        <f t="shared" si="73"/>
        <v>else if (document.getElementById("</v>
      </c>
      <c r="AW96" s="51" t="str">
        <f t="shared" si="74"/>
        <v>else if (document.getElementById("").checked==true) {Mobile phone="";}</v>
      </c>
      <c r="AX96" s="17" t="str">
        <f t="shared" si="111"/>
        <v/>
      </c>
      <c r="AY96" s="52" t="str">
        <f t="shared" si="75"/>
        <v/>
      </c>
      <c r="AZ96" s="56" t="str">
        <f t="shared" si="76"/>
        <v>&lt;br/&gt;&lt;textarea rows="2" cols="80" id=""&gt;&lt;/textarea&gt;&lt;br/&gt;</v>
      </c>
      <c r="BA96" s="54" t="str">
        <f t="shared" si="77"/>
        <v>&lt;input type="text"  size="7"  id="" class="datepicker"/&gt;</v>
      </c>
      <c r="BB96" s="54" t="str">
        <f t="shared" si="92"/>
        <v/>
      </c>
      <c r="BC96" s="48" t="str">
        <f t="shared" si="112"/>
        <v/>
      </c>
      <c r="BD96" s="49" t="str">
        <f t="shared" si="113"/>
        <v/>
      </c>
      <c r="BE96" s="49">
        <f t="shared" si="116"/>
        <v>7</v>
      </c>
      <c r="BF96" s="55" t="str">
        <f t="shared" si="93"/>
        <v/>
      </c>
      <c r="BG96" s="6" t="str">
        <f t="shared" si="78"/>
        <v/>
      </c>
      <c r="BH96" s="17" t="str">
        <f t="shared" si="79"/>
        <v/>
      </c>
      <c r="BI96" s="17" t="str">
        <f t="shared" si="94"/>
        <v/>
      </c>
      <c r="BJ96" s="17">
        <f t="shared" si="95"/>
        <v>0</v>
      </c>
      <c r="BK96" s="17">
        <f t="shared" si="96"/>
        <v>1</v>
      </c>
      <c r="BL96" s="17" t="str">
        <f t="shared" si="97"/>
        <v/>
      </c>
      <c r="BO96" s="17" t="str">
        <f t="shared" si="114"/>
        <v/>
      </c>
      <c r="BP96" s="17" t="str">
        <f t="shared" si="80"/>
        <v/>
      </c>
      <c r="BQ96" s="17" t="str">
        <f t="shared" si="98"/>
        <v/>
      </c>
      <c r="BR96" s="17" t="str">
        <f t="shared" si="99"/>
        <v/>
      </c>
      <c r="BS96" s="17" t="str">
        <f t="shared" si="115"/>
        <v/>
      </c>
      <c r="BT96" s="17" t="str">
        <f t="shared" si="100"/>
        <v/>
      </c>
      <c r="BU96" s="17" t="str">
        <f t="shared" si="101"/>
        <v/>
      </c>
      <c r="BV96" s="17" t="str">
        <f t="shared" si="102"/>
        <v/>
      </c>
      <c r="BW96" s="17" t="str">
        <f t="shared" si="103"/>
        <v/>
      </c>
      <c r="BX96" s="17" t="str">
        <f t="shared" si="81"/>
        <v/>
      </c>
      <c r="BY96" s="17" t="str">
        <f t="shared" si="104"/>
        <v/>
      </c>
      <c r="BZ96" s="61" t="str">
        <f t="shared" si="105"/>
        <v/>
      </c>
      <c r="CA96" s="17" t="str">
        <f t="shared" si="82"/>
        <v/>
      </c>
      <c r="CB96" s="17" t="str">
        <f t="shared" si="83"/>
        <v/>
      </c>
      <c r="CC96" s="17" t="str">
        <f t="shared" si="106"/>
        <v/>
      </c>
      <c r="CD96" s="17" t="str">
        <f t="shared" si="84"/>
        <v/>
      </c>
      <c r="CE96" s="17" t="str">
        <f t="shared" si="85"/>
        <v/>
      </c>
      <c r="CF96" s="17" t="str">
        <f t="shared" si="107"/>
        <v/>
      </c>
      <c r="CG96" s="17" t="str">
        <f t="shared" si="108"/>
        <v/>
      </c>
    </row>
    <row r="97" spans="2:85" s="17" customFormat="1" hidden="1">
      <c r="B97" s="35"/>
      <c r="C97" s="35"/>
      <c r="D97" s="36"/>
      <c r="E97" s="35"/>
      <c r="F97" s="35"/>
      <c r="G97" s="35"/>
      <c r="H97" s="35"/>
      <c r="I97" s="59"/>
      <c r="AA97" s="47" t="s">
        <v>276</v>
      </c>
      <c r="AB97" s="17" t="str">
        <f t="shared" si="61"/>
        <v/>
      </c>
      <c r="AC97" s="17">
        <f t="shared" si="86"/>
        <v>0</v>
      </c>
      <c r="AD97" s="17">
        <f t="shared" si="109"/>
        <v>6</v>
      </c>
      <c r="AE97" s="17" t="str">
        <f t="shared" si="62"/>
        <v/>
      </c>
      <c r="AF97" s="17">
        <f t="shared" si="87"/>
        <v>0</v>
      </c>
      <c r="AG97" s="17">
        <f t="shared" si="88"/>
        <v>6</v>
      </c>
      <c r="AH97" s="17" t="str">
        <f t="shared" si="89"/>
        <v/>
      </c>
      <c r="AI97" s="17" t="str">
        <f t="shared" si="63"/>
        <v/>
      </c>
      <c r="AJ97" s="17" t="str">
        <f t="shared" si="90"/>
        <v/>
      </c>
      <c r="AK97" s="17" t="str">
        <f t="shared" si="64"/>
        <v>if () {$("#adv_").html("Requierd");$("#").css({"background":"yellow"});} else {$("#adv_").html("");$("#").css({"background":"white"});}</v>
      </c>
      <c r="AL97" s="17" t="str">
        <f t="shared" si="65"/>
        <v>if (=="") {$("#adv_").html("Requierd");} else {$("#adv_").html("");}</v>
      </c>
      <c r="AM97" s="50" t="str">
        <f t="shared" si="66"/>
        <v/>
      </c>
      <c r="AN97" s="51" t="str">
        <f t="shared" si="67"/>
        <v>=$("#").val();</v>
      </c>
      <c r="AO97" s="51" t="str">
        <f t="shared" si="91"/>
        <v/>
      </c>
      <c r="AP97" s="50" t="str">
        <f t="shared" si="68"/>
        <v>&lt;input type="checkbox" id="" name="" value="1" /&gt;</v>
      </c>
      <c r="AQ97" s="51" t="str">
        <f t="shared" si="69"/>
        <v>=document.getElementById("").checked;</v>
      </c>
      <c r="AR97" s="52" t="str">
        <f t="shared" si="70"/>
        <v>if (isset($_GET[''])) {$=($_GET['']);}else $='';</v>
      </c>
      <c r="AS97" s="17" t="str">
        <f t="shared" si="71"/>
        <v>Mobile phone</v>
      </c>
      <c r="AT97" s="17" t="str">
        <f t="shared" si="110"/>
        <v/>
      </c>
      <c r="AU97" s="50" t="str">
        <f t="shared" si="72"/>
        <v>&lt;input type="radio" name="Mobile phone" id="" value="" /&gt;</v>
      </c>
      <c r="AV97" s="15" t="str">
        <f t="shared" si="73"/>
        <v>else if (document.getElementById("</v>
      </c>
      <c r="AW97" s="51" t="str">
        <f t="shared" si="74"/>
        <v>else if (document.getElementById("").checked==true) {Mobile phone="";}</v>
      </c>
      <c r="AX97" s="17" t="str">
        <f t="shared" si="111"/>
        <v/>
      </c>
      <c r="AY97" s="52" t="str">
        <f t="shared" si="75"/>
        <v/>
      </c>
      <c r="AZ97" s="56" t="str">
        <f t="shared" si="76"/>
        <v>&lt;br/&gt;&lt;textarea rows="2" cols="80" id=""&gt;&lt;/textarea&gt;&lt;br/&gt;</v>
      </c>
      <c r="BA97" s="54" t="str">
        <f t="shared" si="77"/>
        <v>&lt;input type="text"  size="7"  id="" class="datepicker"/&gt;</v>
      </c>
      <c r="BB97" s="54" t="str">
        <f t="shared" si="92"/>
        <v/>
      </c>
      <c r="BC97" s="48" t="str">
        <f t="shared" si="112"/>
        <v/>
      </c>
      <c r="BD97" s="49" t="str">
        <f t="shared" si="113"/>
        <v/>
      </c>
      <c r="BE97" s="49">
        <f t="shared" si="116"/>
        <v>7</v>
      </c>
      <c r="BF97" s="55" t="str">
        <f t="shared" si="93"/>
        <v/>
      </c>
      <c r="BG97" s="6" t="str">
        <f t="shared" si="78"/>
        <v/>
      </c>
      <c r="BH97" s="17" t="str">
        <f t="shared" si="79"/>
        <v/>
      </c>
      <c r="BI97" s="17" t="str">
        <f t="shared" si="94"/>
        <v/>
      </c>
      <c r="BJ97" s="17">
        <f t="shared" si="95"/>
        <v>0</v>
      </c>
      <c r="BK97" s="17">
        <f t="shared" si="96"/>
        <v>1</v>
      </c>
      <c r="BL97" s="17" t="str">
        <f t="shared" si="97"/>
        <v/>
      </c>
      <c r="BO97" s="17" t="str">
        <f t="shared" si="114"/>
        <v/>
      </c>
      <c r="BP97" s="17" t="str">
        <f t="shared" si="80"/>
        <v/>
      </c>
      <c r="BQ97" s="17" t="str">
        <f t="shared" si="98"/>
        <v/>
      </c>
      <c r="BR97" s="17" t="str">
        <f t="shared" si="99"/>
        <v/>
      </c>
      <c r="BS97" s="17" t="str">
        <f t="shared" si="115"/>
        <v/>
      </c>
      <c r="BT97" s="17" t="str">
        <f t="shared" si="100"/>
        <v/>
      </c>
      <c r="BU97" s="17" t="str">
        <f t="shared" si="101"/>
        <v/>
      </c>
      <c r="BV97" s="17" t="str">
        <f t="shared" si="102"/>
        <v/>
      </c>
      <c r="BW97" s="17" t="str">
        <f t="shared" si="103"/>
        <v/>
      </c>
      <c r="BX97" s="17" t="str">
        <f t="shared" si="81"/>
        <v/>
      </c>
      <c r="BY97" s="17" t="str">
        <f t="shared" si="104"/>
        <v/>
      </c>
      <c r="BZ97" s="61" t="str">
        <f t="shared" si="105"/>
        <v/>
      </c>
      <c r="CA97" s="17" t="str">
        <f t="shared" si="82"/>
        <v/>
      </c>
      <c r="CB97" s="17" t="str">
        <f t="shared" si="83"/>
        <v/>
      </c>
      <c r="CC97" s="17" t="str">
        <f t="shared" si="106"/>
        <v/>
      </c>
      <c r="CD97" s="17" t="str">
        <f t="shared" si="84"/>
        <v/>
      </c>
      <c r="CE97" s="17" t="str">
        <f t="shared" si="85"/>
        <v/>
      </c>
      <c r="CF97" s="17" t="str">
        <f t="shared" si="107"/>
        <v/>
      </c>
      <c r="CG97" s="17" t="str">
        <f t="shared" si="108"/>
        <v/>
      </c>
    </row>
    <row r="98" spans="2:85" s="17" customFormat="1" hidden="1">
      <c r="B98" s="35"/>
      <c r="C98" s="35"/>
      <c r="D98" s="36"/>
      <c r="E98" s="35"/>
      <c r="F98" s="35"/>
      <c r="G98" s="35"/>
      <c r="H98" s="35"/>
      <c r="I98" s="59"/>
      <c r="AA98" s="47" t="s">
        <v>277</v>
      </c>
      <c r="AB98" s="17" t="str">
        <f t="shared" si="61"/>
        <v/>
      </c>
      <c r="AC98" s="17">
        <f t="shared" si="86"/>
        <v>0</v>
      </c>
      <c r="AD98" s="17">
        <f t="shared" si="109"/>
        <v>6</v>
      </c>
      <c r="AE98" s="17" t="str">
        <f t="shared" si="62"/>
        <v/>
      </c>
      <c r="AF98" s="17">
        <f t="shared" si="87"/>
        <v>0</v>
      </c>
      <c r="AG98" s="17">
        <f t="shared" si="88"/>
        <v>6</v>
      </c>
      <c r="AH98" s="17" t="str">
        <f t="shared" si="89"/>
        <v/>
      </c>
      <c r="AI98" s="17" t="str">
        <f t="shared" si="63"/>
        <v/>
      </c>
      <c r="AJ98" s="17" t="str">
        <f t="shared" si="90"/>
        <v/>
      </c>
      <c r="AK98" s="17" t="str">
        <f t="shared" si="64"/>
        <v>if () {$("#adv_").html("Requierd");$("#").css({"background":"yellow"});} else {$("#adv_").html("");$("#").css({"background":"white"});}</v>
      </c>
      <c r="AL98" s="17" t="str">
        <f t="shared" si="65"/>
        <v>if (=="") {$("#adv_").html("Requierd");} else {$("#adv_").html("");}</v>
      </c>
      <c r="AM98" s="50" t="str">
        <f t="shared" si="66"/>
        <v/>
      </c>
      <c r="AN98" s="51" t="str">
        <f t="shared" si="67"/>
        <v>=$("#").val();</v>
      </c>
      <c r="AO98" s="51" t="str">
        <f t="shared" si="91"/>
        <v/>
      </c>
      <c r="AP98" s="50" t="str">
        <f t="shared" si="68"/>
        <v>&lt;input type="checkbox" id="" name="" value="1" /&gt;</v>
      </c>
      <c r="AQ98" s="51" t="str">
        <f t="shared" si="69"/>
        <v>=document.getElementById("").checked;</v>
      </c>
      <c r="AR98" s="52" t="str">
        <f t="shared" si="70"/>
        <v>if (isset($_GET[''])) {$=($_GET['']);}else $='';</v>
      </c>
      <c r="AS98" s="17" t="str">
        <f t="shared" si="71"/>
        <v>Mobile phone</v>
      </c>
      <c r="AT98" s="17" t="str">
        <f t="shared" si="110"/>
        <v/>
      </c>
      <c r="AU98" s="50" t="str">
        <f t="shared" si="72"/>
        <v>&lt;input type="radio" name="Mobile phone" id="" value="" /&gt;</v>
      </c>
      <c r="AV98" s="15" t="str">
        <f t="shared" si="73"/>
        <v>else if (document.getElementById("</v>
      </c>
      <c r="AW98" s="51" t="str">
        <f t="shared" si="74"/>
        <v>else if (document.getElementById("").checked==true) {Mobile phone="";}</v>
      </c>
      <c r="AX98" s="17" t="str">
        <f t="shared" si="111"/>
        <v/>
      </c>
      <c r="AY98" s="52" t="str">
        <f t="shared" si="75"/>
        <v/>
      </c>
      <c r="AZ98" s="56" t="str">
        <f t="shared" si="76"/>
        <v>&lt;br/&gt;&lt;textarea rows="2" cols="80" id=""&gt;&lt;/textarea&gt;&lt;br/&gt;</v>
      </c>
      <c r="BA98" s="54" t="str">
        <f t="shared" si="77"/>
        <v>&lt;input type="text"  size="7"  id="" class="datepicker"/&gt;</v>
      </c>
      <c r="BB98" s="54" t="str">
        <f t="shared" si="92"/>
        <v/>
      </c>
      <c r="BC98" s="48" t="str">
        <f t="shared" si="112"/>
        <v/>
      </c>
      <c r="BD98" s="49" t="str">
        <f t="shared" si="113"/>
        <v/>
      </c>
      <c r="BE98" s="49">
        <f t="shared" si="116"/>
        <v>7</v>
      </c>
      <c r="BF98" s="55" t="str">
        <f t="shared" si="93"/>
        <v/>
      </c>
      <c r="BG98" s="6" t="str">
        <f t="shared" si="78"/>
        <v/>
      </c>
      <c r="BH98" s="17" t="str">
        <f t="shared" si="79"/>
        <v/>
      </c>
      <c r="BI98" s="17" t="str">
        <f t="shared" si="94"/>
        <v/>
      </c>
      <c r="BJ98" s="17">
        <f t="shared" si="95"/>
        <v>0</v>
      </c>
      <c r="BK98" s="17">
        <f t="shared" si="96"/>
        <v>1</v>
      </c>
      <c r="BL98" s="17" t="str">
        <f t="shared" si="97"/>
        <v/>
      </c>
      <c r="BO98" s="17" t="str">
        <f t="shared" si="114"/>
        <v/>
      </c>
      <c r="BP98" s="17" t="str">
        <f t="shared" si="80"/>
        <v/>
      </c>
      <c r="BQ98" s="17" t="str">
        <f t="shared" si="98"/>
        <v/>
      </c>
      <c r="BR98" s="17" t="str">
        <f t="shared" si="99"/>
        <v/>
      </c>
      <c r="BS98" s="17" t="str">
        <f t="shared" si="115"/>
        <v/>
      </c>
      <c r="BT98" s="17" t="str">
        <f t="shared" si="100"/>
        <v/>
      </c>
      <c r="BU98" s="17" t="str">
        <f t="shared" si="101"/>
        <v/>
      </c>
      <c r="BV98" s="17" t="str">
        <f t="shared" si="102"/>
        <v/>
      </c>
      <c r="BW98" s="17" t="str">
        <f t="shared" si="103"/>
        <v/>
      </c>
      <c r="BX98" s="17" t="str">
        <f t="shared" si="81"/>
        <v/>
      </c>
      <c r="BY98" s="17" t="str">
        <f t="shared" si="104"/>
        <v/>
      </c>
      <c r="BZ98" s="61" t="str">
        <f t="shared" si="105"/>
        <v/>
      </c>
      <c r="CA98" s="17" t="str">
        <f t="shared" si="82"/>
        <v/>
      </c>
      <c r="CB98" s="17" t="str">
        <f t="shared" si="83"/>
        <v/>
      </c>
      <c r="CC98" s="17" t="str">
        <f t="shared" si="106"/>
        <v/>
      </c>
      <c r="CD98" s="17" t="str">
        <f t="shared" si="84"/>
        <v/>
      </c>
      <c r="CE98" s="17" t="str">
        <f t="shared" si="85"/>
        <v/>
      </c>
      <c r="CF98" s="17" t="str">
        <f t="shared" si="107"/>
        <v/>
      </c>
      <c r="CG98" s="17" t="str">
        <f t="shared" si="108"/>
        <v/>
      </c>
    </row>
    <row r="99" spans="2:85" s="17" customFormat="1" hidden="1">
      <c r="B99" s="35"/>
      <c r="C99" s="35"/>
      <c r="D99" s="36"/>
      <c r="E99" s="35"/>
      <c r="F99" s="35"/>
      <c r="G99" s="35"/>
      <c r="H99" s="35"/>
      <c r="I99" s="59"/>
      <c r="AA99" s="47" t="s">
        <v>278</v>
      </c>
      <c r="AB99" s="17" t="str">
        <f t="shared" si="61"/>
        <v/>
      </c>
      <c r="AC99" s="17">
        <f t="shared" si="86"/>
        <v>0</v>
      </c>
      <c r="AD99" s="17">
        <f t="shared" si="109"/>
        <v>6</v>
      </c>
      <c r="AE99" s="17" t="str">
        <f t="shared" si="62"/>
        <v/>
      </c>
      <c r="AF99" s="17">
        <f t="shared" si="87"/>
        <v>0</v>
      </c>
      <c r="AG99" s="17">
        <f t="shared" si="88"/>
        <v>6</v>
      </c>
      <c r="AH99" s="17" t="str">
        <f t="shared" si="89"/>
        <v/>
      </c>
      <c r="AI99" s="17" t="str">
        <f t="shared" si="63"/>
        <v/>
      </c>
      <c r="AJ99" s="17" t="str">
        <f t="shared" si="90"/>
        <v/>
      </c>
      <c r="AK99" s="17" t="str">
        <f t="shared" si="64"/>
        <v>if () {$("#adv_").html("Requierd");$("#").css({"background":"yellow"});} else {$("#adv_").html("");$("#").css({"background":"white"});}</v>
      </c>
      <c r="AL99" s="17" t="str">
        <f t="shared" si="65"/>
        <v>if (=="") {$("#adv_").html("Requierd");} else {$("#adv_").html("");}</v>
      </c>
      <c r="AM99" s="50" t="str">
        <f t="shared" si="66"/>
        <v/>
      </c>
      <c r="AN99" s="51" t="str">
        <f t="shared" si="67"/>
        <v>=$("#").val();</v>
      </c>
      <c r="AO99" s="51" t="str">
        <f t="shared" si="91"/>
        <v/>
      </c>
      <c r="AP99" s="50" t="str">
        <f t="shared" si="68"/>
        <v>&lt;input type="checkbox" id="" name="" value="1" /&gt;</v>
      </c>
      <c r="AQ99" s="51" t="str">
        <f t="shared" si="69"/>
        <v>=document.getElementById("").checked;</v>
      </c>
      <c r="AR99" s="52" t="str">
        <f t="shared" si="70"/>
        <v>if (isset($_GET[''])) {$=($_GET['']);}else $='';</v>
      </c>
      <c r="AS99" s="17" t="str">
        <f t="shared" si="71"/>
        <v>Mobile phone</v>
      </c>
      <c r="AT99" s="17" t="str">
        <f t="shared" si="110"/>
        <v/>
      </c>
      <c r="AU99" s="50" t="str">
        <f t="shared" si="72"/>
        <v>&lt;input type="radio" name="Mobile phone" id="" value="" /&gt;</v>
      </c>
      <c r="AV99" s="15" t="str">
        <f t="shared" si="73"/>
        <v>else if (document.getElementById("</v>
      </c>
      <c r="AW99" s="51" t="str">
        <f t="shared" si="74"/>
        <v>else if (document.getElementById("").checked==true) {Mobile phone="";}</v>
      </c>
      <c r="AX99" s="17" t="str">
        <f t="shared" si="111"/>
        <v/>
      </c>
      <c r="AY99" s="52" t="str">
        <f t="shared" si="75"/>
        <v/>
      </c>
      <c r="AZ99" s="56" t="str">
        <f t="shared" si="76"/>
        <v>&lt;br/&gt;&lt;textarea rows="2" cols="80" id=""&gt;&lt;/textarea&gt;&lt;br/&gt;</v>
      </c>
      <c r="BA99" s="54" t="str">
        <f t="shared" si="77"/>
        <v>&lt;input type="text"  size="7"  id="" class="datepicker"/&gt;</v>
      </c>
      <c r="BB99" s="54" t="str">
        <f t="shared" si="92"/>
        <v/>
      </c>
      <c r="BC99" s="48" t="str">
        <f t="shared" si="112"/>
        <v/>
      </c>
      <c r="BD99" s="49" t="str">
        <f t="shared" si="113"/>
        <v/>
      </c>
      <c r="BE99" s="49">
        <f t="shared" si="116"/>
        <v>7</v>
      </c>
      <c r="BF99" s="55" t="str">
        <f t="shared" si="93"/>
        <v/>
      </c>
      <c r="BG99" s="6" t="str">
        <f t="shared" si="78"/>
        <v/>
      </c>
      <c r="BH99" s="17" t="str">
        <f t="shared" si="79"/>
        <v/>
      </c>
      <c r="BI99" s="17" t="str">
        <f t="shared" si="94"/>
        <v/>
      </c>
      <c r="BJ99" s="17">
        <f t="shared" si="95"/>
        <v>0</v>
      </c>
      <c r="BK99" s="17">
        <f t="shared" si="96"/>
        <v>1</v>
      </c>
      <c r="BL99" s="17" t="str">
        <f t="shared" si="97"/>
        <v/>
      </c>
      <c r="BO99" s="17" t="str">
        <f t="shared" si="114"/>
        <v/>
      </c>
      <c r="BP99" s="17" t="str">
        <f t="shared" si="80"/>
        <v/>
      </c>
      <c r="BQ99" s="17" t="str">
        <f t="shared" si="98"/>
        <v/>
      </c>
      <c r="BR99" s="17" t="str">
        <f t="shared" si="99"/>
        <v/>
      </c>
      <c r="BS99" s="17" t="str">
        <f t="shared" si="115"/>
        <v/>
      </c>
      <c r="BT99" s="17" t="str">
        <f t="shared" si="100"/>
        <v/>
      </c>
      <c r="BU99" s="17" t="str">
        <f t="shared" si="101"/>
        <v/>
      </c>
      <c r="BV99" s="17" t="str">
        <f t="shared" si="102"/>
        <v/>
      </c>
      <c r="BW99" s="17" t="str">
        <f t="shared" si="103"/>
        <v/>
      </c>
      <c r="BX99" s="17" t="str">
        <f t="shared" si="81"/>
        <v/>
      </c>
      <c r="BY99" s="17" t="str">
        <f t="shared" si="104"/>
        <v/>
      </c>
      <c r="BZ99" s="61" t="str">
        <f t="shared" si="105"/>
        <v/>
      </c>
      <c r="CA99" s="17" t="str">
        <f t="shared" si="82"/>
        <v/>
      </c>
      <c r="CB99" s="17" t="str">
        <f t="shared" si="83"/>
        <v/>
      </c>
      <c r="CC99" s="17" t="str">
        <f t="shared" si="106"/>
        <v/>
      </c>
      <c r="CD99" s="17" t="str">
        <f t="shared" si="84"/>
        <v/>
      </c>
      <c r="CE99" s="17" t="str">
        <f t="shared" si="85"/>
        <v/>
      </c>
      <c r="CF99" s="17" t="str">
        <f t="shared" si="107"/>
        <v/>
      </c>
      <c r="CG99" s="17" t="str">
        <f t="shared" si="108"/>
        <v/>
      </c>
    </row>
    <row r="100" spans="2:85" s="17" customFormat="1" hidden="1">
      <c r="B100" s="35"/>
      <c r="C100" s="35"/>
      <c r="D100" s="36"/>
      <c r="E100" s="35"/>
      <c r="F100" s="35"/>
      <c r="G100" s="35"/>
      <c r="H100" s="35"/>
      <c r="I100" s="59"/>
      <c r="AA100" s="47" t="s">
        <v>279</v>
      </c>
      <c r="AB100" s="17" t="str">
        <f t="shared" si="61"/>
        <v/>
      </c>
      <c r="AC100" s="17">
        <f t="shared" si="86"/>
        <v>0</v>
      </c>
      <c r="AD100" s="17">
        <f t="shared" si="109"/>
        <v>6</v>
      </c>
      <c r="AE100" s="17" t="str">
        <f t="shared" si="62"/>
        <v/>
      </c>
      <c r="AF100" s="17">
        <f t="shared" si="87"/>
        <v>0</v>
      </c>
      <c r="AG100" s="17">
        <f t="shared" si="88"/>
        <v>6</v>
      </c>
      <c r="AH100" s="17" t="str">
        <f t="shared" si="89"/>
        <v/>
      </c>
      <c r="AI100" s="17" t="str">
        <f t="shared" si="63"/>
        <v/>
      </c>
      <c r="AJ100" s="17" t="str">
        <f t="shared" si="90"/>
        <v/>
      </c>
      <c r="AK100" s="17" t="str">
        <f t="shared" si="64"/>
        <v>if () {$("#adv_").html("Requierd");$("#").css({"background":"yellow"});} else {$("#adv_").html("");$("#").css({"background":"white"});}</v>
      </c>
      <c r="AL100" s="17" t="str">
        <f t="shared" si="65"/>
        <v>if (=="") {$("#adv_").html("Requierd");} else {$("#adv_").html("");}</v>
      </c>
      <c r="AM100" s="50" t="str">
        <f t="shared" si="66"/>
        <v/>
      </c>
      <c r="AN100" s="51" t="str">
        <f t="shared" si="67"/>
        <v>=$("#").val();</v>
      </c>
      <c r="AO100" s="51" t="str">
        <f t="shared" si="91"/>
        <v/>
      </c>
      <c r="AP100" s="50" t="str">
        <f t="shared" si="68"/>
        <v>&lt;input type="checkbox" id="" name="" value="1" /&gt;</v>
      </c>
      <c r="AQ100" s="51" t="str">
        <f t="shared" si="69"/>
        <v>=document.getElementById("").checked;</v>
      </c>
      <c r="AR100" s="52" t="str">
        <f t="shared" si="70"/>
        <v>if (isset($_GET[''])) {$=($_GET['']);}else $='';</v>
      </c>
      <c r="AS100" s="17" t="str">
        <f t="shared" si="71"/>
        <v>Mobile phone</v>
      </c>
      <c r="AT100" s="17" t="str">
        <f t="shared" si="110"/>
        <v/>
      </c>
      <c r="AU100" s="50" t="str">
        <f t="shared" si="72"/>
        <v>&lt;input type="radio" name="Mobile phone" id="" value="" /&gt;</v>
      </c>
      <c r="AV100" s="15" t="str">
        <f t="shared" si="73"/>
        <v>else if (document.getElementById("</v>
      </c>
      <c r="AW100" s="51" t="str">
        <f t="shared" si="74"/>
        <v>else if (document.getElementById("").checked==true) {Mobile phone="";}</v>
      </c>
      <c r="AX100" s="17" t="str">
        <f t="shared" si="111"/>
        <v/>
      </c>
      <c r="AY100" s="52" t="str">
        <f t="shared" si="75"/>
        <v/>
      </c>
      <c r="AZ100" s="56" t="str">
        <f t="shared" si="76"/>
        <v>&lt;br/&gt;&lt;textarea rows="2" cols="80" id=""&gt;&lt;/textarea&gt;&lt;br/&gt;</v>
      </c>
      <c r="BA100" s="54" t="str">
        <f t="shared" si="77"/>
        <v>&lt;input type="text"  size="7"  id="" class="datepicker"/&gt;</v>
      </c>
      <c r="BB100" s="54" t="str">
        <f t="shared" si="92"/>
        <v/>
      </c>
      <c r="BC100" s="48" t="str">
        <f t="shared" si="112"/>
        <v/>
      </c>
      <c r="BD100" s="49" t="str">
        <f t="shared" si="113"/>
        <v/>
      </c>
      <c r="BE100" s="49">
        <f t="shared" si="116"/>
        <v>7</v>
      </c>
      <c r="BF100" s="55" t="str">
        <f t="shared" si="93"/>
        <v/>
      </c>
      <c r="BG100" s="6" t="str">
        <f t="shared" si="78"/>
        <v/>
      </c>
      <c r="BH100" s="17" t="str">
        <f t="shared" si="79"/>
        <v/>
      </c>
      <c r="BI100" s="17" t="str">
        <f t="shared" si="94"/>
        <v/>
      </c>
      <c r="BJ100" s="17">
        <f t="shared" si="95"/>
        <v>0</v>
      </c>
      <c r="BK100" s="17">
        <f t="shared" si="96"/>
        <v>1</v>
      </c>
      <c r="BL100" s="17" t="str">
        <f t="shared" si="97"/>
        <v/>
      </c>
      <c r="BO100" s="17" t="str">
        <f t="shared" si="114"/>
        <v/>
      </c>
      <c r="BP100" s="17" t="str">
        <f t="shared" si="80"/>
        <v/>
      </c>
      <c r="BQ100" s="17" t="str">
        <f t="shared" si="98"/>
        <v/>
      </c>
      <c r="BR100" s="17" t="str">
        <f t="shared" si="99"/>
        <v/>
      </c>
      <c r="BS100" s="17" t="str">
        <f t="shared" si="115"/>
        <v/>
      </c>
      <c r="BT100" s="17" t="str">
        <f t="shared" si="100"/>
        <v/>
      </c>
      <c r="BU100" s="17" t="str">
        <f t="shared" si="101"/>
        <v/>
      </c>
      <c r="BV100" s="17" t="str">
        <f t="shared" si="102"/>
        <v/>
      </c>
      <c r="BW100" s="17" t="str">
        <f t="shared" si="103"/>
        <v/>
      </c>
      <c r="BX100" s="17" t="str">
        <f t="shared" si="81"/>
        <v/>
      </c>
      <c r="BY100" s="17" t="str">
        <f t="shared" si="104"/>
        <v/>
      </c>
      <c r="BZ100" s="61" t="str">
        <f t="shared" si="105"/>
        <v/>
      </c>
      <c r="CA100" s="17" t="str">
        <f t="shared" si="82"/>
        <v/>
      </c>
      <c r="CB100" s="17" t="str">
        <f t="shared" si="83"/>
        <v/>
      </c>
      <c r="CC100" s="17" t="str">
        <f t="shared" si="106"/>
        <v/>
      </c>
      <c r="CD100" s="17" t="str">
        <f t="shared" si="84"/>
        <v/>
      </c>
      <c r="CE100" s="17" t="str">
        <f t="shared" si="85"/>
        <v/>
      </c>
      <c r="CF100" s="17" t="str">
        <f t="shared" si="107"/>
        <v/>
      </c>
      <c r="CG100" s="17" t="str">
        <f t="shared" si="108"/>
        <v/>
      </c>
    </row>
    <row r="101" spans="2:85" s="17" customFormat="1" hidden="1">
      <c r="B101" s="35"/>
      <c r="C101" s="35"/>
      <c r="D101" s="36"/>
      <c r="E101" s="35"/>
      <c r="F101" s="35"/>
      <c r="G101" s="35"/>
      <c r="H101" s="35"/>
      <c r="I101" s="59"/>
      <c r="AA101" s="47" t="s">
        <v>280</v>
      </c>
      <c r="AB101" s="17" t="str">
        <f t="shared" si="61"/>
        <v/>
      </c>
      <c r="AC101" s="17">
        <f t="shared" si="86"/>
        <v>0</v>
      </c>
      <c r="AD101" s="17">
        <f t="shared" si="109"/>
        <v>6</v>
      </c>
      <c r="AE101" s="17" t="str">
        <f t="shared" si="62"/>
        <v/>
      </c>
      <c r="AF101" s="17">
        <f t="shared" si="87"/>
        <v>0</v>
      </c>
      <c r="AG101" s="17">
        <f t="shared" si="88"/>
        <v>6</v>
      </c>
      <c r="AH101" s="17" t="str">
        <f t="shared" si="89"/>
        <v/>
      </c>
      <c r="AI101" s="17" t="str">
        <f t="shared" si="63"/>
        <v/>
      </c>
      <c r="AJ101" s="17" t="str">
        <f t="shared" si="90"/>
        <v/>
      </c>
      <c r="AK101" s="17" t="str">
        <f t="shared" si="64"/>
        <v>if () {$("#adv_").html("Requierd");$("#").css({"background":"yellow"});} else {$("#adv_").html("");$("#").css({"background":"white"});}</v>
      </c>
      <c r="AL101" s="17" t="str">
        <f t="shared" si="65"/>
        <v>if (=="") {$("#adv_").html("Requierd");} else {$("#adv_").html("");}</v>
      </c>
      <c r="AM101" s="50" t="str">
        <f t="shared" si="66"/>
        <v/>
      </c>
      <c r="AN101" s="51" t="str">
        <f t="shared" si="67"/>
        <v>=$("#").val();</v>
      </c>
      <c r="AO101" s="51" t="str">
        <f t="shared" si="91"/>
        <v/>
      </c>
      <c r="AP101" s="50" t="str">
        <f t="shared" si="68"/>
        <v>&lt;input type="checkbox" id="" name="" value="1" /&gt;</v>
      </c>
      <c r="AQ101" s="51" t="str">
        <f t="shared" si="69"/>
        <v>=document.getElementById("").checked;</v>
      </c>
      <c r="AR101" s="52" t="str">
        <f t="shared" si="70"/>
        <v>if (isset($_GET[''])) {$=($_GET['']);}else $='';</v>
      </c>
      <c r="AS101" s="17" t="str">
        <f t="shared" si="71"/>
        <v>Mobile phone</v>
      </c>
      <c r="AT101" s="17" t="str">
        <f t="shared" si="110"/>
        <v/>
      </c>
      <c r="AU101" s="50" t="str">
        <f t="shared" si="72"/>
        <v>&lt;input type="radio" name="Mobile phone" id="" value="" /&gt;</v>
      </c>
      <c r="AV101" s="15" t="str">
        <f t="shared" si="73"/>
        <v>else if (document.getElementById("</v>
      </c>
      <c r="AW101" s="51" t="str">
        <f t="shared" si="74"/>
        <v>else if (document.getElementById("").checked==true) {Mobile phone="";}</v>
      </c>
      <c r="AX101" s="17" t="str">
        <f t="shared" si="111"/>
        <v/>
      </c>
      <c r="AY101" s="52" t="str">
        <f t="shared" si="75"/>
        <v/>
      </c>
      <c r="AZ101" s="56" t="str">
        <f t="shared" si="76"/>
        <v>&lt;br/&gt;&lt;textarea rows="2" cols="80" id=""&gt;&lt;/textarea&gt;&lt;br/&gt;</v>
      </c>
      <c r="BA101" s="54" t="str">
        <f t="shared" si="77"/>
        <v>&lt;input type="text"  size="7"  id="" class="datepicker"/&gt;</v>
      </c>
      <c r="BB101" s="54" t="str">
        <f t="shared" si="92"/>
        <v/>
      </c>
      <c r="BC101" s="48" t="str">
        <f t="shared" si="112"/>
        <v/>
      </c>
      <c r="BD101" s="49" t="str">
        <f t="shared" si="113"/>
        <v/>
      </c>
      <c r="BE101" s="49">
        <f t="shared" si="116"/>
        <v>7</v>
      </c>
      <c r="BF101" s="55" t="str">
        <f t="shared" si="93"/>
        <v/>
      </c>
      <c r="BG101" s="6" t="str">
        <f t="shared" si="78"/>
        <v/>
      </c>
      <c r="BH101" s="17" t="str">
        <f t="shared" si="79"/>
        <v/>
      </c>
      <c r="BI101" s="17" t="str">
        <f t="shared" si="94"/>
        <v/>
      </c>
      <c r="BJ101" s="17">
        <f t="shared" si="95"/>
        <v>0</v>
      </c>
      <c r="BK101" s="17">
        <f t="shared" si="96"/>
        <v>1</v>
      </c>
      <c r="BL101" s="17" t="str">
        <f t="shared" si="97"/>
        <v/>
      </c>
      <c r="BO101" s="17" t="str">
        <f t="shared" si="114"/>
        <v/>
      </c>
      <c r="BP101" s="17" t="str">
        <f t="shared" si="80"/>
        <v/>
      </c>
      <c r="BQ101" s="17" t="str">
        <f t="shared" si="98"/>
        <v/>
      </c>
      <c r="BR101" s="17" t="str">
        <f t="shared" si="99"/>
        <v/>
      </c>
      <c r="BS101" s="17" t="str">
        <f t="shared" si="115"/>
        <v/>
      </c>
      <c r="BT101" s="17" t="str">
        <f t="shared" si="100"/>
        <v/>
      </c>
      <c r="BU101" s="17" t="str">
        <f t="shared" si="101"/>
        <v/>
      </c>
      <c r="BV101" s="17" t="str">
        <f t="shared" si="102"/>
        <v/>
      </c>
      <c r="BW101" s="17" t="str">
        <f t="shared" si="103"/>
        <v/>
      </c>
      <c r="BX101" s="17" t="str">
        <f t="shared" si="81"/>
        <v/>
      </c>
      <c r="BY101" s="17" t="str">
        <f t="shared" si="104"/>
        <v/>
      </c>
      <c r="BZ101" s="61" t="str">
        <f t="shared" si="105"/>
        <v/>
      </c>
      <c r="CA101" s="17" t="str">
        <f t="shared" si="82"/>
        <v/>
      </c>
      <c r="CB101" s="17" t="str">
        <f t="shared" si="83"/>
        <v/>
      </c>
      <c r="CC101" s="17" t="str">
        <f t="shared" si="106"/>
        <v/>
      </c>
      <c r="CD101" s="17" t="str">
        <f t="shared" si="84"/>
        <v/>
      </c>
      <c r="CE101" s="17" t="str">
        <f t="shared" si="85"/>
        <v/>
      </c>
      <c r="CF101" s="17" t="str">
        <f t="shared" si="107"/>
        <v/>
      </c>
      <c r="CG101" s="17" t="str">
        <f t="shared" si="108"/>
        <v/>
      </c>
    </row>
    <row r="102" spans="2:85" s="17" customFormat="1" hidden="1">
      <c r="B102" s="35"/>
      <c r="C102" s="35"/>
      <c r="D102" s="36"/>
      <c r="E102" s="35"/>
      <c r="F102" s="35"/>
      <c r="G102" s="35"/>
      <c r="H102" s="35"/>
      <c r="I102" s="59"/>
      <c r="AA102" s="47" t="s">
        <v>281</v>
      </c>
      <c r="AB102" s="17" t="str">
        <f t="shared" si="61"/>
        <v/>
      </c>
      <c r="AC102" s="17">
        <f t="shared" si="86"/>
        <v>0</v>
      </c>
      <c r="AD102" s="17">
        <f t="shared" si="109"/>
        <v>6</v>
      </c>
      <c r="AE102" s="17" t="str">
        <f t="shared" si="62"/>
        <v/>
      </c>
      <c r="AF102" s="17">
        <f t="shared" si="87"/>
        <v>0</v>
      </c>
      <c r="AG102" s="17">
        <f t="shared" si="88"/>
        <v>6</v>
      </c>
      <c r="AH102" s="17" t="str">
        <f t="shared" si="89"/>
        <v/>
      </c>
      <c r="AI102" s="17" t="str">
        <f t="shared" si="63"/>
        <v/>
      </c>
      <c r="AJ102" s="17" t="str">
        <f t="shared" si="90"/>
        <v/>
      </c>
      <c r="AK102" s="17" t="str">
        <f t="shared" si="64"/>
        <v>if () {$("#adv_").html("Requierd");$("#").css({"background":"yellow"});} else {$("#adv_").html("");$("#").css({"background":"white"});}</v>
      </c>
      <c r="AL102" s="17" t="str">
        <f t="shared" si="65"/>
        <v>if (=="") {$("#adv_").html("Requierd");} else {$("#adv_").html("");}</v>
      </c>
      <c r="AM102" s="50" t="str">
        <f t="shared" si="66"/>
        <v/>
      </c>
      <c r="AN102" s="51" t="str">
        <f t="shared" si="67"/>
        <v>=$("#").val();</v>
      </c>
      <c r="AO102" s="51" t="str">
        <f t="shared" si="91"/>
        <v/>
      </c>
      <c r="AP102" s="50" t="str">
        <f t="shared" si="68"/>
        <v>&lt;input type="checkbox" id="" name="" value="1" /&gt;</v>
      </c>
      <c r="AQ102" s="51" t="str">
        <f t="shared" si="69"/>
        <v>=document.getElementById("").checked;</v>
      </c>
      <c r="AR102" s="52" t="str">
        <f t="shared" si="70"/>
        <v>if (isset($_GET[''])) {$=($_GET['']);}else $='';</v>
      </c>
      <c r="AS102" s="17" t="str">
        <f t="shared" si="71"/>
        <v>Mobile phone</v>
      </c>
      <c r="AT102" s="17" t="str">
        <f t="shared" si="110"/>
        <v/>
      </c>
      <c r="AU102" s="50" t="str">
        <f t="shared" si="72"/>
        <v>&lt;input type="radio" name="Mobile phone" id="" value="" /&gt;</v>
      </c>
      <c r="AV102" s="15" t="str">
        <f t="shared" si="73"/>
        <v>else if (document.getElementById("</v>
      </c>
      <c r="AW102" s="51" t="str">
        <f t="shared" si="74"/>
        <v>else if (document.getElementById("").checked==true) {Mobile phone="";}</v>
      </c>
      <c r="AX102" s="17" t="str">
        <f t="shared" si="111"/>
        <v/>
      </c>
      <c r="AY102" s="52" t="str">
        <f t="shared" si="75"/>
        <v/>
      </c>
      <c r="AZ102" s="56" t="str">
        <f t="shared" si="76"/>
        <v>&lt;br/&gt;&lt;textarea rows="2" cols="80" id=""&gt;&lt;/textarea&gt;&lt;br/&gt;</v>
      </c>
      <c r="BA102" s="54" t="str">
        <f t="shared" si="77"/>
        <v>&lt;input type="text"  size="7"  id="" class="datepicker"/&gt;</v>
      </c>
      <c r="BB102" s="54" t="str">
        <f t="shared" si="92"/>
        <v/>
      </c>
      <c r="BC102" s="48" t="str">
        <f t="shared" si="112"/>
        <v/>
      </c>
      <c r="BD102" s="49" t="str">
        <f t="shared" si="113"/>
        <v/>
      </c>
      <c r="BE102" s="49">
        <f t="shared" si="116"/>
        <v>7</v>
      </c>
      <c r="BF102" s="55" t="str">
        <f t="shared" si="93"/>
        <v/>
      </c>
      <c r="BG102" s="6" t="str">
        <f t="shared" si="78"/>
        <v/>
      </c>
      <c r="BH102" s="17" t="str">
        <f t="shared" si="79"/>
        <v/>
      </c>
      <c r="BI102" s="17" t="str">
        <f t="shared" si="94"/>
        <v/>
      </c>
      <c r="BJ102" s="17">
        <f t="shared" si="95"/>
        <v>0</v>
      </c>
      <c r="BK102" s="17">
        <f t="shared" si="96"/>
        <v>1</v>
      </c>
      <c r="BL102" s="17" t="str">
        <f t="shared" si="97"/>
        <v/>
      </c>
      <c r="BO102" s="17" t="str">
        <f t="shared" si="114"/>
        <v/>
      </c>
      <c r="BP102" s="17" t="str">
        <f t="shared" si="80"/>
        <v/>
      </c>
      <c r="BQ102" s="17" t="str">
        <f t="shared" si="98"/>
        <v/>
      </c>
      <c r="BR102" s="17" t="str">
        <f t="shared" si="99"/>
        <v/>
      </c>
      <c r="BS102" s="17" t="str">
        <f t="shared" si="115"/>
        <v/>
      </c>
      <c r="BT102" s="17" t="str">
        <f t="shared" si="100"/>
        <v/>
      </c>
      <c r="BU102" s="17" t="str">
        <f t="shared" si="101"/>
        <v/>
      </c>
      <c r="BV102" s="17" t="str">
        <f t="shared" si="102"/>
        <v/>
      </c>
      <c r="BW102" s="17" t="str">
        <f t="shared" si="103"/>
        <v/>
      </c>
      <c r="BX102" s="17" t="str">
        <f t="shared" si="81"/>
        <v/>
      </c>
      <c r="BY102" s="17" t="str">
        <f t="shared" si="104"/>
        <v/>
      </c>
      <c r="BZ102" s="61" t="str">
        <f t="shared" si="105"/>
        <v/>
      </c>
      <c r="CA102" s="17" t="str">
        <f t="shared" si="82"/>
        <v/>
      </c>
      <c r="CB102" s="17" t="str">
        <f t="shared" si="83"/>
        <v/>
      </c>
      <c r="CC102" s="17" t="str">
        <f t="shared" si="106"/>
        <v/>
      </c>
      <c r="CD102" s="17" t="str">
        <f t="shared" si="84"/>
        <v/>
      </c>
      <c r="CE102" s="17" t="str">
        <f t="shared" si="85"/>
        <v/>
      </c>
      <c r="CF102" s="17" t="str">
        <f t="shared" si="107"/>
        <v/>
      </c>
      <c r="CG102" s="17" t="str">
        <f t="shared" si="108"/>
        <v/>
      </c>
    </row>
    <row r="103" spans="2:85" s="17" customFormat="1" hidden="1">
      <c r="B103" s="35"/>
      <c r="C103" s="35"/>
      <c r="D103" s="36"/>
      <c r="E103" s="35"/>
      <c r="F103" s="35"/>
      <c r="G103" s="35"/>
      <c r="H103" s="35"/>
      <c r="I103" s="59"/>
      <c r="AA103" s="47" t="s">
        <v>282</v>
      </c>
      <c r="AB103" s="17" t="str">
        <f t="shared" si="61"/>
        <v/>
      </c>
      <c r="AC103" s="17">
        <f t="shared" si="86"/>
        <v>0</v>
      </c>
      <c r="AD103" s="17">
        <f t="shared" si="109"/>
        <v>6</v>
      </c>
      <c r="AE103" s="17" t="str">
        <f t="shared" si="62"/>
        <v/>
      </c>
      <c r="AF103" s="17">
        <f t="shared" si="87"/>
        <v>0</v>
      </c>
      <c r="AG103" s="17">
        <f t="shared" si="88"/>
        <v>6</v>
      </c>
      <c r="AH103" s="17" t="str">
        <f t="shared" si="89"/>
        <v/>
      </c>
      <c r="AI103" s="17" t="str">
        <f t="shared" si="63"/>
        <v/>
      </c>
      <c r="AJ103" s="17" t="str">
        <f t="shared" si="90"/>
        <v/>
      </c>
      <c r="AK103" s="17" t="str">
        <f t="shared" si="64"/>
        <v>if () {$("#adv_").html("Requierd");$("#").css({"background":"yellow"});} else {$("#adv_").html("");$("#").css({"background":"white"});}</v>
      </c>
      <c r="AL103" s="17" t="str">
        <f t="shared" si="65"/>
        <v>if (=="") {$("#adv_").html("Requierd");} else {$("#adv_").html("");}</v>
      </c>
      <c r="AM103" s="50" t="str">
        <f t="shared" si="66"/>
        <v/>
      </c>
      <c r="AN103" s="51" t="str">
        <f t="shared" si="67"/>
        <v>=$("#").val();</v>
      </c>
      <c r="AO103" s="51" t="str">
        <f t="shared" si="91"/>
        <v/>
      </c>
      <c r="AP103" s="50" t="str">
        <f t="shared" si="68"/>
        <v>&lt;input type="checkbox" id="" name="" value="1" /&gt;</v>
      </c>
      <c r="AQ103" s="51" t="str">
        <f t="shared" si="69"/>
        <v>=document.getElementById("").checked;</v>
      </c>
      <c r="AR103" s="52" t="str">
        <f t="shared" si="70"/>
        <v>if (isset($_GET[''])) {$=($_GET['']);}else $='';</v>
      </c>
      <c r="AS103" s="17" t="str">
        <f t="shared" si="71"/>
        <v>Mobile phone</v>
      </c>
      <c r="AT103" s="17" t="str">
        <f t="shared" si="110"/>
        <v/>
      </c>
      <c r="AU103" s="50" t="str">
        <f t="shared" si="72"/>
        <v>&lt;input type="radio" name="Mobile phone" id="" value="" /&gt;</v>
      </c>
      <c r="AV103" s="15" t="str">
        <f t="shared" si="73"/>
        <v>else if (document.getElementById("</v>
      </c>
      <c r="AW103" s="51" t="str">
        <f t="shared" si="74"/>
        <v>else if (document.getElementById("").checked==true) {Mobile phone="";}</v>
      </c>
      <c r="AX103" s="17" t="str">
        <f t="shared" si="111"/>
        <v/>
      </c>
      <c r="AY103" s="52" t="str">
        <f t="shared" si="75"/>
        <v/>
      </c>
      <c r="AZ103" s="56" t="str">
        <f t="shared" si="76"/>
        <v>&lt;br/&gt;&lt;textarea rows="2" cols="80" id=""&gt;&lt;/textarea&gt;&lt;br/&gt;</v>
      </c>
      <c r="BA103" s="54" t="str">
        <f t="shared" si="77"/>
        <v>&lt;input type="text"  size="7"  id="" class="datepicker"/&gt;</v>
      </c>
      <c r="BB103" s="54" t="str">
        <f t="shared" si="92"/>
        <v/>
      </c>
      <c r="BC103" s="48" t="str">
        <f t="shared" si="112"/>
        <v/>
      </c>
      <c r="BD103" s="49" t="str">
        <f t="shared" si="113"/>
        <v/>
      </c>
      <c r="BE103" s="49">
        <f t="shared" si="116"/>
        <v>7</v>
      </c>
      <c r="BF103" s="55" t="str">
        <f t="shared" si="93"/>
        <v/>
      </c>
      <c r="BG103" s="6" t="str">
        <f t="shared" si="78"/>
        <v/>
      </c>
      <c r="BH103" s="17" t="str">
        <f t="shared" si="79"/>
        <v/>
      </c>
      <c r="BI103" s="17" t="str">
        <f t="shared" si="94"/>
        <v/>
      </c>
      <c r="BJ103" s="17">
        <f t="shared" si="95"/>
        <v>0</v>
      </c>
      <c r="BK103" s="17">
        <f t="shared" si="96"/>
        <v>1</v>
      </c>
      <c r="BL103" s="17" t="str">
        <f t="shared" si="97"/>
        <v/>
      </c>
      <c r="BO103" s="17" t="str">
        <f t="shared" si="114"/>
        <v/>
      </c>
      <c r="BP103" s="17" t="str">
        <f t="shared" si="80"/>
        <v/>
      </c>
      <c r="BQ103" s="17" t="str">
        <f t="shared" si="98"/>
        <v/>
      </c>
      <c r="BR103" s="17" t="str">
        <f t="shared" si="99"/>
        <v/>
      </c>
      <c r="BS103" s="17" t="str">
        <f t="shared" si="115"/>
        <v/>
      </c>
      <c r="BT103" s="17" t="str">
        <f t="shared" si="100"/>
        <v/>
      </c>
      <c r="BU103" s="17" t="str">
        <f t="shared" si="101"/>
        <v/>
      </c>
      <c r="BV103" s="17" t="str">
        <f t="shared" si="102"/>
        <v/>
      </c>
      <c r="BW103" s="17" t="str">
        <f t="shared" si="103"/>
        <v/>
      </c>
      <c r="BX103" s="17" t="str">
        <f t="shared" si="81"/>
        <v/>
      </c>
      <c r="BY103" s="17" t="str">
        <f t="shared" si="104"/>
        <v/>
      </c>
      <c r="BZ103" s="61" t="str">
        <f t="shared" si="105"/>
        <v/>
      </c>
      <c r="CA103" s="17" t="str">
        <f t="shared" si="82"/>
        <v/>
      </c>
      <c r="CB103" s="17" t="str">
        <f t="shared" si="83"/>
        <v/>
      </c>
      <c r="CC103" s="17" t="str">
        <f t="shared" si="106"/>
        <v/>
      </c>
      <c r="CD103" s="17" t="str">
        <f t="shared" si="84"/>
        <v/>
      </c>
      <c r="CE103" s="17" t="str">
        <f t="shared" si="85"/>
        <v/>
      </c>
      <c r="CF103" s="17" t="str">
        <f t="shared" si="107"/>
        <v/>
      </c>
      <c r="CG103" s="17" t="str">
        <f t="shared" si="108"/>
        <v/>
      </c>
    </row>
    <row r="104" spans="2:85" s="17" customFormat="1" hidden="1">
      <c r="B104" s="35"/>
      <c r="C104" s="35"/>
      <c r="D104" s="36"/>
      <c r="E104" s="35"/>
      <c r="F104" s="35"/>
      <c r="G104" s="35"/>
      <c r="H104" s="35"/>
      <c r="I104" s="59"/>
      <c r="AA104" s="47" t="s">
        <v>283</v>
      </c>
      <c r="AB104" s="17" t="str">
        <f t="shared" si="61"/>
        <v/>
      </c>
      <c r="AC104" s="17">
        <f t="shared" si="86"/>
        <v>0</v>
      </c>
      <c r="AD104" s="17">
        <f t="shared" si="109"/>
        <v>6</v>
      </c>
      <c r="AE104" s="17" t="str">
        <f t="shared" si="62"/>
        <v/>
      </c>
      <c r="AF104" s="17">
        <f t="shared" si="87"/>
        <v>0</v>
      </c>
      <c r="AG104" s="17">
        <f t="shared" si="88"/>
        <v>6</v>
      </c>
      <c r="AH104" s="17" t="str">
        <f t="shared" si="89"/>
        <v/>
      </c>
      <c r="AI104" s="17" t="str">
        <f t="shared" si="63"/>
        <v/>
      </c>
      <c r="AJ104" s="17" t="str">
        <f t="shared" si="90"/>
        <v/>
      </c>
      <c r="AK104" s="17" t="str">
        <f t="shared" si="64"/>
        <v>if () {$("#adv_").html("Requierd");$("#").css({"background":"yellow"});} else {$("#adv_").html("");$("#").css({"background":"white"});}</v>
      </c>
      <c r="AL104" s="17" t="str">
        <f t="shared" si="65"/>
        <v>if (=="") {$("#adv_").html("Requierd");} else {$("#adv_").html("");}</v>
      </c>
      <c r="AM104" s="50" t="str">
        <f t="shared" si="66"/>
        <v/>
      </c>
      <c r="AN104" s="51" t="str">
        <f t="shared" si="67"/>
        <v>=$("#").val();</v>
      </c>
      <c r="AO104" s="51" t="str">
        <f t="shared" si="91"/>
        <v/>
      </c>
      <c r="AP104" s="50" t="str">
        <f t="shared" si="68"/>
        <v>&lt;input type="checkbox" id="" name="" value="1" /&gt;</v>
      </c>
      <c r="AQ104" s="51" t="str">
        <f t="shared" si="69"/>
        <v>=document.getElementById("").checked;</v>
      </c>
      <c r="AR104" s="52" t="str">
        <f t="shared" si="70"/>
        <v>if (isset($_GET[''])) {$=($_GET['']);}else $='';</v>
      </c>
      <c r="AS104" s="17" t="str">
        <f t="shared" si="71"/>
        <v>Mobile phone</v>
      </c>
      <c r="AT104" s="17" t="str">
        <f t="shared" si="110"/>
        <v/>
      </c>
      <c r="AU104" s="50" t="str">
        <f t="shared" si="72"/>
        <v>&lt;input type="radio" name="Mobile phone" id="" value="" /&gt;</v>
      </c>
      <c r="AV104" s="15" t="str">
        <f t="shared" si="73"/>
        <v>else if (document.getElementById("</v>
      </c>
      <c r="AW104" s="51" t="str">
        <f t="shared" si="74"/>
        <v>else if (document.getElementById("").checked==true) {Mobile phone="";}</v>
      </c>
      <c r="AX104" s="17" t="str">
        <f t="shared" si="111"/>
        <v/>
      </c>
      <c r="AY104" s="52" t="str">
        <f t="shared" si="75"/>
        <v/>
      </c>
      <c r="AZ104" s="56" t="str">
        <f t="shared" si="76"/>
        <v>&lt;br/&gt;&lt;textarea rows="2" cols="80" id=""&gt;&lt;/textarea&gt;&lt;br/&gt;</v>
      </c>
      <c r="BA104" s="54" t="str">
        <f t="shared" si="77"/>
        <v>&lt;input type="text"  size="7"  id="" class="datepicker"/&gt;</v>
      </c>
      <c r="BB104" s="54" t="str">
        <f t="shared" si="92"/>
        <v/>
      </c>
      <c r="BC104" s="48" t="str">
        <f t="shared" si="112"/>
        <v/>
      </c>
      <c r="BD104" s="49" t="str">
        <f t="shared" si="113"/>
        <v/>
      </c>
      <c r="BE104" s="49">
        <f t="shared" si="116"/>
        <v>7</v>
      </c>
      <c r="BF104" s="55" t="str">
        <f t="shared" si="93"/>
        <v/>
      </c>
      <c r="BG104" s="6" t="str">
        <f t="shared" si="78"/>
        <v/>
      </c>
      <c r="BH104" s="17" t="str">
        <f t="shared" si="79"/>
        <v/>
      </c>
      <c r="BI104" s="17" t="str">
        <f t="shared" si="94"/>
        <v/>
      </c>
      <c r="BJ104" s="17">
        <f t="shared" si="95"/>
        <v>0</v>
      </c>
      <c r="BK104" s="17">
        <f t="shared" si="96"/>
        <v>1</v>
      </c>
      <c r="BL104" s="17" t="str">
        <f t="shared" si="97"/>
        <v/>
      </c>
      <c r="BO104" s="17" t="str">
        <f t="shared" si="114"/>
        <v/>
      </c>
      <c r="BP104" s="17" t="str">
        <f t="shared" si="80"/>
        <v/>
      </c>
      <c r="BQ104" s="17" t="str">
        <f t="shared" si="98"/>
        <v/>
      </c>
      <c r="BR104" s="17" t="str">
        <f t="shared" si="99"/>
        <v/>
      </c>
      <c r="BS104" s="17" t="str">
        <f t="shared" si="115"/>
        <v/>
      </c>
      <c r="BT104" s="17" t="str">
        <f t="shared" si="100"/>
        <v/>
      </c>
      <c r="BU104" s="17" t="str">
        <f t="shared" si="101"/>
        <v/>
      </c>
      <c r="BV104" s="17" t="str">
        <f t="shared" si="102"/>
        <v/>
      </c>
      <c r="BW104" s="17" t="str">
        <f t="shared" si="103"/>
        <v/>
      </c>
      <c r="BX104" s="17" t="str">
        <f t="shared" si="81"/>
        <v/>
      </c>
      <c r="BY104" s="17" t="str">
        <f t="shared" si="104"/>
        <v/>
      </c>
      <c r="BZ104" s="61" t="str">
        <f t="shared" si="105"/>
        <v/>
      </c>
      <c r="CA104" s="17" t="str">
        <f t="shared" si="82"/>
        <v/>
      </c>
      <c r="CB104" s="17" t="str">
        <f t="shared" si="83"/>
        <v/>
      </c>
      <c r="CC104" s="17" t="str">
        <f t="shared" si="106"/>
        <v/>
      </c>
      <c r="CD104" s="17" t="str">
        <f t="shared" si="84"/>
        <v/>
      </c>
      <c r="CE104" s="17" t="str">
        <f t="shared" si="85"/>
        <v/>
      </c>
      <c r="CF104" s="17" t="str">
        <f t="shared" si="107"/>
        <v/>
      </c>
      <c r="CG104" s="17" t="str">
        <f t="shared" si="108"/>
        <v/>
      </c>
    </row>
    <row r="105" spans="2:85" s="17" customFormat="1" hidden="1">
      <c r="B105" s="35"/>
      <c r="C105" s="35"/>
      <c r="D105" s="36"/>
      <c r="E105" s="35"/>
      <c r="F105" s="35"/>
      <c r="G105" s="35"/>
      <c r="H105" s="35"/>
      <c r="I105" s="59"/>
      <c r="AA105" s="47" t="s">
        <v>284</v>
      </c>
      <c r="AB105" s="17" t="str">
        <f t="shared" si="61"/>
        <v/>
      </c>
      <c r="AC105" s="17">
        <f t="shared" si="86"/>
        <v>0</v>
      </c>
      <c r="AD105" s="17">
        <f t="shared" si="109"/>
        <v>6</v>
      </c>
      <c r="AE105" s="17" t="str">
        <f t="shared" si="62"/>
        <v/>
      </c>
      <c r="AF105" s="17">
        <f t="shared" si="87"/>
        <v>0</v>
      </c>
      <c r="AG105" s="17">
        <f t="shared" si="88"/>
        <v>6</v>
      </c>
      <c r="AH105" s="17" t="str">
        <f t="shared" si="89"/>
        <v/>
      </c>
      <c r="AI105" s="17" t="str">
        <f t="shared" si="63"/>
        <v/>
      </c>
      <c r="AJ105" s="17" t="str">
        <f t="shared" si="90"/>
        <v/>
      </c>
      <c r="AK105" s="17" t="str">
        <f t="shared" si="64"/>
        <v>if () {$("#adv_").html("Requierd");$("#").css({"background":"yellow"});} else {$("#adv_").html("");$("#").css({"background":"white"});}</v>
      </c>
      <c r="AL105" s="17" t="str">
        <f t="shared" si="65"/>
        <v>if (=="") {$("#adv_").html("Requierd");} else {$("#adv_").html("");}</v>
      </c>
      <c r="AM105" s="50" t="str">
        <f t="shared" si="66"/>
        <v/>
      </c>
      <c r="AN105" s="51" t="str">
        <f t="shared" si="67"/>
        <v>=$("#").val();</v>
      </c>
      <c r="AO105" s="51" t="str">
        <f t="shared" si="91"/>
        <v/>
      </c>
      <c r="AP105" s="50" t="str">
        <f t="shared" si="68"/>
        <v>&lt;input type="checkbox" id="" name="" value="1" /&gt;</v>
      </c>
      <c r="AQ105" s="51" t="str">
        <f t="shared" si="69"/>
        <v>=document.getElementById("").checked;</v>
      </c>
      <c r="AR105" s="52" t="str">
        <f t="shared" si="70"/>
        <v>if (isset($_GET[''])) {$=($_GET['']);}else $='';</v>
      </c>
      <c r="AS105" s="17" t="str">
        <f t="shared" si="71"/>
        <v>Mobile phone</v>
      </c>
      <c r="AT105" s="17" t="str">
        <f t="shared" si="110"/>
        <v/>
      </c>
      <c r="AU105" s="50" t="str">
        <f t="shared" si="72"/>
        <v>&lt;input type="radio" name="Mobile phone" id="" value="" /&gt;</v>
      </c>
      <c r="AV105" s="15" t="str">
        <f t="shared" si="73"/>
        <v>else if (document.getElementById("</v>
      </c>
      <c r="AW105" s="51" t="str">
        <f t="shared" si="74"/>
        <v>else if (document.getElementById("").checked==true) {Mobile phone="";}</v>
      </c>
      <c r="AX105" s="17" t="str">
        <f t="shared" si="111"/>
        <v/>
      </c>
      <c r="AY105" s="52" t="str">
        <f t="shared" si="75"/>
        <v/>
      </c>
      <c r="AZ105" s="56" t="str">
        <f t="shared" si="76"/>
        <v>&lt;br/&gt;&lt;textarea rows="2" cols="80" id=""&gt;&lt;/textarea&gt;&lt;br/&gt;</v>
      </c>
      <c r="BA105" s="54" t="str">
        <f t="shared" si="77"/>
        <v>&lt;input type="text"  size="7"  id="" class="datepicker"/&gt;</v>
      </c>
      <c r="BB105" s="54" t="str">
        <f t="shared" si="92"/>
        <v/>
      </c>
      <c r="BC105" s="48" t="str">
        <f t="shared" si="112"/>
        <v/>
      </c>
      <c r="BD105" s="49" t="str">
        <f t="shared" si="113"/>
        <v/>
      </c>
      <c r="BE105" s="49">
        <f t="shared" si="116"/>
        <v>7</v>
      </c>
      <c r="BF105" s="55" t="str">
        <f t="shared" si="93"/>
        <v/>
      </c>
      <c r="BG105" s="6" t="str">
        <f t="shared" si="78"/>
        <v/>
      </c>
      <c r="BH105" s="17" t="str">
        <f t="shared" si="79"/>
        <v/>
      </c>
      <c r="BI105" s="17" t="str">
        <f t="shared" si="94"/>
        <v/>
      </c>
      <c r="BJ105" s="17">
        <f t="shared" si="95"/>
        <v>0</v>
      </c>
      <c r="BK105" s="17">
        <f t="shared" si="96"/>
        <v>1</v>
      </c>
      <c r="BL105" s="17" t="str">
        <f t="shared" si="97"/>
        <v/>
      </c>
      <c r="BO105" s="17" t="str">
        <f t="shared" si="114"/>
        <v/>
      </c>
      <c r="BP105" s="17" t="str">
        <f t="shared" si="80"/>
        <v/>
      </c>
      <c r="BQ105" s="17" t="str">
        <f t="shared" si="98"/>
        <v/>
      </c>
      <c r="BR105" s="17" t="str">
        <f t="shared" si="99"/>
        <v/>
      </c>
      <c r="BS105" s="17" t="str">
        <f t="shared" si="115"/>
        <v/>
      </c>
      <c r="BT105" s="17" t="str">
        <f t="shared" si="100"/>
        <v/>
      </c>
      <c r="BU105" s="17" t="str">
        <f t="shared" si="101"/>
        <v/>
      </c>
      <c r="BV105" s="17" t="str">
        <f t="shared" si="102"/>
        <v/>
      </c>
      <c r="BW105" s="17" t="str">
        <f t="shared" si="103"/>
        <v/>
      </c>
      <c r="BX105" s="17" t="str">
        <f t="shared" si="81"/>
        <v/>
      </c>
      <c r="BY105" s="17" t="str">
        <f t="shared" si="104"/>
        <v/>
      </c>
      <c r="BZ105" s="61" t="str">
        <f t="shared" si="105"/>
        <v/>
      </c>
      <c r="CA105" s="17" t="str">
        <f t="shared" si="82"/>
        <v/>
      </c>
      <c r="CB105" s="17" t="str">
        <f t="shared" si="83"/>
        <v/>
      </c>
      <c r="CC105" s="17" t="str">
        <f t="shared" si="106"/>
        <v/>
      </c>
      <c r="CD105" s="17" t="str">
        <f t="shared" si="84"/>
        <v/>
      </c>
      <c r="CE105" s="17" t="str">
        <f t="shared" si="85"/>
        <v/>
      </c>
      <c r="CF105" s="17" t="str">
        <f t="shared" si="107"/>
        <v/>
      </c>
      <c r="CG105" s="17" t="str">
        <f t="shared" si="108"/>
        <v/>
      </c>
    </row>
    <row r="106" spans="2:85" s="17" customFormat="1" hidden="1">
      <c r="B106" s="35"/>
      <c r="C106" s="35"/>
      <c r="D106" s="36"/>
      <c r="E106" s="35"/>
      <c r="F106" s="35"/>
      <c r="G106" s="35"/>
      <c r="H106" s="35"/>
      <c r="I106" s="59"/>
      <c r="AA106" s="47" t="s">
        <v>285</v>
      </c>
      <c r="AB106" s="17" t="str">
        <f t="shared" si="61"/>
        <v/>
      </c>
      <c r="AC106" s="17">
        <f t="shared" si="86"/>
        <v>0</v>
      </c>
      <c r="AD106" s="17">
        <f t="shared" si="109"/>
        <v>6</v>
      </c>
      <c r="AE106" s="17" t="str">
        <f t="shared" si="62"/>
        <v/>
      </c>
      <c r="AF106" s="17">
        <f t="shared" si="87"/>
        <v>0</v>
      </c>
      <c r="AG106" s="17">
        <f t="shared" si="88"/>
        <v>6</v>
      </c>
      <c r="AH106" s="17" t="str">
        <f t="shared" si="89"/>
        <v/>
      </c>
      <c r="AI106" s="17" t="str">
        <f t="shared" si="63"/>
        <v/>
      </c>
      <c r="AJ106" s="17" t="str">
        <f t="shared" si="90"/>
        <v/>
      </c>
      <c r="AK106" s="17" t="str">
        <f t="shared" si="64"/>
        <v>if () {$("#adv_").html("Requierd");$("#").css({"background":"yellow"});} else {$("#adv_").html("");$("#").css({"background":"white"});}</v>
      </c>
      <c r="AL106" s="17" t="str">
        <f t="shared" si="65"/>
        <v>if (=="") {$("#adv_").html("Requierd");} else {$("#adv_").html("");}</v>
      </c>
      <c r="AM106" s="50" t="str">
        <f t="shared" si="66"/>
        <v/>
      </c>
      <c r="AN106" s="51" t="str">
        <f t="shared" si="67"/>
        <v>=$("#").val();</v>
      </c>
      <c r="AO106" s="51" t="str">
        <f t="shared" si="91"/>
        <v/>
      </c>
      <c r="AP106" s="50" t="str">
        <f t="shared" si="68"/>
        <v>&lt;input type="checkbox" id="" name="" value="1" /&gt;</v>
      </c>
      <c r="AQ106" s="51" t="str">
        <f t="shared" si="69"/>
        <v>=document.getElementById("").checked;</v>
      </c>
      <c r="AR106" s="52" t="str">
        <f t="shared" si="70"/>
        <v>if (isset($_GET[''])) {$=($_GET['']);}else $='';</v>
      </c>
      <c r="AS106" s="17" t="str">
        <f t="shared" si="71"/>
        <v>Mobile phone</v>
      </c>
      <c r="AT106" s="17" t="str">
        <f t="shared" si="110"/>
        <v/>
      </c>
      <c r="AU106" s="50" t="str">
        <f t="shared" si="72"/>
        <v>&lt;input type="radio" name="Mobile phone" id="" value="" /&gt;</v>
      </c>
      <c r="AV106" s="15" t="str">
        <f t="shared" si="73"/>
        <v>else if (document.getElementById("</v>
      </c>
      <c r="AW106" s="51" t="str">
        <f t="shared" si="74"/>
        <v>else if (document.getElementById("").checked==true) {Mobile phone="";}</v>
      </c>
      <c r="AX106" s="17" t="str">
        <f t="shared" si="111"/>
        <v/>
      </c>
      <c r="AY106" s="52" t="str">
        <f t="shared" si="75"/>
        <v/>
      </c>
      <c r="AZ106" s="56" t="str">
        <f t="shared" si="76"/>
        <v>&lt;br/&gt;&lt;textarea rows="2" cols="80" id=""&gt;&lt;/textarea&gt;&lt;br/&gt;</v>
      </c>
      <c r="BA106" s="54" t="str">
        <f t="shared" si="77"/>
        <v>&lt;input type="text"  size="7"  id="" class="datepicker"/&gt;</v>
      </c>
      <c r="BB106" s="54" t="str">
        <f t="shared" si="92"/>
        <v/>
      </c>
      <c r="BC106" s="48" t="str">
        <f t="shared" si="112"/>
        <v/>
      </c>
      <c r="BD106" s="49" t="str">
        <f t="shared" si="113"/>
        <v/>
      </c>
      <c r="BE106" s="49">
        <f t="shared" si="116"/>
        <v>7</v>
      </c>
      <c r="BF106" s="55" t="str">
        <f t="shared" si="93"/>
        <v/>
      </c>
      <c r="BG106" s="6" t="str">
        <f t="shared" si="78"/>
        <v/>
      </c>
      <c r="BH106" s="17" t="str">
        <f t="shared" si="79"/>
        <v/>
      </c>
      <c r="BI106" s="17" t="str">
        <f t="shared" si="94"/>
        <v/>
      </c>
      <c r="BJ106" s="17">
        <f t="shared" si="95"/>
        <v>0</v>
      </c>
      <c r="BK106" s="17">
        <f t="shared" si="96"/>
        <v>1</v>
      </c>
      <c r="BL106" s="17" t="str">
        <f t="shared" si="97"/>
        <v/>
      </c>
      <c r="BO106" s="17" t="str">
        <f t="shared" si="114"/>
        <v/>
      </c>
      <c r="BP106" s="17" t="str">
        <f t="shared" si="80"/>
        <v/>
      </c>
      <c r="BQ106" s="17" t="str">
        <f t="shared" si="98"/>
        <v/>
      </c>
      <c r="BR106" s="17" t="str">
        <f t="shared" si="99"/>
        <v/>
      </c>
      <c r="BS106" s="17" t="str">
        <f t="shared" si="115"/>
        <v/>
      </c>
      <c r="BT106" s="17" t="str">
        <f t="shared" si="100"/>
        <v/>
      </c>
      <c r="BU106" s="17" t="str">
        <f t="shared" si="101"/>
        <v/>
      </c>
      <c r="BV106" s="17" t="str">
        <f t="shared" si="102"/>
        <v/>
      </c>
      <c r="BW106" s="17" t="str">
        <f t="shared" si="103"/>
        <v/>
      </c>
      <c r="BX106" s="17" t="str">
        <f t="shared" si="81"/>
        <v/>
      </c>
      <c r="BY106" s="17" t="str">
        <f t="shared" si="104"/>
        <v/>
      </c>
      <c r="BZ106" s="61" t="str">
        <f t="shared" si="105"/>
        <v/>
      </c>
      <c r="CA106" s="17" t="str">
        <f t="shared" si="82"/>
        <v/>
      </c>
      <c r="CB106" s="17" t="str">
        <f t="shared" si="83"/>
        <v/>
      </c>
      <c r="CC106" s="17" t="str">
        <f t="shared" si="106"/>
        <v/>
      </c>
      <c r="CD106" s="17" t="str">
        <f t="shared" si="84"/>
        <v/>
      </c>
      <c r="CE106" s="17" t="str">
        <f t="shared" si="85"/>
        <v/>
      </c>
      <c r="CF106" s="17" t="str">
        <f t="shared" si="107"/>
        <v/>
      </c>
      <c r="CG106" s="17" t="str">
        <f t="shared" si="108"/>
        <v/>
      </c>
    </row>
    <row r="107" spans="2:85" s="17" customFormat="1" hidden="1">
      <c r="B107" s="35"/>
      <c r="C107" s="35"/>
      <c r="D107" s="36"/>
      <c r="E107" s="35"/>
      <c r="F107" s="35"/>
      <c r="G107" s="35"/>
      <c r="H107" s="35"/>
      <c r="I107" s="59"/>
      <c r="AA107" s="47" t="s">
        <v>286</v>
      </c>
      <c r="AB107" s="17" t="str">
        <f t="shared" si="61"/>
        <v/>
      </c>
      <c r="AC107" s="17">
        <f t="shared" si="86"/>
        <v>0</v>
      </c>
      <c r="AD107" s="17">
        <f t="shared" si="109"/>
        <v>6</v>
      </c>
      <c r="AE107" s="17" t="str">
        <f t="shared" si="62"/>
        <v/>
      </c>
      <c r="AF107" s="17">
        <f t="shared" si="87"/>
        <v>0</v>
      </c>
      <c r="AG107" s="17">
        <f t="shared" si="88"/>
        <v>6</v>
      </c>
      <c r="AH107" s="17" t="str">
        <f t="shared" si="89"/>
        <v/>
      </c>
      <c r="AI107" s="17" t="str">
        <f t="shared" si="63"/>
        <v/>
      </c>
      <c r="AJ107" s="17" t="str">
        <f t="shared" si="90"/>
        <v/>
      </c>
      <c r="AK107" s="17" t="str">
        <f t="shared" si="64"/>
        <v>if () {$("#adv_").html("Requierd");$("#").css({"background":"yellow"});} else {$("#adv_").html("");$("#").css({"background":"white"});}</v>
      </c>
      <c r="AL107" s="17" t="str">
        <f t="shared" si="65"/>
        <v>if (=="") {$("#adv_").html("Requierd");} else {$("#adv_").html("");}</v>
      </c>
      <c r="AM107" s="50" t="str">
        <f t="shared" si="66"/>
        <v/>
      </c>
      <c r="AN107" s="51" t="str">
        <f t="shared" si="67"/>
        <v>=$("#").val();</v>
      </c>
      <c r="AO107" s="51" t="str">
        <f t="shared" si="91"/>
        <v/>
      </c>
      <c r="AP107" s="50" t="str">
        <f t="shared" si="68"/>
        <v>&lt;input type="checkbox" id="" name="" value="1" /&gt;</v>
      </c>
      <c r="AQ107" s="51" t="str">
        <f t="shared" si="69"/>
        <v>=document.getElementById("").checked;</v>
      </c>
      <c r="AR107" s="52" t="str">
        <f t="shared" si="70"/>
        <v>if (isset($_GET[''])) {$=($_GET['']);}else $='';</v>
      </c>
      <c r="AS107" s="17" t="str">
        <f t="shared" si="71"/>
        <v>Mobile phone</v>
      </c>
      <c r="AT107" s="17" t="str">
        <f t="shared" si="110"/>
        <v/>
      </c>
      <c r="AU107" s="50" t="str">
        <f t="shared" si="72"/>
        <v>&lt;input type="radio" name="Mobile phone" id="" value="" /&gt;</v>
      </c>
      <c r="AV107" s="15" t="str">
        <f t="shared" si="73"/>
        <v>else if (document.getElementById("</v>
      </c>
      <c r="AW107" s="51" t="str">
        <f t="shared" si="74"/>
        <v>else if (document.getElementById("").checked==true) {Mobile phone="";}</v>
      </c>
      <c r="AX107" s="17" t="str">
        <f t="shared" si="111"/>
        <v/>
      </c>
      <c r="AY107" s="52" t="str">
        <f t="shared" si="75"/>
        <v/>
      </c>
      <c r="AZ107" s="56" t="str">
        <f t="shared" si="76"/>
        <v>&lt;br/&gt;&lt;textarea rows="2" cols="80" id=""&gt;&lt;/textarea&gt;&lt;br/&gt;</v>
      </c>
      <c r="BA107" s="54" t="str">
        <f t="shared" si="77"/>
        <v>&lt;input type="text"  size="7"  id="" class="datepicker"/&gt;</v>
      </c>
      <c r="BB107" s="54" t="str">
        <f t="shared" si="92"/>
        <v/>
      </c>
      <c r="BC107" s="48" t="str">
        <f t="shared" si="112"/>
        <v/>
      </c>
      <c r="BD107" s="49" t="str">
        <f t="shared" si="113"/>
        <v/>
      </c>
      <c r="BE107" s="49">
        <f t="shared" si="116"/>
        <v>7</v>
      </c>
      <c r="BF107" s="55" t="str">
        <f t="shared" si="93"/>
        <v/>
      </c>
      <c r="BG107" s="6" t="str">
        <f t="shared" si="78"/>
        <v/>
      </c>
      <c r="BH107" s="17" t="str">
        <f t="shared" si="79"/>
        <v/>
      </c>
      <c r="BI107" s="17" t="str">
        <f t="shared" si="94"/>
        <v/>
      </c>
      <c r="BJ107" s="17">
        <f t="shared" si="95"/>
        <v>0</v>
      </c>
      <c r="BK107" s="17">
        <f t="shared" si="96"/>
        <v>1</v>
      </c>
      <c r="BL107" s="17" t="str">
        <f t="shared" si="97"/>
        <v/>
      </c>
      <c r="BO107" s="17" t="str">
        <f t="shared" si="114"/>
        <v/>
      </c>
      <c r="BP107" s="17" t="str">
        <f t="shared" si="80"/>
        <v/>
      </c>
      <c r="BQ107" s="17" t="str">
        <f t="shared" si="98"/>
        <v/>
      </c>
      <c r="BR107" s="17" t="str">
        <f t="shared" si="99"/>
        <v/>
      </c>
      <c r="BS107" s="17" t="str">
        <f t="shared" si="115"/>
        <v/>
      </c>
      <c r="BT107" s="17" t="str">
        <f t="shared" si="100"/>
        <v/>
      </c>
      <c r="BU107" s="17" t="str">
        <f t="shared" si="101"/>
        <v/>
      </c>
      <c r="BV107" s="17" t="str">
        <f t="shared" si="102"/>
        <v/>
      </c>
      <c r="BW107" s="17" t="str">
        <f t="shared" si="103"/>
        <v/>
      </c>
      <c r="BX107" s="17" t="str">
        <f t="shared" si="81"/>
        <v/>
      </c>
      <c r="BY107" s="17" t="str">
        <f t="shared" si="104"/>
        <v/>
      </c>
      <c r="BZ107" s="61" t="str">
        <f t="shared" si="105"/>
        <v/>
      </c>
      <c r="CA107" s="17" t="str">
        <f t="shared" si="82"/>
        <v/>
      </c>
      <c r="CB107" s="17" t="str">
        <f t="shared" si="83"/>
        <v/>
      </c>
      <c r="CC107" s="17" t="str">
        <f t="shared" si="106"/>
        <v/>
      </c>
      <c r="CD107" s="17" t="str">
        <f t="shared" si="84"/>
        <v/>
      </c>
      <c r="CE107" s="17" t="str">
        <f t="shared" si="85"/>
        <v/>
      </c>
      <c r="CF107" s="17" t="str">
        <f t="shared" si="107"/>
        <v/>
      </c>
      <c r="CG107" s="17" t="str">
        <f t="shared" si="108"/>
        <v/>
      </c>
    </row>
    <row r="108" spans="2:85" s="17" customFormat="1" hidden="1">
      <c r="B108" s="35"/>
      <c r="C108" s="35"/>
      <c r="D108" s="36"/>
      <c r="E108" s="35"/>
      <c r="F108" s="35"/>
      <c r="G108" s="35"/>
      <c r="H108" s="35"/>
      <c r="I108" s="59"/>
      <c r="AA108" s="47" t="s">
        <v>287</v>
      </c>
      <c r="AB108" s="17" t="str">
        <f t="shared" si="61"/>
        <v/>
      </c>
      <c r="AC108" s="17">
        <f t="shared" si="86"/>
        <v>0</v>
      </c>
      <c r="AD108" s="17">
        <f t="shared" si="109"/>
        <v>6</v>
      </c>
      <c r="AE108" s="17" t="str">
        <f t="shared" si="62"/>
        <v/>
      </c>
      <c r="AF108" s="17">
        <f t="shared" si="87"/>
        <v>0</v>
      </c>
      <c r="AG108" s="17">
        <f t="shared" si="88"/>
        <v>6</v>
      </c>
      <c r="AH108" s="17" t="str">
        <f t="shared" si="89"/>
        <v/>
      </c>
      <c r="AI108" s="17" t="str">
        <f t="shared" si="63"/>
        <v/>
      </c>
      <c r="AJ108" s="17" t="str">
        <f t="shared" si="90"/>
        <v/>
      </c>
      <c r="AK108" s="17" t="str">
        <f t="shared" si="64"/>
        <v>if () {$("#adv_").html("Requierd");$("#").css({"background":"yellow"});} else {$("#adv_").html("");$("#").css({"background":"white"});}</v>
      </c>
      <c r="AL108" s="17" t="str">
        <f t="shared" si="65"/>
        <v>if (=="") {$("#adv_").html("Requierd");} else {$("#adv_").html("");}</v>
      </c>
      <c r="AM108" s="50" t="str">
        <f t="shared" si="66"/>
        <v/>
      </c>
      <c r="AN108" s="51" t="str">
        <f t="shared" si="67"/>
        <v>=$("#").val();</v>
      </c>
      <c r="AO108" s="51" t="str">
        <f t="shared" si="91"/>
        <v/>
      </c>
      <c r="AP108" s="50" t="str">
        <f t="shared" si="68"/>
        <v>&lt;input type="checkbox" id="" name="" value="1" /&gt;</v>
      </c>
      <c r="AQ108" s="51" t="str">
        <f t="shared" si="69"/>
        <v>=document.getElementById("").checked;</v>
      </c>
      <c r="AR108" s="52" t="str">
        <f t="shared" si="70"/>
        <v>if (isset($_GET[''])) {$=($_GET['']);}else $='';</v>
      </c>
      <c r="AS108" s="17" t="str">
        <f t="shared" si="71"/>
        <v>Mobile phone</v>
      </c>
      <c r="AT108" s="17" t="str">
        <f t="shared" si="110"/>
        <v/>
      </c>
      <c r="AU108" s="50" t="str">
        <f t="shared" si="72"/>
        <v>&lt;input type="radio" name="Mobile phone" id="" value="" /&gt;</v>
      </c>
      <c r="AV108" s="15" t="str">
        <f t="shared" si="73"/>
        <v>else if (document.getElementById("</v>
      </c>
      <c r="AW108" s="51" t="str">
        <f t="shared" si="74"/>
        <v>else if (document.getElementById("").checked==true) {Mobile phone="";}</v>
      </c>
      <c r="AX108" s="17" t="str">
        <f t="shared" si="111"/>
        <v/>
      </c>
      <c r="AY108" s="52" t="str">
        <f t="shared" si="75"/>
        <v/>
      </c>
      <c r="AZ108" s="56" t="str">
        <f t="shared" si="76"/>
        <v>&lt;br/&gt;&lt;textarea rows="2" cols="80" id=""&gt;&lt;/textarea&gt;&lt;br/&gt;</v>
      </c>
      <c r="BA108" s="54" t="str">
        <f t="shared" si="77"/>
        <v>&lt;input type="text"  size="7"  id="" class="datepicker"/&gt;</v>
      </c>
      <c r="BB108" s="54" t="str">
        <f t="shared" si="92"/>
        <v/>
      </c>
      <c r="BC108" s="48" t="str">
        <f t="shared" si="112"/>
        <v/>
      </c>
      <c r="BD108" s="49" t="str">
        <f t="shared" si="113"/>
        <v/>
      </c>
      <c r="BE108" s="49">
        <f t="shared" si="116"/>
        <v>7</v>
      </c>
      <c r="BF108" s="55" t="str">
        <f t="shared" si="93"/>
        <v/>
      </c>
      <c r="BG108" s="6" t="str">
        <f t="shared" si="78"/>
        <v/>
      </c>
      <c r="BH108" s="17" t="str">
        <f t="shared" si="79"/>
        <v/>
      </c>
      <c r="BI108" s="17" t="str">
        <f t="shared" si="94"/>
        <v/>
      </c>
      <c r="BJ108" s="17">
        <f t="shared" si="95"/>
        <v>0</v>
      </c>
      <c r="BK108" s="17">
        <f t="shared" si="96"/>
        <v>1</v>
      </c>
      <c r="BL108" s="17" t="str">
        <f t="shared" si="97"/>
        <v/>
      </c>
      <c r="BO108" s="17" t="str">
        <f t="shared" si="114"/>
        <v/>
      </c>
      <c r="BP108" s="17" t="str">
        <f t="shared" si="80"/>
        <v/>
      </c>
      <c r="BQ108" s="17" t="str">
        <f t="shared" si="98"/>
        <v/>
      </c>
      <c r="BR108" s="17" t="str">
        <f t="shared" si="99"/>
        <v/>
      </c>
      <c r="BS108" s="17" t="str">
        <f t="shared" si="115"/>
        <v/>
      </c>
      <c r="BT108" s="17" t="str">
        <f t="shared" si="100"/>
        <v/>
      </c>
      <c r="BU108" s="17" t="str">
        <f t="shared" si="101"/>
        <v/>
      </c>
      <c r="BV108" s="17" t="str">
        <f t="shared" si="102"/>
        <v/>
      </c>
      <c r="BW108" s="17" t="str">
        <f t="shared" si="103"/>
        <v/>
      </c>
      <c r="BX108" s="17" t="str">
        <f t="shared" si="81"/>
        <v/>
      </c>
      <c r="BY108" s="17" t="str">
        <f t="shared" si="104"/>
        <v/>
      </c>
      <c r="BZ108" s="61" t="str">
        <f t="shared" si="105"/>
        <v/>
      </c>
      <c r="CA108" s="17" t="str">
        <f t="shared" si="82"/>
        <v/>
      </c>
      <c r="CB108" s="17" t="str">
        <f t="shared" si="83"/>
        <v/>
      </c>
      <c r="CC108" s="17" t="str">
        <f t="shared" si="106"/>
        <v/>
      </c>
      <c r="CD108" s="17" t="str">
        <f t="shared" si="84"/>
        <v/>
      </c>
      <c r="CE108" s="17" t="str">
        <f t="shared" si="85"/>
        <v/>
      </c>
      <c r="CF108" s="17" t="str">
        <f t="shared" si="107"/>
        <v/>
      </c>
      <c r="CG108" s="17" t="str">
        <f t="shared" si="108"/>
        <v/>
      </c>
    </row>
    <row r="109" spans="2:85" s="17" customFormat="1" hidden="1">
      <c r="B109" s="35"/>
      <c r="C109" s="35"/>
      <c r="D109" s="36"/>
      <c r="E109" s="35"/>
      <c r="F109" s="35"/>
      <c r="G109" s="35"/>
      <c r="H109" s="35"/>
      <c r="I109" s="59"/>
      <c r="AA109" s="47" t="s">
        <v>288</v>
      </c>
      <c r="AB109" s="17" t="str">
        <f t="shared" si="61"/>
        <v/>
      </c>
      <c r="AC109" s="17">
        <f t="shared" si="86"/>
        <v>0</v>
      </c>
      <c r="AD109" s="17">
        <f t="shared" si="109"/>
        <v>6</v>
      </c>
      <c r="AE109" s="17" t="str">
        <f t="shared" si="62"/>
        <v/>
      </c>
      <c r="AF109" s="17">
        <f t="shared" si="87"/>
        <v>0</v>
      </c>
      <c r="AG109" s="17">
        <f t="shared" si="88"/>
        <v>6</v>
      </c>
      <c r="AH109" s="17" t="str">
        <f t="shared" si="89"/>
        <v/>
      </c>
      <c r="AI109" s="17" t="str">
        <f t="shared" si="63"/>
        <v/>
      </c>
      <c r="AJ109" s="17" t="str">
        <f t="shared" si="90"/>
        <v/>
      </c>
      <c r="AK109" s="17" t="str">
        <f t="shared" si="64"/>
        <v>if () {$("#adv_").html("Requierd");$("#").css({"background":"yellow"});} else {$("#adv_").html("");$("#").css({"background":"white"});}</v>
      </c>
      <c r="AL109" s="17" t="str">
        <f t="shared" si="65"/>
        <v>if (=="") {$("#adv_").html("Requierd");} else {$("#adv_").html("");}</v>
      </c>
      <c r="AM109" s="50" t="str">
        <f t="shared" si="66"/>
        <v/>
      </c>
      <c r="AN109" s="51" t="str">
        <f t="shared" si="67"/>
        <v>=$("#").val();</v>
      </c>
      <c r="AO109" s="51" t="str">
        <f t="shared" si="91"/>
        <v/>
      </c>
      <c r="AP109" s="50" t="str">
        <f t="shared" si="68"/>
        <v>&lt;input type="checkbox" id="" name="" value="1" /&gt;</v>
      </c>
      <c r="AQ109" s="51" t="str">
        <f t="shared" si="69"/>
        <v>=document.getElementById("").checked;</v>
      </c>
      <c r="AR109" s="52" t="str">
        <f t="shared" si="70"/>
        <v>if (isset($_GET[''])) {$=($_GET['']);}else $='';</v>
      </c>
      <c r="AS109" s="17" t="str">
        <f t="shared" si="71"/>
        <v>Mobile phone</v>
      </c>
      <c r="AT109" s="17" t="str">
        <f t="shared" si="110"/>
        <v/>
      </c>
      <c r="AU109" s="50" t="str">
        <f t="shared" si="72"/>
        <v>&lt;input type="radio" name="Mobile phone" id="" value="" /&gt;</v>
      </c>
      <c r="AV109" s="15" t="str">
        <f t="shared" si="73"/>
        <v>else if (document.getElementById("</v>
      </c>
      <c r="AW109" s="51" t="str">
        <f t="shared" si="74"/>
        <v>else if (document.getElementById("").checked==true) {Mobile phone="";}</v>
      </c>
      <c r="AX109" s="17" t="str">
        <f t="shared" si="111"/>
        <v/>
      </c>
      <c r="AY109" s="52" t="str">
        <f t="shared" si="75"/>
        <v/>
      </c>
      <c r="AZ109" s="56" t="str">
        <f t="shared" si="76"/>
        <v>&lt;br/&gt;&lt;textarea rows="2" cols="80" id=""&gt;&lt;/textarea&gt;&lt;br/&gt;</v>
      </c>
      <c r="BA109" s="54" t="str">
        <f t="shared" si="77"/>
        <v>&lt;input type="text"  size="7"  id="" class="datepicker"/&gt;</v>
      </c>
      <c r="BB109" s="54" t="str">
        <f t="shared" si="92"/>
        <v/>
      </c>
      <c r="BC109" s="48" t="str">
        <f t="shared" si="112"/>
        <v/>
      </c>
      <c r="BD109" s="49" t="str">
        <f t="shared" si="113"/>
        <v/>
      </c>
      <c r="BE109" s="49">
        <f t="shared" si="116"/>
        <v>7</v>
      </c>
      <c r="BF109" s="55" t="str">
        <f t="shared" si="93"/>
        <v/>
      </c>
      <c r="BG109" s="6" t="str">
        <f t="shared" si="78"/>
        <v/>
      </c>
      <c r="BH109" s="17" t="str">
        <f t="shared" si="79"/>
        <v/>
      </c>
      <c r="BI109" s="17" t="str">
        <f t="shared" si="94"/>
        <v/>
      </c>
      <c r="BJ109" s="17">
        <f t="shared" si="95"/>
        <v>0</v>
      </c>
      <c r="BK109" s="17">
        <f t="shared" si="96"/>
        <v>1</v>
      </c>
      <c r="BL109" s="17" t="str">
        <f t="shared" si="97"/>
        <v/>
      </c>
      <c r="BO109" s="17" t="str">
        <f t="shared" si="114"/>
        <v/>
      </c>
      <c r="BP109" s="17" t="str">
        <f t="shared" si="80"/>
        <v/>
      </c>
      <c r="BQ109" s="17" t="str">
        <f t="shared" si="98"/>
        <v/>
      </c>
      <c r="BR109" s="17" t="str">
        <f t="shared" si="99"/>
        <v/>
      </c>
      <c r="BS109" s="17" t="str">
        <f t="shared" si="115"/>
        <v/>
      </c>
      <c r="BT109" s="17" t="str">
        <f t="shared" si="100"/>
        <v/>
      </c>
      <c r="BU109" s="17" t="str">
        <f t="shared" si="101"/>
        <v/>
      </c>
      <c r="BV109" s="17" t="str">
        <f t="shared" si="102"/>
        <v/>
      </c>
      <c r="BW109" s="17" t="str">
        <f t="shared" si="103"/>
        <v/>
      </c>
      <c r="BX109" s="17" t="str">
        <f t="shared" si="81"/>
        <v/>
      </c>
      <c r="BY109" s="17" t="str">
        <f t="shared" si="104"/>
        <v/>
      </c>
      <c r="BZ109" s="61" t="str">
        <f t="shared" si="105"/>
        <v/>
      </c>
      <c r="CA109" s="17" t="str">
        <f t="shared" si="82"/>
        <v/>
      </c>
      <c r="CB109" s="17" t="str">
        <f t="shared" si="83"/>
        <v/>
      </c>
      <c r="CC109" s="17" t="str">
        <f t="shared" si="106"/>
        <v/>
      </c>
      <c r="CD109" s="17" t="str">
        <f t="shared" si="84"/>
        <v/>
      </c>
      <c r="CE109" s="17" t="str">
        <f t="shared" si="85"/>
        <v/>
      </c>
      <c r="CF109" s="17" t="str">
        <f t="shared" si="107"/>
        <v/>
      </c>
      <c r="CG109" s="17" t="str">
        <f t="shared" si="108"/>
        <v/>
      </c>
    </row>
    <row r="110" spans="2:85" s="17" customFormat="1" hidden="1">
      <c r="B110" s="35"/>
      <c r="C110" s="35"/>
      <c r="D110" s="36"/>
      <c r="E110" s="35"/>
      <c r="F110" s="35"/>
      <c r="G110" s="35"/>
      <c r="H110" s="35"/>
      <c r="I110" s="59"/>
      <c r="AA110" s="47" t="s">
        <v>289</v>
      </c>
      <c r="AB110" s="17" t="str">
        <f t="shared" si="61"/>
        <v/>
      </c>
      <c r="AC110" s="17">
        <f t="shared" si="86"/>
        <v>0</v>
      </c>
      <c r="AD110" s="17">
        <f t="shared" si="109"/>
        <v>6</v>
      </c>
      <c r="AE110" s="17" t="str">
        <f t="shared" si="62"/>
        <v/>
      </c>
      <c r="AF110" s="17">
        <f t="shared" si="87"/>
        <v>0</v>
      </c>
      <c r="AG110" s="17">
        <f t="shared" si="88"/>
        <v>6</v>
      </c>
      <c r="AH110" s="17" t="str">
        <f t="shared" si="89"/>
        <v/>
      </c>
      <c r="AI110" s="17" t="str">
        <f t="shared" si="63"/>
        <v/>
      </c>
      <c r="AJ110" s="17" t="str">
        <f t="shared" si="90"/>
        <v/>
      </c>
      <c r="AK110" s="17" t="str">
        <f t="shared" si="64"/>
        <v>if () {$("#adv_").html("Requierd");$("#").css({"background":"yellow"});} else {$("#adv_").html("");$("#").css({"background":"white"});}</v>
      </c>
      <c r="AL110" s="17" t="str">
        <f t="shared" si="65"/>
        <v>if (=="") {$("#adv_").html("Requierd");} else {$("#adv_").html("");}</v>
      </c>
      <c r="AM110" s="50" t="str">
        <f t="shared" si="66"/>
        <v/>
      </c>
      <c r="AN110" s="51" t="str">
        <f t="shared" si="67"/>
        <v>=$("#").val();</v>
      </c>
      <c r="AO110" s="51" t="str">
        <f t="shared" si="91"/>
        <v/>
      </c>
      <c r="AP110" s="50" t="str">
        <f t="shared" si="68"/>
        <v>&lt;input type="checkbox" id="" name="" value="1" /&gt;</v>
      </c>
      <c r="AQ110" s="51" t="str">
        <f t="shared" si="69"/>
        <v>=document.getElementById("").checked;</v>
      </c>
      <c r="AR110" s="52" t="str">
        <f t="shared" si="70"/>
        <v>if (isset($_GET[''])) {$=($_GET['']);}else $='';</v>
      </c>
      <c r="AS110" s="17" t="str">
        <f t="shared" si="71"/>
        <v>Mobile phone</v>
      </c>
      <c r="AT110" s="17" t="str">
        <f t="shared" si="110"/>
        <v/>
      </c>
      <c r="AU110" s="50" t="str">
        <f t="shared" si="72"/>
        <v>&lt;input type="radio" name="Mobile phone" id="" value="" /&gt;</v>
      </c>
      <c r="AV110" s="15" t="str">
        <f t="shared" si="73"/>
        <v>else if (document.getElementById("</v>
      </c>
      <c r="AW110" s="51" t="str">
        <f t="shared" si="74"/>
        <v>else if (document.getElementById("").checked==true) {Mobile phone="";}</v>
      </c>
      <c r="AX110" s="17" t="str">
        <f t="shared" si="111"/>
        <v/>
      </c>
      <c r="AY110" s="52" t="str">
        <f t="shared" si="75"/>
        <v/>
      </c>
      <c r="AZ110" s="56" t="str">
        <f t="shared" si="76"/>
        <v>&lt;br/&gt;&lt;textarea rows="2" cols="80" id=""&gt;&lt;/textarea&gt;&lt;br/&gt;</v>
      </c>
      <c r="BA110" s="54" t="str">
        <f t="shared" si="77"/>
        <v>&lt;input type="text"  size="7"  id="" class="datepicker"/&gt;</v>
      </c>
      <c r="BB110" s="54" t="str">
        <f t="shared" si="92"/>
        <v/>
      </c>
      <c r="BC110" s="48" t="str">
        <f t="shared" si="112"/>
        <v/>
      </c>
      <c r="BD110" s="49" t="str">
        <f t="shared" si="113"/>
        <v/>
      </c>
      <c r="BE110" s="49">
        <f t="shared" si="116"/>
        <v>7</v>
      </c>
      <c r="BF110" s="55" t="str">
        <f t="shared" si="93"/>
        <v/>
      </c>
      <c r="BG110" s="6" t="str">
        <f t="shared" si="78"/>
        <v/>
      </c>
      <c r="BH110" s="17" t="str">
        <f t="shared" si="79"/>
        <v/>
      </c>
      <c r="BI110" s="17" t="str">
        <f t="shared" si="94"/>
        <v/>
      </c>
      <c r="BJ110" s="17">
        <f t="shared" si="95"/>
        <v>0</v>
      </c>
      <c r="BK110" s="17">
        <f t="shared" si="96"/>
        <v>1</v>
      </c>
      <c r="BL110" s="17" t="str">
        <f t="shared" si="97"/>
        <v/>
      </c>
      <c r="BO110" s="17" t="str">
        <f t="shared" si="114"/>
        <v/>
      </c>
      <c r="BP110" s="17" t="str">
        <f t="shared" si="80"/>
        <v/>
      </c>
      <c r="BQ110" s="17" t="str">
        <f t="shared" si="98"/>
        <v/>
      </c>
      <c r="BR110" s="17" t="str">
        <f t="shared" si="99"/>
        <v/>
      </c>
      <c r="BS110" s="17" t="str">
        <f t="shared" si="115"/>
        <v/>
      </c>
      <c r="BT110" s="17" t="str">
        <f t="shared" si="100"/>
        <v/>
      </c>
      <c r="BU110" s="17" t="str">
        <f t="shared" si="101"/>
        <v/>
      </c>
      <c r="BV110" s="17" t="str">
        <f t="shared" si="102"/>
        <v/>
      </c>
      <c r="BW110" s="17" t="str">
        <f t="shared" si="103"/>
        <v/>
      </c>
      <c r="BX110" s="17" t="str">
        <f t="shared" si="81"/>
        <v/>
      </c>
      <c r="BY110" s="17" t="str">
        <f t="shared" si="104"/>
        <v/>
      </c>
      <c r="BZ110" s="61" t="str">
        <f t="shared" si="105"/>
        <v/>
      </c>
      <c r="CA110" s="17" t="str">
        <f t="shared" si="82"/>
        <v/>
      </c>
      <c r="CB110" s="17" t="str">
        <f t="shared" si="83"/>
        <v/>
      </c>
      <c r="CC110" s="17" t="str">
        <f t="shared" si="106"/>
        <v/>
      </c>
      <c r="CD110" s="17" t="str">
        <f t="shared" si="84"/>
        <v/>
      </c>
      <c r="CE110" s="17" t="str">
        <f t="shared" si="85"/>
        <v/>
      </c>
      <c r="CF110" s="17" t="str">
        <f t="shared" si="107"/>
        <v/>
      </c>
      <c r="CG110" s="17" t="str">
        <f t="shared" si="108"/>
        <v/>
      </c>
    </row>
    <row r="111" spans="2:85" s="17" customFormat="1" hidden="1">
      <c r="B111" s="35"/>
      <c r="C111" s="35"/>
      <c r="D111" s="36"/>
      <c r="E111" s="35"/>
      <c r="F111" s="35"/>
      <c r="G111" s="35"/>
      <c r="H111" s="35"/>
      <c r="I111" s="59"/>
      <c r="AA111" s="47" t="s">
        <v>290</v>
      </c>
      <c r="AB111" s="17" t="str">
        <f t="shared" si="61"/>
        <v/>
      </c>
      <c r="AC111" s="17">
        <f t="shared" si="86"/>
        <v>0</v>
      </c>
      <c r="AD111" s="17">
        <f t="shared" si="109"/>
        <v>6</v>
      </c>
      <c r="AE111" s="17" t="str">
        <f t="shared" si="62"/>
        <v/>
      </c>
      <c r="AF111" s="17">
        <f t="shared" si="87"/>
        <v>0</v>
      </c>
      <c r="AG111" s="17">
        <f t="shared" si="88"/>
        <v>6</v>
      </c>
      <c r="AH111" s="17" t="str">
        <f t="shared" si="89"/>
        <v/>
      </c>
      <c r="AI111" s="17" t="str">
        <f t="shared" si="63"/>
        <v/>
      </c>
      <c r="AJ111" s="17" t="str">
        <f t="shared" si="90"/>
        <v/>
      </c>
      <c r="AK111" s="17" t="str">
        <f t="shared" si="64"/>
        <v>if () {$("#adv_").html("Requierd");$("#").css({"background":"yellow"});} else {$("#adv_").html("");$("#").css({"background":"white"});}</v>
      </c>
      <c r="AL111" s="17" t="str">
        <f t="shared" si="65"/>
        <v>if (=="") {$("#adv_").html("Requierd");} else {$("#adv_").html("");}</v>
      </c>
      <c r="AM111" s="50" t="str">
        <f t="shared" si="66"/>
        <v/>
      </c>
      <c r="AN111" s="51" t="str">
        <f t="shared" si="67"/>
        <v>=$("#").val();</v>
      </c>
      <c r="AO111" s="51" t="str">
        <f t="shared" si="91"/>
        <v/>
      </c>
      <c r="AP111" s="50" t="str">
        <f t="shared" si="68"/>
        <v>&lt;input type="checkbox" id="" name="" value="1" /&gt;</v>
      </c>
      <c r="AQ111" s="51" t="str">
        <f t="shared" si="69"/>
        <v>=document.getElementById("").checked;</v>
      </c>
      <c r="AR111" s="52" t="str">
        <f t="shared" si="70"/>
        <v>if (isset($_GET[''])) {$=($_GET['']);}else $='';</v>
      </c>
      <c r="AS111" s="17" t="str">
        <f t="shared" si="71"/>
        <v>Mobile phone</v>
      </c>
      <c r="AT111" s="17" t="str">
        <f t="shared" si="110"/>
        <v/>
      </c>
      <c r="AU111" s="50" t="str">
        <f t="shared" si="72"/>
        <v>&lt;input type="radio" name="Mobile phone" id="" value="" /&gt;</v>
      </c>
      <c r="AV111" s="15" t="str">
        <f t="shared" si="73"/>
        <v>else if (document.getElementById("</v>
      </c>
      <c r="AW111" s="51" t="str">
        <f t="shared" si="74"/>
        <v>else if (document.getElementById("").checked==true) {Mobile phone="";}</v>
      </c>
      <c r="AX111" s="17" t="str">
        <f t="shared" si="111"/>
        <v/>
      </c>
      <c r="AY111" s="52" t="str">
        <f t="shared" si="75"/>
        <v/>
      </c>
      <c r="AZ111" s="56" t="str">
        <f t="shared" si="76"/>
        <v>&lt;br/&gt;&lt;textarea rows="2" cols="80" id=""&gt;&lt;/textarea&gt;&lt;br/&gt;</v>
      </c>
      <c r="BA111" s="54" t="str">
        <f t="shared" si="77"/>
        <v>&lt;input type="text"  size="7"  id="" class="datepicker"/&gt;</v>
      </c>
      <c r="BB111" s="54" t="str">
        <f t="shared" si="92"/>
        <v/>
      </c>
      <c r="BC111" s="48" t="str">
        <f t="shared" si="112"/>
        <v/>
      </c>
      <c r="BD111" s="49" t="str">
        <f t="shared" si="113"/>
        <v/>
      </c>
      <c r="BE111" s="49">
        <f t="shared" si="116"/>
        <v>7</v>
      </c>
      <c r="BF111" s="55" t="str">
        <f t="shared" si="93"/>
        <v/>
      </c>
      <c r="BG111" s="6" t="str">
        <f t="shared" si="78"/>
        <v/>
      </c>
      <c r="BH111" s="17" t="str">
        <f t="shared" si="79"/>
        <v/>
      </c>
      <c r="BI111" s="17" t="str">
        <f t="shared" si="94"/>
        <v/>
      </c>
      <c r="BJ111" s="17">
        <f t="shared" si="95"/>
        <v>0</v>
      </c>
      <c r="BK111" s="17">
        <f t="shared" si="96"/>
        <v>1</v>
      </c>
      <c r="BL111" s="17" t="str">
        <f t="shared" si="97"/>
        <v/>
      </c>
      <c r="BO111" s="17" t="str">
        <f t="shared" si="114"/>
        <v/>
      </c>
      <c r="BP111" s="17" t="str">
        <f t="shared" si="80"/>
        <v/>
      </c>
      <c r="BQ111" s="17" t="str">
        <f t="shared" si="98"/>
        <v/>
      </c>
      <c r="BR111" s="17" t="str">
        <f t="shared" si="99"/>
        <v/>
      </c>
      <c r="BS111" s="17" t="str">
        <f t="shared" si="115"/>
        <v/>
      </c>
      <c r="BT111" s="17" t="str">
        <f t="shared" si="100"/>
        <v/>
      </c>
      <c r="BU111" s="17" t="str">
        <f t="shared" si="101"/>
        <v/>
      </c>
      <c r="BV111" s="17" t="str">
        <f t="shared" si="102"/>
        <v/>
      </c>
      <c r="BW111" s="17" t="str">
        <f t="shared" si="103"/>
        <v/>
      </c>
      <c r="BX111" s="17" t="str">
        <f t="shared" si="81"/>
        <v/>
      </c>
      <c r="BY111" s="17" t="str">
        <f t="shared" si="104"/>
        <v/>
      </c>
      <c r="BZ111" s="61" t="str">
        <f t="shared" si="105"/>
        <v/>
      </c>
      <c r="CA111" s="17" t="str">
        <f t="shared" si="82"/>
        <v/>
      </c>
      <c r="CB111" s="17" t="str">
        <f t="shared" si="83"/>
        <v/>
      </c>
      <c r="CC111" s="17" t="str">
        <f t="shared" si="106"/>
        <v/>
      </c>
      <c r="CD111" s="17" t="str">
        <f t="shared" si="84"/>
        <v/>
      </c>
      <c r="CE111" s="17" t="str">
        <f t="shared" si="85"/>
        <v/>
      </c>
      <c r="CF111" s="17" t="str">
        <f t="shared" si="107"/>
        <v/>
      </c>
      <c r="CG111" s="17" t="str">
        <f t="shared" si="108"/>
        <v/>
      </c>
    </row>
    <row r="112" spans="2:85" s="17" customFormat="1" hidden="1">
      <c r="B112" s="35"/>
      <c r="C112" s="35"/>
      <c r="D112" s="36"/>
      <c r="E112" s="35"/>
      <c r="F112" s="35"/>
      <c r="G112" s="35"/>
      <c r="H112" s="35"/>
      <c r="I112" s="59"/>
      <c r="AA112" s="47" t="s">
        <v>291</v>
      </c>
      <c r="AB112" s="17" t="str">
        <f t="shared" si="61"/>
        <v/>
      </c>
      <c r="AC112" s="17">
        <f t="shared" si="86"/>
        <v>0</v>
      </c>
      <c r="AD112" s="17">
        <f t="shared" si="109"/>
        <v>6</v>
      </c>
      <c r="AE112" s="17" t="str">
        <f t="shared" si="62"/>
        <v/>
      </c>
      <c r="AF112" s="17">
        <f t="shared" si="87"/>
        <v>0</v>
      </c>
      <c r="AG112" s="17">
        <f t="shared" si="88"/>
        <v>6</v>
      </c>
      <c r="AH112" s="17" t="str">
        <f t="shared" si="89"/>
        <v/>
      </c>
      <c r="AI112" s="17" t="str">
        <f t="shared" si="63"/>
        <v/>
      </c>
      <c r="AJ112" s="17" t="str">
        <f t="shared" si="90"/>
        <v/>
      </c>
      <c r="AK112" s="17" t="str">
        <f t="shared" si="64"/>
        <v>if () {$("#adv_").html("Requierd");$("#").css({"background":"yellow"});} else {$("#adv_").html("");$("#").css({"background":"white"});}</v>
      </c>
      <c r="AL112" s="17" t="str">
        <f t="shared" si="65"/>
        <v>if (=="") {$("#adv_").html("Requierd");} else {$("#adv_").html("");}</v>
      </c>
      <c r="AM112" s="50" t="str">
        <f t="shared" si="66"/>
        <v/>
      </c>
      <c r="AN112" s="51" t="str">
        <f t="shared" si="67"/>
        <v>=$("#").val();</v>
      </c>
      <c r="AO112" s="51" t="str">
        <f t="shared" si="91"/>
        <v/>
      </c>
      <c r="AP112" s="50" t="str">
        <f t="shared" si="68"/>
        <v>&lt;input type="checkbox" id="" name="" value="1" /&gt;</v>
      </c>
      <c r="AQ112" s="51" t="str">
        <f t="shared" si="69"/>
        <v>=document.getElementById("").checked;</v>
      </c>
      <c r="AR112" s="52" t="str">
        <f t="shared" si="70"/>
        <v>if (isset($_GET[''])) {$=($_GET['']);}else $='';</v>
      </c>
      <c r="AS112" s="17" t="str">
        <f t="shared" si="71"/>
        <v>Mobile phone</v>
      </c>
      <c r="AT112" s="17" t="str">
        <f t="shared" si="110"/>
        <v/>
      </c>
      <c r="AU112" s="50" t="str">
        <f t="shared" si="72"/>
        <v>&lt;input type="radio" name="Mobile phone" id="" value="" /&gt;</v>
      </c>
      <c r="AV112" s="15" t="str">
        <f t="shared" si="73"/>
        <v>else if (document.getElementById("</v>
      </c>
      <c r="AW112" s="51" t="str">
        <f t="shared" si="74"/>
        <v>else if (document.getElementById("").checked==true) {Mobile phone="";}</v>
      </c>
      <c r="AX112" s="17" t="str">
        <f t="shared" si="111"/>
        <v/>
      </c>
      <c r="AY112" s="52" t="str">
        <f t="shared" si="75"/>
        <v/>
      </c>
      <c r="AZ112" s="56" t="str">
        <f t="shared" si="76"/>
        <v>&lt;br/&gt;&lt;textarea rows="2" cols="80" id=""&gt;&lt;/textarea&gt;&lt;br/&gt;</v>
      </c>
      <c r="BA112" s="54" t="str">
        <f t="shared" si="77"/>
        <v>&lt;input type="text"  size="7"  id="" class="datepicker"/&gt;</v>
      </c>
      <c r="BB112" s="54" t="str">
        <f t="shared" si="92"/>
        <v/>
      </c>
      <c r="BC112" s="48" t="str">
        <f t="shared" si="112"/>
        <v/>
      </c>
      <c r="BD112" s="49" t="str">
        <f t="shared" si="113"/>
        <v/>
      </c>
      <c r="BE112" s="49">
        <f t="shared" si="116"/>
        <v>7</v>
      </c>
      <c r="BF112" s="55" t="str">
        <f>IF(F112=$L$9,"",IF(C112="","",IF(F112="radio",AX112,IF(BE112=1,"",",")&amp;C112&amp;":"&amp;C112)))</f>
        <v/>
      </c>
      <c r="BG112" s="6" t="str">
        <f t="shared" si="78"/>
        <v/>
      </c>
      <c r="BH112" s="17" t="str">
        <f t="shared" si="79"/>
        <v/>
      </c>
      <c r="BI112" s="17" t="str">
        <f t="shared" si="94"/>
        <v/>
      </c>
      <c r="BJ112" s="17">
        <f t="shared" si="95"/>
        <v>0</v>
      </c>
      <c r="BK112" s="17">
        <f t="shared" si="96"/>
        <v>1</v>
      </c>
      <c r="BL112" s="17" t="str">
        <f t="shared" si="97"/>
        <v/>
      </c>
      <c r="BO112" s="17" t="str">
        <f t="shared" si="114"/>
        <v/>
      </c>
      <c r="BP112" s="17" t="str">
        <f t="shared" si="80"/>
        <v/>
      </c>
      <c r="BQ112" s="17" t="str">
        <f t="shared" si="98"/>
        <v/>
      </c>
      <c r="BR112" s="17" t="str">
        <f t="shared" si="99"/>
        <v/>
      </c>
      <c r="BS112" s="17" t="str">
        <f t="shared" si="115"/>
        <v/>
      </c>
      <c r="BT112" s="17" t="str">
        <f t="shared" si="100"/>
        <v/>
      </c>
      <c r="BU112" s="17" t="str">
        <f t="shared" si="101"/>
        <v/>
      </c>
      <c r="BV112" s="17" t="str">
        <f t="shared" si="102"/>
        <v/>
      </c>
      <c r="BW112" s="17" t="str">
        <f t="shared" si="103"/>
        <v/>
      </c>
      <c r="BX112" s="17" t="str">
        <f t="shared" si="81"/>
        <v/>
      </c>
      <c r="BY112" s="17" t="str">
        <f t="shared" si="104"/>
        <v/>
      </c>
      <c r="BZ112" s="61" t="str">
        <f t="shared" si="105"/>
        <v/>
      </c>
      <c r="CA112" s="17" t="str">
        <f t="shared" si="82"/>
        <v/>
      </c>
      <c r="CB112" s="17" t="str">
        <f t="shared" si="83"/>
        <v/>
      </c>
      <c r="CC112" s="17" t="str">
        <f t="shared" si="106"/>
        <v/>
      </c>
      <c r="CD112" s="17" t="str">
        <f t="shared" si="84"/>
        <v/>
      </c>
      <c r="CE112" s="17" t="str">
        <f t="shared" si="85"/>
        <v/>
      </c>
      <c r="CF112" s="17" t="str">
        <f t="shared" si="107"/>
        <v/>
      </c>
      <c r="CG112" s="17" t="str">
        <f t="shared" si="108"/>
        <v/>
      </c>
    </row>
    <row r="113" spans="1:85" s="17" customFormat="1" hidden="1">
      <c r="B113" s="35"/>
      <c r="C113" s="35"/>
      <c r="D113" s="36"/>
      <c r="E113" s="35"/>
      <c r="F113" s="35"/>
      <c r="G113" s="35"/>
      <c r="H113" s="35"/>
      <c r="I113" s="59"/>
      <c r="AA113" s="47" t="s">
        <v>292</v>
      </c>
      <c r="AB113" s="17" t="str">
        <f t="shared" si="61"/>
        <v/>
      </c>
      <c r="AC113" s="17">
        <f t="shared" si="86"/>
        <v>0</v>
      </c>
      <c r="AD113" s="17">
        <f t="shared" si="109"/>
        <v>6</v>
      </c>
      <c r="AE113" s="17" t="str">
        <f t="shared" si="62"/>
        <v/>
      </c>
      <c r="AF113" s="17">
        <f t="shared" si="87"/>
        <v>0</v>
      </c>
      <c r="AG113" s="17">
        <f t="shared" si="88"/>
        <v>6</v>
      </c>
      <c r="AH113" s="17" t="str">
        <f t="shared" si="89"/>
        <v/>
      </c>
      <c r="AI113" s="17" t="str">
        <f t="shared" si="63"/>
        <v/>
      </c>
      <c r="AJ113" s="17" t="str">
        <f t="shared" si="90"/>
        <v/>
      </c>
      <c r="AK113" s="17" t="str">
        <f t="shared" si="64"/>
        <v>if () {$("#adv_").html("Requierd");$("#").css({"background":"yellow"});} else {$("#adv_").html("");$("#").css({"background":"white"});}</v>
      </c>
      <c r="AL113" s="17" t="str">
        <f t="shared" si="65"/>
        <v>if (=="") {$("#adv_").html("Requierd");} else {$("#adv_").html("");}</v>
      </c>
      <c r="AM113" s="50" t="str">
        <f t="shared" si="66"/>
        <v/>
      </c>
      <c r="AN113" s="51" t="str">
        <f t="shared" si="67"/>
        <v>=$("#").val();</v>
      </c>
      <c r="AO113" s="51" t="str">
        <f t="shared" si="91"/>
        <v/>
      </c>
      <c r="AP113" s="50" t="str">
        <f t="shared" si="68"/>
        <v>&lt;input type="checkbox" id="" name="" value="1" /&gt;</v>
      </c>
      <c r="AQ113" s="51" t="str">
        <f t="shared" si="69"/>
        <v>=document.getElementById("").checked;</v>
      </c>
      <c r="AR113" s="52" t="str">
        <f t="shared" si="70"/>
        <v>if (isset($_GET[''])) {$=($_GET['']);}else $='';</v>
      </c>
      <c r="AS113" s="17" t="str">
        <f t="shared" si="71"/>
        <v>Mobile phone</v>
      </c>
      <c r="AT113" s="17" t="str">
        <f t="shared" si="110"/>
        <v/>
      </c>
      <c r="AU113" s="50" t="str">
        <f t="shared" si="72"/>
        <v>&lt;input type="radio" name="Mobile phone" id="" value="" /&gt;</v>
      </c>
      <c r="AV113" s="15" t="str">
        <f t="shared" si="73"/>
        <v>else if (document.getElementById("</v>
      </c>
      <c r="AW113" s="51" t="str">
        <f t="shared" si="74"/>
        <v>else if (document.getElementById("").checked==true) {Mobile phone="";}</v>
      </c>
      <c r="AX113" s="17" t="str">
        <f t="shared" si="111"/>
        <v/>
      </c>
      <c r="AY113" s="52" t="str">
        <f t="shared" si="75"/>
        <v/>
      </c>
      <c r="AZ113" s="56" t="str">
        <f t="shared" si="76"/>
        <v>&lt;br/&gt;&lt;textarea rows="2" cols="80" id=""&gt;&lt;/textarea&gt;&lt;br/&gt;</v>
      </c>
      <c r="BA113" s="54" t="str">
        <f t="shared" si="77"/>
        <v>&lt;input type="text"  size="7"  id="" class="datepicker"/&gt;</v>
      </c>
      <c r="BB113" s="54" t="str">
        <f t="shared" si="92"/>
        <v/>
      </c>
      <c r="BC113" s="48" t="str">
        <f t="shared" si="112"/>
        <v/>
      </c>
      <c r="BD113" s="49" t="str">
        <f t="shared" si="113"/>
        <v/>
      </c>
      <c r="BE113" s="49">
        <f t="shared" si="116"/>
        <v>7</v>
      </c>
      <c r="BF113" s="55" t="str">
        <f>IF(F113=$L$9,"",IF(C113="","",IF(F113="radio",AX113,IF(BE113=1,"",",")&amp;C113&amp;":"&amp;C113)))</f>
        <v/>
      </c>
      <c r="BG113" s="6" t="str">
        <f t="shared" si="78"/>
        <v/>
      </c>
      <c r="BH113" s="17" t="str">
        <f t="shared" si="79"/>
        <v/>
      </c>
      <c r="BI113" s="17" t="str">
        <f t="shared" si="94"/>
        <v/>
      </c>
      <c r="BJ113" s="17">
        <f t="shared" si="95"/>
        <v>0</v>
      </c>
      <c r="BK113" s="17">
        <f t="shared" si="96"/>
        <v>1</v>
      </c>
      <c r="BL113" s="17" t="str">
        <f t="shared" si="97"/>
        <v/>
      </c>
      <c r="BO113" s="17" t="str">
        <f t="shared" si="114"/>
        <v/>
      </c>
      <c r="BP113" s="17" t="str">
        <f t="shared" si="80"/>
        <v/>
      </c>
      <c r="BQ113" s="17" t="str">
        <f t="shared" si="98"/>
        <v/>
      </c>
      <c r="BR113" s="17" t="str">
        <f t="shared" si="99"/>
        <v/>
      </c>
      <c r="BS113" s="17" t="str">
        <f t="shared" si="115"/>
        <v/>
      </c>
      <c r="BT113" s="17" t="str">
        <f t="shared" si="100"/>
        <v/>
      </c>
      <c r="BU113" s="17" t="str">
        <f t="shared" si="101"/>
        <v/>
      </c>
      <c r="BV113" s="17" t="str">
        <f t="shared" si="102"/>
        <v/>
      </c>
      <c r="BW113" s="17" t="str">
        <f t="shared" si="103"/>
        <v/>
      </c>
      <c r="BX113" s="17" t="str">
        <f t="shared" si="81"/>
        <v/>
      </c>
      <c r="BY113" s="17" t="str">
        <f t="shared" si="104"/>
        <v/>
      </c>
      <c r="BZ113" s="61" t="str">
        <f t="shared" si="105"/>
        <v/>
      </c>
      <c r="CA113" s="17" t="str">
        <f t="shared" si="82"/>
        <v/>
      </c>
      <c r="CB113" s="17" t="str">
        <f t="shared" si="83"/>
        <v/>
      </c>
      <c r="CC113" s="17" t="str">
        <f t="shared" si="106"/>
        <v/>
      </c>
      <c r="CD113" s="17" t="str">
        <f t="shared" si="84"/>
        <v/>
      </c>
      <c r="CE113" s="17" t="str">
        <f t="shared" si="85"/>
        <v/>
      </c>
      <c r="CF113" s="17" t="str">
        <f t="shared" si="107"/>
        <v/>
      </c>
      <c r="CG113" s="17" t="str">
        <f t="shared" si="108"/>
        <v/>
      </c>
    </row>
    <row r="114" spans="1:85" s="17" customFormat="1">
      <c r="B114" s="35"/>
      <c r="C114" s="35"/>
      <c r="D114" s="36"/>
      <c r="E114" s="89" t="str">
        <f>+IF(OR(F114="radio",F114="texto",F114="check",F114="selectlist",F114="bigtext",F114="session"),"VARCHAR",IF(F114="date","DATE",""))</f>
        <v/>
      </c>
      <c r="F114" s="35"/>
      <c r="G114" s="35"/>
      <c r="H114" s="35"/>
      <c r="I114" s="59"/>
      <c r="AA114" s="47" t="s">
        <v>293</v>
      </c>
      <c r="AB114" s="17" t="str">
        <f t="shared" si="61"/>
        <v/>
      </c>
      <c r="AC114" s="17">
        <f t="shared" si="86"/>
        <v>0</v>
      </c>
      <c r="AD114" s="17">
        <f t="shared" si="109"/>
        <v>6</v>
      </c>
      <c r="AE114" s="17" t="str">
        <f t="shared" si="62"/>
        <v/>
      </c>
      <c r="AF114" s="17">
        <f t="shared" si="87"/>
        <v>0</v>
      </c>
      <c r="AG114" s="17">
        <f t="shared" si="88"/>
        <v>6</v>
      </c>
      <c r="AH114" s="17" t="str">
        <f t="shared" si="89"/>
        <v/>
      </c>
      <c r="AI114" s="17" t="str">
        <f t="shared" si="63"/>
        <v/>
      </c>
      <c r="AJ114" s="17" t="str">
        <f t="shared" si="90"/>
        <v/>
      </c>
      <c r="AK114" s="17" t="str">
        <f t="shared" si="64"/>
        <v>if () {$("#adv_").html("Requierd");$("#").css({"background":"yellow"});} else {$("#adv_").html("");$("#").css({"background":"white"});}</v>
      </c>
      <c r="AL114" s="17" t="str">
        <f t="shared" si="65"/>
        <v>if (=="") {$("#adv_").html("Requierd");} else {$("#adv_").html("");}</v>
      </c>
      <c r="AM114" s="50" t="str">
        <f t="shared" si="66"/>
        <v/>
      </c>
      <c r="AN114" s="51" t="str">
        <f t="shared" si="67"/>
        <v>=$("#").val();</v>
      </c>
      <c r="AO114" s="51" t="str">
        <f t="shared" si="91"/>
        <v/>
      </c>
      <c r="AP114" s="50" t="str">
        <f t="shared" si="68"/>
        <v>&lt;input type="checkbox" id="" name="" value="1" /&gt;</v>
      </c>
      <c r="AQ114" s="51" t="str">
        <f t="shared" si="69"/>
        <v>=document.getElementById("").checked;</v>
      </c>
      <c r="AR114" s="52" t="str">
        <f t="shared" si="70"/>
        <v>if (isset($_GET[''])) {$=($_GET['']);}else $='';</v>
      </c>
      <c r="AS114" s="17" t="str">
        <f t="shared" si="71"/>
        <v>Mobile phone</v>
      </c>
      <c r="AT114" s="17" t="str">
        <f t="shared" si="110"/>
        <v/>
      </c>
      <c r="AU114" s="50" t="str">
        <f t="shared" si="72"/>
        <v>&lt;input type="radio" name="Mobile phone" id="" value="" /&gt;</v>
      </c>
      <c r="AV114" s="15" t="str">
        <f t="shared" si="73"/>
        <v>else if (document.getElementById("</v>
      </c>
      <c r="AW114" s="51" t="str">
        <f t="shared" si="74"/>
        <v>else if (document.getElementById("").checked==true) {Mobile phone="";}</v>
      </c>
      <c r="AX114" s="17" t="str">
        <f t="shared" si="111"/>
        <v/>
      </c>
      <c r="AY114" s="52" t="str">
        <f t="shared" si="75"/>
        <v/>
      </c>
      <c r="AZ114" s="56" t="str">
        <f t="shared" si="76"/>
        <v>&lt;br/&gt;&lt;textarea rows="2" cols="80" id=""&gt;&lt;/textarea&gt;&lt;br/&gt;</v>
      </c>
      <c r="BA114" s="54" t="str">
        <f t="shared" si="77"/>
        <v>&lt;input type="text"  size="7"  id="" class="datepicker"/&gt;</v>
      </c>
      <c r="BB114" s="54" t="str">
        <f t="shared" si="92"/>
        <v/>
      </c>
      <c r="BC114" s="48" t="str">
        <f t="shared" si="112"/>
        <v/>
      </c>
      <c r="BD114" s="49" t="str">
        <f t="shared" si="113"/>
        <v/>
      </c>
      <c r="BE114" s="49">
        <f t="shared" si="116"/>
        <v>7</v>
      </c>
      <c r="BF114" s="55" t="str">
        <f>IF(F114=$L$9,"",IF(C114="","",IF(F114="radio",AX114,IF(BE114=1,"",",")&amp;C114&amp;":"&amp;C114)))</f>
        <v/>
      </c>
      <c r="BG114" s="6" t="str">
        <f t="shared" si="78"/>
        <v/>
      </c>
      <c r="BH114" s="17" t="str">
        <f t="shared" si="79"/>
        <v/>
      </c>
      <c r="BI114" s="17" t="str">
        <f t="shared" si="94"/>
        <v/>
      </c>
      <c r="BJ114" s="17">
        <f t="shared" si="95"/>
        <v>0</v>
      </c>
      <c r="BK114" s="17">
        <f t="shared" si="96"/>
        <v>1</v>
      </c>
      <c r="BL114" s="17" t="str">
        <f>IF(F114="date",","&amp;C114&amp;" "&amp;E114,IF(C114="","",","&amp;C114&amp;" "&amp;E114&amp;" ("&amp;D114&amp;")"))</f>
        <v/>
      </c>
      <c r="BO114" s="17" t="str">
        <f t="shared" si="114"/>
        <v/>
      </c>
      <c r="BP114" s="17" t="str">
        <f t="shared" si="80"/>
        <v/>
      </c>
      <c r="BQ114" s="17" t="str">
        <f t="shared" si="98"/>
        <v/>
      </c>
      <c r="BR114" s="17" t="str">
        <f t="shared" si="99"/>
        <v/>
      </c>
      <c r="BS114" s="17" t="str">
        <f t="shared" si="115"/>
        <v/>
      </c>
      <c r="BT114" s="17" t="str">
        <f t="shared" si="100"/>
        <v/>
      </c>
      <c r="BU114" s="17" t="str">
        <f t="shared" si="101"/>
        <v/>
      </c>
      <c r="BV114" s="17" t="str">
        <f t="shared" si="102"/>
        <v/>
      </c>
      <c r="BW114" s="17" t="str">
        <f t="shared" si="103"/>
        <v/>
      </c>
      <c r="BX114" s="17" t="str">
        <f t="shared" si="81"/>
        <v/>
      </c>
      <c r="BY114" s="17" t="str">
        <f t="shared" si="104"/>
        <v/>
      </c>
      <c r="BZ114" s="61" t="str">
        <f t="shared" si="105"/>
        <v/>
      </c>
      <c r="CA114" s="17" t="str">
        <f t="shared" si="82"/>
        <v/>
      </c>
      <c r="CB114" s="17" t="str">
        <f t="shared" si="83"/>
        <v/>
      </c>
      <c r="CC114" s="17" t="str">
        <f t="shared" si="106"/>
        <v/>
      </c>
      <c r="CD114" s="17" t="str">
        <f t="shared" si="84"/>
        <v/>
      </c>
      <c r="CE114" s="17" t="str">
        <f t="shared" si="85"/>
        <v/>
      </c>
      <c r="CF114" s="17" t="str">
        <f t="shared" si="107"/>
        <v/>
      </c>
      <c r="CG114" s="17" t="str">
        <f t="shared" si="108"/>
        <v/>
      </c>
    </row>
    <row r="115" spans="1:85" s="17" customFormat="1">
      <c r="D115" s="24"/>
    </row>
    <row r="117" spans="1:85">
      <c r="B117" s="13" t="s">
        <v>688</v>
      </c>
      <c r="D117" s="78">
        <f>+IF(OR(K15="",K17="",K19="",K21=""),1,0)</f>
        <v>0</v>
      </c>
    </row>
    <row r="118" spans="1:85">
      <c r="B118" s="13" t="s">
        <v>365</v>
      </c>
    </row>
    <row r="119" spans="1:85" hidden="1">
      <c r="B119" s="12" t="str">
        <f>""</f>
        <v/>
      </c>
    </row>
    <row r="120" spans="1:85">
      <c r="B120" s="46" t="str">
        <f>"&lt;? /******   Recommended filename:  a01"&amp;K15&amp;".php    *****/ ?&gt;"</f>
        <v>&lt;? /******   Recommended filename:  a01session.php    *****/ ?&gt;</v>
      </c>
    </row>
    <row r="121" spans="1:85">
      <c r="B121" s="130" t="s">
        <v>191</v>
      </c>
    </row>
    <row r="122" spans="1:85">
      <c r="B122" s="130" t="e">
        <f>+#REF!</f>
        <v>#REF!</v>
      </c>
    </row>
    <row r="123" spans="1:85">
      <c r="B123" s="130" t="e">
        <f>+#REF!</f>
        <v>#REF!</v>
      </c>
    </row>
    <row r="124" spans="1:85">
      <c r="B124" s="130" t="str">
        <f>+fieldcreatorv2!B268</f>
        <v>mysql_query("CREATE DATABASE IF NOT EXISTS healmy5_pray");</v>
      </c>
    </row>
    <row r="125" spans="1:85">
      <c r="B125" s="130" t="str">
        <f>+K12</f>
        <v>mysql_select_db('healmy5_pray', $con);</v>
      </c>
    </row>
    <row r="126" spans="1:85">
      <c r="A126" s="12">
        <v>1</v>
      </c>
      <c r="B126" s="46" t="str">
        <f>+I12&amp;K15&amp;J1&amp;BL15&amp;BL16&amp;BL17&amp;BL18&amp;BL19</f>
        <v>$sql = "CREATE TABLE IF NOT EXISTS session (id INT(10) AUTO_INCREMENT PRIMARY KEY,user VARCHAR (255),pwd VARCHAR (255),prof VARCHAR (50),dtoc DATE,name VARCHAR (100)</v>
      </c>
    </row>
    <row r="127" spans="1:85">
      <c r="A127" s="12">
        <v>2</v>
      </c>
      <c r="B127" s="46" t="str">
        <f>BL20&amp;BL21&amp;BL22&amp;BL23&amp;BL24&amp;BL25&amp;BL26</f>
        <v>,surname VARCHAR (100),mobile VARCHAR (30)</v>
      </c>
    </row>
    <row r="128" spans="1:85" hidden="1">
      <c r="A128" s="12">
        <v>3</v>
      </c>
      <c r="B128" s="46" t="str">
        <f>BL27&amp;BL28&amp;BL29&amp;BL30&amp;BL31&amp;BL32&amp;BL33</f>
        <v/>
      </c>
    </row>
    <row r="129" spans="1:2" hidden="1">
      <c r="A129" s="12">
        <v>4</v>
      </c>
      <c r="B129" s="46" t="str">
        <f>BL34&amp;BL35&amp;BL36&amp;BL37&amp;BL38&amp;BL39&amp;BL40</f>
        <v/>
      </c>
    </row>
    <row r="130" spans="1:2" hidden="1">
      <c r="A130" s="12">
        <v>5</v>
      </c>
      <c r="B130" s="46" t="str">
        <f>BL41&amp;BL42&amp;BL43&amp;BL44&amp;BL45&amp;BL46&amp;BL47</f>
        <v/>
      </c>
    </row>
    <row r="131" spans="1:2" hidden="1">
      <c r="A131" s="12">
        <v>6</v>
      </c>
      <c r="B131" s="46" t="str">
        <f>BL48&amp;BL49&amp;BL50&amp;BL51&amp;BL52&amp;BL53&amp;BL54</f>
        <v/>
      </c>
    </row>
    <row r="132" spans="1:2" hidden="1">
      <c r="A132" s="12">
        <v>7</v>
      </c>
      <c r="B132" s="46" t="str">
        <f>BL55&amp;BL56&amp;BL57&amp;BL58&amp;BL59&amp;BL60&amp;BL61</f>
        <v/>
      </c>
    </row>
    <row r="133" spans="1:2" hidden="1">
      <c r="A133" s="12">
        <v>8</v>
      </c>
      <c r="B133" s="46" t="str">
        <f>BL62&amp;BL63&amp;BL64&amp;BL65&amp;BL66&amp;BL67&amp;BL68</f>
        <v/>
      </c>
    </row>
    <row r="134" spans="1:2" hidden="1">
      <c r="A134" s="12">
        <v>9</v>
      </c>
      <c r="B134" s="46" t="str">
        <f>BL69&amp;BL70&amp;BL71&amp;BL72&amp;BL73&amp;BL74&amp;BL75</f>
        <v/>
      </c>
    </row>
    <row r="135" spans="1:2" hidden="1">
      <c r="A135" s="12">
        <v>10</v>
      </c>
      <c r="B135" s="46" t="str">
        <f>BL76&amp;BL77&amp;BL78&amp;BL79&amp;BL80&amp;BL81&amp;BL82</f>
        <v/>
      </c>
    </row>
    <row r="136" spans="1:2" hidden="1">
      <c r="A136" s="12">
        <v>11</v>
      </c>
      <c r="B136" s="46" t="str">
        <f>BL83&amp;BL84&amp;BL85&amp;BL86&amp;BL87&amp;BL88&amp;BL89</f>
        <v/>
      </c>
    </row>
    <row r="137" spans="1:2" hidden="1">
      <c r="A137" s="12">
        <v>12</v>
      </c>
      <c r="B137" s="46" t="str">
        <f>BL90&amp;BL91&amp;BL92&amp;BL93&amp;BL94&amp;BL95&amp;BL96</f>
        <v/>
      </c>
    </row>
    <row r="138" spans="1:2" hidden="1">
      <c r="A138" s="12">
        <v>13</v>
      </c>
      <c r="B138" s="46" t="str">
        <f>BL97&amp;BL98&amp;BL99&amp;BL100&amp;BL101&amp;BL102&amp;BL103</f>
        <v/>
      </c>
    </row>
    <row r="139" spans="1:2" hidden="1">
      <c r="A139" s="12">
        <v>14</v>
      </c>
      <c r="B139" s="46" t="str">
        <f>BL104&amp;BL105&amp;BL106&amp;BL107&amp;BL108&amp;BL109&amp;BL110&amp;BL111&amp;BL112&amp;BL113&amp;BL114</f>
        <v/>
      </c>
    </row>
    <row r="140" spans="1:2">
      <c r="B140" s="46" t="str">
        <f>sqlcreate!A108&amp;sqlcreate!A109&amp;sqlcreate!A110&amp;sqlcreate!A111&amp;sqlcreate!A112&amp;sqlcreate!A113&amp;sqlcreate!A114</f>
        <v>,last_update_by VARCHAR (50),updated_on DATE)";mysql_query($sql,$con);</v>
      </c>
    </row>
    <row r="141" spans="1:2">
      <c r="B141" s="46" t="s">
        <v>140</v>
      </c>
    </row>
    <row r="142" spans="1:2">
      <c r="B142" s="46" t="s">
        <v>1318</v>
      </c>
    </row>
    <row r="143" spans="1:2">
      <c r="B143" s="46" t="s">
        <v>107</v>
      </c>
    </row>
    <row r="144" spans="1:2" s="232" customFormat="1" ht="11.25">
      <c r="B144" s="231" t="s">
        <v>593</v>
      </c>
    </row>
    <row r="145" spans="1:2" s="232" customFormat="1" ht="11.25">
      <c r="B145" s="231" t="s">
        <v>594</v>
      </c>
    </row>
    <row r="146" spans="1:2" s="232" customFormat="1" ht="11.25">
      <c r="B146" s="231" t="s">
        <v>595</v>
      </c>
    </row>
    <row r="147" spans="1:2" s="232" customFormat="1" ht="11.25">
      <c r="B147" s="231" t="s">
        <v>635</v>
      </c>
    </row>
    <row r="148" spans="1:2" s="232" customFormat="1" ht="11.25">
      <c r="B148" s="231" t="str">
        <f>+fieldcreatorv2!B291</f>
        <v>&lt;link rel="stylesheet" type="text/css" href="healmy5_praystyle.css" /&gt;</v>
      </c>
    </row>
    <row r="149" spans="1:2" s="232" customFormat="1" ht="11.25">
      <c r="B149" s="231" t="s">
        <v>597</v>
      </c>
    </row>
    <row r="150" spans="1:2" s="232" customFormat="1" ht="11.25">
      <c r="B150" s="231" t="s">
        <v>157</v>
      </c>
    </row>
    <row r="151" spans="1:2" s="232" customFormat="1" ht="11.25">
      <c r="B151" s="231" t="s">
        <v>607</v>
      </c>
    </row>
    <row r="152" spans="1:2" s="232" customFormat="1" ht="11.25">
      <c r="B152" s="231" t="s">
        <v>648</v>
      </c>
    </row>
    <row r="153" spans="1:2">
      <c r="B153" s="60" t="str">
        <f>+K11&amp;K15&amp;"*/"</f>
        <v>&lt;script type="text/javascript"&gt;  /*ajax get request for table session*/</v>
      </c>
    </row>
    <row r="154" spans="1:2">
      <c r="B154" s="60" t="s">
        <v>160</v>
      </c>
    </row>
    <row r="155" spans="1:2">
      <c r="B155" s="60" t="str">
        <f>+A1&amp;K19&amp;A2</f>
        <v>$("#searchbutton1").click(function() {</v>
      </c>
    </row>
    <row r="156" spans="1:2">
      <c r="B156" s="60" t="s">
        <v>1042</v>
      </c>
    </row>
    <row r="157" spans="1:2">
      <c r="A157" s="12">
        <v>1</v>
      </c>
      <c r="B157" s="60" t="str">
        <f>+BD15&amp;BD16&amp;BD17&amp;BD18&amp;BD19&amp;BD20&amp;BD21</f>
        <v>user=$("#user").val();pwd=$("#pwd").val();prof=$("#prof").val();dtoc=$("#dtoc").val();name=$("#name").val();surname=$("#surname").val();mobile=$("#mobile").val();</v>
      </c>
    </row>
    <row r="158" spans="1:2" hidden="1">
      <c r="A158" s="12">
        <v>2</v>
      </c>
      <c r="B158" s="60" t="str">
        <f>+BD22&amp;BD23&amp;BD24&amp;BD25&amp;BD26&amp;BD27&amp;BD28</f>
        <v/>
      </c>
    </row>
    <row r="159" spans="1:2" hidden="1">
      <c r="A159" s="12">
        <v>3</v>
      </c>
      <c r="B159" s="60" t="str">
        <f>+BD29&amp;BD30&amp;BD31&amp;BD32&amp;BD33&amp;BD34&amp;BD35</f>
        <v/>
      </c>
    </row>
    <row r="160" spans="1:2" hidden="1">
      <c r="A160" s="12">
        <v>4</v>
      </c>
      <c r="B160" s="60" t="str">
        <f>+BD36&amp;BD37&amp;BD38&amp;BD39&amp;BD40&amp;BD41&amp;BD42</f>
        <v/>
      </c>
    </row>
    <row r="161" spans="1:2" hidden="1">
      <c r="A161" s="12">
        <v>5</v>
      </c>
      <c r="B161" s="60" t="str">
        <f>+BD43&amp;BD44&amp;BD45&amp;BD46&amp;BD47&amp;BD48&amp;BD49</f>
        <v/>
      </c>
    </row>
    <row r="162" spans="1:2" hidden="1">
      <c r="A162" s="12">
        <v>6</v>
      </c>
      <c r="B162" s="60" t="str">
        <f>+BD50&amp;BD51&amp;BD52&amp;BD53&amp;BD54&amp;BD55&amp;BD56</f>
        <v/>
      </c>
    </row>
    <row r="163" spans="1:2" hidden="1">
      <c r="A163" s="12">
        <v>7</v>
      </c>
      <c r="B163" s="60" t="str">
        <f>+BD57&amp;BD58&amp;BD59&amp;BD60&amp;BD61&amp;BD62&amp;BD63</f>
        <v/>
      </c>
    </row>
    <row r="164" spans="1:2" hidden="1">
      <c r="A164" s="12">
        <v>8</v>
      </c>
      <c r="B164" s="60" t="str">
        <f>+BD64&amp;BD65&amp;BD66&amp;BD67&amp;BD68&amp;BD69&amp;BD70</f>
        <v/>
      </c>
    </row>
    <row r="165" spans="1:2" hidden="1">
      <c r="A165" s="12">
        <v>9</v>
      </c>
      <c r="B165" s="60" t="str">
        <f>+BD71&amp;BD72&amp;BD73&amp;BD74&amp;BD75&amp;BD76&amp;BD77</f>
        <v/>
      </c>
    </row>
    <row r="166" spans="1:2" hidden="1">
      <c r="A166" s="12">
        <v>10</v>
      </c>
      <c r="B166" s="60" t="str">
        <f>+BD78&amp;BD79&amp;BD80&amp;BD81&amp;BD82&amp;BD83&amp;BD84</f>
        <v/>
      </c>
    </row>
    <row r="167" spans="1:2" hidden="1">
      <c r="A167" s="12">
        <v>11</v>
      </c>
      <c r="B167" s="60" t="str">
        <f>+BD85&amp;BD86&amp;BD87&amp;BD88&amp;BD89&amp;BD90&amp;BD91</f>
        <v/>
      </c>
    </row>
    <row r="168" spans="1:2" hidden="1">
      <c r="A168" s="12">
        <v>12</v>
      </c>
      <c r="B168" s="60" t="str">
        <f>+BD92&amp;BD93&amp;BD94&amp;BD95&amp;BD96&amp;BD97&amp;BD98</f>
        <v/>
      </c>
    </row>
    <row r="169" spans="1:2" hidden="1">
      <c r="A169" s="12">
        <v>13</v>
      </c>
      <c r="B169" s="60" t="str">
        <f>+BD99&amp;BD100&amp;BD101&amp;BD102&amp;BD103&amp;BD104&amp;BD105</f>
        <v/>
      </c>
    </row>
    <row r="170" spans="1:2" hidden="1">
      <c r="A170" s="12">
        <v>14</v>
      </c>
      <c r="B170" s="60" t="str">
        <f>+BD106&amp;BD107&amp;BD108&amp;BD109&amp;BD110&amp;BD111&amp;BD112</f>
        <v/>
      </c>
    </row>
    <row r="171" spans="1:2" ht="15" hidden="1" customHeight="1">
      <c r="A171" s="12">
        <v>15</v>
      </c>
      <c r="B171" s="60" t="str">
        <f>+BD113&amp;BD114</f>
        <v/>
      </c>
    </row>
    <row r="172" spans="1:2" hidden="1">
      <c r="B172" s="60" t="str">
        <f>""</f>
        <v/>
      </c>
    </row>
    <row r="173" spans="1:2">
      <c r="B173" s="60" t="s">
        <v>1046</v>
      </c>
    </row>
    <row r="174" spans="1:2">
      <c r="B174" s="60" t="s">
        <v>1047</v>
      </c>
    </row>
    <row r="175" spans="1:2">
      <c r="B175" s="62" t="s">
        <v>1043</v>
      </c>
    </row>
    <row r="176" spans="1:2">
      <c r="A176" s="12">
        <v>1</v>
      </c>
      <c r="B176" s="62" t="str">
        <f>+AI15&amp;AI16&amp;AI17&amp;AI18&amp;AI19&amp;AI20&amp;AI21</f>
        <v>user==""||pwd==""||prof==""||name==""||surname==""||mobile==""</v>
      </c>
    </row>
    <row r="177" spans="1:2" hidden="1">
      <c r="A177" s="12">
        <v>2</v>
      </c>
      <c r="B177" s="62" t="str">
        <f>+AI22&amp;AI23&amp;AI24&amp;AI25&amp;AI26&amp;AI27&amp;AI28</f>
        <v/>
      </c>
    </row>
    <row r="178" spans="1:2" hidden="1">
      <c r="A178" s="12">
        <v>3</v>
      </c>
      <c r="B178" s="62" t="str">
        <f>+AI29&amp;AI30&amp;AI31&amp;AI32&amp;AI33&amp;AI34&amp;AI35</f>
        <v/>
      </c>
    </row>
    <row r="179" spans="1:2" hidden="1">
      <c r="A179" s="12">
        <v>4</v>
      </c>
      <c r="B179" s="62" t="str">
        <f>+AI35&amp;AI36&amp;AI37&amp;AI38&amp;AI39&amp;AI40&amp;AI41</f>
        <v/>
      </c>
    </row>
    <row r="180" spans="1:2" hidden="1">
      <c r="A180" s="12">
        <v>5</v>
      </c>
      <c r="B180" s="62" t="str">
        <f>+AI42&amp;AI43&amp;AI44&amp;AI45&amp;AI46&amp;AI47&amp;AI48</f>
        <v/>
      </c>
    </row>
    <row r="181" spans="1:2" hidden="1">
      <c r="A181" s="12">
        <v>6</v>
      </c>
      <c r="B181" s="62" t="str">
        <f>+AI49&amp;AI50&amp;AI51&amp;AI52&amp;AI53&amp;AI54&amp;AI55</f>
        <v/>
      </c>
    </row>
    <row r="182" spans="1:2" hidden="1">
      <c r="A182" s="12">
        <v>7</v>
      </c>
      <c r="B182" s="62" t="str">
        <f>+AI56&amp;AI57&amp;AI58&amp;AI59&amp;AI60&amp;AI61&amp;AI62</f>
        <v/>
      </c>
    </row>
    <row r="183" spans="1:2" hidden="1">
      <c r="A183" s="12">
        <v>8</v>
      </c>
      <c r="B183" s="62" t="str">
        <f>+AI63&amp;AI64&amp;AI65&amp;AI66&amp;AI67&amp;AI68&amp;AI69</f>
        <v/>
      </c>
    </row>
    <row r="184" spans="1:2" hidden="1">
      <c r="A184" s="12">
        <v>9</v>
      </c>
      <c r="B184" s="62" t="str">
        <f>+AI70&amp;AI71&amp;AI72&amp;AI73&amp;AI74&amp;AI75&amp;AI76</f>
        <v/>
      </c>
    </row>
    <row r="185" spans="1:2" hidden="1">
      <c r="A185" s="12">
        <v>10</v>
      </c>
      <c r="B185" s="62" t="str">
        <f>+AI77&amp;AI78&amp;AI79&amp;AI80&amp;AI81&amp;AI82&amp;AI83</f>
        <v/>
      </c>
    </row>
    <row r="186" spans="1:2" hidden="1">
      <c r="A186" s="12">
        <v>11</v>
      </c>
      <c r="B186" s="62" t="str">
        <f>+AI84&amp;AI85&amp;AI86&amp;AI87&amp;AI88&amp;AI89&amp;AI90</f>
        <v/>
      </c>
    </row>
    <row r="187" spans="1:2" hidden="1">
      <c r="A187" s="12">
        <v>12</v>
      </c>
      <c r="B187" s="62" t="str">
        <f>+AI91&amp;AI92&amp;AI93&amp;AI94&amp;AI95&amp;AI96&amp;AI97</f>
        <v/>
      </c>
    </row>
    <row r="188" spans="1:2" hidden="1">
      <c r="A188" s="12">
        <v>13</v>
      </c>
      <c r="B188" s="62" t="str">
        <f>+AI98&amp;AI99&amp;AI100&amp;AI101&amp;AI102&amp;AI103&amp;AI104</f>
        <v/>
      </c>
    </row>
    <row r="189" spans="1:2" hidden="1">
      <c r="A189" s="12">
        <v>14</v>
      </c>
      <c r="B189" s="62" t="str">
        <f>+AI105&amp;AI106&amp;AI107&amp;AI108&amp;AI109&amp;AI110&amp;AI111</f>
        <v/>
      </c>
    </row>
    <row r="190" spans="1:2" hidden="1">
      <c r="A190" s="12">
        <v>15</v>
      </c>
      <c r="B190" s="62" t="str">
        <f>+AI112&amp;AI113&amp;AI114</f>
        <v/>
      </c>
    </row>
    <row r="191" spans="1:2">
      <c r="B191" s="62" t="str">
        <f>+B5&amp;B6</f>
        <v>) {$("#check1").html("NO PUEDE DEJAR CAMPOS VACIOS");</v>
      </c>
    </row>
    <row r="192" spans="1:2">
      <c r="A192" s="12">
        <v>1</v>
      </c>
      <c r="B192" s="62" t="str">
        <f>+AJ15&amp;AJ16&amp;AJ17&amp;AJ18&amp;AJ19&amp;AJ20&amp;AJ21</f>
        <v>if (user=="") {$("#adv_user").html("Requierd");$("#user").css({"background":"yellow"});} else {$("#adv_user").html("");$("#user").css({"background":"white"});}if (pwd=="") {$("#adv_pwd").html("Requierd");$("#pwd").css({"background":"yellow"});} else {$("#adv_pwd").html("");$("#pwd").css({"background":"white"});}if (prof=="") {$("#adv_prof").html("Requierd");$("#prof").css({"background":"yellow"});} else {$("#adv_prof").html("");$("#prof").css({"background":"white"});}if (name=="") {$("#adv_name").html("Requierd");$("#name").css({"background":"yellow"});} else {$("#adv_name").html("");$("#name").css({"background":"white"});}if (surname=="") {$("#adv_surname").html("Requierd");$("#surname").css({"background":"yellow"});} else {$("#adv_surname").html("");$("#surname").css({"background":"white"});}if (mobile=="") {$("#adv_mobile").html("Requierd");$("#mobile").css({"background":"yellow"});} else {$("#adv_mobile").html("");$("#mobile").css({"background":"white"});}</v>
      </c>
    </row>
    <row r="193" spans="1:2" hidden="1">
      <c r="A193" s="12">
        <v>2</v>
      </c>
      <c r="B193" s="62" t="str">
        <f>+AJ22&amp;AJ23&amp;AJ24&amp;AJ25&amp;AJ26&amp;AJ27&amp;AJ28</f>
        <v/>
      </c>
    </row>
    <row r="194" spans="1:2" hidden="1">
      <c r="A194" s="12">
        <v>3</v>
      </c>
      <c r="B194" s="62" t="str">
        <f>+AJ29&amp;AJ30&amp;AJ31&amp;AJ32&amp;AJ33&amp;AJ34&amp;AJ35</f>
        <v/>
      </c>
    </row>
    <row r="195" spans="1:2" hidden="1">
      <c r="A195" s="12">
        <v>4</v>
      </c>
      <c r="B195" s="62" t="str">
        <f>+AJ36&amp;AJ37&amp;AJ38&amp;AJ39&amp;AJ40&amp;AJ41&amp;AJ42</f>
        <v/>
      </c>
    </row>
    <row r="196" spans="1:2" hidden="1">
      <c r="A196" s="12">
        <v>5</v>
      </c>
      <c r="B196" s="62" t="str">
        <f>+AJ43&amp;AJ44&amp;AJ45&amp;AJ46&amp;AJ47&amp;AJ48&amp;AJ49</f>
        <v/>
      </c>
    </row>
    <row r="197" spans="1:2" hidden="1">
      <c r="A197" s="12">
        <v>6</v>
      </c>
      <c r="B197" s="62" t="str">
        <f>+AJ50&amp;AJ51&amp;AJ52&amp;AJ53&amp;AJ54&amp;AJ55&amp;AJ56</f>
        <v/>
      </c>
    </row>
    <row r="198" spans="1:2" hidden="1">
      <c r="A198" s="12">
        <v>7</v>
      </c>
      <c r="B198" s="62" t="str">
        <f>+AJ57&amp;AJ58&amp;AJ59&amp;AJ60&amp;AJ61&amp;AJ62&amp;AJ63</f>
        <v/>
      </c>
    </row>
    <row r="199" spans="1:2" hidden="1">
      <c r="A199" s="12">
        <v>8</v>
      </c>
      <c r="B199" s="62" t="str">
        <f>+AJ64&amp;AJ65&amp;AJ66&amp;AJ67&amp;AJ68&amp;AJ69&amp;AJ70</f>
        <v/>
      </c>
    </row>
    <row r="200" spans="1:2" hidden="1">
      <c r="A200" s="12">
        <v>9</v>
      </c>
      <c r="B200" s="62" t="str">
        <f>+AJ71&amp;AJ72&amp;AJ73&amp;AJ74&amp;AJ75&amp;AJ76&amp;AJ77</f>
        <v/>
      </c>
    </row>
    <row r="201" spans="1:2" hidden="1">
      <c r="A201" s="12">
        <v>10</v>
      </c>
      <c r="B201" s="62" t="str">
        <f>+AJ78&amp;AJ79&amp;AJ80&amp;AJ81&amp;AJ82&amp;AJ83&amp;AJ84</f>
        <v/>
      </c>
    </row>
    <row r="202" spans="1:2" hidden="1">
      <c r="A202" s="12">
        <v>11</v>
      </c>
      <c r="B202" s="62" t="str">
        <f>+AJ85&amp;AJ86&amp;AJ87&amp;AJ88&amp;AJ89&amp;AJ90&amp;AJ91</f>
        <v/>
      </c>
    </row>
    <row r="203" spans="1:2" hidden="1">
      <c r="A203" s="12">
        <v>12</v>
      </c>
      <c r="B203" s="62" t="str">
        <f>+AJ92&amp;AJ93&amp;AJ94&amp;AJ95&amp;AJ96&amp;AJ97&amp;AJ98</f>
        <v/>
      </c>
    </row>
    <row r="204" spans="1:2" hidden="1">
      <c r="A204" s="12">
        <v>13</v>
      </c>
      <c r="B204" s="62" t="str">
        <f>+AJ99&amp;AJ100&amp;AJ101&amp;AJ102&amp;AJ103&amp;AJ104&amp;AJ105</f>
        <v/>
      </c>
    </row>
    <row r="205" spans="1:2" hidden="1">
      <c r="A205" s="12">
        <v>14</v>
      </c>
      <c r="B205" s="62" t="str">
        <f>+AJ106&amp;AJ107&amp;AJ108&amp;AJ109&amp;AJ110&amp;AJ111&amp;AJ112</f>
        <v/>
      </c>
    </row>
    <row r="206" spans="1:2" hidden="1">
      <c r="A206" s="12">
        <v>15</v>
      </c>
      <c r="B206" s="62" t="str">
        <f>+AJ113&amp;AJ114</f>
        <v/>
      </c>
    </row>
    <row r="207" spans="1:2" hidden="1">
      <c r="B207" s="60" t="str">
        <f>""</f>
        <v/>
      </c>
    </row>
    <row r="208" spans="1:2">
      <c r="B208" s="61" t="s">
        <v>397</v>
      </c>
    </row>
    <row r="209" spans="1:2">
      <c r="A209" s="12">
        <v>1</v>
      </c>
      <c r="B209" s="60" t="str">
        <f>+AE15&amp;AE16&amp;AE17&amp;AE18&amp;AE19&amp;AE20&amp;AE21</f>
        <v>if (user=="") {document.getElementById("user").focus();}else if (prof=="") {document.getElementById("prof").focus();}else if (dtoc=="") {document.getElementById("dtoc").focus();}else if (name=="") {document.getElementById("name").focus();}else if (surname=="") {document.getElementById("surname").focus();}else if (mobile=="") {document.getElementById("mobile").focus();}</v>
      </c>
    </row>
    <row r="210" spans="1:2" hidden="1">
      <c r="A210" s="12">
        <v>2</v>
      </c>
      <c r="B210" s="60" t="str">
        <f>+AE22&amp;AE23&amp;AE24&amp;AE25&amp;AE26&amp;AE27&amp;AE28</f>
        <v/>
      </c>
    </row>
    <row r="211" spans="1:2" hidden="1">
      <c r="A211" s="12">
        <v>3</v>
      </c>
      <c r="B211" s="60" t="str">
        <f>+AE29&amp;AE30&amp;AE31&amp;AE32&amp;AE33&amp;AE34&amp;AE35</f>
        <v/>
      </c>
    </row>
    <row r="212" spans="1:2" hidden="1">
      <c r="A212" s="12">
        <v>4</v>
      </c>
      <c r="B212" s="60" t="str">
        <f>+AE36&amp;AE37&amp;AE38&amp;AE39&amp;AE40&amp;AE41&amp;AE42</f>
        <v/>
      </c>
    </row>
    <row r="213" spans="1:2" hidden="1">
      <c r="A213" s="12">
        <v>5</v>
      </c>
      <c r="B213" s="60" t="str">
        <f>+AE43&amp;AE44&amp;AE45&amp;AE46&amp;AE47&amp;AE48&amp;AE49</f>
        <v/>
      </c>
    </row>
    <row r="214" spans="1:2" hidden="1">
      <c r="A214" s="12">
        <v>6</v>
      </c>
      <c r="B214" s="60" t="str">
        <f>+AE50&amp;AE51&amp;AE52&amp;AE53&amp;AE54&amp;AE55&amp;AE56</f>
        <v/>
      </c>
    </row>
    <row r="215" spans="1:2" hidden="1">
      <c r="A215" s="12">
        <v>7</v>
      </c>
      <c r="B215" s="60" t="str">
        <f>+AE57&amp;AE58&amp;AE59&amp;AE60&amp;AE61&amp;AE62&amp;AE63</f>
        <v/>
      </c>
    </row>
    <row r="216" spans="1:2" hidden="1">
      <c r="A216" s="12">
        <v>8</v>
      </c>
      <c r="B216" s="60" t="str">
        <f>+AE64&amp;AE65&amp;AE66&amp;AE67&amp;AE68&amp;AE69&amp;AE70</f>
        <v/>
      </c>
    </row>
    <row r="217" spans="1:2" hidden="1">
      <c r="A217" s="12">
        <v>9</v>
      </c>
      <c r="B217" s="60" t="str">
        <f>+AE71&amp;AE72&amp;AE73&amp;AE74&amp;AE75&amp;AE76&amp;AE77</f>
        <v/>
      </c>
    </row>
    <row r="218" spans="1:2" hidden="1">
      <c r="A218" s="12">
        <v>10</v>
      </c>
      <c r="B218" s="60" t="str">
        <f>+AE78&amp;AE79&amp;AE80&amp;AE81&amp;AE82&amp;AE83&amp;AE84</f>
        <v/>
      </c>
    </row>
    <row r="219" spans="1:2" hidden="1">
      <c r="A219" s="12">
        <v>11</v>
      </c>
      <c r="B219" s="60" t="str">
        <f>+AE85&amp;AE86&amp;AE87&amp;AE88&amp;AE89&amp;AE90&amp;AE91</f>
        <v/>
      </c>
    </row>
    <row r="220" spans="1:2" hidden="1">
      <c r="A220" s="12">
        <v>12</v>
      </c>
      <c r="B220" s="60" t="str">
        <f>+AE92&amp;AE93&amp;AE94&amp;AE95&amp;AE96&amp;AE97&amp;AE98</f>
        <v/>
      </c>
    </row>
    <row r="221" spans="1:2" hidden="1">
      <c r="A221" s="12">
        <v>13</v>
      </c>
      <c r="B221" s="60" t="str">
        <f>+AE99&amp;AE100&amp;AE101&amp;AE102&amp;AE103&amp;AE104&amp;AE105</f>
        <v/>
      </c>
    </row>
    <row r="222" spans="1:2" hidden="1">
      <c r="A222" s="12">
        <v>14</v>
      </c>
      <c r="B222" s="60" t="str">
        <f>+AE106&amp;AE107&amp;AE108&amp;AE109&amp;AE110&amp;AE111&amp;AE112</f>
        <v/>
      </c>
    </row>
    <row r="223" spans="1:2" hidden="1">
      <c r="A223" s="12">
        <v>15</v>
      </c>
      <c r="B223" s="60" t="str">
        <f>+AE113&amp;AE114</f>
        <v/>
      </c>
    </row>
    <row r="224" spans="1:2" hidden="1">
      <c r="B224" s="60" t="str">
        <f>""</f>
        <v/>
      </c>
    </row>
    <row r="225" spans="1:2" hidden="1">
      <c r="B225" s="60" t="str">
        <f>""</f>
        <v/>
      </c>
    </row>
    <row r="226" spans="1:2" hidden="1">
      <c r="B226" s="60" t="str">
        <f>""</f>
        <v/>
      </c>
    </row>
    <row r="227" spans="1:2">
      <c r="B227" s="61" t="str">
        <f>+B7</f>
        <v>} else {</v>
      </c>
    </row>
    <row r="228" spans="1:2">
      <c r="B228" s="60" t="str">
        <f>+A5&amp;M15&amp;A6</f>
        <v>$.get("session.php",{</v>
      </c>
    </row>
    <row r="229" spans="1:2">
      <c r="A229" s="12">
        <v>1</v>
      </c>
      <c r="B229" s="60" t="str">
        <f>+BF15&amp;BF16&amp;BF17&amp;BF18&amp;BF19&amp;BF20&amp;BF21</f>
        <v>user:user,pwd:pwd,prof:prof,name:name,surname:surname,mobile:mobile</v>
      </c>
    </row>
    <row r="230" spans="1:2" hidden="1">
      <c r="A230" s="12">
        <v>2</v>
      </c>
      <c r="B230" s="60" t="str">
        <f>+BF22&amp;BF23&amp;BF24&amp;BF25&amp;BF26&amp;BF27&amp;BF28</f>
        <v/>
      </c>
    </row>
    <row r="231" spans="1:2" hidden="1">
      <c r="A231" s="12">
        <v>3</v>
      </c>
      <c r="B231" s="60" t="str">
        <f>+BF29&amp;BF30&amp;BF31&amp;BF32&amp;BF33&amp;BF34&amp;BF35</f>
        <v/>
      </c>
    </row>
    <row r="232" spans="1:2" hidden="1">
      <c r="A232" s="12">
        <v>4</v>
      </c>
      <c r="B232" s="60" t="str">
        <f>+BF36&amp;BF37&amp;BF38&amp;BF39&amp;BF40&amp;BF41&amp;BF42</f>
        <v/>
      </c>
    </row>
    <row r="233" spans="1:2" hidden="1">
      <c r="A233" s="12">
        <v>5</v>
      </c>
      <c r="B233" s="60" t="str">
        <f>+BF43&amp;BF44&amp;BF45&amp;BF46&amp;BF47&amp;BF48&amp;BF49</f>
        <v/>
      </c>
    </row>
    <row r="234" spans="1:2" hidden="1">
      <c r="A234" s="12">
        <v>6</v>
      </c>
      <c r="B234" s="60" t="str">
        <f>+BF50&amp;BF51&amp;BF52&amp;BF53&amp;BF54&amp;BF55&amp;BF56</f>
        <v/>
      </c>
    </row>
    <row r="235" spans="1:2" hidden="1">
      <c r="A235" s="12">
        <v>7</v>
      </c>
      <c r="B235" s="60" t="str">
        <f>+BF57&amp;BF58&amp;BF59&amp;BF60&amp;BF61&amp;BF62&amp;BF63</f>
        <v/>
      </c>
    </row>
    <row r="236" spans="1:2" hidden="1">
      <c r="A236" s="12">
        <v>8</v>
      </c>
      <c r="B236" s="60" t="str">
        <f>+BF64&amp;BF65&amp;BF66&amp;BF67&amp;BF68&amp;BF69&amp;BF70</f>
        <v/>
      </c>
    </row>
    <row r="237" spans="1:2" hidden="1">
      <c r="A237" s="12">
        <v>9</v>
      </c>
      <c r="B237" s="60" t="str">
        <f>+BF71&amp;BF72&amp;BF73&amp;BF74&amp;BF75&amp;BF76&amp;BF77</f>
        <v/>
      </c>
    </row>
    <row r="238" spans="1:2" hidden="1">
      <c r="A238" s="12">
        <v>10</v>
      </c>
      <c r="B238" s="60" t="str">
        <f>+BF78&amp;BF79&amp;BF80&amp;BF81&amp;BF82&amp;BF83&amp;BF84</f>
        <v/>
      </c>
    </row>
    <row r="239" spans="1:2" hidden="1">
      <c r="A239" s="12">
        <v>11</v>
      </c>
      <c r="B239" s="60" t="str">
        <f>+BF85&amp;BF86&amp;BF87&amp;BF88&amp;BF89&amp;BF90&amp;BF91</f>
        <v/>
      </c>
    </row>
    <row r="240" spans="1:2" hidden="1">
      <c r="A240" s="12">
        <v>12</v>
      </c>
      <c r="B240" s="60" t="str">
        <f>+BF92&amp;BF93&amp;BF94&amp;BF95&amp;BF96&amp;BF97&amp;BF98</f>
        <v/>
      </c>
    </row>
    <row r="241" spans="1:2" hidden="1">
      <c r="A241" s="12">
        <v>13</v>
      </c>
      <c r="B241" s="60" t="str">
        <f>+BF99&amp;BF100&amp;BF101&amp;BF102&amp;BF103&amp;BF104&amp;BF105</f>
        <v/>
      </c>
    </row>
    <row r="242" spans="1:2" hidden="1">
      <c r="A242" s="12">
        <v>14</v>
      </c>
      <c r="B242" s="60" t="str">
        <f>+BF106&amp;BF107&amp;BF108&amp;BF109&amp;BF110&amp;BF111&amp;BF112</f>
        <v/>
      </c>
    </row>
    <row r="243" spans="1:2" hidden="1">
      <c r="A243" s="12">
        <v>15</v>
      </c>
      <c r="B243" s="60" t="str">
        <f>+BF113&amp;BF114</f>
        <v/>
      </c>
    </row>
    <row r="244" spans="1:2">
      <c r="B244" s="60" t="str">
        <f>A7&amp;M19&amp;A8</f>
        <v xml:space="preserve">},function(result){$("#check1").html(result); </v>
      </c>
    </row>
    <row r="245" spans="1:2">
      <c r="A245" s="12">
        <v>1</v>
      </c>
      <c r="B245" s="60" t="str">
        <f>+BZ15&amp;BZ16&amp;BZ17&amp;BZ18&amp;BZ19&amp;BZ20&amp;BZ21</f>
        <v>$("#user").val("");$("#adv_user").html("");$("#user").css({"background":"#fff"});$("#prof").val("");$("#adv_prof").html("");$("#prof").css({"background":"#fff"});$("#dtoc").val("");$("#name").val("");$("#adv_name").html("");$("#name").css({"background":"#fff"});$("#surname").val("");$("#adv_surname").html("");$("#surname").css({"background":"#fff"});$("#mobile").val("");$("#adv_mobile").html("");$("#mobile").css({"background":"#fff"});</v>
      </c>
    </row>
    <row r="246" spans="1:2" hidden="1">
      <c r="A246" s="12">
        <v>2</v>
      </c>
      <c r="B246" s="60" t="str">
        <f>+BZ22&amp;BZ23&amp;BZ24&amp;BZ25&amp;BZ26&amp;BZ27&amp;BZ28</f>
        <v/>
      </c>
    </row>
    <row r="247" spans="1:2" hidden="1">
      <c r="A247" s="12">
        <v>3</v>
      </c>
      <c r="B247" s="60" t="str">
        <f>+BZ29&amp;BZ30&amp;BZ31&amp;BZ32&amp;BZ33&amp;BZ34&amp;BZ35</f>
        <v/>
      </c>
    </row>
    <row r="248" spans="1:2" hidden="1">
      <c r="A248" s="12">
        <v>4</v>
      </c>
      <c r="B248" s="60" t="str">
        <f>+BZ36&amp;BZ37&amp;BZ38&amp;BZ39&amp;BZ40&amp;BZ41&amp;BZ42</f>
        <v/>
      </c>
    </row>
    <row r="249" spans="1:2" hidden="1">
      <c r="A249" s="12">
        <v>5</v>
      </c>
      <c r="B249" s="60" t="str">
        <f>+BZ43&amp;BZ44&amp;BZ45&amp;BZ46&amp;BZ47&amp;BZ48&amp;BZ49</f>
        <v/>
      </c>
    </row>
    <row r="250" spans="1:2" hidden="1">
      <c r="A250" s="12">
        <v>6</v>
      </c>
      <c r="B250" s="60" t="str">
        <f>+BZ50&amp;BZ51&amp;BZ52&amp;BZ53&amp;BZ54&amp;BZ55&amp;BZ56</f>
        <v/>
      </c>
    </row>
    <row r="251" spans="1:2" hidden="1">
      <c r="A251" s="12">
        <v>7</v>
      </c>
      <c r="B251" s="60" t="str">
        <f>+BZ57&amp;BZ58&amp;BZ59&amp;BZ60&amp;BZ61&amp;BZ62&amp;BZ63</f>
        <v/>
      </c>
    </row>
    <row r="252" spans="1:2" hidden="1">
      <c r="A252" s="12">
        <v>8</v>
      </c>
      <c r="B252" s="60" t="str">
        <f>+BZ64&amp;BZ65&amp;BZ66&amp;BZ67&amp;BZ68&amp;BZ69&amp;BZ70</f>
        <v/>
      </c>
    </row>
    <row r="253" spans="1:2" hidden="1">
      <c r="A253" s="12">
        <v>9</v>
      </c>
      <c r="B253" s="60" t="str">
        <f>+BZ71&amp;BZ72&amp;BZ73&amp;BZ74&amp;BZ75&amp;BZ76&amp;BZ77</f>
        <v/>
      </c>
    </row>
    <row r="254" spans="1:2" hidden="1">
      <c r="A254" s="12">
        <v>10</v>
      </c>
      <c r="B254" s="60" t="str">
        <f>+BZ78&amp;BZ79&amp;BZ80&amp;BZ81&amp;BZ82&amp;BZ83&amp;BZ84</f>
        <v/>
      </c>
    </row>
    <row r="255" spans="1:2" hidden="1">
      <c r="A255" s="12">
        <v>11</v>
      </c>
      <c r="B255" s="60" t="str">
        <f>+BZ85&amp;BZ86&amp;BZ87&amp;BZ88&amp;BZ89&amp;BZ90&amp;BZ91</f>
        <v/>
      </c>
    </row>
    <row r="256" spans="1:2" hidden="1">
      <c r="A256" s="12">
        <v>12</v>
      </c>
      <c r="B256" s="60" t="str">
        <f>+BZ92&amp;BZ93&amp;BZ94&amp;BZ95&amp;BZ96&amp;BZ97&amp;BZ98</f>
        <v/>
      </c>
    </row>
    <row r="257" spans="1:5" hidden="1">
      <c r="A257" s="12">
        <v>13</v>
      </c>
      <c r="B257" s="60" t="str">
        <f>+BZ99&amp;BZ100&amp;BZ101&amp;BZ102&amp;BZ103&amp;BZ104&amp;BZ105</f>
        <v/>
      </c>
    </row>
    <row r="258" spans="1:5" hidden="1">
      <c r="A258" s="12">
        <v>14</v>
      </c>
      <c r="B258" s="60" t="str">
        <f>+BZ106&amp;BZ107&amp;BZ108&amp;BZ109&amp;BZ110&amp;BZ111&amp;BZ112</f>
        <v/>
      </c>
    </row>
    <row r="259" spans="1:5" hidden="1">
      <c r="A259" s="12">
        <v>15</v>
      </c>
      <c r="B259" s="60" t="str">
        <f>+BZ113&amp;BZ114</f>
        <v/>
      </c>
    </row>
    <row r="260" spans="1:5" hidden="1">
      <c r="B260" s="60" t="str">
        <f>""</f>
        <v/>
      </c>
    </row>
    <row r="261" spans="1:5" hidden="1">
      <c r="B261" s="60" t="str">
        <f>""</f>
        <v/>
      </c>
    </row>
    <row r="262" spans="1:5" hidden="1">
      <c r="B262" s="60" t="str">
        <f>""</f>
        <v/>
      </c>
    </row>
    <row r="263" spans="1:5" hidden="1">
      <c r="B263" s="60" t="str">
        <f>""</f>
        <v/>
      </c>
    </row>
    <row r="264" spans="1:5">
      <c r="B264" s="60" t="str">
        <f>+G3</f>
        <v>$("#hiden1").hide();</v>
      </c>
    </row>
    <row r="265" spans="1:5">
      <c r="B265" s="60" t="s">
        <v>368</v>
      </c>
    </row>
    <row r="266" spans="1:5">
      <c r="B266" s="60" t="str">
        <f>B8&amp;" "&amp;B12</f>
        <v>} }); });</v>
      </c>
    </row>
    <row r="267" spans="1:5" hidden="1">
      <c r="B267" s="60" t="str">
        <f>""</f>
        <v/>
      </c>
    </row>
    <row r="268" spans="1:5" hidden="1">
      <c r="B268" s="60" t="str">
        <f>""</f>
        <v/>
      </c>
    </row>
    <row r="269" spans="1:5">
      <c r="B269" s="60" t="s">
        <v>96</v>
      </c>
      <c r="E269" s="53"/>
    </row>
    <row r="270" spans="1:5" s="163" customFormat="1" ht="6">
      <c r="B270" s="164" t="s">
        <v>608</v>
      </c>
    </row>
    <row r="271" spans="1:5" s="163" customFormat="1" ht="6">
      <c r="B271" s="164" t="s">
        <v>609</v>
      </c>
    </row>
    <row r="272" spans="1:5" s="163" customFormat="1" ht="6">
      <c r="B272" s="164" t="s">
        <v>610</v>
      </c>
    </row>
    <row r="273" spans="2:2" s="163" customFormat="1" ht="6">
      <c r="B273" s="164" t="s">
        <v>611</v>
      </c>
    </row>
    <row r="274" spans="2:2" s="163" customFormat="1" ht="6">
      <c r="B274" s="164" t="s">
        <v>612</v>
      </c>
    </row>
    <row r="275" spans="2:2" s="163" customFormat="1" ht="6">
      <c r="B275" s="164" t="s">
        <v>613</v>
      </c>
    </row>
    <row r="276" spans="2:2" s="193" customFormat="1" ht="12.75">
      <c r="B276" s="262" t="s">
        <v>1328</v>
      </c>
    </row>
    <row r="277" spans="2:2" s="193" customFormat="1" ht="12.75">
      <c r="B277" s="262" t="s">
        <v>1329</v>
      </c>
    </row>
    <row r="278" spans="2:2" s="193" customFormat="1" ht="12.75">
      <c r="B278" s="262" t="s">
        <v>1330</v>
      </c>
    </row>
    <row r="279" spans="2:2" s="193" customFormat="1" ht="12.75">
      <c r="B279" s="262" t="s">
        <v>96</v>
      </c>
    </row>
    <row r="280" spans="2:2" s="163" customFormat="1" ht="6">
      <c r="B280" s="164" t="s">
        <v>614</v>
      </c>
    </row>
    <row r="281" spans="2:2" s="163" customFormat="1" ht="6">
      <c r="B281" s="164" t="s">
        <v>615</v>
      </c>
    </row>
    <row r="282" spans="2:2" s="163" customFormat="1" ht="6">
      <c r="B282" s="164" t="s">
        <v>616</v>
      </c>
    </row>
    <row r="283" spans="2:2" s="163" customFormat="1" ht="6">
      <c r="B283" s="164" t="s">
        <v>617</v>
      </c>
    </row>
    <row r="284" spans="2:2" s="163" customFormat="1" ht="6">
      <c r="B284" s="164" t="s">
        <v>618</v>
      </c>
    </row>
    <row r="285" spans="2:2" s="163" customFormat="1" ht="6">
      <c r="B285" s="164" t="s">
        <v>619</v>
      </c>
    </row>
    <row r="286" spans="2:2" s="163" customFormat="1" ht="6">
      <c r="B286" s="164" t="s">
        <v>619</v>
      </c>
    </row>
    <row r="287" spans="2:2" s="163" customFormat="1" ht="6">
      <c r="B287" s="164" t="s">
        <v>620</v>
      </c>
    </row>
    <row r="288" spans="2:2" s="163" customFormat="1" ht="6">
      <c r="B288" s="164" t="s">
        <v>621</v>
      </c>
    </row>
    <row r="289" spans="2:12" s="163" customFormat="1" ht="6">
      <c r="B289" s="164" t="s">
        <v>622</v>
      </c>
    </row>
    <row r="290" spans="2:12" s="163" customFormat="1" ht="6">
      <c r="B290" s="164" t="s">
        <v>623</v>
      </c>
    </row>
    <row r="291" spans="2:12" s="163" customFormat="1" ht="6">
      <c r="B291" s="164" t="s">
        <v>624</v>
      </c>
    </row>
    <row r="292" spans="2:12" s="163" customFormat="1" ht="6">
      <c r="B292" s="164" t="s">
        <v>625</v>
      </c>
    </row>
    <row r="293" spans="2:12" hidden="1">
      <c r="B293" s="64" t="str">
        <f>""</f>
        <v/>
      </c>
    </row>
    <row r="294" spans="2:12">
      <c r="B294" s="63" t="str">
        <f>IF(K21="si","&lt;div id='hiden"&amp;K19&amp;"'&gt;","")</f>
        <v>&lt;div id='hiden1'&gt;</v>
      </c>
      <c r="L294" s="163"/>
    </row>
    <row r="295" spans="2:12">
      <c r="B295" s="63" t="s">
        <v>1319</v>
      </c>
      <c r="L295" s="163"/>
    </row>
    <row r="296" spans="2:12">
      <c r="B296" s="63" t="s">
        <v>1320</v>
      </c>
      <c r="L296" s="163"/>
    </row>
    <row r="297" spans="2:12">
      <c r="B297" s="63" t="s">
        <v>1321</v>
      </c>
      <c r="L297" s="163"/>
    </row>
    <row r="298" spans="2:12">
      <c r="B298" s="63" t="s">
        <v>1322</v>
      </c>
      <c r="L298" s="163"/>
    </row>
    <row r="299" spans="2:12">
      <c r="B299" s="63" t="s">
        <v>1323</v>
      </c>
      <c r="L299" s="163"/>
    </row>
    <row r="300" spans="2:12">
      <c r="B300" s="63" t="s">
        <v>1324</v>
      </c>
      <c r="L300" s="163"/>
    </row>
    <row r="301" spans="2:12">
      <c r="B301" s="63" t="s">
        <v>1325</v>
      </c>
      <c r="L301" s="163"/>
    </row>
    <row r="302" spans="2:12">
      <c r="B302" s="63" t="s">
        <v>1326</v>
      </c>
      <c r="L302" s="163"/>
    </row>
    <row r="303" spans="2:12">
      <c r="B303" s="233" t="str">
        <f>BC16&amp;BH16&amp;"&lt;br/&gt;"</f>
        <v>password&lt;input type="password" id="pwd" name="pwd" size="15" onkeypress="capLock(event)"/&gt;&lt;span id="adv_pwd"&gt;&lt;/span&gt; &lt;br/&gt;</v>
      </c>
      <c r="C303" s="212"/>
      <c r="D303" s="212"/>
      <c r="E303" s="212"/>
      <c r="F303" s="212"/>
      <c r="G303" s="212"/>
      <c r="H303" s="212"/>
      <c r="I303" s="212"/>
      <c r="J303" s="212"/>
      <c r="K303" s="212"/>
      <c r="L303" s="212"/>
    </row>
    <row r="304" spans="2:12">
      <c r="B304" s="233" t="s">
        <v>1041</v>
      </c>
      <c r="C304" s="212"/>
      <c r="D304" s="212"/>
      <c r="E304" s="212"/>
      <c r="F304" s="212"/>
      <c r="G304" s="212"/>
      <c r="H304" s="212"/>
      <c r="I304" s="212"/>
      <c r="J304" s="212"/>
      <c r="K304" s="212"/>
      <c r="L304" s="212"/>
    </row>
    <row r="305" spans="2:9">
      <c r="B305" s="233" t="s">
        <v>1028</v>
      </c>
      <c r="C305" s="212"/>
      <c r="D305" s="212"/>
      <c r="E305" s="212"/>
      <c r="F305" s="212"/>
      <c r="G305" s="212"/>
      <c r="H305" s="212"/>
      <c r="I305" s="212"/>
    </row>
    <row r="306" spans="2:9">
      <c r="B306" s="63" t="str">
        <f>+BC17&amp;BH17&amp;BC18&amp;BH18</f>
        <v>profile&lt;input type="text" id="prof" name="prof" size="15" /&gt;&lt;span id="adv_prof"&gt;&lt;/span&gt;&lt;br/&gt;</v>
      </c>
    </row>
    <row r="307" spans="2:9">
      <c r="B307" s="63" t="str">
        <f>+BC19&amp;BH19&amp;BC20&amp;BH20</f>
        <v>name&lt;input type="text" id="name" name="name" size="15" /&gt;&lt;span id="adv_name"&gt;&lt;/span&gt;&lt;br/&gt;surname&lt;input type="text" id="surname" name="surname" size="15" /&gt;&lt;span id="adv_surname"&gt;&lt;/span&gt;&lt;br/&gt;</v>
      </c>
    </row>
    <row r="308" spans="2:9">
      <c r="B308" s="63" t="str">
        <f>+BC21&amp;BH21&amp;BC22&amp;BH22</f>
        <v>Mobile phone&lt;input type="text" id="mobile" name="mobile" size="15" /&gt;&lt;span id="adv_mobile"&gt;&lt;/span&gt;&lt;br/&gt;</v>
      </c>
    </row>
    <row r="309" spans="2:9" hidden="1">
      <c r="B309" s="63" t="str">
        <f>+BC23&amp;BH23&amp;BC24&amp;BH24</f>
        <v/>
      </c>
    </row>
    <row r="310" spans="2:9" hidden="1">
      <c r="B310" s="63" t="str">
        <f>+BC25&amp;BH25&amp;BC26&amp;BH26</f>
        <v/>
      </c>
    </row>
    <row r="311" spans="2:9" hidden="1">
      <c r="B311" s="63" t="str">
        <f>+BC27&amp;BH27&amp;BC28&amp;BH28</f>
        <v/>
      </c>
    </row>
    <row r="312" spans="2:9" hidden="1">
      <c r="B312" s="63" t="str">
        <f>+BC29&amp;BH29&amp;BC30&amp;BH30</f>
        <v/>
      </c>
    </row>
    <row r="313" spans="2:9" hidden="1">
      <c r="B313" s="63" t="str">
        <f>+BC31&amp;BH31&amp;BC32&amp;BH32</f>
        <v/>
      </c>
    </row>
    <row r="314" spans="2:9" hidden="1">
      <c r="B314" s="63" t="str">
        <f>+BC33&amp;BH33&amp;BC34&amp;BH34</f>
        <v/>
      </c>
    </row>
    <row r="315" spans="2:9" hidden="1">
      <c r="B315" s="63" t="str">
        <f>+BC35&amp;BH35&amp;BC36&amp;BH36</f>
        <v/>
      </c>
    </row>
    <row r="316" spans="2:9" hidden="1">
      <c r="B316" s="63" t="str">
        <f>+BC37&amp;BH37&amp;BC38&amp;BH38</f>
        <v/>
      </c>
    </row>
    <row r="317" spans="2:9" hidden="1">
      <c r="B317" s="63" t="str">
        <f>+BC39&amp;BH39&amp;BC40&amp;BH40</f>
        <v/>
      </c>
    </row>
    <row r="318" spans="2:9" hidden="1">
      <c r="B318" s="63" t="str">
        <f>+BC41&amp;BH41&amp;BC42&amp;BH42</f>
        <v/>
      </c>
    </row>
    <row r="319" spans="2:9" hidden="1">
      <c r="B319" s="63" t="str">
        <f>+BC43&amp;BH43&amp;BC44&amp;BH44</f>
        <v/>
      </c>
    </row>
    <row r="320" spans="2:9" hidden="1">
      <c r="B320" s="63" t="str">
        <f>+BC45&amp;BH45&amp;BC46&amp;BH46</f>
        <v/>
      </c>
    </row>
    <row r="321" spans="2:2" hidden="1">
      <c r="B321" s="63" t="str">
        <f>+BC47&amp;BH47&amp;BC48&amp;BH48</f>
        <v/>
      </c>
    </row>
    <row r="322" spans="2:2" hidden="1">
      <c r="B322" s="63" t="str">
        <f>+BC49&amp;BH49&amp;BC50&amp;BH50</f>
        <v/>
      </c>
    </row>
    <row r="323" spans="2:2" hidden="1">
      <c r="B323" s="63" t="str">
        <f>+BC51&amp;BH51&amp;BC52&amp;BH52</f>
        <v/>
      </c>
    </row>
    <row r="324" spans="2:2" hidden="1">
      <c r="B324" s="63" t="str">
        <f>+BC53&amp;BH53&amp;BC54&amp;BH54</f>
        <v/>
      </c>
    </row>
    <row r="325" spans="2:2" hidden="1">
      <c r="B325" s="63" t="str">
        <f>+BC55&amp;BH55&amp;BC56&amp;BH56</f>
        <v/>
      </c>
    </row>
    <row r="326" spans="2:2" hidden="1">
      <c r="B326" s="63" t="str">
        <f>+BC57&amp;BH57&amp;BC58&amp;BH58</f>
        <v/>
      </c>
    </row>
    <row r="327" spans="2:2" hidden="1">
      <c r="B327" s="63" t="str">
        <f>+BC59&amp;BH59&amp;BC60&amp;BH60</f>
        <v/>
      </c>
    </row>
    <row r="328" spans="2:2" hidden="1">
      <c r="B328" s="63" t="str">
        <f>+BC61&amp;BH61&amp;BC62&amp;BH62</f>
        <v/>
      </c>
    </row>
    <row r="329" spans="2:2" hidden="1">
      <c r="B329" s="63" t="str">
        <f>+BC63&amp;BH63&amp;BC64&amp;BH64</f>
        <v/>
      </c>
    </row>
    <row r="330" spans="2:2" hidden="1">
      <c r="B330" s="63" t="str">
        <f>+BC65&amp;BH65&amp;BC66&amp;BH66</f>
        <v/>
      </c>
    </row>
    <row r="331" spans="2:2" hidden="1">
      <c r="B331" s="63" t="str">
        <f>+BC67&amp;BH67&amp;BC68&amp;BH68</f>
        <v/>
      </c>
    </row>
    <row r="332" spans="2:2" hidden="1">
      <c r="B332" s="63" t="str">
        <f>+BC69&amp;BH69&amp;BC70&amp;BH70</f>
        <v/>
      </c>
    </row>
    <row r="333" spans="2:2" hidden="1">
      <c r="B333" s="63" t="str">
        <f>+BC71&amp;BH71&amp;BC72&amp;BH72</f>
        <v/>
      </c>
    </row>
    <row r="334" spans="2:2" hidden="1">
      <c r="B334" s="63" t="str">
        <f>+BC73&amp;BH73&amp;BC74&amp;BH74</f>
        <v/>
      </c>
    </row>
    <row r="335" spans="2:2" hidden="1">
      <c r="B335" s="63" t="str">
        <f>+BC75&amp;BH75&amp;BC76&amp;BH76</f>
        <v/>
      </c>
    </row>
    <row r="336" spans="2:2" hidden="1">
      <c r="B336" s="63" t="str">
        <f>+BC77&amp;BH77&amp;BC78&amp;BH78</f>
        <v/>
      </c>
    </row>
    <row r="337" spans="2:2" hidden="1">
      <c r="B337" s="63" t="str">
        <f>+BC79&amp;BH79&amp;BC80&amp;BH80</f>
        <v/>
      </c>
    </row>
    <row r="338" spans="2:2" hidden="1">
      <c r="B338" s="63" t="str">
        <f>+BC81&amp;BH81&amp;BC82&amp;BH82</f>
        <v/>
      </c>
    </row>
    <row r="339" spans="2:2" hidden="1">
      <c r="B339" s="63" t="str">
        <f>+BC83&amp;BH83&amp;BC84&amp;BH84</f>
        <v/>
      </c>
    </row>
    <row r="340" spans="2:2" hidden="1">
      <c r="B340" s="63" t="str">
        <f>+BC85&amp;BH85&amp;BC86&amp;BH86</f>
        <v/>
      </c>
    </row>
    <row r="341" spans="2:2" hidden="1">
      <c r="B341" s="63" t="str">
        <f>+BC87&amp;BH87&amp;BC88&amp;BH88</f>
        <v/>
      </c>
    </row>
    <row r="342" spans="2:2" hidden="1">
      <c r="B342" s="63" t="str">
        <f>+BC89&amp;BH89&amp;BC90&amp;BH90</f>
        <v/>
      </c>
    </row>
    <row r="343" spans="2:2" hidden="1">
      <c r="B343" s="63" t="str">
        <f>+BC91&amp;BH91&amp;BC92&amp;BH92</f>
        <v/>
      </c>
    </row>
    <row r="344" spans="2:2" hidden="1">
      <c r="B344" s="63" t="str">
        <f>+BC93&amp;BH93&amp;BC94&amp;BH94</f>
        <v/>
      </c>
    </row>
    <row r="345" spans="2:2" hidden="1">
      <c r="B345" s="63" t="str">
        <f>+BC95&amp;BH95&amp;BC96&amp;BH96</f>
        <v/>
      </c>
    </row>
    <row r="346" spans="2:2" hidden="1">
      <c r="B346" s="63" t="str">
        <f>+BC97&amp;BH97&amp;BC98&amp;BH98</f>
        <v/>
      </c>
    </row>
    <row r="347" spans="2:2" hidden="1">
      <c r="B347" s="63" t="str">
        <f>+BC99&amp;BH99&amp;BC100&amp;BH100</f>
        <v/>
      </c>
    </row>
    <row r="348" spans="2:2" hidden="1">
      <c r="B348" s="63" t="str">
        <f>+BC101&amp;BH101&amp;BC102&amp;BH102</f>
        <v/>
      </c>
    </row>
    <row r="349" spans="2:2" hidden="1">
      <c r="B349" s="63" t="str">
        <f>+BC103&amp;BH103&amp;BC104&amp;BH104</f>
        <v/>
      </c>
    </row>
    <row r="350" spans="2:2" hidden="1">
      <c r="B350" s="63" t="str">
        <f>+BC105&amp;BH105&amp;BC106&amp;BH106</f>
        <v/>
      </c>
    </row>
    <row r="351" spans="2:2" hidden="1">
      <c r="B351" s="63" t="str">
        <f>+BC107&amp;BH107&amp;BC108&amp;BH108</f>
        <v/>
      </c>
    </row>
    <row r="352" spans="2:2" hidden="1">
      <c r="B352" s="63" t="str">
        <f>+BC109&amp;BH109&amp;BC110&amp;BH110</f>
        <v/>
      </c>
    </row>
    <row r="353" spans="2:2" hidden="1">
      <c r="B353" s="63" t="str">
        <f>+BC111&amp;BH111&amp;BC112&amp;BH112</f>
        <v/>
      </c>
    </row>
    <row r="354" spans="2:2" hidden="1">
      <c r="B354" s="63" t="str">
        <f>+BC113&amp;BH113&amp;BC114&amp;BH114</f>
        <v/>
      </c>
    </row>
    <row r="355" spans="2:2" hidden="1">
      <c r="B355" s="64" t="str">
        <f>""</f>
        <v/>
      </c>
    </row>
    <row r="356" spans="2:2">
      <c r="B356" s="63" t="str">
        <f>+F10&amp;K19&amp;F11</f>
        <v>&lt;div class="glass" id="searchbutton1" style="color:white;padding:10px;text-align:center" onmouseover="this.className='glassonmouse'" onmouseout="this.className='glass'" &gt;SAVE&lt;/div&gt;</v>
      </c>
    </row>
    <row r="357" spans="2:2">
      <c r="B357" s="63" t="s">
        <v>6</v>
      </c>
    </row>
    <row r="358" spans="2:2">
      <c r="B358" s="63" t="str">
        <f>+J10&amp;fieldcreatorv2!L15&amp;J12</f>
        <v>&lt;a href="Jesus_login.php"&gt;Si ya eres miembro ingresa aca&lt;/a&gt;</v>
      </c>
    </row>
    <row r="359" spans="2:2">
      <c r="B359" s="63" t="str">
        <f>+IF(K21=M2,"&lt;/div&gt;","")</f>
        <v>&lt;/div&gt;</v>
      </c>
    </row>
    <row r="360" spans="2:2">
      <c r="B360" s="63" t="str">
        <f>+A9&amp;M19&amp;A10</f>
        <v>&lt;div id="check1"&gt;&lt;/div&gt;</v>
      </c>
    </row>
    <row r="361" spans="2:2" s="163" customFormat="1" ht="6">
      <c r="B361" s="164" t="s">
        <v>626</v>
      </c>
    </row>
    <row r="362" spans="2:2" s="163" customFormat="1" ht="6">
      <c r="B362" s="164" t="s">
        <v>627</v>
      </c>
    </row>
    <row r="363" spans="2:2" s="163" customFormat="1" ht="6">
      <c r="B363" s="164" t="s">
        <v>615</v>
      </c>
    </row>
    <row r="364" spans="2:2" s="163" customFormat="1" ht="6">
      <c r="B364" s="164" t="s">
        <v>628</v>
      </c>
    </row>
    <row r="365" spans="2:2" s="163" customFormat="1" ht="6">
      <c r="B365" s="164" t="s">
        <v>629</v>
      </c>
    </row>
    <row r="366" spans="2:2" s="163" customFormat="1" ht="6" hidden="1">
      <c r="B366" s="164" t="s">
        <v>630</v>
      </c>
    </row>
    <row r="367" spans="2:2" s="163" customFormat="1" ht="6" hidden="1">
      <c r="B367" s="164" t="s">
        <v>630</v>
      </c>
    </row>
    <row r="368" spans="2:2" s="163" customFormat="1" ht="6">
      <c r="B368" s="164" t="s">
        <v>613</v>
      </c>
    </row>
    <row r="369" spans="2:2" s="163" customFormat="1" ht="6" hidden="1">
      <c r="B369" s="164" t="s">
        <v>630</v>
      </c>
    </row>
    <row r="370" spans="2:2" s="193" customFormat="1" ht="12.75">
      <c r="B370" s="262" t="s">
        <v>1328</v>
      </c>
    </row>
    <row r="371" spans="2:2" s="193" customFormat="1" ht="12.75">
      <c r="B371" s="262" t="s">
        <v>1329</v>
      </c>
    </row>
    <row r="372" spans="2:2" s="193" customFormat="1" ht="12.75">
      <c r="B372" s="262" t="s">
        <v>1330</v>
      </c>
    </row>
    <row r="373" spans="2:2" s="193" customFormat="1" ht="12.75">
      <c r="B373" s="262" t="s">
        <v>96</v>
      </c>
    </row>
    <row r="374" spans="2:2" s="163" customFormat="1" ht="6">
      <c r="B374" s="164" t="s">
        <v>632</v>
      </c>
    </row>
    <row r="375" spans="2:2" s="163" customFormat="1" ht="6">
      <c r="B375" s="164" t="s">
        <v>615</v>
      </c>
    </row>
    <row r="376" spans="2:2" s="163" customFormat="1" ht="6">
      <c r="B376" s="164" t="s">
        <v>6</v>
      </c>
    </row>
    <row r="377" spans="2:2" s="163" customFormat="1" ht="6">
      <c r="B377" s="164" t="s">
        <v>633</v>
      </c>
    </row>
    <row r="378" spans="2:2" s="163" customFormat="1" ht="6">
      <c r="B378" s="164" t="s">
        <v>634</v>
      </c>
    </row>
    <row r="379" spans="2:2" hidden="1">
      <c r="B379" s="12" t="str">
        <f>""</f>
        <v/>
      </c>
    </row>
    <row r="380" spans="2:2" hidden="1">
      <c r="B380" s="12" t="str">
        <f>""</f>
        <v/>
      </c>
    </row>
    <row r="381" spans="2:2" hidden="1">
      <c r="B381" s="12" t="str">
        <f>""</f>
        <v/>
      </c>
    </row>
    <row r="382" spans="2:2" hidden="1">
      <c r="B382" s="12" t="str">
        <f>""</f>
        <v/>
      </c>
    </row>
    <row r="383" spans="2:2" hidden="1">
      <c r="B383" s="12" t="str">
        <f>""</f>
        <v/>
      </c>
    </row>
    <row r="384" spans="2:2" hidden="1">
      <c r="B384" s="61"/>
    </row>
    <row r="385" spans="2:2">
      <c r="B385" s="61" t="s">
        <v>1122</v>
      </c>
    </row>
    <row r="386" spans="2:2">
      <c r="B386" s="61" t="s">
        <v>1139</v>
      </c>
    </row>
    <row r="387" spans="2:2">
      <c r="B387" s="198" t="s">
        <v>1121</v>
      </c>
    </row>
    <row r="388" spans="2:2">
      <c r="B388" s="61" t="s">
        <v>1138</v>
      </c>
    </row>
    <row r="389" spans="2:2">
      <c r="B389" s="61" t="s">
        <v>1123</v>
      </c>
    </row>
    <row r="390" spans="2:2">
      <c r="B390" s="61" t="s">
        <v>1140</v>
      </c>
    </row>
    <row r="391" spans="2:2">
      <c r="B391" s="61" t="s">
        <v>1141</v>
      </c>
    </row>
    <row r="392" spans="2:2">
      <c r="B392" s="61" t="s">
        <v>1352</v>
      </c>
    </row>
    <row r="393" spans="2:2">
      <c r="B393" s="61" t="s">
        <v>1142</v>
      </c>
    </row>
    <row r="394" spans="2:2">
      <c r="B394" s="61" t="s">
        <v>837</v>
      </c>
    </row>
    <row r="395" spans="2:2">
      <c r="B395" s="61" t="s">
        <v>838</v>
      </c>
    </row>
    <row r="396" spans="2:2">
      <c r="B396" s="61" t="s">
        <v>867</v>
      </c>
    </row>
    <row r="397" spans="2:2">
      <c r="B397" s="61" t="s">
        <v>885</v>
      </c>
    </row>
    <row r="398" spans="2:2">
      <c r="B398" s="61" t="s">
        <v>882</v>
      </c>
    </row>
    <row r="399" spans="2:2">
      <c r="B399" s="61" t="s">
        <v>883</v>
      </c>
    </row>
    <row r="400" spans="2:2">
      <c r="B400" s="61" t="s">
        <v>884</v>
      </c>
    </row>
    <row r="401" spans="2:2">
      <c r="B401" s="61" t="s">
        <v>96</v>
      </c>
    </row>
    <row r="402" spans="2:2">
      <c r="B402" s="61" t="s">
        <v>1029</v>
      </c>
    </row>
    <row r="403" spans="2:2">
      <c r="B403" s="61" t="s">
        <v>1124</v>
      </c>
    </row>
    <row r="404" spans="2:2">
      <c r="B404" s="61" t="s">
        <v>1125</v>
      </c>
    </row>
    <row r="405" spans="2:2">
      <c r="B405" s="61" t="s">
        <v>966</v>
      </c>
    </row>
    <row r="406" spans="2:2">
      <c r="B406" s="61" t="s">
        <v>1030</v>
      </c>
    </row>
    <row r="407" spans="2:2">
      <c r="B407" s="61" t="s">
        <v>860</v>
      </c>
    </row>
    <row r="408" spans="2:2">
      <c r="B408" s="61" t="s">
        <v>861</v>
      </c>
    </row>
    <row r="409" spans="2:2">
      <c r="B409" s="61" t="s">
        <v>1031</v>
      </c>
    </row>
    <row r="410" spans="2:2">
      <c r="B410" s="61" t="s">
        <v>1032</v>
      </c>
    </row>
    <row r="411" spans="2:2">
      <c r="B411" s="61" t="s">
        <v>106</v>
      </c>
    </row>
    <row r="412" spans="2:2">
      <c r="B412" s="61" t="s">
        <v>96</v>
      </c>
    </row>
    <row r="413" spans="2:2" hidden="1">
      <c r="B413" s="188"/>
    </row>
    <row r="414" spans="2:2" hidden="1">
      <c r="B414" s="188"/>
    </row>
    <row r="415" spans="2:2">
      <c r="B415" s="13" t="str">
        <f>+ajaxinsertandclose!A271</f>
        <v>php file</v>
      </c>
    </row>
    <row r="416" spans="2:2">
      <c r="B416" s="58" t="str">
        <f>"&lt;? //"&amp;M15</f>
        <v>&lt;? //session.php</v>
      </c>
    </row>
    <row r="417" spans="1:2">
      <c r="B417" s="58" t="str">
        <f>+ajaxinsertandclose!A273&amp;G1</f>
        <v>header("Cache-Control: no-store, no-cache, must-revalidate");</v>
      </c>
    </row>
    <row r="418" spans="1:2">
      <c r="B418" s="58" t="s">
        <v>486</v>
      </c>
    </row>
    <row r="419" spans="1:2" hidden="1">
      <c r="B419" s="58" t="str">
        <f>+BY15&amp;BY16&amp;BY17&amp;BY18&amp;BY19&amp;BY20&amp;BY21&amp;BY22&amp;BY23&amp;BY24&amp;BY25&amp;BY26&amp;BY27&amp;BY28&amp;BY29&amp;BY30&amp;BY31&amp;BY32&amp;BY33&amp;BY34&amp;BY35&amp;BY36&amp;BY37&amp;BY38&amp;BY39&amp;BY40&amp;BY41&amp;BY42</f>
        <v/>
      </c>
    </row>
    <row r="420" spans="1:2" hidden="1">
      <c r="B420" s="58" t="str">
        <f>+BY43&amp;BY44&amp;BY45&amp;BY46&amp;BY47&amp;BY48&amp;BY49&amp;BY50&amp;BY51&amp;BY52&amp;BY53&amp;BY54&amp;BY55&amp;BY56&amp;BY57&amp;BY58&amp;BY59&amp;BY60&amp;BY61&amp;BY62&amp;BY63&amp;BY64&amp;BY65&amp;BY66&amp;BY67&amp;BY68&amp;BY69&amp;BY70</f>
        <v/>
      </c>
    </row>
    <row r="421" spans="1:2" hidden="1">
      <c r="B421" s="58" t="str">
        <f>+BY71&amp;BY72&amp;BY73&amp;BY74&amp;BY75&amp;BY76&amp;BY77&amp;BY78&amp;BY79&amp;BY80&amp;BY81&amp;BY82&amp;BY83&amp;BY84&amp;BY85&amp;BY86&amp;BY87&amp;BY88&amp;BY89&amp;BY90&amp;BY91&amp;BY92&amp;BY93&amp;BY94&amp;BY95&amp;BY96&amp;BY97&amp;BY98</f>
        <v/>
      </c>
    </row>
    <row r="422" spans="1:2" hidden="1">
      <c r="B422" s="58" t="str">
        <f>+BY99&amp;BY100&amp;BY101&amp;BY102&amp;BY103&amp;BY104&amp;BY105&amp;BY106&amp;BY107&amp;BY108&amp;BY109&amp;BY110&amp;BY111&amp;BY112</f>
        <v/>
      </c>
    </row>
    <row r="423" spans="1:2">
      <c r="A423" s="12">
        <v>1</v>
      </c>
      <c r="B423" s="58" t="str">
        <f>BG15&amp;BG16&amp;BG17&amp;BG18&amp;BG19&amp;BG20&amp;BG21</f>
        <v>if (isset($_GET['user'])) {$user=($_GET['user']);}else $user='';if (isset($_GET['pwd'])) {$pwd=($_GET['pwd']);}else $pwd='';if (isset($_GET['prof'])) {$prof=($_GET['prof']);}else $prof='';$dtoc=date("Y/m/d");if (isset($_GET['name'])) {$name=($_GET['name']);}else $name='';if (isset($_GET['surname'])) {$surname=($_GET['surname']);}else $surname='';if (isset($_GET['mobile'])) {$mobile=($_GET['mobile']);}else $mobile='';</v>
      </c>
    </row>
    <row r="424" spans="1:2" hidden="1">
      <c r="A424" s="12">
        <v>2</v>
      </c>
      <c r="B424" s="58" t="str">
        <f>BG22&amp;BG23&amp;BG24&amp;BG25&amp;BG26&amp;BG27&amp;BG28</f>
        <v/>
      </c>
    </row>
    <row r="425" spans="1:2" hidden="1">
      <c r="A425" s="12">
        <v>3</v>
      </c>
      <c r="B425" s="58" t="str">
        <f>BG29&amp;BG30&amp;BG31&amp;BG32&amp;BG33&amp;BG34&amp;BG35</f>
        <v/>
      </c>
    </row>
    <row r="426" spans="1:2" hidden="1">
      <c r="A426" s="12">
        <v>4</v>
      </c>
      <c r="B426" s="58" t="str">
        <f>BG36&amp;BG37&amp;BG38&amp;BG39&amp;BG40&amp;BG41&amp;BG42</f>
        <v/>
      </c>
    </row>
    <row r="427" spans="1:2" hidden="1">
      <c r="A427" s="12">
        <v>5</v>
      </c>
      <c r="B427" s="58" t="str">
        <f>BG43&amp;BG44&amp;BG45&amp;BG46&amp;BG47&amp;BG48&amp;BG49</f>
        <v/>
      </c>
    </row>
    <row r="428" spans="1:2" hidden="1">
      <c r="A428" s="12">
        <v>6</v>
      </c>
      <c r="B428" s="58" t="str">
        <f>BG50&amp;BG51&amp;BG52&amp;BG53&amp;BG54&amp;BG55&amp;BG56</f>
        <v/>
      </c>
    </row>
    <row r="429" spans="1:2" hidden="1">
      <c r="A429" s="12">
        <v>7</v>
      </c>
      <c r="B429" s="58" t="str">
        <f>BG57&amp;BG58&amp;BG59&amp;BG60&amp;BG61&amp;BG62&amp;BG63</f>
        <v/>
      </c>
    </row>
    <row r="430" spans="1:2" hidden="1">
      <c r="A430" s="12">
        <v>8</v>
      </c>
      <c r="B430" s="58" t="str">
        <f>BG64&amp;BG65&amp;BG66&amp;BG67&amp;BG68&amp;BG69&amp;BG70</f>
        <v/>
      </c>
    </row>
    <row r="431" spans="1:2" hidden="1">
      <c r="A431" s="12">
        <v>9</v>
      </c>
      <c r="B431" s="58" t="str">
        <f>BG71&amp;BG72&amp;BG73&amp;BG74&amp;BG75&amp;BG76&amp;BG77</f>
        <v/>
      </c>
    </row>
    <row r="432" spans="1:2" hidden="1">
      <c r="A432" s="12">
        <v>10</v>
      </c>
      <c r="B432" s="58" t="str">
        <f>BG78&amp;BG79&amp;BG80&amp;BG81&amp;BG82&amp;BG83&amp;BG84</f>
        <v/>
      </c>
    </row>
    <row r="433" spans="1:2" hidden="1">
      <c r="A433" s="12">
        <v>11</v>
      </c>
      <c r="B433" s="58" t="str">
        <f>BG85&amp;BG86&amp;BG87&amp;BG88&amp;BG89&amp;BG90&amp;BG91</f>
        <v/>
      </c>
    </row>
    <row r="434" spans="1:2" hidden="1">
      <c r="A434" s="12">
        <v>12</v>
      </c>
      <c r="B434" s="58" t="str">
        <f>BG92&amp;BG93&amp;BG94&amp;BG95&amp;BG96&amp;BG97&amp;BG98</f>
        <v/>
      </c>
    </row>
    <row r="435" spans="1:2" hidden="1">
      <c r="A435" s="12">
        <v>13</v>
      </c>
      <c r="B435" s="58" t="str">
        <f>BG99&amp;BG100&amp;BG101&amp;BG102&amp;BG103&amp;BG104&amp;BG105</f>
        <v/>
      </c>
    </row>
    <row r="436" spans="1:2" hidden="1">
      <c r="A436" s="12">
        <v>14</v>
      </c>
      <c r="B436" s="58" t="str">
        <f>BG106&amp;BG107&amp;BG108&amp;BG109&amp;BG110&amp;BG111&amp;BG112</f>
        <v/>
      </c>
    </row>
    <row r="437" spans="1:2" ht="13.5" hidden="1" customHeight="1">
      <c r="A437" s="12">
        <v>15</v>
      </c>
      <c r="B437" s="58" t="str">
        <f>BG113&amp;BG114</f>
        <v/>
      </c>
    </row>
    <row r="438" spans="1:2" ht="13.5" customHeight="1">
      <c r="B438" s="58" t="str">
        <f ca="1">+$D$8&amp;C15&amp;$D$9&amp;$J$3&amp;"standard"&amp;$K$19&amp;TODAY()&amp;$J$5&amp;C15&amp;";}"</f>
        <v>if (isset($_GET['user'])) {$_SESSION["standard141509_Virgin_Mary_user"]=$user;}</v>
      </c>
    </row>
    <row r="439" spans="1:2" ht="13.5" customHeight="1">
      <c r="B439" s="58" t="str">
        <f>"/*session variable highly important: "</f>
        <v xml:space="preserve">/*session variable highly important: </v>
      </c>
    </row>
    <row r="440" spans="1:2" ht="13.5" customHeight="1">
      <c r="B440" s="58" t="str">
        <f ca="1">J4&amp;"standard"&amp;$K$19&amp;TODAY()&amp;J6</f>
        <v>$_SESSION["standard141509_Virgin_Mary_user"]</v>
      </c>
    </row>
    <row r="441" spans="1:2" ht="13.5" customHeight="1">
      <c r="B441" s="58" t="str">
        <f>"*/"</f>
        <v>*/</v>
      </c>
    </row>
    <row r="442" spans="1:2" ht="13.5" hidden="1" customHeight="1">
      <c r="B442" s="58" t="str">
        <f>""</f>
        <v/>
      </c>
    </row>
    <row r="443" spans="1:2" ht="13.5" hidden="1" customHeight="1">
      <c r="B443" s="58" t="str">
        <f>""</f>
        <v/>
      </c>
    </row>
    <row r="444" spans="1:2" ht="13.5" hidden="1" customHeight="1">
      <c r="B444" s="58" t="str">
        <f>""</f>
        <v/>
      </c>
    </row>
    <row r="445" spans="1:2" ht="13.5" hidden="1" customHeight="1">
      <c r="B445" s="58" t="str">
        <f>""</f>
        <v/>
      </c>
    </row>
    <row r="446" spans="1:2" ht="13.5" customHeight="1">
      <c r="B446" s="58" t="e">
        <f>+#REF!</f>
        <v>#REF!</v>
      </c>
    </row>
    <row r="447" spans="1:2" ht="13.5" customHeight="1">
      <c r="B447" s="58" t="e">
        <f>+#REF!</f>
        <v>#REF!</v>
      </c>
    </row>
    <row r="448" spans="1:2" ht="13.5" customHeight="1">
      <c r="B448" s="58" t="str">
        <f>+K12</f>
        <v>mysql_select_db('healmy5_pray', $con);</v>
      </c>
    </row>
    <row r="449" spans="1:2" ht="13.5" hidden="1" customHeight="1">
      <c r="B449" s="58"/>
    </row>
    <row r="450" spans="1:2" hidden="1">
      <c r="B450" s="58"/>
    </row>
    <row r="451" spans="1:2" hidden="1">
      <c r="B451" s="58" t="str">
        <f>""</f>
        <v/>
      </c>
    </row>
    <row r="452" spans="1:2">
      <c r="B452" s="58" t="str">
        <f>+E1</f>
        <v xml:space="preserve">$already_exist_result = mysql_query("SELECT * FROM session WHERE </v>
      </c>
    </row>
    <row r="453" spans="1:2">
      <c r="A453" s="12">
        <v>1</v>
      </c>
      <c r="B453" s="58" t="str">
        <f>BS15&amp;BS16&amp;BS17&amp;BS18&amp;BS19&amp;BS20&amp;BS21</f>
        <v>user='$user'</v>
      </c>
    </row>
    <row r="454" spans="1:2" hidden="1">
      <c r="A454" s="12">
        <v>2</v>
      </c>
      <c r="B454" s="58" t="str">
        <f>BS22&amp;BS23&amp;BS24&amp;BS25&amp;BS26&amp;BS27&amp;BS28</f>
        <v/>
      </c>
    </row>
    <row r="455" spans="1:2" hidden="1">
      <c r="A455" s="12">
        <v>3</v>
      </c>
      <c r="B455" s="58" t="str">
        <f>BS29&amp;BS30&amp;BS31&amp;BS32&amp;BS33&amp;BS34&amp;BS35</f>
        <v/>
      </c>
    </row>
    <row r="456" spans="1:2" hidden="1">
      <c r="A456" s="12">
        <v>4</v>
      </c>
      <c r="B456" s="58" t="str">
        <f>BS36&amp;BS37&amp;BS38&amp;BS39&amp;BS40&amp;BS41&amp;BS42</f>
        <v/>
      </c>
    </row>
    <row r="457" spans="1:2" hidden="1">
      <c r="A457" s="12">
        <v>5</v>
      </c>
      <c r="B457" s="58" t="str">
        <f>BS43&amp;BS44&amp;BS45&amp;BS46&amp;BS47&amp;BS48&amp;BS49</f>
        <v/>
      </c>
    </row>
    <row r="458" spans="1:2" hidden="1">
      <c r="A458" s="12">
        <v>6</v>
      </c>
      <c r="B458" s="58" t="str">
        <f>BS50&amp;BS51&amp;BS52&amp;BS53&amp;BS54&amp;BS55&amp;BS56</f>
        <v/>
      </c>
    </row>
    <row r="459" spans="1:2" hidden="1">
      <c r="A459" s="12">
        <v>7</v>
      </c>
      <c r="B459" s="58" t="str">
        <f>BS57&amp;BS58&amp;BS59&amp;BS60&amp;BS61&amp;BS62&amp;BS63</f>
        <v/>
      </c>
    </row>
    <row r="460" spans="1:2" hidden="1">
      <c r="A460" s="12">
        <v>8</v>
      </c>
      <c r="B460" s="58" t="str">
        <f>BS64&amp;BS65&amp;BS66&amp;BS67&amp;BS68&amp;BS69&amp;BS70</f>
        <v/>
      </c>
    </row>
    <row r="461" spans="1:2" hidden="1">
      <c r="A461" s="12">
        <v>9</v>
      </c>
      <c r="B461" s="58" t="str">
        <f>BS71&amp;BS72&amp;BS73&amp;BS74&amp;BS75&amp;BS76&amp;BS77</f>
        <v/>
      </c>
    </row>
    <row r="462" spans="1:2" hidden="1">
      <c r="A462" s="12">
        <v>10</v>
      </c>
      <c r="B462" s="58" t="str">
        <f>BS78&amp;BS79&amp;BS80&amp;BS81&amp;BS82&amp;BS83&amp;BS84</f>
        <v/>
      </c>
    </row>
    <row r="463" spans="1:2" hidden="1">
      <c r="A463" s="12">
        <v>11</v>
      </c>
      <c r="B463" s="58" t="str">
        <f>BS85&amp;BS86&amp;BS87&amp;BS88&amp;BS89&amp;BS90&amp;BS91</f>
        <v/>
      </c>
    </row>
    <row r="464" spans="1:2" hidden="1">
      <c r="A464" s="12">
        <v>12</v>
      </c>
      <c r="B464" s="58" t="str">
        <f>BS92&amp;BS93&amp;BS94&amp;BS95&amp;BS96&amp;BS97&amp;BS98</f>
        <v/>
      </c>
    </row>
    <row r="465" spans="1:2" hidden="1">
      <c r="A465" s="12">
        <v>13</v>
      </c>
      <c r="B465" s="58" t="str">
        <f>BS99&amp;BS100&amp;BS101&amp;BS102&amp;BS103&amp;BS104&amp;BS105</f>
        <v/>
      </c>
    </row>
    <row r="466" spans="1:2" hidden="1">
      <c r="A466" s="12">
        <v>14</v>
      </c>
      <c r="B466" s="58" t="str">
        <f>BS106&amp;BS107&amp;BS108&amp;BS109&amp;BS110&amp;BS111&amp;BS112</f>
        <v/>
      </c>
    </row>
    <row r="467" spans="1:2" hidden="1">
      <c r="A467" s="12">
        <v>15</v>
      </c>
      <c r="B467" s="58" t="str">
        <f>BS113&amp;BS114</f>
        <v/>
      </c>
    </row>
    <row r="468" spans="1:2">
      <c r="B468" s="58" t="str">
        <f>+E2</f>
        <v xml:space="preserve"> "); $row_ae = mysql_fetch_array($already_exist_result);</v>
      </c>
    </row>
    <row r="469" spans="1:2">
      <c r="B469" s="58" t="str">
        <f>+E3</f>
        <v>if (!empty($row_ae[0])) {echo "Ya existe un registro con los datos "</v>
      </c>
    </row>
    <row r="470" spans="1:2">
      <c r="A470" s="12">
        <v>1</v>
      </c>
      <c r="B470" s="58" t="str">
        <f>BT15&amp;BT16&amp;BT17&amp;BT18&amp;BT19&amp;BT20&amp;BT21</f>
        <v>.$user</v>
      </c>
    </row>
    <row r="471" spans="1:2" hidden="1">
      <c r="A471" s="12">
        <v>2</v>
      </c>
      <c r="B471" s="58" t="str">
        <f>BT22&amp;BT23&amp;BT24&amp;BT25&amp;BT26&amp;BT27&amp;BT28</f>
        <v/>
      </c>
    </row>
    <row r="472" spans="1:2" hidden="1">
      <c r="A472" s="12">
        <v>3</v>
      </c>
      <c r="B472" s="58" t="str">
        <f>BT29&amp;BT30&amp;BT31&amp;BT32&amp;BT33&amp;BT34&amp;BT35</f>
        <v/>
      </c>
    </row>
    <row r="473" spans="1:2" hidden="1">
      <c r="A473" s="12">
        <v>4</v>
      </c>
      <c r="B473" s="58" t="str">
        <f>BT36&amp;BT37&amp;BT38&amp;BT39&amp;BT40&amp;BT41&amp;BT42</f>
        <v/>
      </c>
    </row>
    <row r="474" spans="1:2" hidden="1">
      <c r="A474" s="12">
        <v>5</v>
      </c>
      <c r="B474" s="58" t="str">
        <f>BT43&amp;BT44&amp;BT45&amp;BT46&amp;BT47&amp;BT48&amp;BT49</f>
        <v/>
      </c>
    </row>
    <row r="475" spans="1:2" hidden="1">
      <c r="A475" s="12">
        <v>6</v>
      </c>
      <c r="B475" s="58" t="str">
        <f>BT50&amp;BT51&amp;BT52&amp;BT53&amp;BT54&amp;BT55&amp;BT56</f>
        <v/>
      </c>
    </row>
    <row r="476" spans="1:2" hidden="1">
      <c r="A476" s="12">
        <v>7</v>
      </c>
      <c r="B476" s="58" t="str">
        <f>BT57&amp;BT58&amp;BT59&amp;BT60&amp;BT61&amp;BT62&amp;BT63</f>
        <v/>
      </c>
    </row>
    <row r="477" spans="1:2" hidden="1">
      <c r="A477" s="12">
        <v>8</v>
      </c>
      <c r="B477" s="58" t="str">
        <f>BT64&amp;BT65&amp;BT66&amp;BT67&amp;BT68&amp;BT69&amp;BT70</f>
        <v/>
      </c>
    </row>
    <row r="478" spans="1:2" hidden="1">
      <c r="A478" s="12">
        <v>9</v>
      </c>
      <c r="B478" s="58" t="str">
        <f>BT71&amp;BT72&amp;BT73&amp;BT74&amp;BT75&amp;BT76&amp;BT77</f>
        <v/>
      </c>
    </row>
    <row r="479" spans="1:2" hidden="1">
      <c r="A479" s="12">
        <v>10</v>
      </c>
      <c r="B479" s="58" t="str">
        <f>BT78&amp;BT79&amp;BT80&amp;BT81&amp;BT82&amp;BT83&amp;BT84</f>
        <v/>
      </c>
    </row>
    <row r="480" spans="1:2" hidden="1">
      <c r="A480" s="12">
        <v>11</v>
      </c>
      <c r="B480" s="58" t="str">
        <f>BT85&amp;BT86&amp;BT87&amp;BT88&amp;BT89&amp;BT90&amp;BT91</f>
        <v/>
      </c>
    </row>
    <row r="481" spans="1:2" hidden="1">
      <c r="A481" s="12">
        <v>12</v>
      </c>
      <c r="B481" s="58" t="str">
        <f>BT92&amp;BT93&amp;BT94&amp;BT95&amp;BT96&amp;BT97&amp;BT98</f>
        <v/>
      </c>
    </row>
    <row r="482" spans="1:2" hidden="1">
      <c r="A482" s="12">
        <v>13</v>
      </c>
      <c r="B482" s="58" t="str">
        <f>BT99&amp;BT100&amp;BT101&amp;BT102&amp;BT103&amp;BT104&amp;BT105</f>
        <v/>
      </c>
    </row>
    <row r="483" spans="1:2" hidden="1">
      <c r="A483" s="12">
        <v>14</v>
      </c>
      <c r="B483" s="58" t="str">
        <f>BT106&amp;BT107&amp;BT108&amp;BT109&amp;BT110&amp;BT111&amp;BT112</f>
        <v/>
      </c>
    </row>
    <row r="484" spans="1:2" hidden="1">
      <c r="A484" s="12">
        <v>15</v>
      </c>
      <c r="B484" s="58" t="str">
        <f>BT113&amp;BT114</f>
        <v/>
      </c>
    </row>
    <row r="485" spans="1:2">
      <c r="B485" s="58" t="str">
        <f>+E4</f>
        <v>."&lt;br/&gt; &lt;a href='a01session.php'&gt; Intente de nuevo, haz click aca&lt;/a&gt;&lt;br/&gt;";} else {</v>
      </c>
    </row>
    <row r="486" spans="1:2">
      <c r="B486" s="58" t="str">
        <f>+E12&amp;K15&amp;"("</f>
        <v>$sql="INSERT INTO session(</v>
      </c>
    </row>
    <row r="487" spans="1:2">
      <c r="A487" s="12">
        <v>1</v>
      </c>
      <c r="B487" s="58" t="str">
        <f>BU15&amp;BU16&amp;BU17&amp;BU18&amp;BU19&amp;BU20&amp;BU21</f>
        <v>user,pwd,prof,dtoc,name,surname,mobile</v>
      </c>
    </row>
    <row r="488" spans="1:2" hidden="1">
      <c r="A488" s="12">
        <v>2</v>
      </c>
      <c r="B488" s="58" t="str">
        <f>BU22&amp;BU23&amp;BU24&amp;BU25&amp;BU26&amp;BU27&amp;BU28</f>
        <v/>
      </c>
    </row>
    <row r="489" spans="1:2" hidden="1">
      <c r="A489" s="12">
        <v>3</v>
      </c>
      <c r="B489" s="58" t="str">
        <f>BU29&amp;BU30&amp;BU31&amp;BU32&amp;BU33&amp;BU34&amp;BU35</f>
        <v/>
      </c>
    </row>
    <row r="490" spans="1:2" hidden="1">
      <c r="A490" s="12">
        <v>4</v>
      </c>
      <c r="B490" s="58" t="str">
        <f>BU36&amp;BU37&amp;BU38&amp;BU39&amp;BU40&amp;BU41&amp;BU42</f>
        <v/>
      </c>
    </row>
    <row r="491" spans="1:2" hidden="1">
      <c r="A491" s="12">
        <v>5</v>
      </c>
      <c r="B491" s="58" t="str">
        <f>BU43&amp;BU44&amp;BU45&amp;BU46&amp;BU47&amp;BU48&amp;BU49</f>
        <v/>
      </c>
    </row>
    <row r="492" spans="1:2" hidden="1">
      <c r="A492" s="12">
        <v>6</v>
      </c>
      <c r="B492" s="58" t="str">
        <f>BU50&amp;BU51&amp;BU52&amp;BU53&amp;BU54&amp;BU55&amp;BU56</f>
        <v/>
      </c>
    </row>
    <row r="493" spans="1:2" hidden="1">
      <c r="A493" s="12">
        <v>7</v>
      </c>
      <c r="B493" s="58" t="str">
        <f>BU57&amp;BU58&amp;BU59&amp;BU60&amp;BU61&amp;BU62&amp;BU63</f>
        <v/>
      </c>
    </row>
    <row r="494" spans="1:2" hidden="1">
      <c r="A494" s="12">
        <v>8</v>
      </c>
      <c r="B494" s="58" t="str">
        <f>BU64&amp;BU65&amp;BU66&amp;BU67&amp;BU68&amp;BU69&amp;BU70</f>
        <v/>
      </c>
    </row>
    <row r="495" spans="1:2" hidden="1">
      <c r="A495" s="12">
        <v>9</v>
      </c>
      <c r="B495" s="58" t="str">
        <f>BU71&amp;BU72&amp;BU73&amp;BU74&amp;BU75&amp;BU76&amp;BU77</f>
        <v/>
      </c>
    </row>
    <row r="496" spans="1:2" hidden="1">
      <c r="A496" s="12">
        <v>10</v>
      </c>
      <c r="B496" s="58" t="str">
        <f>BU78&amp;BU79&amp;BU80&amp;BU81&amp;BU82&amp;BU83&amp;BU84</f>
        <v/>
      </c>
    </row>
    <row r="497" spans="1:2" hidden="1">
      <c r="A497" s="12">
        <v>11</v>
      </c>
      <c r="B497" s="58" t="str">
        <f>BU85&amp;BU86&amp;BU87&amp;BU88&amp;BU89&amp;BU90&amp;BU91</f>
        <v/>
      </c>
    </row>
    <row r="498" spans="1:2" hidden="1">
      <c r="A498" s="12">
        <v>12</v>
      </c>
      <c r="B498" s="58" t="str">
        <f>BU92&amp;BU93&amp;BU94&amp;BU95&amp;BU96&amp;BU97&amp;BU98</f>
        <v/>
      </c>
    </row>
    <row r="499" spans="1:2" hidden="1">
      <c r="A499" s="12">
        <v>13</v>
      </c>
      <c r="B499" s="58" t="str">
        <f>BU99&amp;BU100&amp;BU101&amp;BU102&amp;BU103&amp;BU104&amp;BU105</f>
        <v/>
      </c>
    </row>
    <row r="500" spans="1:2" hidden="1">
      <c r="A500" s="12">
        <v>14</v>
      </c>
      <c r="B500" s="58" t="str">
        <f>BU106&amp;BU107&amp;BU108&amp;BU109&amp;BU110&amp;BU111&amp;BU112</f>
        <v/>
      </c>
    </row>
    <row r="501" spans="1:2" hidden="1">
      <c r="A501" s="12">
        <v>15</v>
      </c>
      <c r="B501" s="58" t="str">
        <f>BU113&amp;BU114</f>
        <v/>
      </c>
    </row>
    <row r="502" spans="1:2">
      <c r="B502" s="58" t="s">
        <v>347</v>
      </c>
    </row>
    <row r="503" spans="1:2">
      <c r="A503" s="12">
        <v>1</v>
      </c>
      <c r="B503" s="58" t="str">
        <f>BV15&amp;BV16&amp;BV17&amp;BV18&amp;BV19&amp;BV20&amp;BV21</f>
        <v>'$user','$pwd','$prof','$dtoc','$name','$surname','$mobile'</v>
      </c>
    </row>
    <row r="504" spans="1:2" hidden="1">
      <c r="A504" s="12">
        <v>2</v>
      </c>
      <c r="B504" s="58" t="str">
        <f>BV22&amp;BV23&amp;BV24&amp;BV25&amp;BV26&amp;BV27&amp;BV28</f>
        <v/>
      </c>
    </row>
    <row r="505" spans="1:2" hidden="1">
      <c r="A505" s="12">
        <v>3</v>
      </c>
      <c r="B505" s="58" t="str">
        <f>BV29&amp;BV30&amp;BV31&amp;BV32&amp;BV33&amp;BV34&amp;BV35</f>
        <v/>
      </c>
    </row>
    <row r="506" spans="1:2" hidden="1">
      <c r="A506" s="12">
        <v>4</v>
      </c>
      <c r="B506" s="58" t="str">
        <f>BV36&amp;BV37&amp;BV38&amp;BV39&amp;BV40&amp;BV41&amp;BV42</f>
        <v/>
      </c>
    </row>
    <row r="507" spans="1:2" hidden="1">
      <c r="A507" s="12">
        <v>5</v>
      </c>
      <c r="B507" s="58" t="str">
        <f>BV43&amp;BV44&amp;BV45&amp;BV46&amp;BV47&amp;BV48&amp;BV49</f>
        <v/>
      </c>
    </row>
    <row r="508" spans="1:2" hidden="1">
      <c r="A508" s="12">
        <v>6</v>
      </c>
      <c r="B508" s="58" t="str">
        <f>BV50&amp;BV51&amp;BV52&amp;BV53&amp;BV54&amp;BV55&amp;BV56</f>
        <v/>
      </c>
    </row>
    <row r="509" spans="1:2" hidden="1">
      <c r="A509" s="12">
        <v>7</v>
      </c>
      <c r="B509" s="58" t="str">
        <f>BV57&amp;BV58&amp;BV59&amp;BV60&amp;BV61&amp;BV62&amp;BV63</f>
        <v/>
      </c>
    </row>
    <row r="510" spans="1:2" hidden="1">
      <c r="A510" s="12">
        <v>8</v>
      </c>
      <c r="B510" s="58" t="str">
        <f>BV64&amp;BV65&amp;BV66&amp;BV67&amp;BV68&amp;BV69&amp;BV70</f>
        <v/>
      </c>
    </row>
    <row r="511" spans="1:2" hidden="1">
      <c r="A511" s="12">
        <v>9</v>
      </c>
      <c r="B511" s="58" t="str">
        <f>BV71&amp;BV72&amp;BV73&amp;BV74&amp;BV75&amp;BV76&amp;BV77</f>
        <v/>
      </c>
    </row>
    <row r="512" spans="1:2" hidden="1">
      <c r="A512" s="12">
        <v>10</v>
      </c>
      <c r="B512" s="58" t="str">
        <f>BV78&amp;BV79&amp;BV80&amp;BV81&amp;BV82&amp;BV83&amp;BV84</f>
        <v/>
      </c>
    </row>
    <row r="513" spans="1:2" hidden="1">
      <c r="A513" s="12">
        <v>11</v>
      </c>
      <c r="B513" s="58" t="str">
        <f>BV85&amp;BV86&amp;BV87&amp;BV88&amp;BV89&amp;BV90&amp;BV91</f>
        <v/>
      </c>
    </row>
    <row r="514" spans="1:2" hidden="1">
      <c r="A514" s="12">
        <v>12</v>
      </c>
      <c r="B514" s="58" t="str">
        <f>BV92&amp;BV93&amp;BV94&amp;BV95&amp;BV96&amp;BV97&amp;BV98</f>
        <v/>
      </c>
    </row>
    <row r="515" spans="1:2" hidden="1">
      <c r="A515" s="12">
        <v>13</v>
      </c>
      <c r="B515" s="58" t="str">
        <f>BV99&amp;BV100&amp;BV101&amp;BV102&amp;BV103&amp;BV104&amp;BV105</f>
        <v/>
      </c>
    </row>
    <row r="516" spans="1:2" hidden="1">
      <c r="A516" s="12">
        <v>14</v>
      </c>
      <c r="B516" s="58" t="str">
        <f>BV106&amp;BV107&amp;BV108&amp;BV109&amp;BV110&amp;BV111&amp;BV112</f>
        <v/>
      </c>
    </row>
    <row r="517" spans="1:2" hidden="1">
      <c r="A517" s="12">
        <v>15</v>
      </c>
      <c r="B517" s="58" t="str">
        <f>BV113&amp;BV114</f>
        <v/>
      </c>
    </row>
    <row r="518" spans="1:2">
      <c r="B518" s="58" t="s">
        <v>22</v>
      </c>
    </row>
    <row r="519" spans="1:2" hidden="1">
      <c r="B519" s="58" t="str">
        <f>""</f>
        <v/>
      </c>
    </row>
    <row r="520" spans="1:2">
      <c r="B520" s="58" t="str">
        <f>+ajaxinsertandclose!A338</f>
        <v>if (!mysql_query($sql,$con)) {die('Error: ' . mysql_error());} echo 'registro exitosamente grabado&lt;br/&gt;';</v>
      </c>
    </row>
    <row r="521" spans="1:2">
      <c r="B521" s="58" t="str">
        <f>+ajaxinsertandclose!A339</f>
        <v>echo '&lt;div id="close" style="display:none"&gt;close&lt;/div&gt;';</v>
      </c>
    </row>
    <row r="522" spans="1:2">
      <c r="A522" s="12">
        <v>1</v>
      </c>
      <c r="B522" s="58" t="str">
        <f>BX15&amp;BX16&amp;BX17&amp;BX18&amp;BX19&amp;BX20&amp;BX21</f>
        <v>echo 'email'.$user;echo 'password'.$pwd;echo 'profile'.$prof;echo 'date of creation'.$dtoc;echo 'name'.$name;echo 'surname'.$surname;echo 'Mobile phone'.$mobile;</v>
      </c>
    </row>
    <row r="523" spans="1:2" hidden="1">
      <c r="A523" s="12">
        <v>2</v>
      </c>
      <c r="B523" s="58" t="str">
        <f>BX22&amp;BX23&amp;BX24&amp;BX25&amp;BX26&amp;BX27&amp;BX28</f>
        <v/>
      </c>
    </row>
    <row r="524" spans="1:2" hidden="1">
      <c r="A524" s="12">
        <v>3</v>
      </c>
      <c r="B524" s="58" t="str">
        <f>BX29&amp;BX30&amp;BX31&amp;BX32&amp;BX33&amp;BX34&amp;BX35</f>
        <v/>
      </c>
    </row>
    <row r="525" spans="1:2" hidden="1">
      <c r="A525" s="12">
        <v>4</v>
      </c>
      <c r="B525" s="58" t="str">
        <f>BX36&amp;BX37&amp;BX38&amp;BX39&amp;BX40&amp;BX41&amp;BX42</f>
        <v/>
      </c>
    </row>
    <row r="526" spans="1:2" hidden="1">
      <c r="A526" s="12">
        <v>5</v>
      </c>
      <c r="B526" s="58" t="str">
        <f>BX43&amp;BX44&amp;BX45&amp;BX46&amp;BX47&amp;BX48&amp;BX49</f>
        <v/>
      </c>
    </row>
    <row r="527" spans="1:2" hidden="1">
      <c r="A527" s="12">
        <v>6</v>
      </c>
      <c r="B527" s="58" t="str">
        <f>BX50&amp;BX51&amp;BX52&amp;BX53&amp;BX54&amp;BX55&amp;BX56</f>
        <v/>
      </c>
    </row>
    <row r="528" spans="1:2" hidden="1">
      <c r="A528" s="12">
        <v>7</v>
      </c>
      <c r="B528" s="58" t="str">
        <f>BX57&amp;BX58&amp;BX59&amp;BX60&amp;BX61&amp;BX62&amp;BX63</f>
        <v/>
      </c>
    </row>
    <row r="529" spans="1:2" hidden="1">
      <c r="A529" s="12">
        <v>8</v>
      </c>
      <c r="B529" s="58" t="str">
        <f>BX64&amp;BX65&amp;BX66&amp;BX67&amp;BX68&amp;BX69&amp;BX70</f>
        <v/>
      </c>
    </row>
    <row r="530" spans="1:2" hidden="1">
      <c r="A530" s="12">
        <v>9</v>
      </c>
      <c r="B530" s="58" t="str">
        <f>BX71&amp;BX72&amp;BX73&amp;BX74&amp;BX75&amp;BX76&amp;BX77</f>
        <v/>
      </c>
    </row>
    <row r="531" spans="1:2" hidden="1">
      <c r="A531" s="12">
        <v>10</v>
      </c>
      <c r="B531" s="58" t="str">
        <f>BX78&amp;BX79&amp;BX80&amp;BX81&amp;BX82&amp;BX83&amp;BX84</f>
        <v/>
      </c>
    </row>
    <row r="532" spans="1:2" hidden="1">
      <c r="A532" s="12">
        <v>11</v>
      </c>
      <c r="B532" s="58" t="str">
        <f>BX85&amp;BX86&amp;BX87&amp;BX88&amp;BX89&amp;BX90&amp;BX91</f>
        <v/>
      </c>
    </row>
    <row r="533" spans="1:2" hidden="1">
      <c r="A533" s="12">
        <v>12</v>
      </c>
      <c r="B533" s="58" t="str">
        <f>BX92&amp;BX93&amp;BX94&amp;BX95&amp;BX96&amp;BX97&amp;BX98</f>
        <v/>
      </c>
    </row>
    <row r="534" spans="1:2" hidden="1">
      <c r="A534" s="12">
        <v>13</v>
      </c>
      <c r="B534" s="58" t="str">
        <f>BX99&amp;BX100&amp;BX101&amp;BX102&amp;BX103&amp;BX104&amp;BX105</f>
        <v/>
      </c>
    </row>
    <row r="535" spans="1:2" hidden="1">
      <c r="A535" s="12">
        <v>14</v>
      </c>
      <c r="B535" s="58" t="str">
        <f>BX106&amp;BX107&amp;BX108&amp;BX109&amp;BX110&amp;BX111&amp;BX112</f>
        <v/>
      </c>
    </row>
    <row r="536" spans="1:2" hidden="1">
      <c r="A536" s="12">
        <v>15</v>
      </c>
      <c r="B536" s="58" t="str">
        <f>BX113&amp;BX114</f>
        <v/>
      </c>
    </row>
    <row r="537" spans="1:2" hidden="1">
      <c r="B537" s="58" t="str">
        <f>""</f>
        <v/>
      </c>
    </row>
    <row r="538" spans="1:2">
      <c r="B538" s="58" t="str">
        <f ca="1">+$J$4&amp;"standard"&amp;K19&amp;TODAY()&amp;J7</f>
        <v>$_SESSION["standard141509_Virgin_Mary_autent"]= "yes";</v>
      </c>
    </row>
    <row r="539" spans="1:2">
      <c r="B539" s="58" t="str">
        <f>+$J$8&amp;fieldcreatorv2!L15&amp;fieldcreatorv2!L19&amp;J9</f>
        <v>echo '&lt;a href="a01Jesus1.php"&gt;Haga click aqui para ingresar&lt;/a&gt;';</v>
      </c>
    </row>
    <row r="540" spans="1:2" hidden="1">
      <c r="B540" s="58" t="str">
        <f>""</f>
        <v/>
      </c>
    </row>
    <row r="541" spans="1:2" hidden="1">
      <c r="B541" s="58" t="str">
        <f>""</f>
        <v/>
      </c>
    </row>
    <row r="542" spans="1:2">
      <c r="B542" s="58" t="str">
        <f>+E9</f>
        <v>}</v>
      </c>
    </row>
    <row r="543" spans="1:2">
      <c r="B543" s="58" t="str">
        <f>+ajaxinsertandclose!A350</f>
        <v>?&gt;</v>
      </c>
    </row>
    <row r="544" spans="1:2">
      <c r="B544" s="13" t="s">
        <v>1126</v>
      </c>
    </row>
    <row r="545" spans="2:2">
      <c r="B545" s="55" t="s">
        <v>1127</v>
      </c>
    </row>
    <row r="546" spans="2:2">
      <c r="B546" s="55" t="s">
        <v>1128</v>
      </c>
    </row>
    <row r="547" spans="2:2">
      <c r="B547" s="55" t="e">
        <f>+#REF!</f>
        <v>#REF!</v>
      </c>
    </row>
    <row r="548" spans="2:2">
      <c r="B548" s="55" t="e">
        <f>+#REF!</f>
        <v>#REF!</v>
      </c>
    </row>
    <row r="549" spans="2:2">
      <c r="B549" s="55" t="e">
        <f>+#REF!</f>
        <v>#REF!</v>
      </c>
    </row>
    <row r="550" spans="2:2">
      <c r="B550" s="55" t="s">
        <v>1132</v>
      </c>
    </row>
    <row r="551" spans="2:2">
      <c r="B551" s="55" t="s">
        <v>534</v>
      </c>
    </row>
    <row r="552" spans="2:2">
      <c r="B552" s="55" t="s">
        <v>107</v>
      </c>
    </row>
    <row r="553" spans="2:2">
      <c r="B553" s="165" t="s">
        <v>1134</v>
      </c>
    </row>
    <row r="554" spans="2:2">
      <c r="B554" s="165" t="s">
        <v>1143</v>
      </c>
    </row>
    <row r="555" spans="2:2">
      <c r="B555" s="165" t="s">
        <v>1144</v>
      </c>
    </row>
    <row r="556" spans="2:2">
      <c r="B556" s="165" t="str">
        <f>+J10&amp;fieldcreatorv2!L15&amp;N9</f>
        <v>&lt;a href="Jesus_login.php"&gt;Ingresar&lt;/a&gt;&lt;br/&gt;&lt;br/&gt;</v>
      </c>
    </row>
    <row r="557" spans="2:2">
      <c r="B557" s="242" t="s">
        <v>1129</v>
      </c>
    </row>
    <row r="558" spans="2:2">
      <c r="B558" s="165" t="s">
        <v>1130</v>
      </c>
    </row>
    <row r="559" spans="2:2">
      <c r="B559" s="61" t="s">
        <v>1135</v>
      </c>
    </row>
    <row r="560" spans="2:2" s="196" customFormat="1">
      <c r="B560" s="221" t="s">
        <v>1136</v>
      </c>
    </row>
    <row r="561" spans="1:8">
      <c r="B561" s="61" t="s">
        <v>1137</v>
      </c>
    </row>
    <row r="562" spans="1:8">
      <c r="B562" s="55" t="s">
        <v>1131</v>
      </c>
    </row>
    <row r="564" spans="1:8">
      <c r="A564" s="13"/>
      <c r="B564" s="13" t="s">
        <v>1053</v>
      </c>
    </row>
    <row r="565" spans="1:8">
      <c r="B565" s="12" t="s">
        <v>1051</v>
      </c>
    </row>
    <row r="566" spans="1:8">
      <c r="B566" s="12" t="s">
        <v>1052</v>
      </c>
    </row>
    <row r="567" spans="1:8">
      <c r="A567" s="12">
        <v>1</v>
      </c>
      <c r="B567" s="272" t="s">
        <v>1198</v>
      </c>
      <c r="C567" s="270"/>
      <c r="D567" s="270"/>
      <c r="E567" s="270"/>
      <c r="F567" s="270"/>
      <c r="G567" s="270"/>
      <c r="H567" s="271"/>
    </row>
    <row r="568" spans="1:8">
      <c r="A568" s="12">
        <f>+A567+1</f>
        <v>2</v>
      </c>
      <c r="B568" s="272" t="s">
        <v>1199</v>
      </c>
      <c r="C568" s="270"/>
      <c r="D568" s="270"/>
      <c r="E568" s="270"/>
      <c r="F568" s="270"/>
      <c r="G568" s="270"/>
      <c r="H568" s="271"/>
    </row>
    <row r="569" spans="1:8">
      <c r="A569" s="12">
        <f t="shared" ref="A569:A577" si="117">+A568+1</f>
        <v>3</v>
      </c>
      <c r="B569" s="272" t="s">
        <v>1200</v>
      </c>
      <c r="C569" s="270"/>
      <c r="D569" s="270"/>
      <c r="E569" s="270"/>
      <c r="F569" s="270"/>
      <c r="G569" s="270"/>
      <c r="H569" s="271"/>
    </row>
    <row r="570" spans="1:8">
      <c r="A570" s="12">
        <f t="shared" si="117"/>
        <v>4</v>
      </c>
      <c r="B570" s="269"/>
      <c r="C570" s="270"/>
      <c r="D570" s="270"/>
      <c r="E570" s="270"/>
      <c r="F570" s="270"/>
      <c r="G570" s="270"/>
      <c r="H570" s="271"/>
    </row>
    <row r="571" spans="1:8">
      <c r="A571" s="12">
        <f t="shared" si="117"/>
        <v>5</v>
      </c>
      <c r="B571" s="269"/>
      <c r="C571" s="270"/>
      <c r="D571" s="270"/>
      <c r="E571" s="270"/>
      <c r="F571" s="270"/>
      <c r="G571" s="270"/>
      <c r="H571" s="271"/>
    </row>
    <row r="572" spans="1:8">
      <c r="A572" s="12">
        <f t="shared" si="117"/>
        <v>6</v>
      </c>
      <c r="B572" s="269"/>
      <c r="C572" s="270"/>
      <c r="D572" s="270"/>
      <c r="E572" s="270"/>
      <c r="F572" s="270"/>
      <c r="G572" s="270"/>
      <c r="H572" s="271"/>
    </row>
    <row r="573" spans="1:8">
      <c r="A573" s="12">
        <f t="shared" si="117"/>
        <v>7</v>
      </c>
      <c r="B573" s="269"/>
      <c r="C573" s="270"/>
      <c r="D573" s="270"/>
      <c r="E573" s="270"/>
      <c r="F573" s="270"/>
      <c r="G573" s="270"/>
      <c r="H573" s="271"/>
    </row>
    <row r="574" spans="1:8">
      <c r="A574" s="12">
        <f t="shared" si="117"/>
        <v>8</v>
      </c>
      <c r="B574" s="269"/>
      <c r="C574" s="270"/>
      <c r="D574" s="270"/>
      <c r="E574" s="270"/>
      <c r="F574" s="270"/>
      <c r="G574" s="270"/>
      <c r="H574" s="271"/>
    </row>
    <row r="575" spans="1:8">
      <c r="A575" s="12">
        <f t="shared" si="117"/>
        <v>9</v>
      </c>
      <c r="B575" s="269"/>
      <c r="C575" s="270"/>
      <c r="D575" s="270"/>
      <c r="E575" s="270"/>
      <c r="F575" s="270"/>
      <c r="G575" s="270"/>
      <c r="H575" s="271"/>
    </row>
    <row r="576" spans="1:8">
      <c r="A576" s="12">
        <f t="shared" si="117"/>
        <v>10</v>
      </c>
      <c r="B576" s="269"/>
      <c r="C576" s="270"/>
      <c r="D576" s="270"/>
      <c r="E576" s="270"/>
      <c r="F576" s="270"/>
      <c r="G576" s="270"/>
      <c r="H576" s="271"/>
    </row>
    <row r="577" spans="1:8">
      <c r="A577" s="12">
        <f t="shared" si="117"/>
        <v>11</v>
      </c>
      <c r="B577" s="269"/>
      <c r="C577" s="270"/>
      <c r="D577" s="270"/>
      <c r="E577" s="270"/>
      <c r="F577" s="270"/>
      <c r="G577" s="270"/>
      <c r="H577" s="271"/>
    </row>
    <row r="579" spans="1:8">
      <c r="B579" s="55" t="s">
        <v>1063</v>
      </c>
    </row>
    <row r="580" spans="1:8">
      <c r="B580" s="55" t="e">
        <f>+#REF!</f>
        <v>#REF!</v>
      </c>
    </row>
    <row r="581" spans="1:8">
      <c r="B581" s="55" t="e">
        <f>+#REF!</f>
        <v>#REF!</v>
      </c>
    </row>
    <row r="582" spans="1:8">
      <c r="B582" s="55" t="s">
        <v>1064</v>
      </c>
    </row>
    <row r="583" spans="1:8">
      <c r="B583" s="55" t="str">
        <f>+B448&amp;"?&gt;"</f>
        <v>mysql_select_db('healmy5_pray', $con);?&gt;</v>
      </c>
    </row>
    <row r="585" spans="1:8">
      <c r="B585" s="165" t="str">
        <f>+N2&amp;C15&amp;C11&amp;C15&amp;N3</f>
        <v>&lt;select name="user" id="user"&gt;</v>
      </c>
    </row>
    <row r="586" spans="1:8">
      <c r="B586" s="165" t="str">
        <f>N4</f>
        <v>&lt;option value=""&gt;&lt;/option&gt;</v>
      </c>
    </row>
    <row r="587" spans="1:8">
      <c r="B587" s="55" t="s">
        <v>1056</v>
      </c>
    </row>
    <row r="588" spans="1:8">
      <c r="A588" s="12">
        <v>1</v>
      </c>
      <c r="B588" s="55" t="str">
        <f>+N5&amp;C15&amp;N6&amp;B567&amp;"'"</f>
        <v>$pre_user=array('joaleto@yahoo.com'</v>
      </c>
    </row>
    <row r="589" spans="1:8">
      <c r="A589" s="12">
        <f>+A588+1</f>
        <v>2</v>
      </c>
      <c r="B589" s="55" t="str">
        <f t="shared" ref="B589:B597" si="118">+IF(B568&lt;&gt;"",",'"&amp;B568&amp;"'","")</f>
        <v>,'ricardosaldarriaga@yahoo.com'</v>
      </c>
    </row>
    <row r="590" spans="1:8">
      <c r="A590" s="12">
        <f t="shared" ref="A590:A598" si="119">+A589+1</f>
        <v>3</v>
      </c>
      <c r="B590" s="55" t="str">
        <f t="shared" si="118"/>
        <v>,'ma_escobar81@hotmail.com'</v>
      </c>
    </row>
    <row r="591" spans="1:8">
      <c r="A591" s="12">
        <f t="shared" si="119"/>
        <v>4</v>
      </c>
      <c r="B591" s="55" t="str">
        <f t="shared" si="118"/>
        <v/>
      </c>
    </row>
    <row r="592" spans="1:8">
      <c r="A592" s="12">
        <f t="shared" si="119"/>
        <v>5</v>
      </c>
      <c r="B592" s="55" t="str">
        <f t="shared" si="118"/>
        <v/>
      </c>
    </row>
    <row r="593" spans="1:12">
      <c r="A593" s="12">
        <f t="shared" si="119"/>
        <v>6</v>
      </c>
      <c r="B593" s="55" t="str">
        <f t="shared" si="118"/>
        <v/>
      </c>
    </row>
    <row r="594" spans="1:12">
      <c r="A594" s="12">
        <f t="shared" si="119"/>
        <v>7</v>
      </c>
      <c r="B594" s="55" t="str">
        <f t="shared" si="118"/>
        <v/>
      </c>
    </row>
    <row r="595" spans="1:12">
      <c r="A595" s="12">
        <f t="shared" si="119"/>
        <v>8</v>
      </c>
      <c r="B595" s="55" t="str">
        <f t="shared" si="118"/>
        <v/>
      </c>
    </row>
    <row r="596" spans="1:12">
      <c r="A596" s="12">
        <f t="shared" si="119"/>
        <v>9</v>
      </c>
      <c r="B596" s="55" t="str">
        <f t="shared" si="118"/>
        <v/>
      </c>
    </row>
    <row r="597" spans="1:12">
      <c r="A597" s="12">
        <f t="shared" si="119"/>
        <v>10</v>
      </c>
      <c r="B597" s="55" t="str">
        <f t="shared" si="118"/>
        <v/>
      </c>
    </row>
    <row r="598" spans="1:12">
      <c r="A598" s="12">
        <f t="shared" si="119"/>
        <v>11</v>
      </c>
      <c r="B598" s="55" t="str">
        <f>+IF(B577&lt;&gt;"",",'"&amp;B577&amp;"'","")&amp;");"</f>
        <v>);</v>
      </c>
    </row>
    <row r="599" spans="1:12">
      <c r="B599" s="55" t="str">
        <f>"foreach ($pre_"&amp;C15&amp;" as $value)   {"&amp;N7&amp;C15&amp;"="&amp;N8</f>
        <v>foreach ($pre_user as $value)   {  $result = mysql_query("SELECT * FROM session WHERE user='$value'"); $row = mysql_fetch_array($result);</v>
      </c>
      <c r="C599" s="55"/>
      <c r="D599" s="55"/>
      <c r="E599" s="55"/>
      <c r="F599" s="55"/>
      <c r="G599" s="55"/>
      <c r="H599" s="55"/>
      <c r="I599" s="55"/>
      <c r="J599" s="55"/>
      <c r="K599" s="55"/>
      <c r="L599" s="55"/>
    </row>
    <row r="600" spans="1:12">
      <c r="B600" s="55" t="s">
        <v>1061</v>
      </c>
      <c r="C600" s="55"/>
      <c r="D600" s="55"/>
      <c r="E600" s="55"/>
      <c r="F600" s="55"/>
      <c r="G600" s="55"/>
      <c r="H600" s="55"/>
    </row>
    <row r="601" spans="1:12">
      <c r="B601" s="165" t="s">
        <v>1062</v>
      </c>
    </row>
  </sheetData>
  <autoFilter ref="A117:B562">
    <filterColumn colId="1">
      <customFilters>
        <customFilter operator="notEqual" val=" "/>
      </customFilters>
    </filterColumn>
  </autoFilter>
  <mergeCells count="11">
    <mergeCell ref="B573:H573"/>
    <mergeCell ref="B574:H574"/>
    <mergeCell ref="B575:H575"/>
    <mergeCell ref="B576:H576"/>
    <mergeCell ref="B577:H577"/>
    <mergeCell ref="B572:H572"/>
    <mergeCell ref="B567:H567"/>
    <mergeCell ref="B568:H568"/>
    <mergeCell ref="B569:H569"/>
    <mergeCell ref="B570:H570"/>
    <mergeCell ref="B571:H571"/>
  </mergeCells>
  <conditionalFormatting sqref="I15">
    <cfRule type="expression" dxfId="8" priority="7">
      <formula>F15=$L$9</formula>
    </cfRule>
  </conditionalFormatting>
  <conditionalFormatting sqref="I18:I114">
    <cfRule type="expression" dxfId="7" priority="6">
      <formula>F18=$L$9</formula>
    </cfRule>
  </conditionalFormatting>
  <conditionalFormatting sqref="B15:H114">
    <cfRule type="expression" dxfId="6" priority="5">
      <formula>$D$117=1</formula>
    </cfRule>
  </conditionalFormatting>
  <conditionalFormatting sqref="B578:B608 B416:B543 B120 B126:B143">
    <cfRule type="expression" dxfId="5" priority="4">
      <formula>$D$117=1</formula>
    </cfRule>
  </conditionalFormatting>
  <conditionalFormatting sqref="B276:B279">
    <cfRule type="expression" dxfId="4" priority="2">
      <formula>$K$19&gt;1</formula>
    </cfRule>
  </conditionalFormatting>
  <conditionalFormatting sqref="B370:B373">
    <cfRule type="expression" dxfId="3" priority="1">
      <formula>$K$19&gt;1</formula>
    </cfRule>
  </conditionalFormatting>
  <dataValidations count="4">
    <dataValidation type="list" allowBlank="1" showInputMessage="1" showErrorMessage="1" sqref="K23">
      <formula1>$M$5:$M$6</formula1>
    </dataValidation>
    <dataValidation type="list" allowBlank="1" showInputMessage="1" showErrorMessage="1" sqref="E15:E114">
      <formula1>$K$2:$K$5</formula1>
    </dataValidation>
    <dataValidation type="list" allowBlank="1" showInputMessage="1" showErrorMessage="1" sqref="K21 G15:H114">
      <formula1>$M$2:$M$3</formula1>
    </dataValidation>
    <dataValidation type="list" allowBlank="1" showInputMessage="1" showErrorMessage="1" sqref="F15:F114">
      <formula1>$L$2:$L$9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256"/>
  <sheetViews>
    <sheetView zoomScale="75" zoomScaleNormal="75" workbookViewId="0">
      <pane ySplit="2475" topLeftCell="A358"/>
      <selection activeCell="B1" sqref="B1:B1048576"/>
      <selection pane="bottomLeft" activeCell="A46" sqref="A46:XFD46"/>
    </sheetView>
  </sheetViews>
  <sheetFormatPr baseColWidth="10" defaultRowHeight="15"/>
  <cols>
    <col min="1" max="1" width="7.7109375" style="12" customWidth="1"/>
    <col min="2" max="2" width="32.42578125" style="12" customWidth="1"/>
    <col min="3" max="3" width="5" style="12" bestFit="1" customWidth="1"/>
    <col min="4" max="7" width="11.42578125" style="12"/>
    <col min="8" max="8" width="23.7109375" style="12" customWidth="1"/>
    <col min="9" max="9" width="5" style="12" customWidth="1"/>
    <col min="10" max="16384" width="11.42578125" style="12"/>
  </cols>
  <sheetData>
    <row r="1" spans="1:13">
      <c r="A1" s="12" t="s">
        <v>164</v>
      </c>
      <c r="J1" s="31" t="s">
        <v>132</v>
      </c>
      <c r="K1" s="32" t="s">
        <v>133</v>
      </c>
      <c r="L1" s="33" t="s">
        <v>139</v>
      </c>
    </row>
    <row r="2" spans="1:13">
      <c r="A2" s="12" t="s">
        <v>165</v>
      </c>
      <c r="J2" s="25" t="s">
        <v>111</v>
      </c>
      <c r="K2" s="26" t="s">
        <v>135</v>
      </c>
      <c r="L2" s="27" t="s">
        <v>24</v>
      </c>
      <c r="M2" s="12" t="s">
        <v>161</v>
      </c>
    </row>
    <row r="3" spans="1:13">
      <c r="A3" s="41" t="s">
        <v>166</v>
      </c>
      <c r="J3" s="25" t="s">
        <v>114</v>
      </c>
      <c r="K3" s="26" t="s">
        <v>9</v>
      </c>
      <c r="L3" s="27" t="s">
        <v>48</v>
      </c>
      <c r="M3" s="12" t="s">
        <v>162</v>
      </c>
    </row>
    <row r="4" spans="1:13">
      <c r="A4" s="12" t="s">
        <v>167</v>
      </c>
      <c r="J4" s="25" t="s">
        <v>109</v>
      </c>
      <c r="K4" s="26" t="s">
        <v>136</v>
      </c>
      <c r="L4" s="27"/>
    </row>
    <row r="5" spans="1:13">
      <c r="A5" s="12" t="s">
        <v>187</v>
      </c>
      <c r="J5" s="25"/>
      <c r="K5" s="26" t="s">
        <v>137</v>
      </c>
      <c r="L5" s="27"/>
    </row>
    <row r="6" spans="1:13">
      <c r="A6" s="12" t="s">
        <v>188</v>
      </c>
      <c r="J6" s="25"/>
      <c r="K6" s="26" t="s">
        <v>138</v>
      </c>
      <c r="L6" s="27"/>
    </row>
    <row r="7" spans="1:13">
      <c r="J7" s="28"/>
      <c r="K7" s="29" t="s">
        <v>131</v>
      </c>
      <c r="L7" s="30"/>
    </row>
    <row r="8" spans="1:13" s="17" customFormat="1"/>
    <row r="9" spans="1:13" s="17" customFormat="1">
      <c r="B9" s="34" t="s">
        <v>127</v>
      </c>
      <c r="C9" s="34" t="s">
        <v>72</v>
      </c>
      <c r="D9" s="34" t="s">
        <v>128</v>
      </c>
      <c r="E9" s="34" t="s">
        <v>132</v>
      </c>
      <c r="F9" s="34" t="s">
        <v>133</v>
      </c>
      <c r="G9" s="34" t="s">
        <v>134</v>
      </c>
      <c r="H9" s="17" t="s">
        <v>148</v>
      </c>
      <c r="J9" s="17" t="s">
        <v>145</v>
      </c>
    </row>
    <row r="10" spans="1:13" s="17" customFormat="1">
      <c r="B10" s="35" t="s">
        <v>150</v>
      </c>
      <c r="C10" s="35" t="s">
        <v>153</v>
      </c>
      <c r="D10" s="36">
        <v>100</v>
      </c>
      <c r="E10" s="35" t="s">
        <v>111</v>
      </c>
      <c r="F10" s="35" t="s">
        <v>135</v>
      </c>
      <c r="G10" s="35" t="s">
        <v>24</v>
      </c>
      <c r="J10" s="35" t="s">
        <v>156</v>
      </c>
      <c r="K10" s="44" t="s">
        <v>186</v>
      </c>
      <c r="L10" s="45" t="str">
        <f>+J10&amp;".php"</f>
        <v>Prayer2.php</v>
      </c>
    </row>
    <row r="11" spans="1:13" s="17" customFormat="1">
      <c r="B11" s="35" t="s">
        <v>151</v>
      </c>
      <c r="C11" s="35" t="s">
        <v>154</v>
      </c>
      <c r="D11" s="36">
        <v>100</v>
      </c>
      <c r="E11" s="35" t="s">
        <v>111</v>
      </c>
      <c r="F11" s="35" t="s">
        <v>135</v>
      </c>
      <c r="G11" s="35" t="s">
        <v>24</v>
      </c>
      <c r="J11" s="17" t="s">
        <v>146</v>
      </c>
    </row>
    <row r="12" spans="1:13" s="17" customFormat="1">
      <c r="B12" s="35" t="s">
        <v>152</v>
      </c>
      <c r="C12" s="35" t="s">
        <v>152</v>
      </c>
      <c r="D12" s="36">
        <v>100</v>
      </c>
      <c r="E12" s="35" t="s">
        <v>111</v>
      </c>
      <c r="F12" s="35" t="s">
        <v>135</v>
      </c>
      <c r="G12" s="35" t="s">
        <v>24</v>
      </c>
      <c r="J12" s="35" t="s">
        <v>155</v>
      </c>
    </row>
    <row r="13" spans="1:13" s="17" customFormat="1">
      <c r="B13" s="35"/>
      <c r="C13" s="35" t="s">
        <v>168</v>
      </c>
      <c r="D13" s="36"/>
      <c r="E13" s="35"/>
      <c r="F13" s="35"/>
      <c r="G13" s="35"/>
      <c r="J13" s="17" t="s">
        <v>147</v>
      </c>
    </row>
    <row r="14" spans="1:13" s="17" customFormat="1">
      <c r="B14" s="35"/>
      <c r="C14" s="35" t="s">
        <v>169</v>
      </c>
      <c r="D14" s="36"/>
      <c r="E14" s="35"/>
      <c r="F14" s="35"/>
      <c r="G14" s="35"/>
      <c r="J14" s="35">
        <v>2</v>
      </c>
    </row>
    <row r="15" spans="1:13" s="17" customFormat="1">
      <c r="B15" s="35"/>
      <c r="C15" s="35" t="s">
        <v>170</v>
      </c>
      <c r="D15" s="36"/>
      <c r="E15" s="35"/>
      <c r="F15" s="35"/>
      <c r="G15" s="35"/>
    </row>
    <row r="16" spans="1:13" s="17" customFormat="1">
      <c r="B16" s="35"/>
      <c r="C16" s="35" t="s">
        <v>171</v>
      </c>
      <c r="D16" s="36"/>
      <c r="E16" s="35"/>
      <c r="F16" s="35"/>
      <c r="G16" s="35"/>
    </row>
    <row r="17" spans="2:7" s="17" customFormat="1">
      <c r="B17" s="35"/>
      <c r="C17" s="35" t="s">
        <v>172</v>
      </c>
      <c r="D17" s="36"/>
      <c r="E17" s="35"/>
      <c r="F17" s="35"/>
      <c r="G17" s="35"/>
    </row>
    <row r="18" spans="2:7" s="17" customFormat="1">
      <c r="B18" s="35"/>
      <c r="C18" s="35" t="s">
        <v>173</v>
      </c>
      <c r="D18" s="36"/>
      <c r="E18" s="35"/>
      <c r="F18" s="35"/>
      <c r="G18" s="35"/>
    </row>
    <row r="19" spans="2:7" s="17" customFormat="1">
      <c r="B19" s="35"/>
      <c r="C19" s="35" t="s">
        <v>174</v>
      </c>
      <c r="D19" s="36"/>
      <c r="E19" s="35"/>
      <c r="F19" s="35"/>
      <c r="G19" s="35"/>
    </row>
    <row r="20" spans="2:7" s="17" customFormat="1">
      <c r="B20" s="35"/>
      <c r="C20" s="35" t="s">
        <v>175</v>
      </c>
      <c r="D20" s="36"/>
      <c r="E20" s="35"/>
      <c r="F20" s="35"/>
      <c r="G20" s="35"/>
    </row>
    <row r="21" spans="2:7" s="17" customFormat="1">
      <c r="B21" s="35"/>
      <c r="C21" s="35" t="s">
        <v>176</v>
      </c>
      <c r="D21" s="36"/>
      <c r="E21" s="35"/>
      <c r="F21" s="35"/>
      <c r="G21" s="35"/>
    </row>
    <row r="22" spans="2:7" s="17" customFormat="1">
      <c r="B22" s="35"/>
      <c r="C22" s="35" t="s">
        <v>177</v>
      </c>
      <c r="D22" s="36"/>
      <c r="E22" s="35"/>
      <c r="F22" s="35"/>
      <c r="G22" s="35"/>
    </row>
    <row r="23" spans="2:7" s="17" customFormat="1">
      <c r="B23" s="35"/>
      <c r="C23" s="35" t="s">
        <v>178</v>
      </c>
      <c r="D23" s="36"/>
      <c r="E23" s="35"/>
      <c r="F23" s="35"/>
      <c r="G23" s="35"/>
    </row>
    <row r="24" spans="2:7" s="17" customFormat="1">
      <c r="B24" s="35"/>
      <c r="C24" s="35" t="s">
        <v>179</v>
      </c>
      <c r="D24" s="36"/>
      <c r="E24" s="35"/>
      <c r="F24" s="35"/>
      <c r="G24" s="35"/>
    </row>
    <row r="25" spans="2:7" s="17" customFormat="1">
      <c r="B25" s="35"/>
      <c r="C25" s="35" t="s">
        <v>180</v>
      </c>
      <c r="D25" s="36"/>
      <c r="E25" s="35"/>
      <c r="F25" s="35"/>
      <c r="G25" s="35"/>
    </row>
    <row r="26" spans="2:7" s="17" customFormat="1">
      <c r="B26" s="35"/>
      <c r="C26" s="35" t="s">
        <v>181</v>
      </c>
      <c r="D26" s="36"/>
      <c r="E26" s="35"/>
      <c r="F26" s="35"/>
      <c r="G26" s="35"/>
    </row>
    <row r="27" spans="2:7" s="17" customFormat="1">
      <c r="B27" s="35"/>
      <c r="C27" s="35" t="s">
        <v>182</v>
      </c>
      <c r="D27" s="36"/>
      <c r="E27" s="35"/>
      <c r="F27" s="35"/>
      <c r="G27" s="35"/>
    </row>
    <row r="28" spans="2:7" s="17" customFormat="1">
      <c r="B28" s="35"/>
      <c r="C28" s="35" t="s">
        <v>183</v>
      </c>
      <c r="D28" s="36"/>
      <c r="E28" s="35"/>
      <c r="F28" s="35"/>
      <c r="G28" s="35"/>
    </row>
    <row r="29" spans="2:7" s="17" customFormat="1">
      <c r="B29" s="35"/>
      <c r="C29" s="35" t="s">
        <v>184</v>
      </c>
      <c r="D29" s="36"/>
      <c r="E29" s="35"/>
      <c r="F29" s="35"/>
      <c r="G29" s="35"/>
    </row>
    <row r="30" spans="2:7" s="17" customFormat="1">
      <c r="B30" s="35"/>
      <c r="C30" s="35"/>
      <c r="D30" s="36"/>
      <c r="E30" s="35"/>
      <c r="F30" s="35"/>
      <c r="G30" s="35"/>
    </row>
    <row r="31" spans="2:7" s="17" customFormat="1">
      <c r="B31" s="35"/>
      <c r="C31" s="35"/>
      <c r="D31" s="36"/>
      <c r="E31" s="35"/>
      <c r="F31" s="35"/>
      <c r="G31" s="35"/>
    </row>
    <row r="32" spans="2:7" s="17" customFormat="1">
      <c r="B32" s="35"/>
      <c r="C32" s="35"/>
      <c r="D32" s="36"/>
      <c r="E32" s="35"/>
      <c r="F32" s="35"/>
      <c r="G32" s="35"/>
    </row>
    <row r="33" spans="2:7" s="17" customFormat="1">
      <c r="B33" s="35"/>
      <c r="C33" s="35"/>
      <c r="D33" s="36"/>
      <c r="E33" s="35"/>
      <c r="F33" s="35"/>
      <c r="G33" s="35"/>
    </row>
    <row r="34" spans="2:7" s="17" customFormat="1">
      <c r="B34" s="35"/>
      <c r="C34" s="35"/>
      <c r="D34" s="36"/>
      <c r="E34" s="35"/>
      <c r="F34" s="35"/>
      <c r="G34" s="35"/>
    </row>
    <row r="35" spans="2:7" s="17" customFormat="1">
      <c r="B35" s="35"/>
      <c r="C35" s="35"/>
      <c r="D35" s="36"/>
      <c r="E35" s="35"/>
      <c r="F35" s="35"/>
      <c r="G35" s="35"/>
    </row>
    <row r="36" spans="2:7" s="17" customFormat="1">
      <c r="B36" s="35"/>
      <c r="C36" s="35"/>
      <c r="D36" s="36"/>
      <c r="E36" s="35"/>
      <c r="F36" s="35"/>
      <c r="G36" s="35"/>
    </row>
    <row r="37" spans="2:7" s="17" customFormat="1">
      <c r="B37" s="35"/>
      <c r="C37" s="35"/>
      <c r="D37" s="36"/>
      <c r="E37" s="35"/>
      <c r="F37" s="35"/>
      <c r="G37" s="35"/>
    </row>
    <row r="38" spans="2:7" s="17" customFormat="1">
      <c r="B38" s="35"/>
      <c r="C38" s="35"/>
      <c r="D38" s="36"/>
      <c r="E38" s="35"/>
      <c r="F38" s="35"/>
      <c r="G38" s="35"/>
    </row>
    <row r="39" spans="2:7" s="17" customFormat="1">
      <c r="B39" s="35"/>
      <c r="C39" s="35"/>
      <c r="D39" s="36"/>
      <c r="E39" s="35"/>
      <c r="F39" s="35"/>
      <c r="G39" s="35"/>
    </row>
    <row r="40" spans="2:7" s="17" customFormat="1">
      <c r="B40" s="35"/>
      <c r="C40" s="35"/>
      <c r="D40" s="36"/>
      <c r="E40" s="35"/>
      <c r="F40" s="35"/>
      <c r="G40" s="35"/>
    </row>
    <row r="41" spans="2:7" s="17" customFormat="1">
      <c r="B41" s="35"/>
      <c r="C41" s="35"/>
      <c r="D41" s="36"/>
      <c r="E41" s="35"/>
      <c r="F41" s="35"/>
      <c r="G41" s="35"/>
    </row>
    <row r="42" spans="2:7" s="17" customFormat="1">
      <c r="B42" s="35"/>
      <c r="C42" s="35"/>
      <c r="D42" s="36"/>
      <c r="E42" s="35"/>
      <c r="F42" s="35"/>
      <c r="G42" s="35"/>
    </row>
    <row r="43" spans="2:7" s="17" customFormat="1">
      <c r="B43" s="35"/>
      <c r="C43" s="35"/>
      <c r="D43" s="36"/>
      <c r="E43" s="35"/>
      <c r="F43" s="35"/>
      <c r="G43" s="35"/>
    </row>
    <row r="44" spans="2:7" s="17" customFormat="1">
      <c r="B44" s="35"/>
      <c r="C44" s="35"/>
      <c r="D44" s="36"/>
      <c r="E44" s="35"/>
      <c r="F44" s="35"/>
      <c r="G44" s="35"/>
    </row>
    <row r="45" spans="2:7" s="17" customFormat="1">
      <c r="B45" s="35"/>
      <c r="C45" s="35"/>
      <c r="D45" s="36"/>
      <c r="E45" s="35"/>
      <c r="F45" s="35"/>
      <c r="G45" s="35"/>
    </row>
    <row r="46" spans="2:7" s="17" customFormat="1">
      <c r="B46" s="35"/>
      <c r="C46" s="35"/>
      <c r="D46" s="36"/>
      <c r="E46" s="35"/>
      <c r="F46" s="35"/>
      <c r="G46" s="35"/>
    </row>
    <row r="47" spans="2:7" s="17" customFormat="1">
      <c r="B47" s="35"/>
      <c r="C47" s="35"/>
      <c r="D47" s="36"/>
      <c r="E47" s="35"/>
      <c r="F47" s="35"/>
      <c r="G47" s="35"/>
    </row>
    <row r="48" spans="2:7" s="17" customFormat="1">
      <c r="B48" s="35"/>
      <c r="C48" s="35"/>
      <c r="D48" s="36"/>
      <c r="E48" s="35"/>
      <c r="F48" s="35"/>
      <c r="G48" s="35"/>
    </row>
    <row r="49" spans="2:7" s="17" customFormat="1">
      <c r="B49" s="35"/>
      <c r="C49" s="35"/>
      <c r="D49" s="36"/>
      <c r="E49" s="35"/>
      <c r="F49" s="35"/>
      <c r="G49" s="35"/>
    </row>
    <row r="50" spans="2:7" s="17" customFormat="1">
      <c r="B50" s="35"/>
      <c r="C50" s="35"/>
      <c r="D50" s="36"/>
      <c r="E50" s="35"/>
      <c r="F50" s="35"/>
      <c r="G50" s="35"/>
    </row>
    <row r="51" spans="2:7" s="17" customFormat="1">
      <c r="B51" s="35"/>
      <c r="C51" s="35"/>
      <c r="D51" s="36"/>
      <c r="E51" s="35"/>
      <c r="F51" s="35"/>
      <c r="G51" s="35"/>
    </row>
    <row r="52" spans="2:7" s="17" customFormat="1">
      <c r="B52" s="35"/>
      <c r="C52" s="35"/>
      <c r="D52" s="36"/>
      <c r="E52" s="35"/>
      <c r="F52" s="35"/>
      <c r="G52" s="35"/>
    </row>
    <row r="53" spans="2:7" s="17" customFormat="1">
      <c r="B53" s="35"/>
      <c r="C53" s="35"/>
      <c r="D53" s="36"/>
      <c r="E53" s="35"/>
      <c r="F53" s="35"/>
      <c r="G53" s="35"/>
    </row>
    <row r="54" spans="2:7" s="17" customFormat="1">
      <c r="B54" s="35"/>
      <c r="C54" s="35"/>
      <c r="D54" s="36"/>
      <c r="E54" s="35"/>
      <c r="F54" s="35"/>
      <c r="G54" s="35"/>
    </row>
    <row r="55" spans="2:7" s="17" customFormat="1">
      <c r="B55" s="35"/>
      <c r="C55" s="35"/>
      <c r="D55" s="36"/>
      <c r="E55" s="35"/>
      <c r="F55" s="35"/>
      <c r="G55" s="35"/>
    </row>
    <row r="56" spans="2:7" s="17" customFormat="1">
      <c r="B56" s="35"/>
      <c r="C56" s="35"/>
      <c r="D56" s="36"/>
      <c r="E56" s="35"/>
      <c r="F56" s="35"/>
      <c r="G56" s="35"/>
    </row>
    <row r="57" spans="2:7" s="17" customFormat="1">
      <c r="B57" s="35"/>
      <c r="C57" s="35"/>
      <c r="D57" s="36"/>
      <c r="E57" s="35"/>
      <c r="F57" s="35"/>
      <c r="G57" s="35"/>
    </row>
    <row r="58" spans="2:7" s="17" customFormat="1">
      <c r="B58" s="35"/>
      <c r="C58" s="35"/>
      <c r="D58" s="36"/>
      <c r="E58" s="35"/>
      <c r="F58" s="35"/>
      <c r="G58" s="35"/>
    </row>
    <row r="59" spans="2:7" s="17" customFormat="1">
      <c r="B59" s="35"/>
      <c r="C59" s="35"/>
      <c r="D59" s="36"/>
      <c r="E59" s="35"/>
      <c r="F59" s="35"/>
      <c r="G59" s="35"/>
    </row>
    <row r="60" spans="2:7" s="17" customFormat="1">
      <c r="B60" s="35"/>
      <c r="C60" s="35"/>
      <c r="D60" s="36"/>
      <c r="E60" s="35"/>
      <c r="F60" s="35"/>
      <c r="G60" s="35"/>
    </row>
    <row r="61" spans="2:7" s="17" customFormat="1">
      <c r="B61" s="35"/>
      <c r="C61" s="35"/>
      <c r="D61" s="36"/>
      <c r="E61" s="35"/>
      <c r="F61" s="35"/>
      <c r="G61" s="35"/>
    </row>
    <row r="62" spans="2:7" s="17" customFormat="1">
      <c r="B62" s="35"/>
      <c r="C62" s="35"/>
      <c r="D62" s="36"/>
      <c r="E62" s="35"/>
      <c r="F62" s="35"/>
      <c r="G62" s="35"/>
    </row>
    <row r="63" spans="2:7" s="17" customFormat="1">
      <c r="B63" s="35"/>
      <c r="C63" s="35"/>
      <c r="D63" s="36"/>
      <c r="E63" s="35"/>
      <c r="F63" s="35"/>
      <c r="G63" s="35"/>
    </row>
    <row r="64" spans="2:7" s="17" customFormat="1">
      <c r="B64" s="35"/>
      <c r="C64" s="35"/>
      <c r="D64" s="36"/>
      <c r="E64" s="35"/>
      <c r="F64" s="35"/>
      <c r="G64" s="35"/>
    </row>
    <row r="65" spans="2:7" s="17" customFormat="1">
      <c r="B65" s="35"/>
      <c r="C65" s="35"/>
      <c r="D65" s="36"/>
      <c r="E65" s="35"/>
      <c r="F65" s="35"/>
      <c r="G65" s="35"/>
    </row>
    <row r="66" spans="2:7" s="17" customFormat="1">
      <c r="B66" s="35"/>
      <c r="C66" s="35"/>
      <c r="D66" s="36"/>
      <c r="E66" s="35"/>
      <c r="F66" s="35"/>
      <c r="G66" s="35"/>
    </row>
    <row r="67" spans="2:7" s="17" customFormat="1">
      <c r="B67" s="35"/>
      <c r="C67" s="35"/>
      <c r="D67" s="36"/>
      <c r="E67" s="35"/>
      <c r="F67" s="35"/>
      <c r="G67" s="35"/>
    </row>
    <row r="68" spans="2:7" s="17" customFormat="1">
      <c r="B68" s="35"/>
      <c r="C68" s="35"/>
      <c r="D68" s="36"/>
      <c r="E68" s="35"/>
      <c r="F68" s="35"/>
      <c r="G68" s="35"/>
    </row>
    <row r="69" spans="2:7" s="17" customFormat="1">
      <c r="B69" s="35"/>
      <c r="C69" s="35"/>
      <c r="D69" s="36"/>
      <c r="E69" s="35"/>
      <c r="F69" s="35"/>
      <c r="G69" s="35"/>
    </row>
    <row r="70" spans="2:7" s="17" customFormat="1">
      <c r="B70" s="35"/>
      <c r="C70" s="35"/>
      <c r="D70" s="36"/>
      <c r="E70" s="35"/>
      <c r="F70" s="35"/>
      <c r="G70" s="35"/>
    </row>
    <row r="71" spans="2:7" s="17" customFormat="1">
      <c r="B71" s="35"/>
      <c r="C71" s="35"/>
      <c r="D71" s="36"/>
      <c r="E71" s="35"/>
      <c r="F71" s="35"/>
      <c r="G71" s="35"/>
    </row>
    <row r="72" spans="2:7" s="17" customFormat="1">
      <c r="B72" s="35"/>
      <c r="C72" s="35"/>
      <c r="D72" s="36"/>
      <c r="E72" s="35"/>
      <c r="F72" s="35"/>
      <c r="G72" s="35"/>
    </row>
    <row r="73" spans="2:7" s="17" customFormat="1">
      <c r="B73" s="35"/>
      <c r="C73" s="35"/>
      <c r="D73" s="36"/>
      <c r="E73" s="35"/>
      <c r="F73" s="35"/>
      <c r="G73" s="35"/>
    </row>
    <row r="74" spans="2:7" s="17" customFormat="1">
      <c r="B74" s="35"/>
      <c r="C74" s="35"/>
      <c r="D74" s="36"/>
      <c r="E74" s="35"/>
      <c r="F74" s="35"/>
      <c r="G74" s="35"/>
    </row>
    <row r="75" spans="2:7" s="17" customFormat="1">
      <c r="B75" s="35"/>
      <c r="C75" s="35"/>
      <c r="D75" s="36"/>
      <c r="E75" s="35"/>
      <c r="F75" s="35"/>
      <c r="G75" s="35"/>
    </row>
    <row r="76" spans="2:7" s="17" customFormat="1">
      <c r="B76" s="35"/>
      <c r="C76" s="35"/>
      <c r="D76" s="36"/>
      <c r="E76" s="35"/>
      <c r="F76" s="35"/>
      <c r="G76" s="35"/>
    </row>
    <row r="77" spans="2:7" s="17" customFormat="1">
      <c r="B77" s="35"/>
      <c r="C77" s="35"/>
      <c r="D77" s="36"/>
      <c r="E77" s="35"/>
      <c r="F77" s="35"/>
      <c r="G77" s="35"/>
    </row>
    <row r="78" spans="2:7" s="17" customFormat="1">
      <c r="B78" s="35"/>
      <c r="C78" s="35"/>
      <c r="D78" s="36"/>
      <c r="E78" s="35"/>
      <c r="F78" s="35"/>
      <c r="G78" s="35"/>
    </row>
    <row r="79" spans="2:7" s="17" customFormat="1">
      <c r="B79" s="35"/>
      <c r="C79" s="35"/>
      <c r="D79" s="36"/>
      <c r="E79" s="35"/>
      <c r="F79" s="35"/>
      <c r="G79" s="35"/>
    </row>
    <row r="80" spans="2:7" s="17" customFormat="1">
      <c r="B80" s="35"/>
      <c r="C80" s="35"/>
      <c r="D80" s="36"/>
      <c r="E80" s="35"/>
      <c r="F80" s="35"/>
      <c r="G80" s="35"/>
    </row>
    <row r="81" spans="2:7" s="17" customFormat="1">
      <c r="B81" s="35"/>
      <c r="C81" s="35"/>
      <c r="D81" s="36"/>
      <c r="E81" s="35"/>
      <c r="F81" s="35"/>
      <c r="G81" s="35"/>
    </row>
    <row r="82" spans="2:7" s="17" customFormat="1">
      <c r="B82" s="35"/>
      <c r="C82" s="35"/>
      <c r="D82" s="36"/>
      <c r="E82" s="35"/>
      <c r="F82" s="35"/>
      <c r="G82" s="35"/>
    </row>
    <row r="83" spans="2:7" s="17" customFormat="1">
      <c r="B83" s="35"/>
      <c r="C83" s="35"/>
      <c r="D83" s="36"/>
      <c r="E83" s="35"/>
      <c r="F83" s="35"/>
      <c r="G83" s="35"/>
    </row>
    <row r="84" spans="2:7" s="17" customFormat="1">
      <c r="B84" s="35"/>
      <c r="C84" s="35"/>
      <c r="D84" s="36"/>
      <c r="E84" s="35"/>
      <c r="F84" s="35"/>
      <c r="G84" s="35"/>
    </row>
    <row r="85" spans="2:7" s="17" customFormat="1">
      <c r="B85" s="35"/>
      <c r="C85" s="35"/>
      <c r="D85" s="36"/>
      <c r="E85" s="35"/>
      <c r="F85" s="35"/>
      <c r="G85" s="35"/>
    </row>
    <row r="86" spans="2:7" s="17" customFormat="1">
      <c r="B86" s="35"/>
      <c r="C86" s="35"/>
      <c r="D86" s="36"/>
      <c r="E86" s="35"/>
      <c r="F86" s="35"/>
      <c r="G86" s="35"/>
    </row>
    <row r="87" spans="2:7" s="17" customFormat="1">
      <c r="B87" s="35"/>
      <c r="C87" s="35"/>
      <c r="D87" s="36"/>
      <c r="E87" s="35"/>
      <c r="F87" s="35"/>
      <c r="G87" s="35"/>
    </row>
    <row r="88" spans="2:7" s="17" customFormat="1">
      <c r="B88" s="35"/>
      <c r="C88" s="35"/>
      <c r="D88" s="36"/>
      <c r="E88" s="35"/>
      <c r="F88" s="35"/>
      <c r="G88" s="35"/>
    </row>
    <row r="89" spans="2:7" s="17" customFormat="1">
      <c r="B89" s="35"/>
      <c r="C89" s="35"/>
      <c r="D89" s="36"/>
      <c r="E89" s="35"/>
      <c r="F89" s="35"/>
      <c r="G89" s="35"/>
    </row>
    <row r="90" spans="2:7" s="17" customFormat="1">
      <c r="B90" s="35"/>
      <c r="C90" s="35"/>
      <c r="D90" s="36"/>
      <c r="E90" s="35"/>
      <c r="F90" s="35"/>
      <c r="G90" s="35"/>
    </row>
    <row r="91" spans="2:7" s="17" customFormat="1">
      <c r="B91" s="35"/>
      <c r="C91" s="35"/>
      <c r="D91" s="36"/>
      <c r="E91" s="35"/>
      <c r="F91" s="35"/>
      <c r="G91" s="35"/>
    </row>
    <row r="92" spans="2:7" s="17" customFormat="1">
      <c r="B92" s="35"/>
      <c r="C92" s="35"/>
      <c r="D92" s="36"/>
      <c r="E92" s="35"/>
      <c r="F92" s="35"/>
      <c r="G92" s="35"/>
    </row>
    <row r="93" spans="2:7" s="17" customFormat="1">
      <c r="B93" s="35"/>
      <c r="C93" s="35"/>
      <c r="D93" s="36"/>
      <c r="E93" s="35"/>
      <c r="F93" s="35"/>
      <c r="G93" s="35"/>
    </row>
    <row r="94" spans="2:7" s="17" customFormat="1">
      <c r="B94" s="35"/>
      <c r="C94" s="35"/>
      <c r="D94" s="36"/>
      <c r="E94" s="35"/>
      <c r="F94" s="35"/>
      <c r="G94" s="35"/>
    </row>
    <row r="95" spans="2:7" s="17" customFormat="1">
      <c r="B95" s="35"/>
      <c r="C95" s="35"/>
      <c r="D95" s="36"/>
      <c r="E95" s="35"/>
      <c r="F95" s="35"/>
      <c r="G95" s="35"/>
    </row>
    <row r="96" spans="2:7" s="17" customFormat="1">
      <c r="B96" s="35"/>
      <c r="C96" s="35"/>
      <c r="D96" s="36"/>
      <c r="E96" s="35"/>
      <c r="F96" s="35"/>
      <c r="G96" s="35"/>
    </row>
    <row r="97" spans="2:7" s="17" customFormat="1">
      <c r="B97" s="35"/>
      <c r="C97" s="35"/>
      <c r="D97" s="36"/>
      <c r="E97" s="35"/>
      <c r="F97" s="35"/>
      <c r="G97" s="35"/>
    </row>
    <row r="98" spans="2:7" s="17" customFormat="1">
      <c r="B98" s="35"/>
      <c r="C98" s="35"/>
      <c r="D98" s="36"/>
      <c r="E98" s="35"/>
      <c r="F98" s="35"/>
      <c r="G98" s="35"/>
    </row>
    <row r="99" spans="2:7" s="17" customFormat="1">
      <c r="B99" s="35"/>
      <c r="C99" s="35"/>
      <c r="D99" s="36"/>
      <c r="E99" s="35"/>
      <c r="F99" s="35"/>
      <c r="G99" s="35"/>
    </row>
    <row r="100" spans="2:7" s="17" customFormat="1">
      <c r="B100" s="35"/>
      <c r="C100" s="35"/>
      <c r="D100" s="36"/>
      <c r="E100" s="35"/>
      <c r="F100" s="35"/>
      <c r="G100" s="35"/>
    </row>
    <row r="101" spans="2:7" s="17" customFormat="1">
      <c r="B101" s="35"/>
      <c r="C101" s="35"/>
      <c r="D101" s="36"/>
      <c r="E101" s="35"/>
      <c r="F101" s="35"/>
      <c r="G101" s="35"/>
    </row>
    <row r="102" spans="2:7" s="17" customFormat="1">
      <c r="B102" s="35"/>
      <c r="C102" s="35"/>
      <c r="D102" s="36"/>
      <c r="E102" s="35"/>
      <c r="F102" s="35"/>
      <c r="G102" s="35"/>
    </row>
    <row r="103" spans="2:7" s="17" customFormat="1">
      <c r="B103" s="35"/>
      <c r="C103" s="35"/>
      <c r="D103" s="36"/>
      <c r="E103" s="35"/>
      <c r="F103" s="35"/>
      <c r="G103" s="35"/>
    </row>
    <row r="104" spans="2:7" s="17" customFormat="1">
      <c r="B104" s="35"/>
      <c r="C104" s="35"/>
      <c r="D104" s="36"/>
      <c r="E104" s="35"/>
      <c r="F104" s="35"/>
      <c r="G104" s="35"/>
    </row>
    <row r="105" spans="2:7" s="17" customFormat="1">
      <c r="B105" s="35"/>
      <c r="C105" s="35"/>
      <c r="D105" s="36"/>
      <c r="E105" s="35"/>
      <c r="F105" s="35"/>
      <c r="G105" s="35"/>
    </row>
    <row r="106" spans="2:7" s="17" customFormat="1">
      <c r="B106" s="35"/>
      <c r="C106" s="35"/>
      <c r="D106" s="36"/>
      <c r="E106" s="35"/>
      <c r="F106" s="35"/>
      <c r="G106" s="35"/>
    </row>
    <row r="107" spans="2:7" s="17" customFormat="1">
      <c r="B107" s="35"/>
      <c r="C107" s="35"/>
      <c r="D107" s="36"/>
      <c r="E107" s="35"/>
      <c r="F107" s="35"/>
      <c r="G107" s="35"/>
    </row>
    <row r="108" spans="2:7" s="17" customFormat="1">
      <c r="B108" s="35"/>
      <c r="C108" s="35"/>
      <c r="D108" s="36"/>
      <c r="E108" s="35"/>
      <c r="F108" s="35"/>
      <c r="G108" s="35"/>
    </row>
    <row r="109" spans="2:7" s="17" customFormat="1">
      <c r="B109" s="35"/>
      <c r="C109" s="35"/>
      <c r="D109" s="36"/>
      <c r="E109" s="35"/>
      <c r="F109" s="35"/>
      <c r="G109" s="35"/>
    </row>
    <row r="110" spans="2:7" s="17" customFormat="1">
      <c r="D110" s="24"/>
    </row>
    <row r="113" spans="2:2">
      <c r="B113" s="12" t="s">
        <v>130</v>
      </c>
    </row>
    <row r="114" spans="2:2">
      <c r="B114" s="37" t="s">
        <v>129</v>
      </c>
    </row>
    <row r="115" spans="2:2">
      <c r="B115" s="37" t="str">
        <f>+sqlcreate!A7&amp;sqlcreate!A8</f>
        <v>$con = mysql_connect('localhost','root','');if (!$con){die('Could not connect: ' . mysql_error());}mysql_select_db("healmy5_pray", $con);</v>
      </c>
    </row>
    <row r="116" spans="2:2">
      <c r="B116" s="37" t="str">
        <f>+sqlcreate!A10&amp;sqlcreate!A11&amp;sqlcreate!A12&amp;sqlcreate!A13&amp;sqlcreate!A14&amp;sqlcreate!A15&amp;sqlcreate!A16</f>
        <v>$sql = "CREATE TABLE IF NOT EXISTS Jesus1 (id INT(10) AUTO_INCREMENT PRIMARY KEY,user VARCHAR(50),tipo_doc_id VARCHAR(10),numd VARCHAR(50),tms_1 DATE</v>
      </c>
    </row>
    <row r="117" spans="2:2">
      <c r="B117" s="37" t="str">
        <f>sqlcreate!A17&amp;sqlcreate!A18&amp;sqlcreate!A19&amp;sqlcreate!A20&amp;sqlcreate!A21&amp;sqlcreate!A22&amp;sqlcreate!A23</f>
        <v/>
      </c>
    </row>
    <row r="118" spans="2:2">
      <c r="B118" s="37" t="str">
        <f>sqlcreate!A24&amp;sqlcreate!A25&amp;sqlcreate!A26&amp;sqlcreate!A27&amp;sqlcreate!A28&amp;sqlcreate!A29&amp;sqlcreate!A30</f>
        <v/>
      </c>
    </row>
    <row r="119" spans="2:2">
      <c r="B119" s="37" t="str">
        <f>sqlcreate!A31&amp;sqlcreate!A32&amp;sqlcreate!A33&amp;sqlcreate!A34&amp;sqlcreate!A35&amp;sqlcreate!A36&amp;sqlcreate!A37</f>
        <v/>
      </c>
    </row>
    <row r="120" spans="2:2">
      <c r="B120" s="37" t="str">
        <f>sqlcreate!A38&amp;sqlcreate!A39&amp;sqlcreate!A40&amp;sqlcreate!A41&amp;sqlcreate!A42&amp;sqlcreate!A43&amp;sqlcreate!A44</f>
        <v/>
      </c>
    </row>
    <row r="121" spans="2:2">
      <c r="B121" s="37" t="str">
        <f>sqlcreate!A45&amp;sqlcreate!A46&amp;sqlcreate!A47&amp;sqlcreate!A48&amp;sqlcreate!A49&amp;sqlcreate!A50&amp;sqlcreate!A51</f>
        <v/>
      </c>
    </row>
    <row r="122" spans="2:2">
      <c r="B122" s="37" t="str">
        <f>sqlcreate!A52&amp;sqlcreate!A53&amp;sqlcreate!A54&amp;sqlcreate!A55&amp;sqlcreate!A56&amp;sqlcreate!A57&amp;sqlcreate!A58</f>
        <v/>
      </c>
    </row>
    <row r="123" spans="2:2">
      <c r="B123" s="37" t="str">
        <f>sqlcreate!A59&amp;sqlcreate!A60&amp;sqlcreate!A61&amp;sqlcreate!A62&amp;sqlcreate!A63&amp;sqlcreate!A64&amp;sqlcreate!A65</f>
        <v/>
      </c>
    </row>
    <row r="124" spans="2:2">
      <c r="B124" s="37" t="str">
        <f>sqlcreate!A66&amp;sqlcreate!A67&amp;sqlcreate!A68&amp;sqlcreate!A69&amp;sqlcreate!A70&amp;sqlcreate!A71&amp;sqlcreate!A72</f>
        <v/>
      </c>
    </row>
    <row r="125" spans="2:2">
      <c r="B125" s="37" t="str">
        <f>sqlcreate!A73&amp;sqlcreate!A74&amp;sqlcreate!A75&amp;sqlcreate!A76&amp;sqlcreate!A77&amp;sqlcreate!A78&amp;sqlcreate!A79</f>
        <v/>
      </c>
    </row>
    <row r="126" spans="2:2">
      <c r="B126" s="37" t="str">
        <f>sqlcreate!A80&amp;sqlcreate!A81&amp;sqlcreate!A82&amp;sqlcreate!A83&amp;sqlcreate!A84&amp;sqlcreate!A85&amp;sqlcreate!A86</f>
        <v/>
      </c>
    </row>
    <row r="127" spans="2:2">
      <c r="B127" s="37" t="str">
        <f>sqlcreate!A87&amp;sqlcreate!A88&amp;sqlcreate!A89&amp;sqlcreate!A90&amp;sqlcreate!A91&amp;sqlcreate!A92&amp;sqlcreate!A93</f>
        <v/>
      </c>
    </row>
    <row r="128" spans="2:2">
      <c r="B128" s="37" t="str">
        <f>sqlcreate!A94&amp;sqlcreate!A95&amp;sqlcreate!A96&amp;sqlcreate!A97&amp;sqlcreate!A98&amp;sqlcreate!A99&amp;sqlcreate!A100</f>
        <v/>
      </c>
    </row>
    <row r="129" spans="2:12">
      <c r="B129" s="37" t="str">
        <f>sqlcreate!A101&amp;sqlcreate!A102&amp;sqlcreate!A103&amp;sqlcreate!A104&amp;sqlcreate!A105&amp;sqlcreate!A106&amp;sqlcreate!A107</f>
        <v/>
      </c>
    </row>
    <row r="130" spans="2:12">
      <c r="B130" s="37" t="str">
        <f>sqlcreate!A108&amp;sqlcreate!A109&amp;sqlcreate!A110&amp;sqlcreate!A111&amp;sqlcreate!A112&amp;sqlcreate!A113&amp;sqlcreate!A114</f>
        <v>,last_update_by VARCHAR (50),updated_on DATE)";mysql_query($sql,$con);</v>
      </c>
    </row>
    <row r="131" spans="2:12">
      <c r="B131" s="37" t="s">
        <v>140</v>
      </c>
    </row>
    <row r="132" spans="2:12">
      <c r="B132" s="37" t="s">
        <v>126</v>
      </c>
    </row>
    <row r="133" spans="2:12">
      <c r="B133" s="37" t="s">
        <v>107</v>
      </c>
    </row>
    <row r="135" spans="2:12">
      <c r="B135" s="12" t="str">
        <f>"Código de archivo formulario"&amp;G135&amp;".php"</f>
        <v>Código de archivo formulario.php</v>
      </c>
      <c r="G135" s="17"/>
    </row>
    <row r="136" spans="2:12">
      <c r="B136" s="13" t="str">
        <f>+ajaxinsertandclose!A106</f>
        <v>Dentro de head tag</v>
      </c>
    </row>
    <row r="137" spans="2:12">
      <c r="B137" s="39" t="str">
        <f>+ajaxinsertandclose!A107</f>
        <v>&lt;script&gt; //ajax protocol  for inserting MySQL table data</v>
      </c>
      <c r="F137" s="12" t="s">
        <v>158</v>
      </c>
    </row>
    <row r="138" spans="2:12">
      <c r="B138" s="39" t="str">
        <f>+ajaxinsertandclose!A108</f>
        <v>function insert_Jesus(user,tipo_doc_id,numd,tms_1</v>
      </c>
      <c r="F138" s="40" t="s">
        <v>157</v>
      </c>
    </row>
    <row r="139" spans="2:12">
      <c r="B139" s="39" t="str">
        <f>+ajaxinsertandclose!A109&amp;ajaxinsertandclose!A110&amp;ajaxinsertandclose!A111&amp;ajaxinsertandclose!A112&amp;ajaxinsertandclose!A113</f>
        <v>) {</v>
      </c>
      <c r="F139" s="12" t="s">
        <v>185</v>
      </c>
    </row>
    <row r="140" spans="2:12">
      <c r="B140" s="39" t="str">
        <f>+ajaxinsertandclose!A114</f>
        <v/>
      </c>
      <c r="F140" s="12" t="s">
        <v>185</v>
      </c>
    </row>
    <row r="141" spans="2:12">
      <c r="B141" s="39" t="str">
        <f>+ajaxinsertandclose!A115</f>
        <v>{if (window.XMLHttpRequest){  xmlhttp=new XMLHttpRequest();  } else{  xmlhttp=new ActiveXObject("Microsoft.XMLHTTP");  }</v>
      </c>
      <c r="F141" s="40" t="s">
        <v>159</v>
      </c>
    </row>
    <row r="142" spans="2:12">
      <c r="B142" s="39" t="str">
        <f>+ajaxinsertandclose!A116</f>
        <v xml:space="preserve">xmlhttp.onreadystatechange=function()  { if (xmlhttp.readyState==4 &amp;&amp; xmlhttp.status==200) </v>
      </c>
      <c r="F142" s="40" t="s">
        <v>160</v>
      </c>
    </row>
    <row r="143" spans="2:12">
      <c r="B143" s="39" t="str">
        <f>+ajaxinsertandclose!A117&amp;ajaxinsertandclose!A118</f>
        <v>{document.getElementById("check1").innerHTML=xmlhttp.responseText;if (document.getElementById("close").innerHTML=="close") {document.getElementById("hiden1").style.display="none";}</v>
      </c>
      <c r="F143" s="40" t="str">
        <f>+A1&amp;J14&amp;A2</f>
        <v>$("#searchbutton2").click(function() {</v>
      </c>
    </row>
    <row r="144" spans="2:12">
      <c r="B144" s="39" t="str">
        <f>+ajaxinsertandclose!A119&amp;ajaxinsertandclose!A120&amp;ajaxinsertandclose!A121</f>
        <v>//si hay multiples funciones cambiar hidden 2, hidden 3 etcetera, en script y e n body//lo mismo con close}}</v>
      </c>
      <c r="F144" s="40" t="str">
        <f>IF(C10="","",C10&amp;$A$3&amp;C10&amp;$A$4)</f>
        <v>Pater=$("#Pater").val();</v>
      </c>
      <c r="I144" s="40" t="str">
        <f>IF(C18="","",C18&amp;$A$3&amp;C18&amp;$A$4)</f>
        <v>T9=$("#T9").val();</v>
      </c>
      <c r="L144" s="40" t="str">
        <f>IF(C26="","",C26&amp;$A$3&amp;C26&amp;$A$4)</f>
        <v>T17=$("#T17").val();</v>
      </c>
    </row>
    <row r="145" spans="2:12">
      <c r="B145" s="39" t="str">
        <f>+ajaxinsertandclose!A122</f>
        <v>xmlhttp.open("GET","Jesus.php?user="+user+"&amp;tipo_doc_id="+tipo_doc_id+"&amp;numd="+numd+"&amp;tms_1="+tms_1</v>
      </c>
      <c r="F145" s="40" t="str">
        <f t="shared" ref="F145:F151" si="0">IF(C11="","",C11&amp;$A$3&amp;C11&amp;$A$4)</f>
        <v>Maria=$("#Maria").val();</v>
      </c>
      <c r="I145" s="40" t="str">
        <f t="shared" ref="I145:I151" si="1">IF(C19="","",C19&amp;$A$3&amp;C19&amp;$A$4)</f>
        <v>T10=$("#T10").val();</v>
      </c>
      <c r="L145" s="40" t="str">
        <f>IF(C27="","",C27&amp;$A$3&amp;C27&amp;$A$4)</f>
        <v>T18=$("#T18").val();</v>
      </c>
    </row>
    <row r="146" spans="2:12">
      <c r="B146" s="39" t="str">
        <f>+ajaxinsertandclose!A123</f>
        <v/>
      </c>
      <c r="F146" s="40" t="str">
        <f t="shared" si="0"/>
        <v>Gloria=$("#Gloria").val();</v>
      </c>
      <c r="I146" s="40" t="str">
        <f t="shared" si="1"/>
        <v>T11=$("#T11").val();</v>
      </c>
      <c r="L146" s="40" t="str">
        <f>IF(C28="","",C28&amp;$A$3&amp;C28&amp;$A$4)</f>
        <v>T19=$("#T19").val();</v>
      </c>
    </row>
    <row r="147" spans="2:12">
      <c r="B147" s="39" t="str">
        <f>+ajaxinsertandclose!A124&amp;ajaxinsertandclose!A125</f>
        <v/>
      </c>
      <c r="F147" s="40" t="str">
        <f t="shared" si="0"/>
        <v>T4=$("#T4").val();</v>
      </c>
      <c r="I147" s="40" t="str">
        <f t="shared" si="1"/>
        <v>T12=$("#T12").val();</v>
      </c>
      <c r="L147" s="40" t="str">
        <f>IF(C29="","",C29&amp;$A$3&amp;C29&amp;$A$4)</f>
        <v>T20=$("#T20").val();</v>
      </c>
    </row>
    <row r="148" spans="2:12">
      <c r="B148" s="39" t="str">
        <f>+ajaxinsertandclose!A126&amp;ajaxinsertandclose!A127</f>
        <v/>
      </c>
      <c r="F148" s="40" t="str">
        <f t="shared" si="0"/>
        <v>T5=$("#T5").val();</v>
      </c>
      <c r="I148" s="40" t="str">
        <f t="shared" si="1"/>
        <v>T13=$("#T13").val();</v>
      </c>
    </row>
    <row r="149" spans="2:12">
      <c r="B149" s="39" t="str">
        <f>+ajaxinsertandclose!A128&amp;ajaxinsertandclose!A129</f>
        <v/>
      </c>
      <c r="F149" s="40" t="str">
        <f t="shared" si="0"/>
        <v>T6=$("#T6").val();</v>
      </c>
      <c r="I149" s="40" t="str">
        <f t="shared" si="1"/>
        <v>T14=$("#T14").val();</v>
      </c>
    </row>
    <row r="150" spans="2:12">
      <c r="B150" s="39" t="str">
        <f>+ajaxinsertandclose!A130&amp;ajaxinsertandclose!A131</f>
        <v/>
      </c>
      <c r="F150" s="40" t="str">
        <f t="shared" si="0"/>
        <v>T7=$("#T7").val();</v>
      </c>
      <c r="I150" s="40" t="str">
        <f t="shared" si="1"/>
        <v>T15=$("#T15").val();</v>
      </c>
    </row>
    <row r="151" spans="2:12">
      <c r="B151" s="39" t="str">
        <f>+ajaxinsertandclose!A132&amp;ajaxinsertandclose!A133&amp;ajaxinsertandclose!A134</f>
        <v>,true);xmlhttp.send(); } }&lt;/script&gt;</v>
      </c>
      <c r="F151" s="40" t="str">
        <f t="shared" si="0"/>
        <v>T8=$("#T8").val();</v>
      </c>
      <c r="I151" s="40" t="str">
        <f t="shared" si="1"/>
        <v>T16=$("#T16").val();</v>
      </c>
    </row>
    <row r="153" spans="2:12">
      <c r="H153" s="12" t="s">
        <v>163</v>
      </c>
    </row>
    <row r="156" spans="2:12">
      <c r="B156" s="13" t="str">
        <f>+ajaxinsertandclose!A137</f>
        <v>Dentro de body tag</v>
      </c>
    </row>
    <row r="157" spans="2:12">
      <c r="B157" s="38" t="str">
        <f>+ajaxinsertandclose!A138</f>
        <v>&lt;div id="hiden1"&gt;</v>
      </c>
    </row>
    <row r="158" spans="2:12">
      <c r="B158" s="38" t="str">
        <f>+ajaxinsertandclose!A139</f>
        <v>&lt;input type="text" id="user" name="user" size="15" /&gt;&lt;br/&gt;</v>
      </c>
    </row>
    <row r="159" spans="2:12">
      <c r="B159" s="38" t="str">
        <f>+ajaxinsertandclose!A140</f>
        <v>&lt;input type="text" id="tipo_doc_id" name="tipo_doc_id" size="15" /&gt;&lt;br/&gt;</v>
      </c>
    </row>
    <row r="160" spans="2:12">
      <c r="B160" s="38" t="str">
        <f>+ajaxinsertandclose!A141&amp;ajaxinsertandclose!A142</f>
        <v>&lt;input type="text" id="numd" name="numd" size="15" /&gt;&lt;br/&gt;Timestamp (not shown)&lt;input type="text" id="tms_1" name="tms_1" size="15" /&gt;&lt;br/&gt;</v>
      </c>
    </row>
    <row r="161" spans="2:2">
      <c r="B161" s="38" t="str">
        <f>+ajaxinsertandclose!A143&amp;ajaxinsertandclose!A144</f>
        <v/>
      </c>
    </row>
    <row r="162" spans="2:2">
      <c r="B162" s="38" t="str">
        <f>+ajaxinsertandclose!A145&amp;ajaxinsertandclose!A146</f>
        <v/>
      </c>
    </row>
    <row r="163" spans="2:2">
      <c r="B163" s="38" t="str">
        <f>+ajaxinsertandclose!A147&amp;ajaxinsertandclose!A148</f>
        <v/>
      </c>
    </row>
    <row r="164" spans="2:2">
      <c r="B164" s="38" t="str">
        <f>+ajaxinsertandclose!A149&amp;ajaxinsertandclose!A150</f>
        <v/>
      </c>
    </row>
    <row r="165" spans="2:2">
      <c r="B165" s="38" t="str">
        <f>+ajaxinsertandclose!A151&amp;ajaxinsertandclose!A152</f>
        <v/>
      </c>
    </row>
    <row r="166" spans="2:2">
      <c r="B166" s="38" t="str">
        <f>+ajaxinsertandclose!A153&amp;ajaxinsertandclose!A154</f>
        <v/>
      </c>
    </row>
    <row r="167" spans="2:2">
      <c r="B167" s="38" t="str">
        <f>+ajaxinsertandclose!A155&amp;ajaxinsertandclose!A156</f>
        <v/>
      </c>
    </row>
    <row r="168" spans="2:2">
      <c r="B168" s="38" t="str">
        <f>+ajaxinsertandclose!A157&amp;ajaxinsertandclose!A158</f>
        <v/>
      </c>
    </row>
    <row r="169" spans="2:2">
      <c r="B169" s="38" t="str">
        <f>+ajaxinsertandclose!A159&amp;ajaxinsertandclose!A160</f>
        <v/>
      </c>
    </row>
    <row r="170" spans="2:2">
      <c r="B170" s="38" t="str">
        <f>+ajaxinsertandclose!A161&amp;ajaxinsertandclose!A162</f>
        <v/>
      </c>
    </row>
    <row r="171" spans="2:2">
      <c r="B171" s="38" t="str">
        <f>+ajaxinsertandclose!A163&amp;ajaxinsertandclose!A164</f>
        <v/>
      </c>
    </row>
    <row r="172" spans="2:2">
      <c r="B172" s="38" t="str">
        <f>+ajaxinsertandclose!A165&amp;ajaxinsertandclose!A166</f>
        <v/>
      </c>
    </row>
    <row r="173" spans="2:2">
      <c r="B173" s="38" t="str">
        <f>+ajaxinsertandclose!A167&amp;ajaxinsertandclose!A168</f>
        <v/>
      </c>
    </row>
    <row r="174" spans="2:2">
      <c r="B174" s="38" t="str">
        <f>+ajaxinsertandclose!A169&amp;ajaxinsertandclose!A170</f>
        <v/>
      </c>
    </row>
    <row r="175" spans="2:2">
      <c r="B175" s="38" t="str">
        <f>+ajaxinsertandclose!A171&amp;ajaxinsertandclose!A172</f>
        <v/>
      </c>
    </row>
    <row r="176" spans="2:2">
      <c r="B176" s="38" t="str">
        <f>+ajaxinsertandclose!A173&amp;ajaxinsertandclose!A174</f>
        <v/>
      </c>
    </row>
    <row r="177" spans="2:2">
      <c r="B177" s="38" t="str">
        <f>+ajaxinsertandclose!A175&amp;ajaxinsertandclose!A176</f>
        <v/>
      </c>
    </row>
    <row r="178" spans="2:2">
      <c r="B178" s="38" t="str">
        <f>+ajaxinsertandclose!A177&amp;ajaxinsertandclose!A178</f>
        <v/>
      </c>
    </row>
    <row r="179" spans="2:2">
      <c r="B179" s="38" t="str">
        <f>+ajaxinsertandclose!A179&amp;ajaxinsertandclose!A180</f>
        <v/>
      </c>
    </row>
    <row r="180" spans="2:2">
      <c r="B180" s="38" t="str">
        <f>+ajaxinsertandclose!A181&amp;ajaxinsertandclose!A182</f>
        <v/>
      </c>
    </row>
    <row r="181" spans="2:2">
      <c r="B181" s="38" t="str">
        <f>+ajaxinsertandclose!A183&amp;ajaxinsertandclose!A184</f>
        <v/>
      </c>
    </row>
    <row r="182" spans="2:2">
      <c r="B182" s="38" t="str">
        <f>+ajaxinsertandclose!A185&amp;ajaxinsertandclose!A186</f>
        <v/>
      </c>
    </row>
    <row r="183" spans="2:2">
      <c r="B183" s="38" t="str">
        <f>+ajaxinsertandclose!A187&amp;ajaxinsertandclose!A188</f>
        <v/>
      </c>
    </row>
    <row r="184" spans="2:2">
      <c r="B184" s="38" t="str">
        <f>+ajaxinsertandclose!A189&amp;ajaxinsertandclose!A190</f>
        <v/>
      </c>
    </row>
    <row r="185" spans="2:2">
      <c r="B185" s="38" t="str">
        <f>+ajaxinsertandclose!A191&amp;ajaxinsertandclose!A192</f>
        <v/>
      </c>
    </row>
    <row r="186" spans="2:2">
      <c r="B186" s="38" t="str">
        <f>+ajaxinsertandclose!A193&amp;ajaxinsertandclose!A194</f>
        <v/>
      </c>
    </row>
    <row r="187" spans="2:2">
      <c r="B187" s="38" t="str">
        <f>+ajaxinsertandclose!A195&amp;ajaxinsertandclose!A196</f>
        <v/>
      </c>
    </row>
    <row r="188" spans="2:2">
      <c r="B188" s="38" t="str">
        <f>+ajaxinsertandclose!A197&amp;ajaxinsertandclose!A198</f>
        <v/>
      </c>
    </row>
    <row r="189" spans="2:2">
      <c r="B189" s="38" t="str">
        <f>+ajaxinsertandclose!A199&amp;ajaxinsertandclose!A200</f>
        <v/>
      </c>
    </row>
    <row r="190" spans="2:2">
      <c r="B190" s="38" t="str">
        <f>+ajaxinsertandclose!A201&amp;ajaxinsertandclose!A202</f>
        <v/>
      </c>
    </row>
    <row r="191" spans="2:2">
      <c r="B191" s="38" t="str">
        <f>+ajaxinsertandclose!A203&amp;ajaxinsertandclose!A204</f>
        <v/>
      </c>
    </row>
    <row r="192" spans="2:2">
      <c r="B192" s="38" t="str">
        <f>+ajaxinsertandclose!A205&amp;ajaxinsertandclose!A206</f>
        <v/>
      </c>
    </row>
    <row r="193" spans="2:2">
      <c r="B193" s="38" t="str">
        <f>+ajaxinsertandclose!A207&amp;ajaxinsertandclose!A208</f>
        <v/>
      </c>
    </row>
    <row r="194" spans="2:2">
      <c r="B194" s="38" t="str">
        <f>+ajaxinsertandclose!A209&amp;ajaxinsertandclose!A210</f>
        <v/>
      </c>
    </row>
    <row r="195" spans="2:2">
      <c r="B195" s="38" t="str">
        <f>+ajaxinsertandclose!A211&amp;ajaxinsertandclose!A212</f>
        <v/>
      </c>
    </row>
    <row r="196" spans="2:2">
      <c r="B196" s="38" t="str">
        <f>+ajaxinsertandclose!A213&amp;ajaxinsertandclose!A214</f>
        <v/>
      </c>
    </row>
    <row r="197" spans="2:2">
      <c r="B197" s="38" t="str">
        <f>+ajaxinsertandclose!A215&amp;ajaxinsertandclose!A216</f>
        <v/>
      </c>
    </row>
    <row r="198" spans="2:2">
      <c r="B198" s="38" t="str">
        <f>+ajaxinsertandclose!A217&amp;ajaxinsertandclose!A218</f>
        <v/>
      </c>
    </row>
    <row r="199" spans="2:2">
      <c r="B199" s="38" t="str">
        <f>+ajaxinsertandclose!A219&amp;ajaxinsertandclose!A220</f>
        <v/>
      </c>
    </row>
    <row r="200" spans="2:2">
      <c r="B200" s="38" t="str">
        <f>+ajaxinsertandclose!A221&amp;ajaxinsertandclose!A222</f>
        <v/>
      </c>
    </row>
    <row r="201" spans="2:2">
      <c r="B201" s="38" t="str">
        <f>+ajaxinsertandclose!A223&amp;ajaxinsertandclose!A224</f>
        <v/>
      </c>
    </row>
    <row r="202" spans="2:2">
      <c r="B202" s="38" t="str">
        <f>+ajaxinsertandclose!A225&amp;ajaxinsertandclose!A226</f>
        <v/>
      </c>
    </row>
    <row r="203" spans="2:2">
      <c r="B203" s="38" t="str">
        <f>+ajaxinsertandclose!A227&amp;ajaxinsertandclose!A228</f>
        <v/>
      </c>
    </row>
    <row r="204" spans="2:2">
      <c r="B204" s="38" t="str">
        <f>+ajaxinsertandclose!A229&amp;ajaxinsertandclose!A230</f>
        <v/>
      </c>
    </row>
    <row r="205" spans="2:2">
      <c r="B205" s="38" t="str">
        <f>+ajaxinsertandclose!A231&amp;ajaxinsertandclose!A232</f>
        <v/>
      </c>
    </row>
    <row r="206" spans="2:2">
      <c r="B206" s="38" t="str">
        <f>+ajaxinsertandclose!A233&amp;ajaxinsertandclose!A234</f>
        <v/>
      </c>
    </row>
    <row r="207" spans="2:2">
      <c r="B207" s="38" t="str">
        <f>+ajaxinsertandclose!A235&amp;ajaxinsertandclose!A236</f>
        <v/>
      </c>
    </row>
    <row r="208" spans="2:2">
      <c r="B208" s="38" t="str">
        <f>+ajaxinsertandclose!A237&amp;ajaxinsertandclose!A238</f>
        <v/>
      </c>
    </row>
    <row r="209" spans="2:4">
      <c r="B209" s="38" t="str">
        <f>+ajaxinsertandclose!A239&amp;ajaxinsertandclose!A240</f>
        <v/>
      </c>
    </row>
    <row r="210" spans="2:4">
      <c r="B210" s="39" t="str">
        <f>+ajaxinsertandclose!A241&amp;ajaxinsertandclose!A242</f>
        <v>&lt;input type="button" value="actualizar nombres" onclick="insert_Jesus(document.getElementById('user').value,document.getElementById('tipo_doc_id').value,document.getElementById('numd').value,document.getElementById('tms_1').value</v>
      </c>
    </row>
    <row r="211" spans="2:4">
      <c r="B211" s="38" t="str">
        <f>+ajaxinsertandclose!A243&amp;ajaxinsertandclose!A244</f>
        <v/>
      </c>
      <c r="D211" s="40" t="str">
        <f>+M2&amp;J14&amp;M3</f>
        <v>&lt;div class="glass" id="searchbutton2" &gt;SAVE&lt;/div&gt;</v>
      </c>
    </row>
    <row r="212" spans="2:4">
      <c r="B212" s="38" t="str">
        <f>+ajaxinsertandclose!A245&amp;ajaxinsertandclose!A246</f>
        <v/>
      </c>
    </row>
    <row r="213" spans="2:4">
      <c r="B213" s="38" t="str">
        <f>+ajaxinsertandclose!A247&amp;ajaxinsertandclose!A248</f>
        <v/>
      </c>
    </row>
    <row r="214" spans="2:4">
      <c r="B214" s="38" t="str">
        <f>+ajaxinsertandclose!A249&amp;ajaxinsertandclose!A250</f>
        <v/>
      </c>
    </row>
    <row r="215" spans="2:4">
      <c r="B215" s="38" t="str">
        <f>+ajaxinsertandclose!A251&amp;ajaxinsertandclose!A252</f>
        <v/>
      </c>
    </row>
    <row r="216" spans="2:4">
      <c r="B216" s="38" t="str">
        <f>+ajaxinsertandclose!A253&amp;ajaxinsertandclose!A254</f>
        <v/>
      </c>
    </row>
    <row r="217" spans="2:4">
      <c r="B217" s="38" t="str">
        <f>+ajaxinsertandclose!A255&amp;ajaxinsertandclose!A256</f>
        <v/>
      </c>
    </row>
    <row r="218" spans="2:4">
      <c r="B218" s="38" t="str">
        <f>+ajaxinsertandclose!A257&amp;ajaxinsertandclose!A258</f>
        <v/>
      </c>
    </row>
    <row r="219" spans="2:4">
      <c r="B219" s="38" t="str">
        <f>+ajaxinsertandclose!A259&amp;ajaxinsertandclose!A260</f>
        <v/>
      </c>
    </row>
    <row r="220" spans="2:4">
      <c r="B220" s="38" t="str">
        <f>+ajaxinsertandclose!A261&amp;ajaxinsertandclose!A262</f>
        <v/>
      </c>
    </row>
    <row r="221" spans="2:4">
      <c r="B221" s="39" t="str">
        <f>+ajaxinsertandclose!A263&amp;ajaxinsertandclose!A264</f>
        <v>)"/&gt;&lt;/div&gt;</v>
      </c>
    </row>
    <row r="222" spans="2:4">
      <c r="B222" s="39" t="str">
        <f>+ajaxinsertandclose!A265&amp;ajaxinsertandclose!A266</f>
        <v>&lt;div id="check1"&gt;&lt;/div&gt;</v>
      </c>
    </row>
    <row r="226" spans="2:2">
      <c r="B226" s="13" t="str">
        <f>+ajaxinsertandclose!A271</f>
        <v>php file</v>
      </c>
    </row>
    <row r="227" spans="2:2">
      <c r="B227" s="12" t="str">
        <f>+ajaxinsertandclose!A272</f>
        <v>&lt;?php //Jesus.php</v>
      </c>
    </row>
    <row r="228" spans="2:2">
      <c r="B228" s="12" t="str">
        <f>+ajaxinsertandclose!A273&amp;ajaxinsertandclose!A274</f>
        <v>header("Cache-Control: no-store, no-cache, must-revalidate");if (isset($_GET['user'])) {$user=($_GET['user']);}else $user='';if (isset($_GET['tipo_doc_id'])) {$tipo_doc_id=($_GET['tipo_doc_id']);}else $tipo_doc_id='';if (isset($_GET['numd'])) {$numd=($_GET['numd']);}else $numd='';</v>
      </c>
    </row>
    <row r="229" spans="2:2">
      <c r="B229" s="12" t="str">
        <f>+ajaxinsertandclose!A275</f>
        <v>if (isset($_GET['tms_1'])) {$tms_1=($_GET['tms_1']);}else $tms_1='';</v>
      </c>
    </row>
    <row r="230" spans="2:2">
      <c r="B230" s="12" t="str">
        <f>+ajaxinsertandclose!A276</f>
        <v/>
      </c>
    </row>
    <row r="231" spans="2:2">
      <c r="B231" s="12" t="str">
        <f>+ajaxinsertandclose!A277</f>
        <v/>
      </c>
    </row>
    <row r="236" spans="2:2">
      <c r="B236" s="12" t="str">
        <f>+ajaxinsertandclose!A314</f>
        <v>// temporarily delete next slashes</v>
      </c>
    </row>
    <row r="237" spans="2:2">
      <c r="B237" s="12" t="str">
        <f>+ajaxinsertandclose!A315</f>
        <v>//echo "succesful AJAX conection";</v>
      </c>
    </row>
    <row r="238" spans="2:2">
      <c r="B238" s="12" t="str">
        <f>+ajaxinsertandclose!A316</f>
        <v>$con=mysql_connect('localhost','root',''); if (!$con)  {die('Could not connect: ' . mysql_error());}  mysql_select_db('healmy5_pray', $con);</v>
      </c>
    </row>
    <row r="239" spans="2:2">
      <c r="B239" s="12" t="str">
        <f>+ajaxinsertandclose!A317</f>
        <v>$already_exist_result = mysql_query("SELECT * FROM Jesus WHERE user='$user' AND tipo_doc_id='$tipo_doc_id'"); $row_ae = mysql_fetch_array($already_exist_result);</v>
      </c>
    </row>
    <row r="240" spans="2:2">
      <c r="B240" s="12" t="str">
        <f>+ajaxinsertandclose!A318</f>
        <v>if (!empty($row_ae[0])) {echo "Ya existe un registro con los datos ".$user." ".$tipo_doc_id."&lt;br/&gt;";}</v>
      </c>
    </row>
    <row r="241" spans="2:2">
      <c r="B241" s="12" t="str">
        <f>+ajaxinsertandclose!A319</f>
        <v>else {</v>
      </c>
    </row>
    <row r="242" spans="2:2">
      <c r="B242" s="12" t="str">
        <f>+ajaxinsertandclose!A320</f>
        <v>$sql="INSERT INTO Jesus(user,tipo_doc_id,numd,tms_1</v>
      </c>
    </row>
    <row r="243" spans="2:2">
      <c r="B243" s="12" t="str">
        <f>+ajaxinsertandclose!A328</f>
        <v>) VALUES ('$user','$tipo_doc_id','$numd','$tms_1'</v>
      </c>
    </row>
    <row r="244" spans="2:2">
      <c r="B244" s="12" t="str">
        <f>+ajaxinsertandclose!A338</f>
        <v>if (!mysql_query($sql,$con)) {die('Error: ' . mysql_error());} echo 'registro exitosamente grabado&lt;br/&gt;';</v>
      </c>
    </row>
    <row r="245" spans="2:2">
      <c r="B245" s="12" t="str">
        <f>+ajaxinsertandclose!A339</f>
        <v>echo '&lt;div id="close" style="display:none"&gt;close&lt;/div&gt;';</v>
      </c>
    </row>
    <row r="246" spans="2:2">
      <c r="B246" s="12" t="str">
        <f>+ajaxinsertandclose!A340</f>
        <v>echo '    '.$user;</v>
      </c>
    </row>
    <row r="247" spans="2:2">
      <c r="B247" s="12" t="str">
        <f>+ajaxinsertandclose!A341</f>
        <v>echo '    '.$tipo_doc_id;</v>
      </c>
    </row>
    <row r="248" spans="2:2">
      <c r="B248" s="12" t="str">
        <f>+ajaxinsertandclose!A342</f>
        <v>echo '    '.$numd;</v>
      </c>
    </row>
    <row r="249" spans="2:2">
      <c r="B249" s="12" t="str">
        <f>+ajaxinsertandclose!A343</f>
        <v>echo '  Timestamp (not shown)  '.$tms_1;</v>
      </c>
    </row>
    <row r="250" spans="2:2">
      <c r="B250" s="12" t="str">
        <f>+ajaxinsertandclose!A344</f>
        <v/>
      </c>
    </row>
    <row r="251" spans="2:2">
      <c r="B251" s="12" t="str">
        <f>+ajaxinsertandclose!A345</f>
        <v/>
      </c>
    </row>
    <row r="255" spans="2:2">
      <c r="B255" s="12" t="str">
        <f>+ajaxinsertandclose!A349</f>
        <v>}</v>
      </c>
    </row>
    <row r="256" spans="2:2">
      <c r="B256" s="12" t="str">
        <f>+ajaxinsertandclose!A350</f>
        <v>?&gt;</v>
      </c>
    </row>
  </sheetData>
  <conditionalFormatting sqref="H16">
    <cfRule type="expression" dxfId="2" priority="3">
      <formula>$B16="session"</formula>
    </cfRule>
  </conditionalFormatting>
  <conditionalFormatting sqref="H10:H15">
    <cfRule type="expression" dxfId="1" priority="2">
      <formula>$B10="session"</formula>
    </cfRule>
  </conditionalFormatting>
  <conditionalFormatting sqref="H17:H109">
    <cfRule type="expression" dxfId="0" priority="1">
      <formula>$B17="session"</formula>
    </cfRule>
  </conditionalFormatting>
  <dataValidations count="3">
    <dataValidation type="list" allowBlank="1" showInputMessage="1" showErrorMessage="1" sqref="F10:F109">
      <formula1>$K$2:$K$7</formula1>
    </dataValidation>
    <dataValidation type="list" allowBlank="1" showInputMessage="1" showErrorMessage="1" sqref="E10:E109">
      <formula1>$J$2:$J$4</formula1>
    </dataValidation>
    <dataValidation type="list" allowBlank="1" showInputMessage="1" showErrorMessage="1" sqref="G10:G109">
      <formula1>$L$2:$L$3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W354"/>
  <sheetViews>
    <sheetView zoomScale="80" zoomScaleNormal="80" workbookViewId="0">
      <pane xSplit="10845" ySplit="3120" topLeftCell="AP1" activePane="bottomLeft"/>
      <selection activeCell="J5" sqref="J5"/>
      <selection pane="topRight" activeCell="AW1" sqref="AW1"/>
      <selection pane="bottomLeft" activeCell="A274" sqref="A274"/>
      <selection pane="bottomRight" activeCell="Q235" sqref="Q235"/>
    </sheetView>
  </sheetViews>
  <sheetFormatPr baseColWidth="10" defaultColWidth="11.42578125" defaultRowHeight="15"/>
  <cols>
    <col min="1" max="1" width="17.7109375" customWidth="1"/>
    <col min="2" max="2" width="12.42578125" customWidth="1"/>
    <col min="3" max="3" width="10.140625" customWidth="1"/>
    <col min="4" max="4" width="13.140625" customWidth="1"/>
    <col min="5" max="5" width="11.42578125" customWidth="1"/>
    <col min="6" max="6" width="10.85546875" customWidth="1"/>
    <col min="7" max="7" width="17.7109375" customWidth="1"/>
    <col min="8" max="8" width="14" customWidth="1"/>
    <col min="9" max="9" width="6" customWidth="1"/>
    <col min="10" max="10" width="11.42578125" customWidth="1"/>
    <col min="11" max="11" width="8.85546875" customWidth="1"/>
    <col min="12" max="12" width="8" customWidth="1"/>
    <col min="13" max="13" width="7.28515625" customWidth="1"/>
    <col min="14" max="14" width="8.42578125" customWidth="1"/>
    <col min="15" max="15" width="8.28515625" customWidth="1"/>
    <col min="16" max="18" width="11.42578125" customWidth="1"/>
    <col min="19" max="19" width="9.85546875" customWidth="1"/>
    <col min="20" max="20" width="4.5703125" customWidth="1"/>
    <col min="21" max="21" width="3" customWidth="1"/>
    <col min="22" max="23" width="2" customWidth="1"/>
    <col min="24" max="24" width="3.28515625" customWidth="1"/>
    <col min="25" max="25" width="2.7109375" customWidth="1"/>
    <col min="26" max="26" width="3.28515625" customWidth="1"/>
    <col min="27" max="27" width="10.140625" customWidth="1"/>
    <col min="28" max="28" width="2.140625" customWidth="1"/>
    <col min="29" max="29" width="6.85546875" customWidth="1"/>
    <col min="30" max="30" width="4.5703125" customWidth="1"/>
    <col min="31" max="31" width="5.7109375" customWidth="1"/>
    <col min="32" max="32" width="5" customWidth="1"/>
    <col min="33" max="33" width="2.28515625" customWidth="1"/>
    <col min="34" max="34" width="5.85546875" customWidth="1"/>
    <col min="35" max="38" width="5.28515625" customWidth="1"/>
    <col min="39" max="49" width="11.42578125" customWidth="1"/>
  </cols>
  <sheetData>
    <row r="1" spans="1:49" s="1" customFormat="1">
      <c r="A1" s="1" t="s">
        <v>0</v>
      </c>
      <c r="B1" s="2" t="str">
        <f>"insert_"&amp;fieldcreatorv2!L15</f>
        <v>insert_Jesus</v>
      </c>
      <c r="D1" s="1" t="s">
        <v>1</v>
      </c>
      <c r="E1" s="1" t="s">
        <v>2</v>
      </c>
      <c r="F1" s="1" t="s">
        <v>3</v>
      </c>
      <c r="AP1" s="1" t="s">
        <v>4</v>
      </c>
      <c r="AQ1" s="1" t="s">
        <v>5</v>
      </c>
      <c r="AV1" s="1" t="s">
        <v>6</v>
      </c>
      <c r="AW1" s="1" t="s">
        <v>7</v>
      </c>
    </row>
    <row r="2" spans="1:49" s="1" customFormat="1">
      <c r="A2" s="1" t="s">
        <v>1</v>
      </c>
      <c r="B2" s="1" t="s">
        <v>2</v>
      </c>
      <c r="C2" s="1" t="s">
        <v>3</v>
      </c>
      <c r="D2" s="3"/>
      <c r="E2" s="4"/>
      <c r="F2" s="8"/>
      <c r="G2" s="5" t="s">
        <v>8</v>
      </c>
      <c r="H2" s="2" t="str">
        <f>"check"&amp;fieldcreatorv2!L19</f>
        <v>check1</v>
      </c>
      <c r="J2" s="1" t="s">
        <v>10</v>
      </c>
      <c r="L2" s="1" t="s">
        <v>11</v>
      </c>
      <c r="O2" s="1" t="s">
        <v>12</v>
      </c>
      <c r="P2" s="2"/>
      <c r="Q2" s="6" t="str">
        <f t="shared" ref="Q2:Q8" si="0">+IF(P2="","",",")</f>
        <v/>
      </c>
      <c r="T2" s="1">
        <f>+IF(SUM(V2:W8)&gt;0,1,0)</f>
        <v>0</v>
      </c>
      <c r="W2" s="1">
        <f t="shared" ref="W2:W8" si="1">+IF(F2="si",1,0)</f>
        <v>0</v>
      </c>
      <c r="X2" s="1" t="s">
        <v>13</v>
      </c>
      <c r="Y2" s="6" t="str">
        <f>IF(E2="","",","&amp;"g")</f>
        <v/>
      </c>
      <c r="Z2" s="6" t="s">
        <v>14</v>
      </c>
      <c r="AA2" s="6"/>
      <c r="AB2" s="6" t="str">
        <f t="shared" ref="AB2:AB7" si="2">+IF(C2="","",RIGHT(Y2,1))</f>
        <v/>
      </c>
      <c r="AC2" s="6"/>
      <c r="AD2" s="6" t="str">
        <f>+IF(W2=1,$T$6&amp;AB2&amp;$T$5&amp;$T$7,"")</f>
        <v/>
      </c>
      <c r="AE2" s="1" t="s">
        <v>15</v>
      </c>
      <c r="AF2" s="1" t="s">
        <v>16</v>
      </c>
      <c r="AG2" s="1" t="s">
        <v>17</v>
      </c>
      <c r="AI2" s="6" t="str">
        <f t="shared" ref="AI2:AI7" si="3">+IF(E2="","",$AF$4&amp;$AF$6&amp;$AF$7&amp;AB2&amp;$AF$5&amp;AB2)</f>
        <v/>
      </c>
      <c r="AJ2" s="1" t="s">
        <v>18</v>
      </c>
      <c r="AL2" s="6" t="str">
        <f t="shared" ref="AL2:AL7" si="4">+IF(E2="","",","&amp;$AJ$3&amp;E2&amp;$AJ$7)</f>
        <v/>
      </c>
      <c r="AM2" s="1" t="s">
        <v>19</v>
      </c>
      <c r="AN2" s="6"/>
      <c r="AO2" s="6" t="str">
        <f t="shared" ref="AO2:AO7" si="5">+IF(AB2="","",$AM$2&amp;AB2&amp;$AM$3&amp;AB2&amp;$AM$4&amp;AB2&amp;$AM$5&amp;AB2&amp;$AM$6)</f>
        <v/>
      </c>
      <c r="AP2" s="1" t="s">
        <v>20</v>
      </c>
      <c r="AR2" s="1" t="s">
        <v>21</v>
      </c>
      <c r="AU2" s="6" t="str">
        <f t="shared" ref="AU2:AU7" si="6">+IF(AB2="","",",'$"&amp;AB2&amp;"'")</f>
        <v/>
      </c>
      <c r="AV2" s="1" t="s">
        <v>22</v>
      </c>
      <c r="AW2" s="1" t="s">
        <v>23</v>
      </c>
    </row>
    <row r="3" spans="1:49" s="1" customFormat="1">
      <c r="A3" s="7" t="str">
        <f>IF(fieldcreatorv2!B15="","",fieldcreatorv2!B15)</f>
        <v/>
      </c>
      <c r="B3" s="7" t="str">
        <f>IF(fieldcreatorv2!C15="","",fieldcreatorv2!C15)</f>
        <v>user</v>
      </c>
      <c r="C3" s="7" t="str">
        <f>IF(fieldcreatorv2!G15="","",fieldcreatorv2!G15)</f>
        <v/>
      </c>
      <c r="D3" s="7"/>
      <c r="E3" s="8"/>
      <c r="F3" s="8"/>
      <c r="G3" s="5" t="s">
        <v>25</v>
      </c>
      <c r="H3" s="2" t="str">
        <f>fieldcreatorv2!L15&amp;".php"</f>
        <v>Jesus.php</v>
      </c>
      <c r="J3" s="1" t="s">
        <v>26</v>
      </c>
      <c r="L3" s="1" t="s">
        <v>27</v>
      </c>
      <c r="M3" s="7" t="str">
        <f t="shared" ref="M3:M8" si="7">IF(B3="","",B3)</f>
        <v>user</v>
      </c>
      <c r="N3" s="6"/>
      <c r="O3" s="1" t="s">
        <v>28</v>
      </c>
      <c r="P3" s="2"/>
      <c r="Q3" s="6" t="str">
        <f t="shared" si="0"/>
        <v/>
      </c>
      <c r="S3" s="1" t="str">
        <f>AC3&amp;AC4&amp;AC5&amp;AC6&amp;AC7&amp;AC8&amp;AC9&amp;AC10&amp;AC11&amp;AC12&amp;AC13&amp;AC14&amp;AC15&amp;AC16&amp;AC17</f>
        <v/>
      </c>
      <c r="T3" s="1" t="s">
        <v>29</v>
      </c>
      <c r="V3" s="1">
        <f>+IF(AND(C3="si",AA3&lt;&gt;""),1,0)</f>
        <v>0</v>
      </c>
      <c r="W3" s="1">
        <f>+IF(F3="si",1,0)</f>
        <v>0</v>
      </c>
      <c r="X3" s="6" t="str">
        <f>IF(OR(B3="",A3="session"),"",B3)</f>
        <v>user</v>
      </c>
      <c r="Y3" s="6" t="str">
        <f>IF(E3="","",","&amp;"h")</f>
        <v/>
      </c>
      <c r="Z3" s="6" t="s">
        <v>30</v>
      </c>
      <c r="AA3" s="6" t="str">
        <f>+IF(OR(B3="",A3="session"),"",B3)</f>
        <v>user</v>
      </c>
      <c r="AB3" s="6" t="str">
        <f>+IF(C3="","",RIGHT(Y3,1))</f>
        <v/>
      </c>
      <c r="AC3" s="6" t="str">
        <f>+IF(V3=1,IF(AC2="","",$T$6)&amp;AA3&amp;$T$5&amp;$T$7,"")</f>
        <v/>
      </c>
      <c r="AD3" s="6" t="str">
        <f t="shared" ref="AD3:AD8" si="8">+IF(W3=1,$T$6&amp;AB3&amp;$T$5&amp;$T$7,"")</f>
        <v/>
      </c>
      <c r="AE3" s="1" t="s">
        <v>142</v>
      </c>
      <c r="AF3" s="1" t="s">
        <v>31</v>
      </c>
      <c r="AG3" s="6" t="str">
        <f t="shared" ref="AG3:AG9" si="9">+IF(AA3="","",$AF$6)</f>
        <v>"</v>
      </c>
      <c r="AH3" s="6" t="str">
        <f>+IF(AA3="","",AA3&amp;AF5&amp;AA3)</f>
        <v>user="+user</v>
      </c>
      <c r="AI3" s="6" t="str">
        <f t="shared" si="3"/>
        <v/>
      </c>
      <c r="AJ3" s="1" t="s">
        <v>32</v>
      </c>
      <c r="AK3" s="6" t="str">
        <f>+IF(AA3="","",$AJ$3&amp;B3&amp;$AJ$7)</f>
        <v>document.getElementById('user').value</v>
      </c>
      <c r="AL3" s="6" t="str">
        <f t="shared" si="4"/>
        <v/>
      </c>
      <c r="AM3" s="9" t="s">
        <v>33</v>
      </c>
      <c r="AN3" s="6" t="str">
        <f t="shared" ref="AN3:AN9" si="10">+IF(AA3="","",$AM$2&amp;AA3&amp;$AM$3&amp;AA3&amp;$AM$4&amp;AA3&amp;$AM$5&amp;AA3&amp;$AM$6)</f>
        <v>if (isset($_GET['user'])) {$user=($_GET['user']);}else $user='';</v>
      </c>
      <c r="AO3" s="6" t="str">
        <f t="shared" si="5"/>
        <v/>
      </c>
      <c r="AP3" s="1" t="str">
        <f>+IF(H4="healmy_5","healmy5_healmy5','jatter');","root','');")</f>
        <v>root','');</v>
      </c>
      <c r="AQ3" s="9" t="s">
        <v>34</v>
      </c>
      <c r="AR3" s="9" t="s">
        <v>35</v>
      </c>
      <c r="AS3" s="6" t="str">
        <f>+IF(AA3="","","'$"&amp;AA3&amp;"'")</f>
        <v>'$user'</v>
      </c>
      <c r="AT3" s="6" t="str">
        <f>+IF(B3="","","'$"&amp;B3&amp;"'")</f>
        <v>'$user'</v>
      </c>
      <c r="AU3" s="6" t="str">
        <f t="shared" si="6"/>
        <v/>
      </c>
      <c r="AV3" s="1" t="s">
        <v>24</v>
      </c>
      <c r="AW3" s="1" t="s">
        <v>36</v>
      </c>
    </row>
    <row r="4" spans="1:49" s="1" customFormat="1">
      <c r="A4" s="7" t="str">
        <f>IF(fieldcreatorv2!B16="","",fieldcreatorv2!B16)</f>
        <v/>
      </c>
      <c r="B4" s="7" t="str">
        <f>IF(fieldcreatorv2!C16="","",fieldcreatorv2!C16)</f>
        <v>tipo_doc_id</v>
      </c>
      <c r="C4" s="7" t="str">
        <f>IF(fieldcreatorv2!G16="","",fieldcreatorv2!G16)</f>
        <v/>
      </c>
      <c r="D4" s="7"/>
      <c r="E4" s="8"/>
      <c r="F4" s="8"/>
      <c r="G4" s="5" t="s">
        <v>37</v>
      </c>
      <c r="H4" s="2" t="s">
        <v>38</v>
      </c>
      <c r="J4" s="2" t="s">
        <v>24</v>
      </c>
      <c r="L4" s="1" t="s">
        <v>39</v>
      </c>
      <c r="M4" s="7" t="str">
        <f t="shared" si="7"/>
        <v>tipo_doc_id</v>
      </c>
      <c r="N4" s="6" t="str">
        <f>+IF(M4="","",",")</f>
        <v>,</v>
      </c>
      <c r="O4" s="1" t="s">
        <v>40</v>
      </c>
      <c r="P4" s="2"/>
      <c r="Q4" s="6" t="str">
        <f t="shared" si="0"/>
        <v/>
      </c>
      <c r="S4" s="1" t="str">
        <f>AC18&amp;AC19&amp;AC20&amp;AC21&amp;AC22&amp;AC23&amp;AC24&amp;AC25&amp;AC26&amp;AC27&amp;AC28&amp;AC29&amp;AC30&amp;AC31&amp;AC32</f>
        <v/>
      </c>
      <c r="T4" s="1" t="str">
        <f>+T3&amp;S3&amp;S4&amp;S5&amp;S6&amp;S7&amp;S8&amp;S9&amp;Z3</f>
        <v>if ()</v>
      </c>
      <c r="V4" s="1">
        <f t="shared" ref="V4:V67" si="11">+IF(AND(C4="si",AA4&lt;&gt;""),1,0)</f>
        <v>0</v>
      </c>
      <c r="W4" s="1">
        <f t="shared" si="1"/>
        <v>0</v>
      </c>
      <c r="X4" s="6" t="str">
        <f>IF(OR(B4="",A4="session"),"",IF(X3="","",",")&amp;B4)</f>
        <v>,tipo_doc_id</v>
      </c>
      <c r="Y4" s="6" t="str">
        <f>IF(E4="","",","&amp;"i")</f>
        <v/>
      </c>
      <c r="Z4" s="6" t="s">
        <v>24</v>
      </c>
      <c r="AA4" s="6" t="str">
        <f t="shared" ref="AA4:AA67" si="12">+IF(OR(B4="",A4="session"),"",B4)</f>
        <v>tipo_doc_id</v>
      </c>
      <c r="AB4" s="6" t="str">
        <f t="shared" si="2"/>
        <v/>
      </c>
      <c r="AC4" s="6" t="str">
        <f>+IF(V4=1,IF(AC3="","",$T$6)&amp;AA4&amp;$T$5&amp;$T$7,"")</f>
        <v/>
      </c>
      <c r="AD4" s="6" t="str">
        <f t="shared" si="8"/>
        <v/>
      </c>
      <c r="AE4" s="1" t="s">
        <v>41</v>
      </c>
      <c r="AF4" s="9" t="s">
        <v>42</v>
      </c>
      <c r="AG4" s="6" t="str">
        <f t="shared" si="9"/>
        <v>"</v>
      </c>
      <c r="AH4" s="6" t="str">
        <f>+IF(AA4="","",IF(AH3="","",$AF$4&amp;$AF$6&amp;$AF$7)&amp;AA4&amp;$AF$5&amp;AA4)</f>
        <v>+"&amp;tipo_doc_id="+tipo_doc_id</v>
      </c>
      <c r="AI4" s="6" t="str">
        <f t="shared" si="3"/>
        <v/>
      </c>
      <c r="AJ4" s="1" t="s">
        <v>43</v>
      </c>
      <c r="AK4" s="6" t="str">
        <f>+IF(AA4="","",IF(AK3="","",",")&amp;$AJ$3&amp;B4&amp;$AJ$7)</f>
        <v>,document.getElementById('tipo_doc_id').value</v>
      </c>
      <c r="AL4" s="6" t="str">
        <f t="shared" si="4"/>
        <v/>
      </c>
      <c r="AM4" s="9" t="s">
        <v>44</v>
      </c>
      <c r="AN4" s="6" t="str">
        <f t="shared" si="10"/>
        <v>if (isset($_GET['tipo_doc_id'])) {$tipo_doc_id=($_GET['tipo_doc_id']);}else $tipo_doc_id='';</v>
      </c>
      <c r="AO4" s="6" t="str">
        <f t="shared" si="5"/>
        <v/>
      </c>
      <c r="AP4" s="1" t="s">
        <v>45</v>
      </c>
      <c r="AQ4" s="1" t="s">
        <v>46</v>
      </c>
      <c r="AR4" s="9" t="s">
        <v>47</v>
      </c>
      <c r="AS4" s="6" t="str">
        <f>+IF(AA4="","",IF(AS3="","",",")&amp;"'$"&amp;AA4&amp;"'")</f>
        <v>,'$tipo_doc_id'</v>
      </c>
      <c r="AT4" s="6" t="str">
        <f>+IF(B4="","",",'$"&amp;B4&amp;"'")</f>
        <v>,'$tipo_doc_id'</v>
      </c>
      <c r="AU4" s="6" t="str">
        <f t="shared" si="6"/>
        <v/>
      </c>
      <c r="AV4" s="1" t="s">
        <v>48</v>
      </c>
    </row>
    <row r="5" spans="1:49" s="1" customFormat="1">
      <c r="A5" s="7" t="str">
        <f>IF(fieldcreatorv2!B17="","",fieldcreatorv2!B17)</f>
        <v/>
      </c>
      <c r="B5" s="7" t="str">
        <f>IF(fieldcreatorv2!C17="","",fieldcreatorv2!C17)</f>
        <v>numd</v>
      </c>
      <c r="C5" s="7" t="str">
        <f>IF(fieldcreatorv2!G17="","",fieldcreatorv2!G17)</f>
        <v/>
      </c>
      <c r="D5" s="7"/>
      <c r="E5" s="8"/>
      <c r="F5" s="8"/>
      <c r="G5" s="5" t="s">
        <v>49</v>
      </c>
      <c r="H5" s="2" t="str">
        <f>+fieldcreatorv2!L17</f>
        <v>healmy5_pray</v>
      </c>
      <c r="L5" s="1" t="s">
        <v>50</v>
      </c>
      <c r="M5" s="7" t="str">
        <f t="shared" si="7"/>
        <v>numd</v>
      </c>
      <c r="N5" s="6" t="str">
        <f>+IF(M5="","",",")</f>
        <v>,</v>
      </c>
      <c r="O5" s="1" t="s">
        <v>51</v>
      </c>
      <c r="P5" s="2"/>
      <c r="Q5" s="6" t="str">
        <f t="shared" si="0"/>
        <v/>
      </c>
      <c r="S5" s="1" t="str">
        <f>AC33&amp;AC34&amp;AC35&amp;AC36&amp;AC37&amp;AC38&amp;AC39&amp;AC40&amp;AC41&amp;AC42&amp;AC43&amp;AC44&amp;AC45&amp;AC46&amp;AC47</f>
        <v/>
      </c>
      <c r="T5" s="9" t="s">
        <v>52</v>
      </c>
      <c r="V5" s="1">
        <f t="shared" si="11"/>
        <v>0</v>
      </c>
      <c r="W5" s="1">
        <f t="shared" si="1"/>
        <v>0</v>
      </c>
      <c r="X5" s="6" t="str">
        <f>IF(OR(B5="",A5="session"),"",IF(X4="","",",")&amp;B5)</f>
        <v>,numd</v>
      </c>
      <c r="Y5" s="6" t="str">
        <f>IF(E5="","",","&amp;"j")</f>
        <v/>
      </c>
      <c r="Z5" s="6" t="s">
        <v>48</v>
      </c>
      <c r="AA5" s="6" t="str">
        <f t="shared" si="12"/>
        <v>numd</v>
      </c>
      <c r="AB5" s="6" t="str">
        <f t="shared" si="2"/>
        <v/>
      </c>
      <c r="AC5" s="6" t="str">
        <f>+IF(V5=1,IF(AC4="","",$T$6)&amp;AA5&amp;$T$5&amp;$T$7,"")</f>
        <v/>
      </c>
      <c r="AD5" s="6" t="str">
        <f t="shared" si="8"/>
        <v/>
      </c>
      <c r="AE5" s="1" t="str">
        <f>+AE2&amp;H2&amp;AE3&amp;AE4</f>
        <v xml:space="preserve">{document.getElementById("check1").innerHTML = 'Debe llenar los campos obligados';  return; } else </v>
      </c>
      <c r="AF5" s="9" t="s">
        <v>53</v>
      </c>
      <c r="AG5" s="6" t="str">
        <f t="shared" si="9"/>
        <v>"</v>
      </c>
      <c r="AH5" s="6" t="str">
        <f t="shared" ref="AH5:AH68" si="13">+IF(AA5="","",IF(AH4="","",$AF$4&amp;$AF$6&amp;$AF$7)&amp;AA5&amp;$AF$5&amp;AA5)</f>
        <v>+"&amp;numd="+numd</v>
      </c>
      <c r="AI5" s="6" t="str">
        <f t="shared" si="3"/>
        <v/>
      </c>
      <c r="AJ5" s="1" t="s">
        <v>54</v>
      </c>
      <c r="AK5" s="6" t="str">
        <f t="shared" ref="AK5:AK68" si="14">+IF(AA5="","",IF(AK4="","",",")&amp;$AJ$3&amp;B5&amp;$AJ$7)</f>
        <v>,document.getElementById('numd').value</v>
      </c>
      <c r="AL5" s="6" t="str">
        <f t="shared" si="4"/>
        <v/>
      </c>
      <c r="AM5" s="9" t="s">
        <v>55</v>
      </c>
      <c r="AN5" s="6" t="str">
        <f t="shared" si="10"/>
        <v>if (isset($_GET['numd'])) {$numd=($_GET['numd']);}else $numd='';</v>
      </c>
      <c r="AO5" s="6" t="str">
        <f t="shared" si="5"/>
        <v/>
      </c>
      <c r="AP5" s="9" t="s">
        <v>56</v>
      </c>
      <c r="AQ5" s="1" t="s">
        <v>57</v>
      </c>
      <c r="AR5" s="1" t="s">
        <v>58</v>
      </c>
      <c r="AS5" s="6" t="str">
        <f>+IF(AA5="","",IF(AS4="","",",")&amp;"'$"&amp;AA5&amp;"'")</f>
        <v>,'$numd'</v>
      </c>
      <c r="AT5" s="6" t="str">
        <f>+IF(B5="","",",'$"&amp;B5&amp;"'")</f>
        <v>,'$numd'</v>
      </c>
      <c r="AU5" s="6" t="str">
        <f t="shared" si="6"/>
        <v/>
      </c>
      <c r="AV5" s="1" t="s">
        <v>59</v>
      </c>
    </row>
    <row r="6" spans="1:49" s="1" customFormat="1">
      <c r="A6" s="7" t="str">
        <f>IF(fieldcreatorv2!B18="","",fieldcreatorv2!B18)</f>
        <v>Timestamp (not shown)</v>
      </c>
      <c r="B6" s="7" t="str">
        <f>IF(fieldcreatorv2!C18="","",fieldcreatorv2!C18)</f>
        <v>tms_1</v>
      </c>
      <c r="C6" s="7" t="str">
        <f>IF(fieldcreatorv2!G18="","",fieldcreatorv2!G18)</f>
        <v/>
      </c>
      <c r="D6" s="7"/>
      <c r="E6" s="8"/>
      <c r="F6" s="8"/>
      <c r="G6" s="5" t="s">
        <v>60</v>
      </c>
      <c r="H6" s="2" t="str">
        <f>+fieldcreatorv2!L15</f>
        <v>Jesus</v>
      </c>
      <c r="L6" s="1" t="s">
        <v>61</v>
      </c>
      <c r="M6" s="7" t="str">
        <f t="shared" si="7"/>
        <v>tms_1</v>
      </c>
      <c r="N6" s="6" t="str">
        <f>+IF(M6="","",",")</f>
        <v>,</v>
      </c>
      <c r="O6" s="1" t="s">
        <v>62</v>
      </c>
      <c r="P6" s="2"/>
      <c r="Q6" s="6" t="str">
        <f t="shared" si="0"/>
        <v/>
      </c>
      <c r="S6" s="1" t="str">
        <f>AC48&amp;AC49&amp;AC50&amp;AC51&amp;AC52&amp;AC53&amp;AC54&amp;AC55&amp;AC56&amp;AC57&amp;AC58&amp;AC59&amp;AC60&amp;AC61&amp;AC62</f>
        <v/>
      </c>
      <c r="T6" s="1" t="s">
        <v>63</v>
      </c>
      <c r="V6" s="1">
        <f t="shared" si="11"/>
        <v>0</v>
      </c>
      <c r="W6" s="1">
        <f t="shared" si="1"/>
        <v>0</v>
      </c>
      <c r="X6" s="6" t="str">
        <f t="shared" ref="X6:X69" si="15">IF(OR(B6="",A6="session"),"",IF(X5="","",",")&amp;B6)</f>
        <v>,tms_1</v>
      </c>
      <c r="Y6" s="6" t="str">
        <f>IF(E6="","",","&amp;"k")</f>
        <v/>
      </c>
      <c r="Z6" s="6" t="s">
        <v>38</v>
      </c>
      <c r="AA6" s="6" t="str">
        <f t="shared" si="12"/>
        <v>tms_1</v>
      </c>
      <c r="AB6" s="6" t="str">
        <f t="shared" si="2"/>
        <v/>
      </c>
      <c r="AC6" s="6" t="str">
        <f t="shared" ref="AC6:AC69" si="16">+IF(V6=1,IF(AC5="","",$T$6)&amp;AA6&amp;$T$5&amp;$T$7,"")</f>
        <v/>
      </c>
      <c r="AD6" s="6" t="str">
        <f t="shared" si="8"/>
        <v/>
      </c>
      <c r="AE6" s="1" t="s">
        <v>64</v>
      </c>
      <c r="AF6" s="1" t="s">
        <v>65</v>
      </c>
      <c r="AG6" s="6" t="str">
        <f t="shared" si="9"/>
        <v>"</v>
      </c>
      <c r="AH6" s="6" t="str">
        <f t="shared" si="13"/>
        <v>+"&amp;tms_1="+tms_1</v>
      </c>
      <c r="AI6" s="6" t="str">
        <f t="shared" si="3"/>
        <v/>
      </c>
      <c r="AJ6" s="1" t="s">
        <v>66</v>
      </c>
      <c r="AK6" s="6" t="str">
        <f t="shared" si="14"/>
        <v>,document.getElementById('tms_1').value</v>
      </c>
      <c r="AL6" s="6" t="str">
        <f t="shared" si="4"/>
        <v/>
      </c>
      <c r="AM6" s="9" t="s">
        <v>67</v>
      </c>
      <c r="AN6" s="6" t="str">
        <f t="shared" si="10"/>
        <v>if (isset($_GET['tms_1'])) {$tms_1=($_GET['tms_1']);}else $tms_1='';</v>
      </c>
      <c r="AO6" s="6" t="str">
        <f t="shared" si="5"/>
        <v/>
      </c>
      <c r="AP6" s="1" t="s">
        <v>68</v>
      </c>
      <c r="AQ6" s="1" t="str">
        <f>+IF(K8="","",AQ1)</f>
        <v>." ".$</v>
      </c>
      <c r="AR6" s="1" t="s">
        <v>69</v>
      </c>
      <c r="AS6" s="6" t="str">
        <f t="shared" ref="AS6:AS69" si="17">+IF(AA6="","",IF(AS5="","",",")&amp;"'$"&amp;AA6&amp;"'")</f>
        <v>,'$tms_1'</v>
      </c>
      <c r="AT6" s="6" t="str">
        <f t="shared" ref="AT6:AT69" si="18">+IF(B6="","",",'$"&amp;B6&amp;"'")</f>
        <v>,'$tms_1'</v>
      </c>
      <c r="AU6" s="6" t="str">
        <f t="shared" si="6"/>
        <v/>
      </c>
      <c r="AV6" s="1" t="s">
        <v>70</v>
      </c>
    </row>
    <row r="7" spans="1:49" s="1" customFormat="1">
      <c r="A7" s="7" t="str">
        <f>IF(fieldcreatorv2!B19="","",fieldcreatorv2!B19)</f>
        <v/>
      </c>
      <c r="B7" s="7" t="str">
        <f>IF(fieldcreatorv2!C19="","",fieldcreatorv2!C19)</f>
        <v/>
      </c>
      <c r="C7" s="7" t="str">
        <f>IF(fieldcreatorv2!G19="","",fieldcreatorv2!G19)</f>
        <v/>
      </c>
      <c r="D7" s="7"/>
      <c r="E7" s="8"/>
      <c r="F7" s="8"/>
      <c r="G7" s="5" t="s">
        <v>71</v>
      </c>
      <c r="H7" s="3" t="str">
        <f>+B3</f>
        <v>user</v>
      </c>
      <c r="I7" s="1" t="s">
        <v>72</v>
      </c>
      <c r="J7" s="3" t="str">
        <f>+H7</f>
        <v>user</v>
      </c>
      <c r="K7" s="1" t="str">
        <f>IF(J7="","",INDEX($AA$3:$AA$8,MATCH(J7,$B$3:$B$8,),1))</f>
        <v>user</v>
      </c>
      <c r="L7" s="1" t="s">
        <v>73</v>
      </c>
      <c r="M7" s="7" t="str">
        <f t="shared" si="7"/>
        <v/>
      </c>
      <c r="N7" s="6" t="str">
        <f>+IF(M7="","",",")</f>
        <v/>
      </c>
      <c r="O7" s="1" t="s">
        <v>74</v>
      </c>
      <c r="P7" s="2"/>
      <c r="Q7" s="6" t="str">
        <f t="shared" si="0"/>
        <v/>
      </c>
      <c r="S7" s="1" t="str">
        <f>AC63&amp;AC64&amp;AC65&amp;AC66&amp;AC67&amp;AC68&amp;AC69&amp;AC70&amp;AC71&amp;AC72&amp;AC73&amp;AC74&amp;AC75&amp;AC76&amp;AC77</f>
        <v/>
      </c>
      <c r="T7" s="9" t="s">
        <v>75</v>
      </c>
      <c r="V7" s="1">
        <f t="shared" si="11"/>
        <v>0</v>
      </c>
      <c r="W7" s="1">
        <f t="shared" si="1"/>
        <v>0</v>
      </c>
      <c r="X7" s="6" t="str">
        <f t="shared" si="15"/>
        <v/>
      </c>
      <c r="Y7" s="6" t="str">
        <f>IF(E7="","",","&amp;"l")</f>
        <v/>
      </c>
      <c r="Z7" s="6" t="s">
        <v>76</v>
      </c>
      <c r="AA7" s="6" t="str">
        <f t="shared" si="12"/>
        <v/>
      </c>
      <c r="AB7" s="6" t="str">
        <f t="shared" si="2"/>
        <v/>
      </c>
      <c r="AC7" s="6" t="str">
        <f t="shared" si="16"/>
        <v/>
      </c>
      <c r="AD7" s="6" t="str">
        <f t="shared" si="8"/>
        <v/>
      </c>
      <c r="AE7" s="1" t="s">
        <v>77</v>
      </c>
      <c r="AF7" s="1" t="s">
        <v>78</v>
      </c>
      <c r="AG7" s="6" t="str">
        <f t="shared" si="9"/>
        <v/>
      </c>
      <c r="AH7" s="6" t="str">
        <f t="shared" si="13"/>
        <v/>
      </c>
      <c r="AI7" s="6" t="str">
        <f t="shared" si="3"/>
        <v/>
      </c>
      <c r="AJ7" s="9" t="s">
        <v>79</v>
      </c>
      <c r="AK7" s="6" t="str">
        <f t="shared" si="14"/>
        <v/>
      </c>
      <c r="AL7" s="6" t="str">
        <f t="shared" si="4"/>
        <v/>
      </c>
      <c r="AN7" s="6" t="str">
        <f t="shared" si="10"/>
        <v/>
      </c>
      <c r="AO7" s="6" t="str">
        <f t="shared" si="5"/>
        <v/>
      </c>
      <c r="AP7" s="1" t="str">
        <f>+" WHERE "&amp;H7&amp;"='$"</f>
        <v xml:space="preserve"> WHERE user='$</v>
      </c>
      <c r="AQ7" s="1" t="s">
        <v>80</v>
      </c>
      <c r="AR7" s="1" t="s">
        <v>81</v>
      </c>
      <c r="AS7" s="6" t="str">
        <f t="shared" si="17"/>
        <v/>
      </c>
      <c r="AT7" s="6" t="str">
        <f t="shared" si="18"/>
        <v/>
      </c>
      <c r="AU7" s="6" t="str">
        <f t="shared" si="6"/>
        <v/>
      </c>
      <c r="AV7" s="1" t="s">
        <v>82</v>
      </c>
    </row>
    <row r="8" spans="1:49" s="1" customFormat="1">
      <c r="A8" s="7" t="str">
        <f>IF(fieldcreatorv2!B20="","",fieldcreatorv2!B20)</f>
        <v/>
      </c>
      <c r="B8" s="7" t="str">
        <f>IF(fieldcreatorv2!C20="","",fieldcreatorv2!C20)</f>
        <v/>
      </c>
      <c r="C8" s="7" t="str">
        <f>IF(fieldcreatorv2!G20="","",fieldcreatorv2!G20)</f>
        <v/>
      </c>
      <c r="D8" s="10"/>
      <c r="E8" s="11"/>
      <c r="F8" s="8"/>
      <c r="G8" s="5" t="s">
        <v>83</v>
      </c>
      <c r="H8" s="2" t="str">
        <f>+B4</f>
        <v>tipo_doc_id</v>
      </c>
      <c r="I8" s="1" t="s">
        <v>72</v>
      </c>
      <c r="J8" s="8" t="str">
        <f>+H8</f>
        <v>tipo_doc_id</v>
      </c>
      <c r="K8" s="1" t="str">
        <f>IF(J8="","",INDEX($AA$3:$AA$8,MATCH(J8,$B$3:$B$8,),1))</f>
        <v>tipo_doc_id</v>
      </c>
      <c r="L8" s="1" t="s">
        <v>84</v>
      </c>
      <c r="M8" s="7" t="str">
        <f t="shared" si="7"/>
        <v/>
      </c>
      <c r="N8" s="6" t="str">
        <f>+IF(M8="","",",")</f>
        <v/>
      </c>
      <c r="O8" s="1" t="s">
        <v>85</v>
      </c>
      <c r="P8" s="2"/>
      <c r="Q8" s="6" t="str">
        <f t="shared" si="0"/>
        <v/>
      </c>
      <c r="S8" s="1" t="str">
        <f>AC78&amp;AC79&amp;AC80&amp;AC81&amp;AC82&amp;AC83&amp;AC84&amp;AC85&amp;AC86&amp;AC87&amp;AC88&amp;AC89&amp;AC90&amp;AC91&amp;AC92</f>
        <v/>
      </c>
      <c r="T8" s="1" t="s">
        <v>65</v>
      </c>
      <c r="V8" s="1">
        <f t="shared" si="11"/>
        <v>0</v>
      </c>
      <c r="W8" s="1">
        <f t="shared" si="1"/>
        <v>0</v>
      </c>
      <c r="X8" s="6" t="str">
        <f t="shared" si="15"/>
        <v/>
      </c>
      <c r="Y8" s="6" t="str">
        <f>IF(E8="","",","&amp;"m")</f>
        <v/>
      </c>
      <c r="Z8" s="6"/>
      <c r="AA8" s="6" t="str">
        <f t="shared" si="12"/>
        <v/>
      </c>
      <c r="AB8" s="6" t="str">
        <f>+IF(C8="","",RIGHT(Y8,1))</f>
        <v/>
      </c>
      <c r="AC8" s="6" t="str">
        <f t="shared" si="16"/>
        <v/>
      </c>
      <c r="AD8" s="6" t="str">
        <f t="shared" si="8"/>
        <v/>
      </c>
      <c r="AE8" s="1" t="s">
        <v>86</v>
      </c>
      <c r="AG8" s="6" t="str">
        <f t="shared" si="9"/>
        <v/>
      </c>
      <c r="AH8" s="6" t="str">
        <f t="shared" si="13"/>
        <v/>
      </c>
      <c r="AI8" s="6" t="str">
        <f>+IF(E8="","",$AF$4&amp;$AF$6&amp;$AF$7&amp;AB8&amp;$AF$5&amp;AB8)</f>
        <v/>
      </c>
      <c r="AJ8" s="1" t="s">
        <v>87</v>
      </c>
      <c r="AK8" s="6" t="str">
        <f t="shared" si="14"/>
        <v/>
      </c>
      <c r="AL8" s="6" t="str">
        <f>+IF(E8="","",","&amp;$AJ$3&amp;E8&amp;$AJ$7)</f>
        <v/>
      </c>
      <c r="AN8" s="6" t="str">
        <f t="shared" si="10"/>
        <v/>
      </c>
      <c r="AO8" s="6" t="str">
        <f>+IF(AB8="","",$AM$2&amp;AB8&amp;$AM$3&amp;AB8&amp;$AM$4&amp;AB8&amp;$AM$5&amp;AB8&amp;$AM$6)</f>
        <v/>
      </c>
      <c r="AP8" s="1" t="str">
        <f>+IF(J8="","","' AND "&amp;J8&amp;"='$")</f>
        <v>' AND tipo_doc_id='$</v>
      </c>
      <c r="AQ8" s="1" t="s">
        <v>88</v>
      </c>
      <c r="AR8" s="1" t="s">
        <v>89</v>
      </c>
      <c r="AS8" s="6" t="str">
        <f t="shared" si="17"/>
        <v/>
      </c>
      <c r="AT8" s="6" t="str">
        <f t="shared" si="18"/>
        <v/>
      </c>
      <c r="AU8" s="6" t="str">
        <f>+IF(AB8="","",",'$"&amp;AB8&amp;"'")</f>
        <v/>
      </c>
      <c r="AV8" s="1" t="s">
        <v>90</v>
      </c>
    </row>
    <row r="9" spans="1:49">
      <c r="A9" s="7" t="str">
        <f>IF(fieldcreatorv2!B21="","",fieldcreatorv2!B21)</f>
        <v/>
      </c>
      <c r="B9" s="7" t="str">
        <f>IF(fieldcreatorv2!C21="","",fieldcreatorv2!C21)</f>
        <v/>
      </c>
      <c r="C9" s="7" t="str">
        <f>IF(fieldcreatorv2!G21="","",fieldcreatorv2!G21)</f>
        <v/>
      </c>
      <c r="D9" s="12"/>
      <c r="E9" s="12"/>
      <c r="F9" s="12"/>
      <c r="G9" s="12"/>
      <c r="H9" s="12"/>
      <c r="I9" s="12"/>
      <c r="J9" s="12"/>
      <c r="K9" s="12"/>
      <c r="L9" s="12"/>
      <c r="M9" s="7" t="str">
        <f t="shared" ref="M9:M54" si="19">IF(B9="","",B9)</f>
        <v/>
      </c>
      <c r="N9" s="6" t="str">
        <f t="shared" ref="N9:N72" si="20">+IF(M9="","",",")</f>
        <v/>
      </c>
      <c r="O9" s="12"/>
      <c r="P9" s="12"/>
      <c r="Q9" s="12"/>
      <c r="R9" s="12"/>
      <c r="S9" s="1" t="str">
        <f>AC93&amp;AC94&amp;AC95&amp;AC96&amp;AC97&amp;AC98&amp;AC99&amp;AC100&amp;AC101&amp;AC102</f>
        <v/>
      </c>
      <c r="V9" s="1">
        <f t="shared" si="11"/>
        <v>0</v>
      </c>
      <c r="W9" t="s">
        <v>141</v>
      </c>
      <c r="X9" s="6" t="str">
        <f t="shared" si="15"/>
        <v/>
      </c>
      <c r="Y9" t="s">
        <v>141</v>
      </c>
      <c r="Z9" t="s">
        <v>141</v>
      </c>
      <c r="AA9" s="6" t="str">
        <f t="shared" si="12"/>
        <v/>
      </c>
      <c r="AB9" t="s">
        <v>141</v>
      </c>
      <c r="AC9" s="6" t="str">
        <f t="shared" si="16"/>
        <v/>
      </c>
      <c r="AD9" t="s">
        <v>141</v>
      </c>
      <c r="AE9" t="s">
        <v>141</v>
      </c>
      <c r="AF9" t="s">
        <v>141</v>
      </c>
      <c r="AG9" s="6" t="str">
        <f t="shared" si="9"/>
        <v/>
      </c>
      <c r="AH9" s="6" t="str">
        <f t="shared" si="13"/>
        <v/>
      </c>
      <c r="AI9" t="s">
        <v>141</v>
      </c>
      <c r="AJ9" t="s">
        <v>141</v>
      </c>
      <c r="AK9" s="6" t="str">
        <f t="shared" si="14"/>
        <v/>
      </c>
      <c r="AL9" t="s">
        <v>141</v>
      </c>
      <c r="AM9" t="s">
        <v>141</v>
      </c>
      <c r="AN9" s="6" t="str">
        <f t="shared" si="10"/>
        <v/>
      </c>
      <c r="AO9" t="s">
        <v>141</v>
      </c>
      <c r="AP9" t="s">
        <v>141</v>
      </c>
      <c r="AQ9" t="s">
        <v>141</v>
      </c>
      <c r="AR9" t="s">
        <v>141</v>
      </c>
      <c r="AS9" s="6" t="str">
        <f t="shared" si="17"/>
        <v/>
      </c>
      <c r="AT9" s="6" t="str">
        <f t="shared" si="18"/>
        <v/>
      </c>
      <c r="AU9" t="s">
        <v>141</v>
      </c>
    </row>
    <row r="10" spans="1:49">
      <c r="A10" s="7" t="str">
        <f>IF(fieldcreatorv2!B22="","",fieldcreatorv2!B22)</f>
        <v/>
      </c>
      <c r="B10" s="7" t="str">
        <f>IF(fieldcreatorv2!C22="","",fieldcreatorv2!C22)</f>
        <v/>
      </c>
      <c r="C10" s="7" t="str">
        <f>IF(fieldcreatorv2!G22="","",fieldcreatorv2!G22)</f>
        <v/>
      </c>
      <c r="D10" s="12"/>
      <c r="E10" s="12"/>
      <c r="F10" s="12"/>
      <c r="G10" s="12"/>
      <c r="H10" s="12"/>
      <c r="I10" s="12"/>
      <c r="J10" s="12"/>
      <c r="K10" s="12"/>
      <c r="L10" s="12"/>
      <c r="M10" s="7" t="str">
        <f t="shared" si="19"/>
        <v/>
      </c>
      <c r="N10" s="6" t="str">
        <f t="shared" si="20"/>
        <v/>
      </c>
      <c r="O10" s="12"/>
      <c r="P10" s="12"/>
      <c r="Q10" s="12"/>
      <c r="R10" s="12"/>
      <c r="S10" s="12"/>
      <c r="V10" s="1">
        <f t="shared" si="11"/>
        <v>0</v>
      </c>
      <c r="W10" t="s">
        <v>141</v>
      </c>
      <c r="X10" s="6" t="str">
        <f t="shared" si="15"/>
        <v/>
      </c>
      <c r="Y10" t="s">
        <v>141</v>
      </c>
      <c r="Z10" t="s">
        <v>141</v>
      </c>
      <c r="AA10" s="6" t="str">
        <f t="shared" si="12"/>
        <v/>
      </c>
      <c r="AB10" t="s">
        <v>141</v>
      </c>
      <c r="AC10" s="6" t="str">
        <f t="shared" si="16"/>
        <v/>
      </c>
      <c r="AD10" t="s">
        <v>141</v>
      </c>
      <c r="AE10" t="s">
        <v>141</v>
      </c>
      <c r="AF10" t="s">
        <v>141</v>
      </c>
      <c r="AG10" s="6" t="str">
        <f t="shared" ref="AG10:AG73" si="21">+IF(AA10="","",$AF$6)</f>
        <v/>
      </c>
      <c r="AH10" s="6" t="str">
        <f t="shared" si="13"/>
        <v/>
      </c>
      <c r="AI10" t="s">
        <v>141</v>
      </c>
      <c r="AJ10" t="s">
        <v>141</v>
      </c>
      <c r="AK10" s="6" t="str">
        <f t="shared" si="14"/>
        <v/>
      </c>
      <c r="AL10" t="s">
        <v>141</v>
      </c>
      <c r="AM10" t="s">
        <v>141</v>
      </c>
      <c r="AN10" s="6" t="str">
        <f t="shared" ref="AN10:AN73" si="22">+IF(AA10="","",$AM$2&amp;AA10&amp;$AM$3&amp;AA10&amp;$AM$4&amp;AA10&amp;$AM$5&amp;AA10&amp;$AM$6)</f>
        <v/>
      </c>
      <c r="AO10" t="s">
        <v>141</v>
      </c>
      <c r="AP10" t="s">
        <v>141</v>
      </c>
      <c r="AQ10" t="s">
        <v>141</v>
      </c>
      <c r="AR10" t="s">
        <v>141</v>
      </c>
      <c r="AS10" s="6" t="str">
        <f t="shared" si="17"/>
        <v/>
      </c>
      <c r="AT10" s="6" t="str">
        <f t="shared" si="18"/>
        <v/>
      </c>
      <c r="AU10" t="s">
        <v>141</v>
      </c>
    </row>
    <row r="11" spans="1:49">
      <c r="A11" s="7" t="str">
        <f>IF(fieldcreatorv2!B23="","",fieldcreatorv2!B23)</f>
        <v/>
      </c>
      <c r="B11" s="7" t="str">
        <f>IF(fieldcreatorv2!C23="","",fieldcreatorv2!C23)</f>
        <v/>
      </c>
      <c r="C11" s="7" t="str">
        <f>IF(fieldcreatorv2!G23="","",fieldcreatorv2!G23)</f>
        <v/>
      </c>
      <c r="D11" s="12"/>
      <c r="E11" s="12"/>
      <c r="F11" s="12"/>
      <c r="G11" s="12"/>
      <c r="H11" s="12"/>
      <c r="I11" s="12"/>
      <c r="J11" s="12"/>
      <c r="K11" s="12"/>
      <c r="L11" s="12"/>
      <c r="M11" s="7" t="str">
        <f t="shared" si="19"/>
        <v/>
      </c>
      <c r="N11" s="6" t="str">
        <f t="shared" si="20"/>
        <v/>
      </c>
      <c r="O11" s="12"/>
      <c r="P11" s="12"/>
      <c r="Q11" s="12"/>
      <c r="R11" s="12"/>
      <c r="S11" s="12"/>
      <c r="V11" s="1">
        <f t="shared" si="11"/>
        <v>0</v>
      </c>
      <c r="W11" t="s">
        <v>141</v>
      </c>
      <c r="X11" s="6" t="str">
        <f t="shared" si="15"/>
        <v/>
      </c>
      <c r="Y11" t="s">
        <v>141</v>
      </c>
      <c r="Z11" t="s">
        <v>141</v>
      </c>
      <c r="AA11" s="6" t="str">
        <f t="shared" si="12"/>
        <v/>
      </c>
      <c r="AB11" t="s">
        <v>141</v>
      </c>
      <c r="AC11" s="6" t="str">
        <f t="shared" si="16"/>
        <v/>
      </c>
      <c r="AD11" t="s">
        <v>141</v>
      </c>
      <c r="AE11" t="s">
        <v>141</v>
      </c>
      <c r="AF11" t="s">
        <v>141</v>
      </c>
      <c r="AG11" s="6" t="str">
        <f t="shared" si="21"/>
        <v/>
      </c>
      <c r="AH11" s="6" t="str">
        <f t="shared" si="13"/>
        <v/>
      </c>
      <c r="AI11" t="s">
        <v>141</v>
      </c>
      <c r="AJ11" t="s">
        <v>141</v>
      </c>
      <c r="AK11" s="6" t="str">
        <f t="shared" si="14"/>
        <v/>
      </c>
      <c r="AL11" t="s">
        <v>141</v>
      </c>
      <c r="AM11" t="s">
        <v>141</v>
      </c>
      <c r="AN11" s="6" t="str">
        <f t="shared" si="22"/>
        <v/>
      </c>
      <c r="AO11" t="s">
        <v>141</v>
      </c>
      <c r="AP11" t="s">
        <v>141</v>
      </c>
      <c r="AQ11" t="s">
        <v>141</v>
      </c>
      <c r="AR11" t="s">
        <v>141</v>
      </c>
      <c r="AS11" s="6" t="str">
        <f t="shared" si="17"/>
        <v/>
      </c>
      <c r="AT11" s="6" t="str">
        <f t="shared" si="18"/>
        <v/>
      </c>
      <c r="AU11" t="s">
        <v>141</v>
      </c>
    </row>
    <row r="12" spans="1:49">
      <c r="A12" s="7" t="str">
        <f>IF(fieldcreatorv2!B24="","",fieldcreatorv2!B24)</f>
        <v/>
      </c>
      <c r="B12" s="7" t="str">
        <f>IF(fieldcreatorv2!C24="","",fieldcreatorv2!C24)</f>
        <v/>
      </c>
      <c r="C12" s="7" t="str">
        <f>IF(fieldcreatorv2!G24="","",fieldcreatorv2!G24)</f>
        <v/>
      </c>
      <c r="D12" s="12"/>
      <c r="E12" s="12"/>
      <c r="F12" s="12"/>
      <c r="G12" s="12"/>
      <c r="H12" s="12"/>
      <c r="I12" s="12"/>
      <c r="J12" s="12"/>
      <c r="K12" s="12"/>
      <c r="L12" s="12"/>
      <c r="M12" s="7" t="str">
        <f t="shared" si="19"/>
        <v/>
      </c>
      <c r="N12" s="6" t="str">
        <f t="shared" si="20"/>
        <v/>
      </c>
      <c r="O12" s="12"/>
      <c r="P12" s="12"/>
      <c r="Q12" s="12"/>
      <c r="R12" s="12"/>
      <c r="S12" s="12"/>
      <c r="V12" s="1">
        <f t="shared" si="11"/>
        <v>0</v>
      </c>
      <c r="W12" t="s">
        <v>141</v>
      </c>
      <c r="X12" s="6" t="str">
        <f t="shared" si="15"/>
        <v/>
      </c>
      <c r="Y12" t="s">
        <v>141</v>
      </c>
      <c r="Z12" t="s">
        <v>141</v>
      </c>
      <c r="AA12" s="6" t="str">
        <f t="shared" si="12"/>
        <v/>
      </c>
      <c r="AB12" t="s">
        <v>141</v>
      </c>
      <c r="AC12" s="6" t="str">
        <f t="shared" si="16"/>
        <v/>
      </c>
      <c r="AD12" t="s">
        <v>141</v>
      </c>
      <c r="AE12" t="s">
        <v>141</v>
      </c>
      <c r="AF12" t="s">
        <v>141</v>
      </c>
      <c r="AG12" s="6" t="str">
        <f t="shared" si="21"/>
        <v/>
      </c>
      <c r="AH12" s="6" t="str">
        <f t="shared" si="13"/>
        <v/>
      </c>
      <c r="AI12" t="s">
        <v>141</v>
      </c>
      <c r="AJ12" t="s">
        <v>141</v>
      </c>
      <c r="AK12" s="6" t="str">
        <f t="shared" si="14"/>
        <v/>
      </c>
      <c r="AL12" t="s">
        <v>141</v>
      </c>
      <c r="AM12" t="s">
        <v>141</v>
      </c>
      <c r="AN12" s="6" t="str">
        <f t="shared" si="22"/>
        <v/>
      </c>
      <c r="AO12" t="s">
        <v>141</v>
      </c>
      <c r="AP12" t="s">
        <v>141</v>
      </c>
      <c r="AQ12" t="s">
        <v>141</v>
      </c>
      <c r="AR12" t="s">
        <v>141</v>
      </c>
      <c r="AS12" s="6" t="str">
        <f t="shared" si="17"/>
        <v/>
      </c>
      <c r="AT12" s="6" t="str">
        <f t="shared" si="18"/>
        <v/>
      </c>
      <c r="AU12" t="s">
        <v>141</v>
      </c>
    </row>
    <row r="13" spans="1:49">
      <c r="A13" s="7" t="str">
        <f>IF(fieldcreatorv2!B25="","",fieldcreatorv2!B25)</f>
        <v/>
      </c>
      <c r="B13" s="7" t="str">
        <f>IF(fieldcreatorv2!C25="","",fieldcreatorv2!C25)</f>
        <v/>
      </c>
      <c r="C13" s="7" t="str">
        <f>IF(fieldcreatorv2!G25="","",fieldcreatorv2!G25)</f>
        <v/>
      </c>
      <c r="D13" s="12"/>
      <c r="E13" s="12"/>
      <c r="F13" s="12"/>
      <c r="G13" s="12"/>
      <c r="H13" s="12"/>
      <c r="I13" s="12"/>
      <c r="J13" s="12"/>
      <c r="K13" s="12"/>
      <c r="L13" s="12"/>
      <c r="M13" s="7" t="str">
        <f t="shared" si="19"/>
        <v/>
      </c>
      <c r="N13" s="6" t="str">
        <f t="shared" si="20"/>
        <v/>
      </c>
      <c r="O13" s="12"/>
      <c r="P13" s="12"/>
      <c r="Q13" s="12"/>
      <c r="R13" s="12"/>
      <c r="S13" s="12"/>
      <c r="V13" s="1">
        <f t="shared" si="11"/>
        <v>0</v>
      </c>
      <c r="W13" t="s">
        <v>141</v>
      </c>
      <c r="X13" s="6" t="str">
        <f t="shared" si="15"/>
        <v/>
      </c>
      <c r="Y13" t="s">
        <v>141</v>
      </c>
      <c r="Z13" t="s">
        <v>141</v>
      </c>
      <c r="AA13" s="6" t="str">
        <f t="shared" si="12"/>
        <v/>
      </c>
      <c r="AB13" t="s">
        <v>141</v>
      </c>
      <c r="AC13" s="6" t="str">
        <f t="shared" si="16"/>
        <v/>
      </c>
      <c r="AD13" t="s">
        <v>141</v>
      </c>
      <c r="AE13" t="s">
        <v>141</v>
      </c>
      <c r="AF13" t="s">
        <v>141</v>
      </c>
      <c r="AG13" s="6" t="str">
        <f t="shared" si="21"/>
        <v/>
      </c>
      <c r="AH13" s="6" t="str">
        <f t="shared" si="13"/>
        <v/>
      </c>
      <c r="AI13" t="s">
        <v>141</v>
      </c>
      <c r="AJ13" t="s">
        <v>141</v>
      </c>
      <c r="AK13" s="6" t="str">
        <f t="shared" si="14"/>
        <v/>
      </c>
      <c r="AL13" t="s">
        <v>141</v>
      </c>
      <c r="AM13" t="s">
        <v>141</v>
      </c>
      <c r="AN13" s="6" t="str">
        <f t="shared" si="22"/>
        <v/>
      </c>
      <c r="AO13" t="s">
        <v>141</v>
      </c>
      <c r="AP13" t="s">
        <v>141</v>
      </c>
      <c r="AQ13" t="s">
        <v>141</v>
      </c>
      <c r="AR13" t="s">
        <v>141</v>
      </c>
      <c r="AS13" s="6" t="str">
        <f t="shared" si="17"/>
        <v/>
      </c>
      <c r="AT13" s="6" t="str">
        <f t="shared" si="18"/>
        <v/>
      </c>
      <c r="AU13" t="s">
        <v>141</v>
      </c>
    </row>
    <row r="14" spans="1:49">
      <c r="A14" s="7" t="str">
        <f>IF(fieldcreatorv2!B26="","",fieldcreatorv2!B26)</f>
        <v/>
      </c>
      <c r="B14" s="7" t="str">
        <f>IF(fieldcreatorv2!C26="","",fieldcreatorv2!C26)</f>
        <v/>
      </c>
      <c r="C14" s="7" t="str">
        <f>IF(fieldcreatorv2!G26="","",fieldcreatorv2!G26)</f>
        <v/>
      </c>
      <c r="D14" s="12"/>
      <c r="E14" s="12"/>
      <c r="F14" s="12"/>
      <c r="G14" s="12"/>
      <c r="H14" s="12"/>
      <c r="I14" s="12"/>
      <c r="J14" s="12"/>
      <c r="K14" s="12"/>
      <c r="L14" s="12"/>
      <c r="M14" s="7" t="str">
        <f t="shared" si="19"/>
        <v/>
      </c>
      <c r="N14" s="6" t="str">
        <f t="shared" si="20"/>
        <v/>
      </c>
      <c r="O14" s="12"/>
      <c r="P14" s="12"/>
      <c r="Q14" s="12"/>
      <c r="R14" s="12"/>
      <c r="S14" s="12"/>
      <c r="V14" s="1">
        <f t="shared" si="11"/>
        <v>0</v>
      </c>
      <c r="W14" t="s">
        <v>141</v>
      </c>
      <c r="X14" s="6" t="str">
        <f t="shared" si="15"/>
        <v/>
      </c>
      <c r="Y14" t="s">
        <v>141</v>
      </c>
      <c r="Z14" t="s">
        <v>141</v>
      </c>
      <c r="AA14" s="6" t="str">
        <f t="shared" si="12"/>
        <v/>
      </c>
      <c r="AB14" t="s">
        <v>141</v>
      </c>
      <c r="AC14" s="6" t="str">
        <f t="shared" si="16"/>
        <v/>
      </c>
      <c r="AD14" t="s">
        <v>141</v>
      </c>
      <c r="AE14" t="s">
        <v>141</v>
      </c>
      <c r="AF14" t="s">
        <v>141</v>
      </c>
      <c r="AG14" s="6" t="str">
        <f t="shared" si="21"/>
        <v/>
      </c>
      <c r="AH14" s="6" t="str">
        <f t="shared" si="13"/>
        <v/>
      </c>
      <c r="AI14" t="s">
        <v>141</v>
      </c>
      <c r="AJ14" t="s">
        <v>141</v>
      </c>
      <c r="AK14" s="6" t="str">
        <f t="shared" si="14"/>
        <v/>
      </c>
      <c r="AL14" t="s">
        <v>141</v>
      </c>
      <c r="AM14" t="s">
        <v>141</v>
      </c>
      <c r="AN14" s="6" t="str">
        <f t="shared" si="22"/>
        <v/>
      </c>
      <c r="AO14" t="s">
        <v>141</v>
      </c>
      <c r="AP14" t="s">
        <v>141</v>
      </c>
      <c r="AQ14" t="s">
        <v>141</v>
      </c>
      <c r="AR14" t="s">
        <v>141</v>
      </c>
      <c r="AS14" s="6" t="str">
        <f t="shared" si="17"/>
        <v/>
      </c>
      <c r="AT14" s="6" t="str">
        <f t="shared" si="18"/>
        <v/>
      </c>
      <c r="AU14" t="s">
        <v>141</v>
      </c>
    </row>
    <row r="15" spans="1:49">
      <c r="A15" s="7" t="str">
        <f>IF(fieldcreatorv2!B27="","",fieldcreatorv2!B27)</f>
        <v/>
      </c>
      <c r="B15" s="7" t="str">
        <f>IF(fieldcreatorv2!C27="","",fieldcreatorv2!C27)</f>
        <v/>
      </c>
      <c r="C15" s="7" t="str">
        <f>IF(fieldcreatorv2!G27="","",fieldcreatorv2!G27)</f>
        <v/>
      </c>
      <c r="D15" s="12"/>
      <c r="E15" s="12"/>
      <c r="F15" s="12"/>
      <c r="G15" s="12"/>
      <c r="H15" s="12"/>
      <c r="I15" s="12"/>
      <c r="J15" s="12"/>
      <c r="K15" s="12"/>
      <c r="L15" s="12"/>
      <c r="M15" s="7" t="str">
        <f t="shared" si="19"/>
        <v/>
      </c>
      <c r="N15" s="6" t="str">
        <f t="shared" si="20"/>
        <v/>
      </c>
      <c r="O15" s="12"/>
      <c r="P15" s="12"/>
      <c r="Q15" s="12"/>
      <c r="R15" s="12"/>
      <c r="S15" s="12"/>
      <c r="V15" s="1">
        <f t="shared" si="11"/>
        <v>0</v>
      </c>
      <c r="W15" t="s">
        <v>141</v>
      </c>
      <c r="X15" s="6" t="str">
        <f t="shared" si="15"/>
        <v/>
      </c>
      <c r="Y15" t="s">
        <v>141</v>
      </c>
      <c r="Z15" t="s">
        <v>141</v>
      </c>
      <c r="AA15" s="6" t="str">
        <f t="shared" si="12"/>
        <v/>
      </c>
      <c r="AB15" t="s">
        <v>141</v>
      </c>
      <c r="AC15" s="6" t="str">
        <f t="shared" si="16"/>
        <v/>
      </c>
      <c r="AD15" t="s">
        <v>141</v>
      </c>
      <c r="AE15" t="s">
        <v>141</v>
      </c>
      <c r="AF15" t="s">
        <v>141</v>
      </c>
      <c r="AG15" s="6" t="str">
        <f t="shared" si="21"/>
        <v/>
      </c>
      <c r="AH15" s="6" t="str">
        <f t="shared" si="13"/>
        <v/>
      </c>
      <c r="AI15" t="s">
        <v>141</v>
      </c>
      <c r="AJ15" t="s">
        <v>141</v>
      </c>
      <c r="AK15" s="6" t="str">
        <f t="shared" si="14"/>
        <v/>
      </c>
      <c r="AL15" t="s">
        <v>141</v>
      </c>
      <c r="AM15" t="s">
        <v>141</v>
      </c>
      <c r="AN15" s="6" t="str">
        <f t="shared" si="22"/>
        <v/>
      </c>
      <c r="AO15" t="s">
        <v>141</v>
      </c>
      <c r="AP15" t="s">
        <v>141</v>
      </c>
      <c r="AQ15" t="s">
        <v>141</v>
      </c>
      <c r="AR15" t="s">
        <v>141</v>
      </c>
      <c r="AS15" s="6" t="str">
        <f t="shared" si="17"/>
        <v/>
      </c>
      <c r="AT15" s="6" t="str">
        <f t="shared" si="18"/>
        <v/>
      </c>
      <c r="AU15" t="s">
        <v>141</v>
      </c>
    </row>
    <row r="16" spans="1:49">
      <c r="A16" s="7" t="str">
        <f>IF(fieldcreatorv2!B28="","",fieldcreatorv2!B28)</f>
        <v/>
      </c>
      <c r="B16" s="7" t="str">
        <f>IF(fieldcreatorv2!C28="","",fieldcreatorv2!C28)</f>
        <v/>
      </c>
      <c r="C16" s="7" t="str">
        <f>IF(fieldcreatorv2!G28="","",fieldcreatorv2!G28)</f>
        <v/>
      </c>
      <c r="D16" s="12"/>
      <c r="E16" s="12"/>
      <c r="F16" s="12"/>
      <c r="G16" s="12"/>
      <c r="H16" s="12"/>
      <c r="I16" s="12"/>
      <c r="J16" s="12"/>
      <c r="K16" s="12"/>
      <c r="L16" s="12"/>
      <c r="M16" s="7" t="str">
        <f t="shared" si="19"/>
        <v/>
      </c>
      <c r="N16" s="6" t="str">
        <f t="shared" si="20"/>
        <v/>
      </c>
      <c r="O16" s="12"/>
      <c r="P16" s="12"/>
      <c r="Q16" s="12"/>
      <c r="R16" s="12"/>
      <c r="S16" s="12"/>
      <c r="V16" s="1">
        <f t="shared" si="11"/>
        <v>0</v>
      </c>
      <c r="W16" t="s">
        <v>141</v>
      </c>
      <c r="X16" s="6" t="str">
        <f t="shared" si="15"/>
        <v/>
      </c>
      <c r="Y16" t="s">
        <v>141</v>
      </c>
      <c r="Z16" t="s">
        <v>141</v>
      </c>
      <c r="AA16" s="6" t="str">
        <f t="shared" si="12"/>
        <v/>
      </c>
      <c r="AB16" t="s">
        <v>141</v>
      </c>
      <c r="AC16" s="6" t="str">
        <f t="shared" si="16"/>
        <v/>
      </c>
      <c r="AD16" t="s">
        <v>141</v>
      </c>
      <c r="AE16" t="s">
        <v>141</v>
      </c>
      <c r="AF16" t="s">
        <v>141</v>
      </c>
      <c r="AG16" s="6" t="str">
        <f t="shared" si="21"/>
        <v/>
      </c>
      <c r="AH16" s="6" t="str">
        <f t="shared" si="13"/>
        <v/>
      </c>
      <c r="AI16" t="s">
        <v>141</v>
      </c>
      <c r="AJ16" t="s">
        <v>141</v>
      </c>
      <c r="AK16" s="6" t="str">
        <f t="shared" si="14"/>
        <v/>
      </c>
      <c r="AL16" t="s">
        <v>141</v>
      </c>
      <c r="AM16" t="s">
        <v>141</v>
      </c>
      <c r="AN16" s="6" t="str">
        <f t="shared" si="22"/>
        <v/>
      </c>
      <c r="AO16" t="s">
        <v>141</v>
      </c>
      <c r="AP16" t="s">
        <v>141</v>
      </c>
      <c r="AQ16" t="s">
        <v>141</v>
      </c>
      <c r="AR16" t="s">
        <v>141</v>
      </c>
      <c r="AS16" s="6" t="str">
        <f t="shared" si="17"/>
        <v/>
      </c>
      <c r="AT16" s="6" t="str">
        <f t="shared" si="18"/>
        <v/>
      </c>
      <c r="AU16" t="s">
        <v>141</v>
      </c>
    </row>
    <row r="17" spans="1:47">
      <c r="A17" s="7" t="str">
        <f>IF(fieldcreatorv2!B29="","",fieldcreatorv2!B29)</f>
        <v/>
      </c>
      <c r="B17" s="7" t="str">
        <f>IF(fieldcreatorv2!C29="","",fieldcreatorv2!C29)</f>
        <v/>
      </c>
      <c r="C17" s="7" t="str">
        <f>IF(fieldcreatorv2!G29="","",fieldcreatorv2!G29)</f>
        <v/>
      </c>
      <c r="D17" s="12"/>
      <c r="E17" s="12"/>
      <c r="F17" s="12"/>
      <c r="G17" s="12"/>
      <c r="H17" s="12"/>
      <c r="I17" s="12"/>
      <c r="J17" s="12"/>
      <c r="K17" s="12"/>
      <c r="L17" s="12"/>
      <c r="M17" s="7" t="str">
        <f t="shared" si="19"/>
        <v/>
      </c>
      <c r="N17" s="6" t="str">
        <f t="shared" si="20"/>
        <v/>
      </c>
      <c r="O17" s="12"/>
      <c r="P17" s="12"/>
      <c r="Q17" s="12"/>
      <c r="R17" s="12"/>
      <c r="S17" s="12"/>
      <c r="V17" s="1">
        <f t="shared" si="11"/>
        <v>0</v>
      </c>
      <c r="W17" t="s">
        <v>141</v>
      </c>
      <c r="X17" s="6" t="str">
        <f t="shared" si="15"/>
        <v/>
      </c>
      <c r="Y17" t="s">
        <v>141</v>
      </c>
      <c r="Z17" t="s">
        <v>141</v>
      </c>
      <c r="AA17" s="6" t="str">
        <f t="shared" si="12"/>
        <v/>
      </c>
      <c r="AB17" t="s">
        <v>141</v>
      </c>
      <c r="AC17" s="6" t="str">
        <f t="shared" si="16"/>
        <v/>
      </c>
      <c r="AD17" t="s">
        <v>141</v>
      </c>
      <c r="AE17" t="s">
        <v>141</v>
      </c>
      <c r="AF17" t="s">
        <v>141</v>
      </c>
      <c r="AG17" s="6" t="str">
        <f t="shared" si="21"/>
        <v/>
      </c>
      <c r="AH17" s="6" t="str">
        <f t="shared" si="13"/>
        <v/>
      </c>
      <c r="AI17" t="s">
        <v>141</v>
      </c>
      <c r="AJ17" t="s">
        <v>141</v>
      </c>
      <c r="AK17" s="6" t="str">
        <f t="shared" si="14"/>
        <v/>
      </c>
      <c r="AL17" t="s">
        <v>141</v>
      </c>
      <c r="AM17" t="s">
        <v>141</v>
      </c>
      <c r="AN17" s="6" t="str">
        <f t="shared" si="22"/>
        <v/>
      </c>
      <c r="AO17" t="s">
        <v>141</v>
      </c>
      <c r="AP17" t="s">
        <v>141</v>
      </c>
      <c r="AQ17" t="s">
        <v>141</v>
      </c>
      <c r="AR17" t="s">
        <v>141</v>
      </c>
      <c r="AS17" s="6" t="str">
        <f t="shared" si="17"/>
        <v/>
      </c>
      <c r="AT17" s="6" t="str">
        <f t="shared" si="18"/>
        <v/>
      </c>
      <c r="AU17" t="s">
        <v>141</v>
      </c>
    </row>
    <row r="18" spans="1:47">
      <c r="A18" s="7" t="str">
        <f>IF(fieldcreatorv2!B30="","",fieldcreatorv2!B30)</f>
        <v/>
      </c>
      <c r="B18" s="7" t="str">
        <f>IF(fieldcreatorv2!C30="","",fieldcreatorv2!C30)</f>
        <v/>
      </c>
      <c r="C18" s="7" t="str">
        <f>IF(fieldcreatorv2!G30="","",fieldcreatorv2!G30)</f>
        <v/>
      </c>
      <c r="D18" s="12"/>
      <c r="E18" s="12"/>
      <c r="F18" s="12"/>
      <c r="G18" s="12"/>
      <c r="H18" s="12"/>
      <c r="I18" s="12"/>
      <c r="J18" s="12"/>
      <c r="K18" s="12"/>
      <c r="L18" s="12"/>
      <c r="M18" s="7" t="str">
        <f t="shared" si="19"/>
        <v/>
      </c>
      <c r="N18" s="6" t="str">
        <f t="shared" si="20"/>
        <v/>
      </c>
      <c r="O18" s="12"/>
      <c r="P18" s="12"/>
      <c r="Q18" s="12"/>
      <c r="R18" s="12"/>
      <c r="S18" s="12"/>
      <c r="V18" s="1">
        <f t="shared" si="11"/>
        <v>0</v>
      </c>
      <c r="W18" t="s">
        <v>141</v>
      </c>
      <c r="X18" s="6" t="str">
        <f t="shared" si="15"/>
        <v/>
      </c>
      <c r="Y18" t="s">
        <v>141</v>
      </c>
      <c r="Z18" t="s">
        <v>141</v>
      </c>
      <c r="AA18" s="6" t="str">
        <f t="shared" si="12"/>
        <v/>
      </c>
      <c r="AB18" t="s">
        <v>141</v>
      </c>
      <c r="AC18" s="6" t="str">
        <f t="shared" si="16"/>
        <v/>
      </c>
      <c r="AD18" t="s">
        <v>141</v>
      </c>
      <c r="AE18" t="s">
        <v>141</v>
      </c>
      <c r="AF18" t="s">
        <v>141</v>
      </c>
      <c r="AG18" s="6" t="str">
        <f t="shared" si="21"/>
        <v/>
      </c>
      <c r="AH18" s="6" t="str">
        <f t="shared" si="13"/>
        <v/>
      </c>
      <c r="AI18" t="s">
        <v>141</v>
      </c>
      <c r="AJ18" t="s">
        <v>141</v>
      </c>
      <c r="AK18" s="6" t="str">
        <f t="shared" si="14"/>
        <v/>
      </c>
      <c r="AL18" t="s">
        <v>141</v>
      </c>
      <c r="AM18" t="s">
        <v>141</v>
      </c>
      <c r="AN18" s="6" t="str">
        <f t="shared" si="22"/>
        <v/>
      </c>
      <c r="AO18" t="s">
        <v>141</v>
      </c>
      <c r="AP18" t="s">
        <v>141</v>
      </c>
      <c r="AQ18" t="s">
        <v>141</v>
      </c>
      <c r="AR18" t="s">
        <v>141</v>
      </c>
      <c r="AS18" s="6" t="str">
        <f t="shared" si="17"/>
        <v/>
      </c>
      <c r="AT18" s="6" t="str">
        <f t="shared" si="18"/>
        <v/>
      </c>
      <c r="AU18" t="s">
        <v>141</v>
      </c>
    </row>
    <row r="19" spans="1:47">
      <c r="A19" s="7" t="str">
        <f>IF(fieldcreatorv2!B31="","",fieldcreatorv2!B31)</f>
        <v/>
      </c>
      <c r="B19" s="7" t="str">
        <f>IF(fieldcreatorv2!C31="","",fieldcreatorv2!C31)</f>
        <v/>
      </c>
      <c r="C19" s="7" t="str">
        <f>IF(fieldcreatorv2!G31="","",fieldcreatorv2!G31)</f>
        <v/>
      </c>
      <c r="D19" s="12"/>
      <c r="E19" s="12"/>
      <c r="F19" s="12"/>
      <c r="G19" s="12"/>
      <c r="H19" s="12"/>
      <c r="I19" s="12"/>
      <c r="J19" s="12"/>
      <c r="K19" s="12"/>
      <c r="L19" s="12"/>
      <c r="M19" s="7" t="str">
        <f t="shared" si="19"/>
        <v/>
      </c>
      <c r="N19" s="6" t="str">
        <f t="shared" si="20"/>
        <v/>
      </c>
      <c r="O19" s="12"/>
      <c r="P19" s="12"/>
      <c r="Q19" s="12"/>
      <c r="R19" s="12"/>
      <c r="S19" s="12"/>
      <c r="V19" s="1">
        <f t="shared" si="11"/>
        <v>0</v>
      </c>
      <c r="W19" t="s">
        <v>141</v>
      </c>
      <c r="X19" s="6" t="str">
        <f t="shared" si="15"/>
        <v/>
      </c>
      <c r="Y19" t="s">
        <v>141</v>
      </c>
      <c r="Z19" t="s">
        <v>141</v>
      </c>
      <c r="AA19" s="6" t="str">
        <f t="shared" si="12"/>
        <v/>
      </c>
      <c r="AB19" t="s">
        <v>141</v>
      </c>
      <c r="AC19" s="6" t="str">
        <f t="shared" si="16"/>
        <v/>
      </c>
      <c r="AD19" t="s">
        <v>141</v>
      </c>
      <c r="AE19" t="s">
        <v>141</v>
      </c>
      <c r="AF19" t="s">
        <v>141</v>
      </c>
      <c r="AG19" s="6" t="str">
        <f t="shared" si="21"/>
        <v/>
      </c>
      <c r="AH19" s="6" t="str">
        <f t="shared" si="13"/>
        <v/>
      </c>
      <c r="AI19" t="s">
        <v>141</v>
      </c>
      <c r="AJ19" t="s">
        <v>141</v>
      </c>
      <c r="AK19" s="6" t="str">
        <f t="shared" si="14"/>
        <v/>
      </c>
      <c r="AL19" t="s">
        <v>141</v>
      </c>
      <c r="AM19" t="s">
        <v>141</v>
      </c>
      <c r="AN19" s="6" t="str">
        <f t="shared" si="22"/>
        <v/>
      </c>
      <c r="AO19" t="s">
        <v>141</v>
      </c>
      <c r="AP19" t="s">
        <v>141</v>
      </c>
      <c r="AQ19" t="s">
        <v>141</v>
      </c>
      <c r="AR19" t="s">
        <v>141</v>
      </c>
      <c r="AS19" s="6" t="str">
        <f t="shared" si="17"/>
        <v/>
      </c>
      <c r="AT19" s="6" t="str">
        <f t="shared" si="18"/>
        <v/>
      </c>
      <c r="AU19" t="s">
        <v>141</v>
      </c>
    </row>
    <row r="20" spans="1:47">
      <c r="A20" s="7" t="str">
        <f>IF(fieldcreatorv2!B32="","",fieldcreatorv2!B32)</f>
        <v/>
      </c>
      <c r="B20" s="7" t="str">
        <f>IF(fieldcreatorv2!C32="","",fieldcreatorv2!C32)</f>
        <v/>
      </c>
      <c r="C20" s="7" t="str">
        <f>IF(fieldcreatorv2!G32="","",fieldcreatorv2!G32)</f>
        <v/>
      </c>
      <c r="D20" s="12"/>
      <c r="E20" s="12"/>
      <c r="F20" s="12"/>
      <c r="G20" s="12"/>
      <c r="H20" s="12"/>
      <c r="I20" s="12"/>
      <c r="J20" s="12"/>
      <c r="K20" s="12"/>
      <c r="L20" s="12"/>
      <c r="M20" s="7" t="str">
        <f t="shared" si="19"/>
        <v/>
      </c>
      <c r="N20" s="6" t="str">
        <f t="shared" si="20"/>
        <v/>
      </c>
      <c r="O20" s="12"/>
      <c r="P20" s="12"/>
      <c r="Q20" s="12"/>
      <c r="R20" s="12"/>
      <c r="S20" s="12"/>
      <c r="V20" s="1">
        <f t="shared" si="11"/>
        <v>0</v>
      </c>
      <c r="W20" t="s">
        <v>141</v>
      </c>
      <c r="X20" s="6" t="str">
        <f t="shared" si="15"/>
        <v/>
      </c>
      <c r="Y20" t="s">
        <v>141</v>
      </c>
      <c r="Z20" t="s">
        <v>141</v>
      </c>
      <c r="AA20" s="6" t="str">
        <f t="shared" si="12"/>
        <v/>
      </c>
      <c r="AB20" t="s">
        <v>141</v>
      </c>
      <c r="AC20" s="6" t="str">
        <f t="shared" si="16"/>
        <v/>
      </c>
      <c r="AD20" t="s">
        <v>141</v>
      </c>
      <c r="AE20" t="s">
        <v>141</v>
      </c>
      <c r="AF20" t="s">
        <v>141</v>
      </c>
      <c r="AG20" s="6" t="str">
        <f t="shared" si="21"/>
        <v/>
      </c>
      <c r="AH20" s="6" t="str">
        <f t="shared" si="13"/>
        <v/>
      </c>
      <c r="AI20" t="s">
        <v>141</v>
      </c>
      <c r="AJ20" t="s">
        <v>141</v>
      </c>
      <c r="AK20" s="6" t="str">
        <f t="shared" si="14"/>
        <v/>
      </c>
      <c r="AL20" t="s">
        <v>141</v>
      </c>
      <c r="AM20" t="s">
        <v>141</v>
      </c>
      <c r="AN20" s="6" t="str">
        <f t="shared" si="22"/>
        <v/>
      </c>
      <c r="AO20" t="s">
        <v>141</v>
      </c>
      <c r="AP20" t="s">
        <v>141</v>
      </c>
      <c r="AQ20" t="s">
        <v>141</v>
      </c>
      <c r="AR20" t="s">
        <v>141</v>
      </c>
      <c r="AS20" s="6" t="str">
        <f t="shared" si="17"/>
        <v/>
      </c>
      <c r="AT20" s="6" t="str">
        <f t="shared" si="18"/>
        <v/>
      </c>
      <c r="AU20" t="s">
        <v>141</v>
      </c>
    </row>
    <row r="21" spans="1:47">
      <c r="A21" s="7" t="str">
        <f>IF(fieldcreatorv2!B33="","",fieldcreatorv2!B33)</f>
        <v/>
      </c>
      <c r="B21" s="7" t="str">
        <f>IF(fieldcreatorv2!C33="","",fieldcreatorv2!C33)</f>
        <v/>
      </c>
      <c r="C21" s="7" t="str">
        <f>IF(fieldcreatorv2!G33="","",fieldcreatorv2!G33)</f>
        <v/>
      </c>
      <c r="D21" s="12"/>
      <c r="E21" s="12"/>
      <c r="F21" s="12"/>
      <c r="G21" s="12"/>
      <c r="H21" s="12"/>
      <c r="I21" s="12"/>
      <c r="J21" s="12"/>
      <c r="K21" s="12"/>
      <c r="L21" s="12"/>
      <c r="M21" s="7" t="str">
        <f t="shared" si="19"/>
        <v/>
      </c>
      <c r="N21" s="6" t="str">
        <f t="shared" si="20"/>
        <v/>
      </c>
      <c r="O21" s="12"/>
      <c r="P21" s="12"/>
      <c r="Q21" s="12"/>
      <c r="R21" s="12"/>
      <c r="S21" s="12"/>
      <c r="V21" s="1">
        <f t="shared" si="11"/>
        <v>0</v>
      </c>
      <c r="W21" t="s">
        <v>141</v>
      </c>
      <c r="X21" s="6" t="str">
        <f t="shared" si="15"/>
        <v/>
      </c>
      <c r="Y21" t="s">
        <v>141</v>
      </c>
      <c r="Z21" t="s">
        <v>141</v>
      </c>
      <c r="AA21" s="6" t="str">
        <f t="shared" si="12"/>
        <v/>
      </c>
      <c r="AB21" t="s">
        <v>141</v>
      </c>
      <c r="AC21" s="6" t="str">
        <f t="shared" si="16"/>
        <v/>
      </c>
      <c r="AD21" t="s">
        <v>141</v>
      </c>
      <c r="AE21" t="s">
        <v>141</v>
      </c>
      <c r="AF21" t="s">
        <v>141</v>
      </c>
      <c r="AG21" s="6" t="str">
        <f t="shared" si="21"/>
        <v/>
      </c>
      <c r="AH21" s="6" t="str">
        <f t="shared" si="13"/>
        <v/>
      </c>
      <c r="AI21" t="s">
        <v>141</v>
      </c>
      <c r="AJ21" t="s">
        <v>141</v>
      </c>
      <c r="AK21" s="6" t="str">
        <f t="shared" si="14"/>
        <v/>
      </c>
      <c r="AL21" t="s">
        <v>141</v>
      </c>
      <c r="AM21" t="s">
        <v>141</v>
      </c>
      <c r="AN21" s="6" t="str">
        <f t="shared" si="22"/>
        <v/>
      </c>
      <c r="AO21" t="s">
        <v>141</v>
      </c>
      <c r="AP21" t="s">
        <v>141</v>
      </c>
      <c r="AQ21" t="s">
        <v>141</v>
      </c>
      <c r="AR21" t="s">
        <v>141</v>
      </c>
      <c r="AS21" s="6" t="str">
        <f t="shared" si="17"/>
        <v/>
      </c>
      <c r="AT21" s="6" t="str">
        <f t="shared" si="18"/>
        <v/>
      </c>
      <c r="AU21" t="s">
        <v>141</v>
      </c>
    </row>
    <row r="22" spans="1:47">
      <c r="A22" s="7" t="str">
        <f>IF(fieldcreatorv2!B34="","",fieldcreatorv2!B34)</f>
        <v/>
      </c>
      <c r="B22" s="7" t="str">
        <f>IF(fieldcreatorv2!C34="","",fieldcreatorv2!C34)</f>
        <v/>
      </c>
      <c r="C22" s="7" t="str">
        <f>IF(fieldcreatorv2!G34="","",fieldcreatorv2!G34)</f>
        <v/>
      </c>
      <c r="D22" s="12"/>
      <c r="E22" s="12"/>
      <c r="F22" s="12"/>
      <c r="G22" s="12"/>
      <c r="H22" s="12"/>
      <c r="I22" s="12"/>
      <c r="J22" s="12"/>
      <c r="K22" s="12"/>
      <c r="L22" s="12"/>
      <c r="M22" s="7" t="str">
        <f t="shared" si="19"/>
        <v/>
      </c>
      <c r="N22" s="6" t="str">
        <f t="shared" si="20"/>
        <v/>
      </c>
      <c r="O22" s="12"/>
      <c r="P22" s="12"/>
      <c r="Q22" s="12"/>
      <c r="R22" s="12"/>
      <c r="S22" s="12"/>
      <c r="V22" s="1">
        <f t="shared" si="11"/>
        <v>0</v>
      </c>
      <c r="W22" t="s">
        <v>141</v>
      </c>
      <c r="X22" s="6" t="str">
        <f t="shared" si="15"/>
        <v/>
      </c>
      <c r="Y22" t="s">
        <v>141</v>
      </c>
      <c r="Z22" t="s">
        <v>141</v>
      </c>
      <c r="AA22" s="6" t="str">
        <f t="shared" si="12"/>
        <v/>
      </c>
      <c r="AB22" t="s">
        <v>141</v>
      </c>
      <c r="AC22" s="6" t="str">
        <f t="shared" si="16"/>
        <v/>
      </c>
      <c r="AD22" t="s">
        <v>141</v>
      </c>
      <c r="AE22" t="s">
        <v>141</v>
      </c>
      <c r="AF22" t="s">
        <v>141</v>
      </c>
      <c r="AG22" s="6" t="str">
        <f t="shared" si="21"/>
        <v/>
      </c>
      <c r="AH22" s="6" t="str">
        <f t="shared" si="13"/>
        <v/>
      </c>
      <c r="AI22" t="s">
        <v>141</v>
      </c>
      <c r="AJ22" t="s">
        <v>141</v>
      </c>
      <c r="AK22" s="6" t="str">
        <f t="shared" si="14"/>
        <v/>
      </c>
      <c r="AL22" t="s">
        <v>141</v>
      </c>
      <c r="AM22" t="s">
        <v>141</v>
      </c>
      <c r="AN22" s="6" t="str">
        <f t="shared" si="22"/>
        <v/>
      </c>
      <c r="AO22" t="s">
        <v>141</v>
      </c>
      <c r="AP22" t="s">
        <v>141</v>
      </c>
      <c r="AQ22" t="s">
        <v>141</v>
      </c>
      <c r="AR22" t="s">
        <v>141</v>
      </c>
      <c r="AS22" s="6" t="str">
        <f t="shared" si="17"/>
        <v/>
      </c>
      <c r="AT22" s="6" t="str">
        <f t="shared" si="18"/>
        <v/>
      </c>
      <c r="AU22" t="s">
        <v>141</v>
      </c>
    </row>
    <row r="23" spans="1:47">
      <c r="A23" s="7" t="str">
        <f>IF(fieldcreatorv2!B35="","",fieldcreatorv2!B35)</f>
        <v/>
      </c>
      <c r="B23" s="7" t="str">
        <f>IF(fieldcreatorv2!C35="","",fieldcreatorv2!C35)</f>
        <v/>
      </c>
      <c r="C23" s="7" t="str">
        <f>IF(fieldcreatorv2!G35="","",fieldcreatorv2!G35)</f>
        <v/>
      </c>
      <c r="D23" s="12"/>
      <c r="E23" s="12"/>
      <c r="F23" s="12"/>
      <c r="G23" s="12"/>
      <c r="H23" s="12"/>
      <c r="I23" s="12"/>
      <c r="J23" s="12"/>
      <c r="K23" s="12"/>
      <c r="L23" s="12"/>
      <c r="M23" s="7" t="str">
        <f t="shared" si="19"/>
        <v/>
      </c>
      <c r="N23" s="6" t="str">
        <f t="shared" si="20"/>
        <v/>
      </c>
      <c r="O23" s="12"/>
      <c r="P23" s="12"/>
      <c r="Q23" s="12"/>
      <c r="R23" s="12"/>
      <c r="S23" s="12"/>
      <c r="V23" s="1">
        <f t="shared" si="11"/>
        <v>0</v>
      </c>
      <c r="W23" t="s">
        <v>141</v>
      </c>
      <c r="X23" s="6" t="str">
        <f t="shared" si="15"/>
        <v/>
      </c>
      <c r="Y23" t="s">
        <v>141</v>
      </c>
      <c r="Z23" t="s">
        <v>141</v>
      </c>
      <c r="AA23" s="6" t="str">
        <f t="shared" si="12"/>
        <v/>
      </c>
      <c r="AB23" t="s">
        <v>141</v>
      </c>
      <c r="AC23" s="6" t="str">
        <f t="shared" si="16"/>
        <v/>
      </c>
      <c r="AD23" t="s">
        <v>141</v>
      </c>
      <c r="AE23" t="s">
        <v>141</v>
      </c>
      <c r="AF23" t="s">
        <v>141</v>
      </c>
      <c r="AG23" s="6" t="str">
        <f t="shared" si="21"/>
        <v/>
      </c>
      <c r="AH23" s="6" t="str">
        <f t="shared" si="13"/>
        <v/>
      </c>
      <c r="AI23" t="s">
        <v>141</v>
      </c>
      <c r="AJ23" t="s">
        <v>141</v>
      </c>
      <c r="AK23" s="6" t="str">
        <f t="shared" si="14"/>
        <v/>
      </c>
      <c r="AL23" t="s">
        <v>141</v>
      </c>
      <c r="AM23" t="s">
        <v>141</v>
      </c>
      <c r="AN23" s="6" t="str">
        <f t="shared" si="22"/>
        <v/>
      </c>
      <c r="AO23" t="s">
        <v>141</v>
      </c>
      <c r="AP23" t="s">
        <v>141</v>
      </c>
      <c r="AQ23" t="s">
        <v>141</v>
      </c>
      <c r="AR23" t="s">
        <v>141</v>
      </c>
      <c r="AS23" s="6" t="str">
        <f t="shared" si="17"/>
        <v/>
      </c>
      <c r="AT23" s="6" t="str">
        <f t="shared" si="18"/>
        <v/>
      </c>
      <c r="AU23" t="s">
        <v>141</v>
      </c>
    </row>
    <row r="24" spans="1:47">
      <c r="A24" s="7" t="str">
        <f>IF(fieldcreatorv2!B36="","",fieldcreatorv2!B36)</f>
        <v/>
      </c>
      <c r="B24" s="7" t="str">
        <f>IF(fieldcreatorv2!C36="","",fieldcreatorv2!C36)</f>
        <v/>
      </c>
      <c r="C24" s="7" t="str">
        <f>IF(fieldcreatorv2!G36="","",fieldcreatorv2!G36)</f>
        <v/>
      </c>
      <c r="D24" s="12"/>
      <c r="E24" s="12"/>
      <c r="F24" s="12"/>
      <c r="G24" s="12"/>
      <c r="H24" s="12"/>
      <c r="I24" s="12"/>
      <c r="J24" s="12"/>
      <c r="K24" s="12"/>
      <c r="L24" s="12"/>
      <c r="M24" s="7" t="str">
        <f t="shared" si="19"/>
        <v/>
      </c>
      <c r="N24" s="6" t="str">
        <f t="shared" si="20"/>
        <v/>
      </c>
      <c r="O24" s="12"/>
      <c r="P24" s="12"/>
      <c r="Q24" s="12"/>
      <c r="R24" s="12"/>
      <c r="S24" s="12"/>
      <c r="V24" s="1">
        <f t="shared" si="11"/>
        <v>0</v>
      </c>
      <c r="W24" t="s">
        <v>141</v>
      </c>
      <c r="X24" s="6" t="str">
        <f t="shared" si="15"/>
        <v/>
      </c>
      <c r="Y24" t="s">
        <v>141</v>
      </c>
      <c r="Z24" t="s">
        <v>141</v>
      </c>
      <c r="AA24" s="6" t="str">
        <f t="shared" si="12"/>
        <v/>
      </c>
      <c r="AB24" t="s">
        <v>141</v>
      </c>
      <c r="AC24" s="6" t="str">
        <f t="shared" si="16"/>
        <v/>
      </c>
      <c r="AD24" t="s">
        <v>141</v>
      </c>
      <c r="AE24" t="s">
        <v>141</v>
      </c>
      <c r="AF24" t="s">
        <v>141</v>
      </c>
      <c r="AG24" s="6" t="str">
        <f t="shared" si="21"/>
        <v/>
      </c>
      <c r="AH24" s="6" t="str">
        <f t="shared" si="13"/>
        <v/>
      </c>
      <c r="AI24" t="s">
        <v>141</v>
      </c>
      <c r="AJ24" t="s">
        <v>141</v>
      </c>
      <c r="AK24" s="6" t="str">
        <f t="shared" si="14"/>
        <v/>
      </c>
      <c r="AL24" t="s">
        <v>141</v>
      </c>
      <c r="AM24" t="s">
        <v>141</v>
      </c>
      <c r="AN24" s="6" t="str">
        <f t="shared" si="22"/>
        <v/>
      </c>
      <c r="AO24" t="s">
        <v>141</v>
      </c>
      <c r="AP24" t="s">
        <v>141</v>
      </c>
      <c r="AQ24" t="s">
        <v>141</v>
      </c>
      <c r="AR24" t="s">
        <v>141</v>
      </c>
      <c r="AS24" s="6" t="str">
        <f t="shared" si="17"/>
        <v/>
      </c>
      <c r="AT24" s="6" t="str">
        <f t="shared" si="18"/>
        <v/>
      </c>
      <c r="AU24" t="s">
        <v>141</v>
      </c>
    </row>
    <row r="25" spans="1:47">
      <c r="A25" s="7" t="str">
        <f>IF(fieldcreatorv2!B37="","",fieldcreatorv2!B37)</f>
        <v/>
      </c>
      <c r="B25" s="7" t="str">
        <f>IF(fieldcreatorv2!C37="","",fieldcreatorv2!C37)</f>
        <v/>
      </c>
      <c r="C25" s="7" t="str">
        <f>IF(fieldcreatorv2!G37="","",fieldcreatorv2!G37)</f>
        <v/>
      </c>
      <c r="D25" s="12"/>
      <c r="E25" s="12"/>
      <c r="F25" s="12"/>
      <c r="G25" s="12"/>
      <c r="H25" s="12"/>
      <c r="I25" s="12"/>
      <c r="J25" s="12"/>
      <c r="K25" s="12"/>
      <c r="L25" s="12"/>
      <c r="M25" s="7" t="str">
        <f t="shared" si="19"/>
        <v/>
      </c>
      <c r="N25" s="6" t="str">
        <f t="shared" si="20"/>
        <v/>
      </c>
      <c r="O25" s="12"/>
      <c r="P25" s="12"/>
      <c r="Q25" s="12"/>
      <c r="R25" s="12"/>
      <c r="S25" s="12"/>
      <c r="V25" s="1">
        <f t="shared" si="11"/>
        <v>0</v>
      </c>
      <c r="W25" t="s">
        <v>141</v>
      </c>
      <c r="X25" s="6" t="str">
        <f t="shared" si="15"/>
        <v/>
      </c>
      <c r="Y25" t="s">
        <v>141</v>
      </c>
      <c r="Z25" t="s">
        <v>141</v>
      </c>
      <c r="AA25" s="6" t="str">
        <f t="shared" si="12"/>
        <v/>
      </c>
      <c r="AB25" t="s">
        <v>141</v>
      </c>
      <c r="AC25" s="6" t="str">
        <f t="shared" si="16"/>
        <v/>
      </c>
      <c r="AD25" t="s">
        <v>141</v>
      </c>
      <c r="AE25" t="s">
        <v>141</v>
      </c>
      <c r="AF25" t="s">
        <v>141</v>
      </c>
      <c r="AG25" s="6" t="str">
        <f t="shared" si="21"/>
        <v/>
      </c>
      <c r="AH25" s="6" t="str">
        <f t="shared" si="13"/>
        <v/>
      </c>
      <c r="AI25" t="s">
        <v>141</v>
      </c>
      <c r="AJ25" t="s">
        <v>141</v>
      </c>
      <c r="AK25" s="6" t="str">
        <f t="shared" si="14"/>
        <v/>
      </c>
      <c r="AL25" t="s">
        <v>141</v>
      </c>
      <c r="AM25" t="s">
        <v>141</v>
      </c>
      <c r="AN25" s="6" t="str">
        <f t="shared" si="22"/>
        <v/>
      </c>
      <c r="AO25" t="s">
        <v>141</v>
      </c>
      <c r="AP25" t="s">
        <v>141</v>
      </c>
      <c r="AQ25" t="s">
        <v>141</v>
      </c>
      <c r="AR25" t="s">
        <v>141</v>
      </c>
      <c r="AS25" s="6" t="str">
        <f t="shared" si="17"/>
        <v/>
      </c>
      <c r="AT25" s="6" t="str">
        <f t="shared" si="18"/>
        <v/>
      </c>
      <c r="AU25" t="s">
        <v>141</v>
      </c>
    </row>
    <row r="26" spans="1:47">
      <c r="A26" s="7" t="str">
        <f>IF(fieldcreatorv2!B38="","",fieldcreatorv2!B38)</f>
        <v/>
      </c>
      <c r="B26" s="7" t="str">
        <f>IF(fieldcreatorv2!C38="","",fieldcreatorv2!C38)</f>
        <v/>
      </c>
      <c r="C26" s="7" t="str">
        <f>IF(fieldcreatorv2!G38="","",fieldcreatorv2!G38)</f>
        <v/>
      </c>
      <c r="D26" s="12"/>
      <c r="E26" s="12"/>
      <c r="F26" s="12"/>
      <c r="G26" s="12"/>
      <c r="H26" s="12"/>
      <c r="I26" s="12"/>
      <c r="J26" s="12"/>
      <c r="K26" s="12"/>
      <c r="L26" s="12"/>
      <c r="M26" s="7" t="str">
        <f t="shared" si="19"/>
        <v/>
      </c>
      <c r="N26" s="6" t="str">
        <f t="shared" si="20"/>
        <v/>
      </c>
      <c r="O26" s="12"/>
      <c r="P26" s="12"/>
      <c r="Q26" s="12"/>
      <c r="R26" s="12"/>
      <c r="S26" s="12"/>
      <c r="V26" s="1">
        <f t="shared" si="11"/>
        <v>0</v>
      </c>
      <c r="W26" t="s">
        <v>141</v>
      </c>
      <c r="X26" s="6" t="str">
        <f t="shared" si="15"/>
        <v/>
      </c>
      <c r="Y26" t="s">
        <v>141</v>
      </c>
      <c r="Z26" t="s">
        <v>141</v>
      </c>
      <c r="AA26" s="6" t="str">
        <f t="shared" si="12"/>
        <v/>
      </c>
      <c r="AB26" t="s">
        <v>141</v>
      </c>
      <c r="AC26" s="6" t="str">
        <f t="shared" si="16"/>
        <v/>
      </c>
      <c r="AD26" t="s">
        <v>141</v>
      </c>
      <c r="AE26" t="s">
        <v>141</v>
      </c>
      <c r="AF26" t="s">
        <v>141</v>
      </c>
      <c r="AG26" s="6" t="str">
        <f t="shared" si="21"/>
        <v/>
      </c>
      <c r="AH26" s="6" t="str">
        <f t="shared" si="13"/>
        <v/>
      </c>
      <c r="AI26" t="s">
        <v>141</v>
      </c>
      <c r="AJ26" t="s">
        <v>141</v>
      </c>
      <c r="AK26" s="6" t="str">
        <f t="shared" si="14"/>
        <v/>
      </c>
      <c r="AL26" t="s">
        <v>141</v>
      </c>
      <c r="AM26" t="s">
        <v>141</v>
      </c>
      <c r="AN26" s="6" t="str">
        <f t="shared" si="22"/>
        <v/>
      </c>
      <c r="AO26" t="s">
        <v>141</v>
      </c>
      <c r="AP26" t="s">
        <v>141</v>
      </c>
      <c r="AQ26" t="s">
        <v>141</v>
      </c>
      <c r="AR26" t="s">
        <v>141</v>
      </c>
      <c r="AS26" s="6" t="str">
        <f t="shared" si="17"/>
        <v/>
      </c>
      <c r="AT26" s="6" t="str">
        <f t="shared" si="18"/>
        <v/>
      </c>
      <c r="AU26" t="s">
        <v>141</v>
      </c>
    </row>
    <row r="27" spans="1:47">
      <c r="A27" s="7" t="str">
        <f>IF(fieldcreatorv2!B39="","",fieldcreatorv2!B39)</f>
        <v/>
      </c>
      <c r="B27" s="7" t="str">
        <f>IF(fieldcreatorv2!C39="","",fieldcreatorv2!C39)</f>
        <v/>
      </c>
      <c r="C27" s="7" t="str">
        <f>IF(fieldcreatorv2!G39="","",fieldcreatorv2!G39)</f>
        <v/>
      </c>
      <c r="D27" s="12"/>
      <c r="E27" s="12"/>
      <c r="F27" s="12"/>
      <c r="G27" s="12"/>
      <c r="H27" s="12"/>
      <c r="I27" s="12"/>
      <c r="J27" s="12"/>
      <c r="K27" s="12"/>
      <c r="L27" s="12"/>
      <c r="M27" s="7" t="str">
        <f t="shared" si="19"/>
        <v/>
      </c>
      <c r="N27" s="6" t="str">
        <f t="shared" si="20"/>
        <v/>
      </c>
      <c r="O27" s="12"/>
      <c r="P27" s="12"/>
      <c r="Q27" s="12"/>
      <c r="R27" s="12"/>
      <c r="S27" s="12"/>
      <c r="V27" s="1">
        <f t="shared" si="11"/>
        <v>0</v>
      </c>
      <c r="W27" t="s">
        <v>141</v>
      </c>
      <c r="X27" s="6" t="str">
        <f t="shared" si="15"/>
        <v/>
      </c>
      <c r="Y27" t="s">
        <v>141</v>
      </c>
      <c r="Z27" t="s">
        <v>141</v>
      </c>
      <c r="AA27" s="6" t="str">
        <f t="shared" si="12"/>
        <v/>
      </c>
      <c r="AB27" t="s">
        <v>141</v>
      </c>
      <c r="AC27" s="6" t="str">
        <f t="shared" si="16"/>
        <v/>
      </c>
      <c r="AD27" t="s">
        <v>141</v>
      </c>
      <c r="AE27" t="s">
        <v>141</v>
      </c>
      <c r="AF27" t="s">
        <v>141</v>
      </c>
      <c r="AG27" s="6" t="str">
        <f t="shared" si="21"/>
        <v/>
      </c>
      <c r="AH27" s="6" t="str">
        <f t="shared" si="13"/>
        <v/>
      </c>
      <c r="AI27" t="s">
        <v>141</v>
      </c>
      <c r="AJ27" t="s">
        <v>141</v>
      </c>
      <c r="AK27" s="6" t="str">
        <f t="shared" si="14"/>
        <v/>
      </c>
      <c r="AL27" t="s">
        <v>141</v>
      </c>
      <c r="AM27" t="s">
        <v>141</v>
      </c>
      <c r="AN27" s="6" t="str">
        <f t="shared" si="22"/>
        <v/>
      </c>
      <c r="AO27" t="s">
        <v>141</v>
      </c>
      <c r="AP27" t="s">
        <v>141</v>
      </c>
      <c r="AQ27" t="s">
        <v>141</v>
      </c>
      <c r="AR27" t="s">
        <v>141</v>
      </c>
      <c r="AS27" s="6" t="str">
        <f t="shared" si="17"/>
        <v/>
      </c>
      <c r="AT27" s="6" t="str">
        <f t="shared" si="18"/>
        <v/>
      </c>
      <c r="AU27" t="s">
        <v>141</v>
      </c>
    </row>
    <row r="28" spans="1:47">
      <c r="A28" s="7" t="str">
        <f>IF(fieldcreatorv2!B40="","",fieldcreatorv2!B40)</f>
        <v/>
      </c>
      <c r="B28" s="7" t="str">
        <f>IF(fieldcreatorv2!C40="","",fieldcreatorv2!C40)</f>
        <v/>
      </c>
      <c r="C28" s="7" t="str">
        <f>IF(fieldcreatorv2!G40="","",fieldcreatorv2!G40)</f>
        <v/>
      </c>
      <c r="D28" s="12"/>
      <c r="E28" s="12"/>
      <c r="F28" s="12"/>
      <c r="G28" s="12"/>
      <c r="H28" s="12"/>
      <c r="I28" s="12"/>
      <c r="J28" s="12"/>
      <c r="K28" s="12"/>
      <c r="L28" s="12"/>
      <c r="M28" s="7" t="str">
        <f t="shared" si="19"/>
        <v/>
      </c>
      <c r="N28" s="6" t="str">
        <f t="shared" si="20"/>
        <v/>
      </c>
      <c r="O28" s="12"/>
      <c r="P28" s="12"/>
      <c r="Q28" s="12"/>
      <c r="R28" s="12"/>
      <c r="S28" s="12"/>
      <c r="V28" s="1">
        <f t="shared" si="11"/>
        <v>0</v>
      </c>
      <c r="W28" t="s">
        <v>141</v>
      </c>
      <c r="X28" s="6" t="str">
        <f t="shared" si="15"/>
        <v/>
      </c>
      <c r="Y28" t="s">
        <v>141</v>
      </c>
      <c r="Z28" t="s">
        <v>141</v>
      </c>
      <c r="AA28" s="6" t="str">
        <f t="shared" si="12"/>
        <v/>
      </c>
      <c r="AB28" t="s">
        <v>141</v>
      </c>
      <c r="AC28" s="6" t="str">
        <f t="shared" si="16"/>
        <v/>
      </c>
      <c r="AD28" t="s">
        <v>141</v>
      </c>
      <c r="AE28" t="s">
        <v>141</v>
      </c>
      <c r="AF28" t="s">
        <v>141</v>
      </c>
      <c r="AG28" s="6" t="str">
        <f t="shared" si="21"/>
        <v/>
      </c>
      <c r="AH28" s="6" t="str">
        <f t="shared" si="13"/>
        <v/>
      </c>
      <c r="AI28" t="s">
        <v>141</v>
      </c>
      <c r="AJ28" t="s">
        <v>141</v>
      </c>
      <c r="AK28" s="6" t="str">
        <f t="shared" si="14"/>
        <v/>
      </c>
      <c r="AL28" t="s">
        <v>141</v>
      </c>
      <c r="AM28" t="s">
        <v>141</v>
      </c>
      <c r="AN28" s="6" t="str">
        <f t="shared" si="22"/>
        <v/>
      </c>
      <c r="AO28" t="s">
        <v>141</v>
      </c>
      <c r="AP28" t="s">
        <v>141</v>
      </c>
      <c r="AQ28" t="s">
        <v>141</v>
      </c>
      <c r="AR28" t="s">
        <v>141</v>
      </c>
      <c r="AS28" s="6" t="str">
        <f t="shared" si="17"/>
        <v/>
      </c>
      <c r="AT28" s="6" t="str">
        <f t="shared" si="18"/>
        <v/>
      </c>
      <c r="AU28" t="s">
        <v>141</v>
      </c>
    </row>
    <row r="29" spans="1:47">
      <c r="A29" s="7" t="str">
        <f>IF(fieldcreatorv2!B41="","",fieldcreatorv2!B41)</f>
        <v/>
      </c>
      <c r="B29" s="7" t="str">
        <f>IF(fieldcreatorv2!C41="","",fieldcreatorv2!C41)</f>
        <v/>
      </c>
      <c r="C29" s="7" t="str">
        <f>IF(fieldcreatorv2!G41="","",fieldcreatorv2!G41)</f>
        <v/>
      </c>
      <c r="D29" s="12"/>
      <c r="E29" s="12"/>
      <c r="F29" s="12"/>
      <c r="G29" s="12"/>
      <c r="H29" s="12"/>
      <c r="I29" s="12"/>
      <c r="J29" s="12"/>
      <c r="K29" s="12"/>
      <c r="L29" s="12"/>
      <c r="M29" s="7" t="str">
        <f t="shared" si="19"/>
        <v/>
      </c>
      <c r="N29" s="6" t="str">
        <f t="shared" si="20"/>
        <v/>
      </c>
      <c r="O29" s="12"/>
      <c r="P29" s="12"/>
      <c r="Q29" s="12"/>
      <c r="R29" s="12"/>
      <c r="S29" s="12"/>
      <c r="V29" s="1">
        <f t="shared" si="11"/>
        <v>0</v>
      </c>
      <c r="W29" t="s">
        <v>141</v>
      </c>
      <c r="X29" s="6" t="str">
        <f t="shared" si="15"/>
        <v/>
      </c>
      <c r="Y29" t="s">
        <v>141</v>
      </c>
      <c r="Z29" t="s">
        <v>141</v>
      </c>
      <c r="AA29" s="6" t="str">
        <f t="shared" si="12"/>
        <v/>
      </c>
      <c r="AB29" t="s">
        <v>141</v>
      </c>
      <c r="AC29" s="6" t="str">
        <f t="shared" si="16"/>
        <v/>
      </c>
      <c r="AD29" t="s">
        <v>141</v>
      </c>
      <c r="AE29" t="s">
        <v>141</v>
      </c>
      <c r="AF29" t="s">
        <v>141</v>
      </c>
      <c r="AG29" s="6" t="str">
        <f t="shared" si="21"/>
        <v/>
      </c>
      <c r="AH29" s="6" t="str">
        <f t="shared" si="13"/>
        <v/>
      </c>
      <c r="AI29" t="s">
        <v>141</v>
      </c>
      <c r="AJ29" t="s">
        <v>141</v>
      </c>
      <c r="AK29" s="6" t="str">
        <f t="shared" si="14"/>
        <v/>
      </c>
      <c r="AL29" t="s">
        <v>141</v>
      </c>
      <c r="AM29" t="s">
        <v>141</v>
      </c>
      <c r="AN29" s="6" t="str">
        <f t="shared" si="22"/>
        <v/>
      </c>
      <c r="AO29" t="s">
        <v>141</v>
      </c>
      <c r="AP29" t="s">
        <v>141</v>
      </c>
      <c r="AQ29" t="s">
        <v>141</v>
      </c>
      <c r="AR29" t="s">
        <v>141</v>
      </c>
      <c r="AS29" s="6" t="str">
        <f t="shared" si="17"/>
        <v/>
      </c>
      <c r="AT29" s="6" t="str">
        <f t="shared" si="18"/>
        <v/>
      </c>
      <c r="AU29" t="s">
        <v>141</v>
      </c>
    </row>
    <row r="30" spans="1:47">
      <c r="A30" s="7" t="str">
        <f>IF(fieldcreatorv2!B42="","",fieldcreatorv2!B42)</f>
        <v/>
      </c>
      <c r="B30" s="7" t="str">
        <f>IF(fieldcreatorv2!C42="","",fieldcreatorv2!C42)</f>
        <v/>
      </c>
      <c r="C30" s="7" t="str">
        <f>IF(fieldcreatorv2!G42="","",fieldcreatorv2!G42)</f>
        <v/>
      </c>
      <c r="D30" s="12"/>
      <c r="E30" s="12"/>
      <c r="F30" s="12"/>
      <c r="G30" s="12"/>
      <c r="H30" s="12"/>
      <c r="I30" s="12"/>
      <c r="J30" s="12"/>
      <c r="K30" s="12"/>
      <c r="L30" s="12"/>
      <c r="M30" s="7" t="str">
        <f t="shared" si="19"/>
        <v/>
      </c>
      <c r="N30" s="6" t="str">
        <f t="shared" si="20"/>
        <v/>
      </c>
      <c r="O30" s="12"/>
      <c r="P30" s="12"/>
      <c r="Q30" s="12"/>
      <c r="R30" s="12"/>
      <c r="S30" s="12"/>
      <c r="V30" s="1">
        <f t="shared" si="11"/>
        <v>0</v>
      </c>
      <c r="W30" t="s">
        <v>141</v>
      </c>
      <c r="X30" s="6" t="str">
        <f t="shared" si="15"/>
        <v/>
      </c>
      <c r="Y30" t="s">
        <v>141</v>
      </c>
      <c r="Z30" t="s">
        <v>141</v>
      </c>
      <c r="AA30" s="6" t="str">
        <f t="shared" si="12"/>
        <v/>
      </c>
      <c r="AB30" t="s">
        <v>141</v>
      </c>
      <c r="AC30" s="6" t="str">
        <f t="shared" si="16"/>
        <v/>
      </c>
      <c r="AD30" t="s">
        <v>141</v>
      </c>
      <c r="AE30" t="s">
        <v>141</v>
      </c>
      <c r="AF30" t="s">
        <v>141</v>
      </c>
      <c r="AG30" s="6" t="str">
        <f t="shared" si="21"/>
        <v/>
      </c>
      <c r="AH30" s="6" t="str">
        <f t="shared" si="13"/>
        <v/>
      </c>
      <c r="AI30" t="s">
        <v>141</v>
      </c>
      <c r="AJ30" t="s">
        <v>141</v>
      </c>
      <c r="AK30" s="6" t="str">
        <f t="shared" si="14"/>
        <v/>
      </c>
      <c r="AL30" t="s">
        <v>141</v>
      </c>
      <c r="AM30" t="s">
        <v>141</v>
      </c>
      <c r="AN30" s="6" t="str">
        <f t="shared" si="22"/>
        <v/>
      </c>
      <c r="AO30" t="s">
        <v>141</v>
      </c>
      <c r="AP30" t="s">
        <v>141</v>
      </c>
      <c r="AQ30" t="s">
        <v>141</v>
      </c>
      <c r="AR30" t="s">
        <v>141</v>
      </c>
      <c r="AS30" s="6" t="str">
        <f t="shared" si="17"/>
        <v/>
      </c>
      <c r="AT30" s="6" t="str">
        <f t="shared" si="18"/>
        <v/>
      </c>
      <c r="AU30" t="s">
        <v>141</v>
      </c>
    </row>
    <row r="31" spans="1:47">
      <c r="A31" s="7" t="str">
        <f>IF(fieldcreatorv2!B43="","",fieldcreatorv2!B43)</f>
        <v/>
      </c>
      <c r="B31" s="7" t="str">
        <f>IF(fieldcreatorv2!C43="","",fieldcreatorv2!C43)</f>
        <v/>
      </c>
      <c r="C31" s="7" t="str">
        <f>IF(fieldcreatorv2!G43="","",fieldcreatorv2!G43)</f>
        <v/>
      </c>
      <c r="D31" s="12"/>
      <c r="E31" s="12"/>
      <c r="F31" s="12"/>
      <c r="G31" s="12"/>
      <c r="H31" s="12"/>
      <c r="I31" s="12"/>
      <c r="J31" s="12"/>
      <c r="K31" s="12"/>
      <c r="L31" s="12"/>
      <c r="M31" s="7" t="str">
        <f t="shared" si="19"/>
        <v/>
      </c>
      <c r="N31" s="6" t="str">
        <f t="shared" si="20"/>
        <v/>
      </c>
      <c r="O31" s="12"/>
      <c r="P31" s="12"/>
      <c r="Q31" s="12"/>
      <c r="R31" s="12"/>
      <c r="S31" s="12"/>
      <c r="V31" s="1">
        <f t="shared" si="11"/>
        <v>0</v>
      </c>
      <c r="W31" t="s">
        <v>141</v>
      </c>
      <c r="X31" s="6" t="str">
        <f t="shared" si="15"/>
        <v/>
      </c>
      <c r="Y31" t="s">
        <v>141</v>
      </c>
      <c r="Z31" t="s">
        <v>141</v>
      </c>
      <c r="AA31" s="6" t="str">
        <f t="shared" si="12"/>
        <v/>
      </c>
      <c r="AB31" t="s">
        <v>141</v>
      </c>
      <c r="AC31" s="6" t="str">
        <f t="shared" si="16"/>
        <v/>
      </c>
      <c r="AD31" t="s">
        <v>141</v>
      </c>
      <c r="AE31" t="s">
        <v>141</v>
      </c>
      <c r="AF31" t="s">
        <v>141</v>
      </c>
      <c r="AG31" s="6" t="str">
        <f t="shared" si="21"/>
        <v/>
      </c>
      <c r="AH31" s="6" t="str">
        <f t="shared" si="13"/>
        <v/>
      </c>
      <c r="AI31" t="s">
        <v>141</v>
      </c>
      <c r="AJ31" t="s">
        <v>141</v>
      </c>
      <c r="AK31" s="6" t="str">
        <f t="shared" si="14"/>
        <v/>
      </c>
      <c r="AL31" t="s">
        <v>141</v>
      </c>
      <c r="AM31" t="s">
        <v>141</v>
      </c>
      <c r="AN31" s="6" t="str">
        <f t="shared" si="22"/>
        <v/>
      </c>
      <c r="AO31" t="s">
        <v>141</v>
      </c>
      <c r="AP31" t="s">
        <v>141</v>
      </c>
      <c r="AQ31" t="s">
        <v>141</v>
      </c>
      <c r="AR31" t="s">
        <v>141</v>
      </c>
      <c r="AS31" s="6" t="str">
        <f t="shared" si="17"/>
        <v/>
      </c>
      <c r="AT31" s="6" t="str">
        <f t="shared" si="18"/>
        <v/>
      </c>
      <c r="AU31" t="s">
        <v>141</v>
      </c>
    </row>
    <row r="32" spans="1:47">
      <c r="A32" s="7" t="str">
        <f>IF(fieldcreatorv2!B44="","",fieldcreatorv2!B44)</f>
        <v/>
      </c>
      <c r="B32" s="7" t="str">
        <f>IF(fieldcreatorv2!C44="","",fieldcreatorv2!C44)</f>
        <v/>
      </c>
      <c r="C32" s="7" t="str">
        <f>IF(fieldcreatorv2!G44="","",fieldcreatorv2!G44)</f>
        <v/>
      </c>
      <c r="D32" s="12"/>
      <c r="E32" s="12"/>
      <c r="F32" s="12"/>
      <c r="G32" s="12"/>
      <c r="H32" s="12"/>
      <c r="I32" s="12"/>
      <c r="J32" s="12"/>
      <c r="K32" s="12"/>
      <c r="L32" s="12"/>
      <c r="M32" s="7" t="str">
        <f t="shared" si="19"/>
        <v/>
      </c>
      <c r="N32" s="6" t="str">
        <f t="shared" si="20"/>
        <v/>
      </c>
      <c r="O32" s="12"/>
      <c r="P32" s="12"/>
      <c r="Q32" s="12"/>
      <c r="R32" s="12"/>
      <c r="S32" s="12"/>
      <c r="V32" s="1">
        <f t="shared" si="11"/>
        <v>0</v>
      </c>
      <c r="W32" t="s">
        <v>141</v>
      </c>
      <c r="X32" s="6" t="str">
        <f t="shared" si="15"/>
        <v/>
      </c>
      <c r="Y32" t="s">
        <v>141</v>
      </c>
      <c r="Z32" t="s">
        <v>141</v>
      </c>
      <c r="AA32" s="6" t="str">
        <f t="shared" si="12"/>
        <v/>
      </c>
      <c r="AB32" t="s">
        <v>141</v>
      </c>
      <c r="AC32" s="6" t="str">
        <f t="shared" si="16"/>
        <v/>
      </c>
      <c r="AD32" t="s">
        <v>141</v>
      </c>
      <c r="AE32" t="s">
        <v>141</v>
      </c>
      <c r="AF32" t="s">
        <v>141</v>
      </c>
      <c r="AG32" s="6" t="str">
        <f t="shared" si="21"/>
        <v/>
      </c>
      <c r="AH32" s="6" t="str">
        <f t="shared" si="13"/>
        <v/>
      </c>
      <c r="AI32" t="s">
        <v>141</v>
      </c>
      <c r="AJ32" t="s">
        <v>141</v>
      </c>
      <c r="AK32" s="6" t="str">
        <f t="shared" si="14"/>
        <v/>
      </c>
      <c r="AL32" t="s">
        <v>141</v>
      </c>
      <c r="AM32" t="s">
        <v>141</v>
      </c>
      <c r="AN32" s="6" t="str">
        <f t="shared" si="22"/>
        <v/>
      </c>
      <c r="AO32" t="s">
        <v>141</v>
      </c>
      <c r="AP32" t="s">
        <v>141</v>
      </c>
      <c r="AQ32" t="s">
        <v>141</v>
      </c>
      <c r="AR32" t="s">
        <v>141</v>
      </c>
      <c r="AS32" s="6" t="str">
        <f t="shared" si="17"/>
        <v/>
      </c>
      <c r="AT32" s="6" t="str">
        <f t="shared" si="18"/>
        <v/>
      </c>
      <c r="AU32" t="s">
        <v>141</v>
      </c>
    </row>
    <row r="33" spans="1:47">
      <c r="A33" s="7" t="str">
        <f>IF(fieldcreatorv2!B45="","",fieldcreatorv2!B45)</f>
        <v/>
      </c>
      <c r="B33" s="7" t="str">
        <f>IF(fieldcreatorv2!C45="","",fieldcreatorv2!C45)</f>
        <v/>
      </c>
      <c r="C33" s="7" t="str">
        <f>IF(fieldcreatorv2!G45="","",fieldcreatorv2!G45)</f>
        <v/>
      </c>
      <c r="D33" s="12"/>
      <c r="E33" s="12"/>
      <c r="F33" s="12"/>
      <c r="G33" s="12"/>
      <c r="H33" s="12"/>
      <c r="I33" s="12"/>
      <c r="J33" s="12"/>
      <c r="K33" s="12"/>
      <c r="L33" s="12"/>
      <c r="M33" s="7" t="str">
        <f t="shared" si="19"/>
        <v/>
      </c>
      <c r="N33" s="6" t="str">
        <f t="shared" si="20"/>
        <v/>
      </c>
      <c r="O33" s="12"/>
      <c r="P33" s="12"/>
      <c r="Q33" s="12"/>
      <c r="R33" s="12"/>
      <c r="S33" s="12"/>
      <c r="V33" s="1">
        <f t="shared" si="11"/>
        <v>0</v>
      </c>
      <c r="W33" t="s">
        <v>141</v>
      </c>
      <c r="X33" s="6" t="str">
        <f t="shared" si="15"/>
        <v/>
      </c>
      <c r="Y33" t="s">
        <v>141</v>
      </c>
      <c r="Z33" t="s">
        <v>141</v>
      </c>
      <c r="AA33" s="6" t="str">
        <f t="shared" si="12"/>
        <v/>
      </c>
      <c r="AB33" t="s">
        <v>141</v>
      </c>
      <c r="AC33" s="6" t="str">
        <f t="shared" si="16"/>
        <v/>
      </c>
      <c r="AD33" t="s">
        <v>141</v>
      </c>
      <c r="AE33" t="s">
        <v>141</v>
      </c>
      <c r="AF33" t="s">
        <v>141</v>
      </c>
      <c r="AG33" s="6" t="str">
        <f t="shared" si="21"/>
        <v/>
      </c>
      <c r="AH33" s="6" t="str">
        <f t="shared" si="13"/>
        <v/>
      </c>
      <c r="AI33" t="s">
        <v>141</v>
      </c>
      <c r="AJ33" t="s">
        <v>141</v>
      </c>
      <c r="AK33" s="6" t="str">
        <f t="shared" si="14"/>
        <v/>
      </c>
      <c r="AL33" t="s">
        <v>141</v>
      </c>
      <c r="AM33" t="s">
        <v>141</v>
      </c>
      <c r="AN33" s="6" t="str">
        <f t="shared" si="22"/>
        <v/>
      </c>
      <c r="AO33" t="s">
        <v>141</v>
      </c>
      <c r="AP33" t="s">
        <v>141</v>
      </c>
      <c r="AQ33" t="s">
        <v>141</v>
      </c>
      <c r="AR33" t="s">
        <v>141</v>
      </c>
      <c r="AS33" s="6" t="str">
        <f t="shared" si="17"/>
        <v/>
      </c>
      <c r="AT33" s="6" t="str">
        <f t="shared" si="18"/>
        <v/>
      </c>
      <c r="AU33" t="s">
        <v>141</v>
      </c>
    </row>
    <row r="34" spans="1:47">
      <c r="A34" s="7" t="str">
        <f>IF(fieldcreatorv2!B46="","",fieldcreatorv2!B46)</f>
        <v/>
      </c>
      <c r="B34" s="7" t="str">
        <f>IF(fieldcreatorv2!C46="","",fieldcreatorv2!C46)</f>
        <v/>
      </c>
      <c r="C34" s="7" t="str">
        <f>IF(fieldcreatorv2!G46="","",fieldcreatorv2!G46)</f>
        <v/>
      </c>
      <c r="D34" s="12"/>
      <c r="E34" s="12"/>
      <c r="F34" s="12"/>
      <c r="G34" s="12"/>
      <c r="H34" s="12"/>
      <c r="I34" s="12"/>
      <c r="J34" s="12"/>
      <c r="K34" s="12"/>
      <c r="L34" s="12"/>
      <c r="M34" s="7" t="str">
        <f t="shared" si="19"/>
        <v/>
      </c>
      <c r="N34" s="6" t="str">
        <f t="shared" si="20"/>
        <v/>
      </c>
      <c r="O34" s="12"/>
      <c r="P34" s="12"/>
      <c r="Q34" s="12"/>
      <c r="R34" s="12"/>
      <c r="S34" s="12"/>
      <c r="V34" s="1">
        <f t="shared" si="11"/>
        <v>0</v>
      </c>
      <c r="W34" t="s">
        <v>141</v>
      </c>
      <c r="X34" s="6" t="str">
        <f t="shared" si="15"/>
        <v/>
      </c>
      <c r="Y34" t="s">
        <v>141</v>
      </c>
      <c r="Z34" t="s">
        <v>141</v>
      </c>
      <c r="AA34" s="6" t="str">
        <f t="shared" si="12"/>
        <v/>
      </c>
      <c r="AB34" t="s">
        <v>141</v>
      </c>
      <c r="AC34" s="6" t="str">
        <f t="shared" si="16"/>
        <v/>
      </c>
      <c r="AD34" t="s">
        <v>141</v>
      </c>
      <c r="AE34" t="s">
        <v>141</v>
      </c>
      <c r="AF34" t="s">
        <v>141</v>
      </c>
      <c r="AG34" s="6" t="str">
        <f t="shared" si="21"/>
        <v/>
      </c>
      <c r="AH34" s="6" t="str">
        <f t="shared" si="13"/>
        <v/>
      </c>
      <c r="AI34" t="s">
        <v>141</v>
      </c>
      <c r="AJ34" t="s">
        <v>141</v>
      </c>
      <c r="AK34" s="6" t="str">
        <f t="shared" si="14"/>
        <v/>
      </c>
      <c r="AL34" t="s">
        <v>141</v>
      </c>
      <c r="AM34" t="s">
        <v>141</v>
      </c>
      <c r="AN34" s="6" t="str">
        <f t="shared" si="22"/>
        <v/>
      </c>
      <c r="AO34" t="s">
        <v>141</v>
      </c>
      <c r="AP34" t="s">
        <v>141</v>
      </c>
      <c r="AQ34" t="s">
        <v>141</v>
      </c>
      <c r="AR34" t="s">
        <v>141</v>
      </c>
      <c r="AS34" s="6" t="str">
        <f t="shared" si="17"/>
        <v/>
      </c>
      <c r="AT34" s="6" t="str">
        <f t="shared" si="18"/>
        <v/>
      </c>
      <c r="AU34" t="s">
        <v>141</v>
      </c>
    </row>
    <row r="35" spans="1:47">
      <c r="A35" s="7" t="str">
        <f>IF(fieldcreatorv2!B47="","",fieldcreatorv2!B47)</f>
        <v/>
      </c>
      <c r="B35" s="7" t="str">
        <f>IF(fieldcreatorv2!C47="","",fieldcreatorv2!C47)</f>
        <v/>
      </c>
      <c r="C35" s="7" t="str">
        <f>IF(fieldcreatorv2!G47="","",fieldcreatorv2!G47)</f>
        <v/>
      </c>
      <c r="D35" s="12"/>
      <c r="E35" s="12"/>
      <c r="F35" s="12"/>
      <c r="G35" s="12"/>
      <c r="H35" s="12"/>
      <c r="I35" s="12"/>
      <c r="J35" s="12"/>
      <c r="K35" s="12"/>
      <c r="L35" s="12"/>
      <c r="M35" s="7" t="str">
        <f t="shared" si="19"/>
        <v/>
      </c>
      <c r="N35" s="6" t="str">
        <f t="shared" si="20"/>
        <v/>
      </c>
      <c r="O35" s="12"/>
      <c r="P35" s="12"/>
      <c r="Q35" s="12"/>
      <c r="R35" s="12"/>
      <c r="S35" s="12"/>
      <c r="V35" s="1">
        <f t="shared" si="11"/>
        <v>0</v>
      </c>
      <c r="W35" t="s">
        <v>141</v>
      </c>
      <c r="X35" s="6" t="str">
        <f t="shared" si="15"/>
        <v/>
      </c>
      <c r="Y35" t="s">
        <v>141</v>
      </c>
      <c r="Z35" t="s">
        <v>141</v>
      </c>
      <c r="AA35" s="6" t="str">
        <f t="shared" si="12"/>
        <v/>
      </c>
      <c r="AB35" t="s">
        <v>141</v>
      </c>
      <c r="AC35" s="6" t="str">
        <f t="shared" si="16"/>
        <v/>
      </c>
      <c r="AD35" t="s">
        <v>141</v>
      </c>
      <c r="AE35" t="s">
        <v>141</v>
      </c>
      <c r="AF35" t="s">
        <v>141</v>
      </c>
      <c r="AG35" s="6" t="str">
        <f t="shared" si="21"/>
        <v/>
      </c>
      <c r="AH35" s="6" t="str">
        <f t="shared" si="13"/>
        <v/>
      </c>
      <c r="AI35" t="s">
        <v>141</v>
      </c>
      <c r="AJ35" t="s">
        <v>141</v>
      </c>
      <c r="AK35" s="6" t="str">
        <f t="shared" si="14"/>
        <v/>
      </c>
      <c r="AL35" t="s">
        <v>141</v>
      </c>
      <c r="AM35" t="s">
        <v>141</v>
      </c>
      <c r="AN35" s="6" t="str">
        <f t="shared" si="22"/>
        <v/>
      </c>
      <c r="AO35" t="s">
        <v>141</v>
      </c>
      <c r="AP35" t="s">
        <v>141</v>
      </c>
      <c r="AQ35" t="s">
        <v>141</v>
      </c>
      <c r="AR35" t="s">
        <v>141</v>
      </c>
      <c r="AS35" s="6" t="str">
        <f t="shared" si="17"/>
        <v/>
      </c>
      <c r="AT35" s="6" t="str">
        <f t="shared" si="18"/>
        <v/>
      </c>
      <c r="AU35" t="s">
        <v>141</v>
      </c>
    </row>
    <row r="36" spans="1:47">
      <c r="A36" s="7" t="str">
        <f>IF(fieldcreatorv2!B48="","",fieldcreatorv2!B48)</f>
        <v/>
      </c>
      <c r="B36" s="7" t="str">
        <f>IF(fieldcreatorv2!C48="","",fieldcreatorv2!C48)</f>
        <v/>
      </c>
      <c r="C36" s="7" t="str">
        <f>IF(fieldcreatorv2!G48="","",fieldcreatorv2!G48)</f>
        <v/>
      </c>
      <c r="D36" s="12"/>
      <c r="E36" s="12"/>
      <c r="F36" s="12"/>
      <c r="G36" s="12"/>
      <c r="H36" s="12"/>
      <c r="I36" s="12"/>
      <c r="J36" s="12"/>
      <c r="K36" s="12"/>
      <c r="L36" s="12"/>
      <c r="M36" s="7" t="str">
        <f t="shared" si="19"/>
        <v/>
      </c>
      <c r="N36" s="6" t="str">
        <f t="shared" si="20"/>
        <v/>
      </c>
      <c r="O36" s="12"/>
      <c r="P36" s="12"/>
      <c r="Q36" s="12"/>
      <c r="R36" s="12"/>
      <c r="S36" s="12"/>
      <c r="V36" s="1">
        <f t="shared" si="11"/>
        <v>0</v>
      </c>
      <c r="W36" t="s">
        <v>141</v>
      </c>
      <c r="X36" s="6" t="str">
        <f t="shared" si="15"/>
        <v/>
      </c>
      <c r="Y36" t="s">
        <v>141</v>
      </c>
      <c r="Z36" t="s">
        <v>141</v>
      </c>
      <c r="AA36" s="6" t="str">
        <f t="shared" si="12"/>
        <v/>
      </c>
      <c r="AB36" t="s">
        <v>141</v>
      </c>
      <c r="AC36" s="6" t="str">
        <f t="shared" si="16"/>
        <v/>
      </c>
      <c r="AD36" t="s">
        <v>141</v>
      </c>
      <c r="AE36" t="s">
        <v>141</v>
      </c>
      <c r="AF36" t="s">
        <v>141</v>
      </c>
      <c r="AG36" s="6" t="str">
        <f t="shared" si="21"/>
        <v/>
      </c>
      <c r="AH36" s="6" t="str">
        <f t="shared" si="13"/>
        <v/>
      </c>
      <c r="AI36" t="s">
        <v>141</v>
      </c>
      <c r="AJ36" t="s">
        <v>141</v>
      </c>
      <c r="AK36" s="6" t="str">
        <f t="shared" si="14"/>
        <v/>
      </c>
      <c r="AL36" t="s">
        <v>141</v>
      </c>
      <c r="AM36" t="s">
        <v>141</v>
      </c>
      <c r="AN36" s="6" t="str">
        <f t="shared" si="22"/>
        <v/>
      </c>
      <c r="AO36" t="s">
        <v>141</v>
      </c>
      <c r="AP36" t="s">
        <v>141</v>
      </c>
      <c r="AQ36" t="s">
        <v>141</v>
      </c>
      <c r="AR36" t="s">
        <v>141</v>
      </c>
      <c r="AS36" s="6" t="str">
        <f t="shared" si="17"/>
        <v/>
      </c>
      <c r="AT36" s="6" t="str">
        <f t="shared" si="18"/>
        <v/>
      </c>
      <c r="AU36" t="s">
        <v>141</v>
      </c>
    </row>
    <row r="37" spans="1:47">
      <c r="A37" s="7" t="str">
        <f>IF(fieldcreatorv2!B49="","",fieldcreatorv2!B49)</f>
        <v/>
      </c>
      <c r="B37" s="7" t="str">
        <f>IF(fieldcreatorv2!C49="","",fieldcreatorv2!C49)</f>
        <v/>
      </c>
      <c r="C37" s="7" t="str">
        <f>IF(fieldcreatorv2!G49="","",fieldcreatorv2!G49)</f>
        <v/>
      </c>
      <c r="D37" s="12"/>
      <c r="E37" s="12"/>
      <c r="F37" s="12"/>
      <c r="G37" s="12"/>
      <c r="H37" s="12"/>
      <c r="I37" s="12"/>
      <c r="J37" s="12"/>
      <c r="K37" s="12"/>
      <c r="L37" s="12"/>
      <c r="M37" s="7" t="str">
        <f t="shared" si="19"/>
        <v/>
      </c>
      <c r="N37" s="6" t="str">
        <f t="shared" si="20"/>
        <v/>
      </c>
      <c r="O37" s="12"/>
      <c r="P37" s="12"/>
      <c r="Q37" s="12"/>
      <c r="R37" s="12"/>
      <c r="S37" s="12"/>
      <c r="V37" s="1">
        <f t="shared" si="11"/>
        <v>0</v>
      </c>
      <c r="W37" t="s">
        <v>141</v>
      </c>
      <c r="X37" s="6" t="str">
        <f t="shared" si="15"/>
        <v/>
      </c>
      <c r="Y37" t="s">
        <v>141</v>
      </c>
      <c r="Z37" t="s">
        <v>141</v>
      </c>
      <c r="AA37" s="6" t="str">
        <f t="shared" si="12"/>
        <v/>
      </c>
      <c r="AB37" t="s">
        <v>141</v>
      </c>
      <c r="AC37" s="6" t="str">
        <f t="shared" si="16"/>
        <v/>
      </c>
      <c r="AD37" t="s">
        <v>141</v>
      </c>
      <c r="AE37" t="s">
        <v>141</v>
      </c>
      <c r="AF37" t="s">
        <v>141</v>
      </c>
      <c r="AG37" s="6" t="str">
        <f t="shared" si="21"/>
        <v/>
      </c>
      <c r="AH37" s="6" t="str">
        <f t="shared" si="13"/>
        <v/>
      </c>
      <c r="AI37" t="s">
        <v>141</v>
      </c>
      <c r="AJ37" t="s">
        <v>141</v>
      </c>
      <c r="AK37" s="6" t="str">
        <f t="shared" si="14"/>
        <v/>
      </c>
      <c r="AL37" t="s">
        <v>141</v>
      </c>
      <c r="AM37" t="s">
        <v>141</v>
      </c>
      <c r="AN37" s="6" t="str">
        <f t="shared" si="22"/>
        <v/>
      </c>
      <c r="AO37" t="s">
        <v>141</v>
      </c>
      <c r="AP37" t="s">
        <v>141</v>
      </c>
      <c r="AQ37" t="s">
        <v>141</v>
      </c>
      <c r="AR37" t="s">
        <v>141</v>
      </c>
      <c r="AS37" s="6" t="str">
        <f t="shared" si="17"/>
        <v/>
      </c>
      <c r="AT37" s="6" t="str">
        <f t="shared" si="18"/>
        <v/>
      </c>
      <c r="AU37" t="s">
        <v>141</v>
      </c>
    </row>
    <row r="38" spans="1:47">
      <c r="A38" s="7" t="str">
        <f>IF(fieldcreatorv2!B50="","",fieldcreatorv2!B50)</f>
        <v/>
      </c>
      <c r="B38" s="7" t="str">
        <f>IF(fieldcreatorv2!C50="","",fieldcreatorv2!C50)</f>
        <v/>
      </c>
      <c r="C38" s="7" t="str">
        <f>IF(fieldcreatorv2!G50="","",fieldcreatorv2!G50)</f>
        <v/>
      </c>
      <c r="D38" s="12"/>
      <c r="E38" s="12"/>
      <c r="F38" s="12"/>
      <c r="G38" s="12"/>
      <c r="H38" s="12"/>
      <c r="I38" s="12"/>
      <c r="J38" s="12"/>
      <c r="K38" s="12"/>
      <c r="L38" s="12"/>
      <c r="M38" s="7" t="str">
        <f t="shared" si="19"/>
        <v/>
      </c>
      <c r="N38" s="6" t="str">
        <f t="shared" si="20"/>
        <v/>
      </c>
      <c r="O38" s="12"/>
      <c r="P38" s="12"/>
      <c r="Q38" s="12"/>
      <c r="R38" s="12"/>
      <c r="S38" s="12"/>
      <c r="V38" s="1">
        <f t="shared" si="11"/>
        <v>0</v>
      </c>
      <c r="W38" t="s">
        <v>141</v>
      </c>
      <c r="X38" s="6" t="str">
        <f t="shared" si="15"/>
        <v/>
      </c>
      <c r="Y38" t="s">
        <v>141</v>
      </c>
      <c r="Z38" t="s">
        <v>141</v>
      </c>
      <c r="AA38" s="6" t="str">
        <f t="shared" si="12"/>
        <v/>
      </c>
      <c r="AB38" t="s">
        <v>141</v>
      </c>
      <c r="AC38" s="6" t="str">
        <f t="shared" si="16"/>
        <v/>
      </c>
      <c r="AD38" t="s">
        <v>141</v>
      </c>
      <c r="AE38" t="s">
        <v>141</v>
      </c>
      <c r="AF38" t="s">
        <v>141</v>
      </c>
      <c r="AG38" s="6" t="str">
        <f t="shared" si="21"/>
        <v/>
      </c>
      <c r="AH38" s="6" t="str">
        <f t="shared" si="13"/>
        <v/>
      </c>
      <c r="AI38" t="s">
        <v>141</v>
      </c>
      <c r="AJ38" t="s">
        <v>141</v>
      </c>
      <c r="AK38" s="6" t="str">
        <f t="shared" si="14"/>
        <v/>
      </c>
      <c r="AL38" t="s">
        <v>141</v>
      </c>
      <c r="AM38" t="s">
        <v>141</v>
      </c>
      <c r="AN38" s="6" t="str">
        <f t="shared" si="22"/>
        <v/>
      </c>
      <c r="AO38" t="s">
        <v>141</v>
      </c>
      <c r="AP38" t="s">
        <v>141</v>
      </c>
      <c r="AQ38" t="s">
        <v>141</v>
      </c>
      <c r="AR38" t="s">
        <v>141</v>
      </c>
      <c r="AS38" s="6" t="str">
        <f t="shared" si="17"/>
        <v/>
      </c>
      <c r="AT38" s="6" t="str">
        <f t="shared" si="18"/>
        <v/>
      </c>
      <c r="AU38" t="s">
        <v>141</v>
      </c>
    </row>
    <row r="39" spans="1:47">
      <c r="A39" s="7" t="str">
        <f>IF(fieldcreatorv2!B51="","",fieldcreatorv2!B51)</f>
        <v/>
      </c>
      <c r="B39" s="7" t="str">
        <f>IF(fieldcreatorv2!C51="","",fieldcreatorv2!C51)</f>
        <v/>
      </c>
      <c r="C39" s="7" t="str">
        <f>IF(fieldcreatorv2!G51="","",fieldcreatorv2!G51)</f>
        <v/>
      </c>
      <c r="D39" s="12"/>
      <c r="E39" s="12"/>
      <c r="F39" s="12"/>
      <c r="G39" s="12"/>
      <c r="H39" s="12"/>
      <c r="I39" s="12"/>
      <c r="J39" s="12"/>
      <c r="K39" s="12"/>
      <c r="L39" s="12"/>
      <c r="M39" s="7" t="str">
        <f t="shared" si="19"/>
        <v/>
      </c>
      <c r="N39" s="6" t="str">
        <f t="shared" si="20"/>
        <v/>
      </c>
      <c r="O39" s="12"/>
      <c r="P39" s="12"/>
      <c r="Q39" s="12"/>
      <c r="R39" s="12"/>
      <c r="S39" s="12"/>
      <c r="V39" s="1">
        <f t="shared" si="11"/>
        <v>0</v>
      </c>
      <c r="W39" t="s">
        <v>141</v>
      </c>
      <c r="X39" s="6" t="str">
        <f t="shared" si="15"/>
        <v/>
      </c>
      <c r="Y39" t="s">
        <v>141</v>
      </c>
      <c r="Z39" t="s">
        <v>141</v>
      </c>
      <c r="AA39" s="6" t="str">
        <f t="shared" si="12"/>
        <v/>
      </c>
      <c r="AB39" t="s">
        <v>141</v>
      </c>
      <c r="AC39" s="6" t="str">
        <f t="shared" si="16"/>
        <v/>
      </c>
      <c r="AD39" t="s">
        <v>141</v>
      </c>
      <c r="AE39" t="s">
        <v>141</v>
      </c>
      <c r="AF39" t="s">
        <v>141</v>
      </c>
      <c r="AG39" s="6" t="str">
        <f t="shared" si="21"/>
        <v/>
      </c>
      <c r="AH39" s="6" t="str">
        <f t="shared" si="13"/>
        <v/>
      </c>
      <c r="AI39" t="s">
        <v>141</v>
      </c>
      <c r="AJ39" t="s">
        <v>141</v>
      </c>
      <c r="AK39" s="6" t="str">
        <f t="shared" si="14"/>
        <v/>
      </c>
      <c r="AL39" t="s">
        <v>141</v>
      </c>
      <c r="AM39" t="s">
        <v>141</v>
      </c>
      <c r="AN39" s="6" t="str">
        <f t="shared" si="22"/>
        <v/>
      </c>
      <c r="AO39" t="s">
        <v>141</v>
      </c>
      <c r="AP39" t="s">
        <v>141</v>
      </c>
      <c r="AQ39" t="s">
        <v>141</v>
      </c>
      <c r="AR39" t="s">
        <v>141</v>
      </c>
      <c r="AS39" s="6" t="str">
        <f t="shared" si="17"/>
        <v/>
      </c>
      <c r="AT39" s="6" t="str">
        <f t="shared" si="18"/>
        <v/>
      </c>
      <c r="AU39" t="s">
        <v>141</v>
      </c>
    </row>
    <row r="40" spans="1:47">
      <c r="A40" s="7" t="str">
        <f>IF(fieldcreatorv2!B52="","",fieldcreatorv2!B52)</f>
        <v/>
      </c>
      <c r="B40" s="7" t="str">
        <f>IF(fieldcreatorv2!C52="","",fieldcreatorv2!C52)</f>
        <v/>
      </c>
      <c r="C40" s="7" t="str">
        <f>IF(fieldcreatorv2!G52="","",fieldcreatorv2!G52)</f>
        <v/>
      </c>
      <c r="D40" s="12"/>
      <c r="E40" s="12"/>
      <c r="F40" s="12"/>
      <c r="G40" s="12"/>
      <c r="H40" s="12"/>
      <c r="I40" s="12"/>
      <c r="J40" s="12"/>
      <c r="K40" s="12"/>
      <c r="L40" s="12"/>
      <c r="M40" s="7" t="str">
        <f t="shared" si="19"/>
        <v/>
      </c>
      <c r="N40" s="6" t="str">
        <f t="shared" si="20"/>
        <v/>
      </c>
      <c r="O40" s="12"/>
      <c r="P40" s="12"/>
      <c r="Q40" s="12"/>
      <c r="R40" s="12"/>
      <c r="S40" s="12"/>
      <c r="V40" s="1">
        <f t="shared" si="11"/>
        <v>0</v>
      </c>
      <c r="W40" t="s">
        <v>141</v>
      </c>
      <c r="X40" s="6" t="str">
        <f t="shared" si="15"/>
        <v/>
      </c>
      <c r="Y40" t="s">
        <v>141</v>
      </c>
      <c r="Z40" t="s">
        <v>141</v>
      </c>
      <c r="AA40" s="6" t="str">
        <f t="shared" si="12"/>
        <v/>
      </c>
      <c r="AB40" t="s">
        <v>141</v>
      </c>
      <c r="AC40" s="6" t="str">
        <f t="shared" si="16"/>
        <v/>
      </c>
      <c r="AD40" t="s">
        <v>141</v>
      </c>
      <c r="AE40" t="s">
        <v>141</v>
      </c>
      <c r="AF40" t="s">
        <v>141</v>
      </c>
      <c r="AG40" s="6" t="str">
        <f t="shared" si="21"/>
        <v/>
      </c>
      <c r="AH40" s="6" t="str">
        <f t="shared" si="13"/>
        <v/>
      </c>
      <c r="AI40" t="s">
        <v>141</v>
      </c>
      <c r="AJ40" t="s">
        <v>141</v>
      </c>
      <c r="AK40" s="6" t="str">
        <f t="shared" si="14"/>
        <v/>
      </c>
      <c r="AL40" t="s">
        <v>141</v>
      </c>
      <c r="AM40" t="s">
        <v>141</v>
      </c>
      <c r="AN40" s="6" t="str">
        <f t="shared" si="22"/>
        <v/>
      </c>
      <c r="AO40" t="s">
        <v>141</v>
      </c>
      <c r="AP40" t="s">
        <v>141</v>
      </c>
      <c r="AQ40" t="s">
        <v>141</v>
      </c>
      <c r="AR40" t="s">
        <v>141</v>
      </c>
      <c r="AS40" s="6" t="str">
        <f t="shared" si="17"/>
        <v/>
      </c>
      <c r="AT40" s="6" t="str">
        <f t="shared" si="18"/>
        <v/>
      </c>
      <c r="AU40" t="s">
        <v>141</v>
      </c>
    </row>
    <row r="41" spans="1:47">
      <c r="A41" s="7" t="str">
        <f>IF(fieldcreatorv2!B53="","",fieldcreatorv2!B53)</f>
        <v/>
      </c>
      <c r="B41" s="7" t="str">
        <f>IF(fieldcreatorv2!C53="","",fieldcreatorv2!C53)</f>
        <v/>
      </c>
      <c r="C41" s="7" t="str">
        <f>IF(fieldcreatorv2!G53="","",fieldcreatorv2!G53)</f>
        <v/>
      </c>
      <c r="D41" s="12"/>
      <c r="E41" s="12"/>
      <c r="F41" s="12"/>
      <c r="G41" s="12"/>
      <c r="H41" s="12"/>
      <c r="I41" s="12"/>
      <c r="J41" s="12"/>
      <c r="K41" s="12"/>
      <c r="L41" s="12"/>
      <c r="M41" s="7" t="str">
        <f t="shared" si="19"/>
        <v/>
      </c>
      <c r="N41" s="6" t="str">
        <f t="shared" si="20"/>
        <v/>
      </c>
      <c r="O41" s="12"/>
      <c r="P41" s="12"/>
      <c r="Q41" s="12"/>
      <c r="R41" s="12"/>
      <c r="S41" s="12"/>
      <c r="V41" s="1">
        <f t="shared" si="11"/>
        <v>0</v>
      </c>
      <c r="W41" t="s">
        <v>141</v>
      </c>
      <c r="X41" s="6" t="str">
        <f t="shared" si="15"/>
        <v/>
      </c>
      <c r="Y41" t="s">
        <v>141</v>
      </c>
      <c r="Z41" t="s">
        <v>141</v>
      </c>
      <c r="AA41" s="6" t="str">
        <f t="shared" si="12"/>
        <v/>
      </c>
      <c r="AB41" t="s">
        <v>141</v>
      </c>
      <c r="AC41" s="6" t="str">
        <f t="shared" si="16"/>
        <v/>
      </c>
      <c r="AD41" t="s">
        <v>141</v>
      </c>
      <c r="AE41" t="s">
        <v>141</v>
      </c>
      <c r="AF41" t="s">
        <v>141</v>
      </c>
      <c r="AG41" s="6" t="str">
        <f t="shared" si="21"/>
        <v/>
      </c>
      <c r="AH41" s="6" t="str">
        <f t="shared" si="13"/>
        <v/>
      </c>
      <c r="AI41" t="s">
        <v>141</v>
      </c>
      <c r="AJ41" t="s">
        <v>141</v>
      </c>
      <c r="AK41" s="6" t="str">
        <f t="shared" si="14"/>
        <v/>
      </c>
      <c r="AL41" t="s">
        <v>141</v>
      </c>
      <c r="AM41" t="s">
        <v>141</v>
      </c>
      <c r="AN41" s="6" t="str">
        <f t="shared" si="22"/>
        <v/>
      </c>
      <c r="AO41" t="s">
        <v>141</v>
      </c>
      <c r="AP41" t="s">
        <v>141</v>
      </c>
      <c r="AQ41" t="s">
        <v>141</v>
      </c>
      <c r="AR41" t="s">
        <v>141</v>
      </c>
      <c r="AS41" s="6" t="str">
        <f t="shared" si="17"/>
        <v/>
      </c>
      <c r="AT41" s="6" t="str">
        <f t="shared" si="18"/>
        <v/>
      </c>
      <c r="AU41" t="s">
        <v>141</v>
      </c>
    </row>
    <row r="42" spans="1:47">
      <c r="A42" s="7" t="str">
        <f>IF(fieldcreatorv2!B54="","",fieldcreatorv2!B54)</f>
        <v/>
      </c>
      <c r="B42" s="7" t="str">
        <f>IF(fieldcreatorv2!C54="","",fieldcreatorv2!C54)</f>
        <v/>
      </c>
      <c r="C42" s="7" t="str">
        <f>IF(fieldcreatorv2!G54="","",fieldcreatorv2!G54)</f>
        <v/>
      </c>
      <c r="D42" s="12"/>
      <c r="E42" s="12"/>
      <c r="F42" s="12"/>
      <c r="G42" s="12"/>
      <c r="H42" s="12"/>
      <c r="I42" s="12"/>
      <c r="J42" s="12"/>
      <c r="K42" s="12"/>
      <c r="L42" s="12"/>
      <c r="M42" s="7" t="str">
        <f t="shared" si="19"/>
        <v/>
      </c>
      <c r="N42" s="6" t="str">
        <f t="shared" si="20"/>
        <v/>
      </c>
      <c r="O42" s="12"/>
      <c r="P42" s="12"/>
      <c r="Q42" s="12"/>
      <c r="R42" s="12"/>
      <c r="S42" s="12"/>
      <c r="V42" s="1">
        <f t="shared" si="11"/>
        <v>0</v>
      </c>
      <c r="W42" t="s">
        <v>141</v>
      </c>
      <c r="X42" s="6" t="str">
        <f t="shared" si="15"/>
        <v/>
      </c>
      <c r="Y42" t="s">
        <v>141</v>
      </c>
      <c r="Z42" t="s">
        <v>141</v>
      </c>
      <c r="AA42" s="6" t="str">
        <f t="shared" si="12"/>
        <v/>
      </c>
      <c r="AB42" t="s">
        <v>141</v>
      </c>
      <c r="AC42" s="6" t="str">
        <f t="shared" si="16"/>
        <v/>
      </c>
      <c r="AD42" t="s">
        <v>141</v>
      </c>
      <c r="AE42" t="s">
        <v>141</v>
      </c>
      <c r="AF42" t="s">
        <v>141</v>
      </c>
      <c r="AG42" s="6" t="str">
        <f t="shared" si="21"/>
        <v/>
      </c>
      <c r="AH42" s="6" t="str">
        <f t="shared" si="13"/>
        <v/>
      </c>
      <c r="AI42" t="s">
        <v>141</v>
      </c>
      <c r="AJ42" t="s">
        <v>141</v>
      </c>
      <c r="AK42" s="6" t="str">
        <f t="shared" si="14"/>
        <v/>
      </c>
      <c r="AL42" t="s">
        <v>141</v>
      </c>
      <c r="AM42" t="s">
        <v>141</v>
      </c>
      <c r="AN42" s="6" t="str">
        <f t="shared" si="22"/>
        <v/>
      </c>
      <c r="AO42" t="s">
        <v>141</v>
      </c>
      <c r="AP42" t="s">
        <v>141</v>
      </c>
      <c r="AQ42" t="s">
        <v>141</v>
      </c>
      <c r="AR42" t="s">
        <v>141</v>
      </c>
      <c r="AS42" s="6" t="str">
        <f t="shared" si="17"/>
        <v/>
      </c>
      <c r="AT42" s="6" t="str">
        <f t="shared" si="18"/>
        <v/>
      </c>
      <c r="AU42" t="s">
        <v>141</v>
      </c>
    </row>
    <row r="43" spans="1:47">
      <c r="A43" s="7" t="str">
        <f>IF(fieldcreatorv2!B55="","",fieldcreatorv2!B55)</f>
        <v/>
      </c>
      <c r="B43" s="7" t="str">
        <f>IF(fieldcreatorv2!C55="","",fieldcreatorv2!C55)</f>
        <v/>
      </c>
      <c r="C43" s="7" t="str">
        <f>IF(fieldcreatorv2!G55="","",fieldcreatorv2!G55)</f>
        <v/>
      </c>
      <c r="D43" s="12"/>
      <c r="E43" s="12"/>
      <c r="F43" s="12"/>
      <c r="G43" s="12"/>
      <c r="H43" s="12"/>
      <c r="I43" s="12"/>
      <c r="J43" s="12"/>
      <c r="K43" s="12"/>
      <c r="L43" s="12"/>
      <c r="M43" s="7" t="str">
        <f t="shared" si="19"/>
        <v/>
      </c>
      <c r="N43" s="6" t="str">
        <f t="shared" si="20"/>
        <v/>
      </c>
      <c r="O43" s="12"/>
      <c r="P43" s="12"/>
      <c r="Q43" s="12"/>
      <c r="R43" s="12"/>
      <c r="S43" s="12"/>
      <c r="V43" s="1">
        <f t="shared" si="11"/>
        <v>0</v>
      </c>
      <c r="W43" t="s">
        <v>141</v>
      </c>
      <c r="X43" s="6" t="str">
        <f t="shared" si="15"/>
        <v/>
      </c>
      <c r="Y43" t="s">
        <v>141</v>
      </c>
      <c r="Z43" t="s">
        <v>141</v>
      </c>
      <c r="AA43" s="6" t="str">
        <f t="shared" si="12"/>
        <v/>
      </c>
      <c r="AB43" t="s">
        <v>141</v>
      </c>
      <c r="AC43" s="6" t="str">
        <f t="shared" si="16"/>
        <v/>
      </c>
      <c r="AD43" t="s">
        <v>141</v>
      </c>
      <c r="AE43" t="s">
        <v>141</v>
      </c>
      <c r="AF43" t="s">
        <v>141</v>
      </c>
      <c r="AG43" s="6" t="str">
        <f t="shared" si="21"/>
        <v/>
      </c>
      <c r="AH43" s="6" t="str">
        <f t="shared" si="13"/>
        <v/>
      </c>
      <c r="AI43" t="s">
        <v>141</v>
      </c>
      <c r="AJ43" t="s">
        <v>141</v>
      </c>
      <c r="AK43" s="6" t="str">
        <f t="shared" si="14"/>
        <v/>
      </c>
      <c r="AL43" t="s">
        <v>141</v>
      </c>
      <c r="AM43" t="s">
        <v>141</v>
      </c>
      <c r="AN43" s="6" t="str">
        <f t="shared" si="22"/>
        <v/>
      </c>
      <c r="AO43" t="s">
        <v>141</v>
      </c>
      <c r="AP43" t="s">
        <v>141</v>
      </c>
      <c r="AQ43" t="s">
        <v>141</v>
      </c>
      <c r="AR43" t="s">
        <v>141</v>
      </c>
      <c r="AS43" s="6" t="str">
        <f t="shared" si="17"/>
        <v/>
      </c>
      <c r="AT43" s="6" t="str">
        <f t="shared" si="18"/>
        <v/>
      </c>
      <c r="AU43" t="s">
        <v>141</v>
      </c>
    </row>
    <row r="44" spans="1:47">
      <c r="A44" s="7" t="str">
        <f>IF(fieldcreatorv2!B56="","",fieldcreatorv2!B56)</f>
        <v/>
      </c>
      <c r="B44" s="7" t="str">
        <f>IF(fieldcreatorv2!C56="","",fieldcreatorv2!C56)</f>
        <v/>
      </c>
      <c r="C44" s="7" t="str">
        <f>IF(fieldcreatorv2!G56="","",fieldcreatorv2!G56)</f>
        <v/>
      </c>
      <c r="D44" s="12"/>
      <c r="E44" s="12"/>
      <c r="F44" s="12"/>
      <c r="G44" s="12"/>
      <c r="H44" s="12"/>
      <c r="I44" s="12"/>
      <c r="J44" s="12"/>
      <c r="K44" s="12"/>
      <c r="L44" s="12"/>
      <c r="M44" s="7" t="str">
        <f t="shared" si="19"/>
        <v/>
      </c>
      <c r="N44" s="6" t="str">
        <f t="shared" si="20"/>
        <v/>
      </c>
      <c r="O44" s="12"/>
      <c r="P44" s="12"/>
      <c r="Q44" s="12"/>
      <c r="R44" s="12"/>
      <c r="S44" s="12"/>
      <c r="V44" s="1">
        <f t="shared" si="11"/>
        <v>0</v>
      </c>
      <c r="W44" t="s">
        <v>141</v>
      </c>
      <c r="X44" s="6" t="str">
        <f t="shared" si="15"/>
        <v/>
      </c>
      <c r="Y44" t="s">
        <v>141</v>
      </c>
      <c r="Z44" t="s">
        <v>141</v>
      </c>
      <c r="AA44" s="6" t="str">
        <f t="shared" si="12"/>
        <v/>
      </c>
      <c r="AB44" t="s">
        <v>141</v>
      </c>
      <c r="AC44" s="6" t="str">
        <f t="shared" si="16"/>
        <v/>
      </c>
      <c r="AD44" t="s">
        <v>141</v>
      </c>
      <c r="AE44" t="s">
        <v>141</v>
      </c>
      <c r="AF44" t="s">
        <v>141</v>
      </c>
      <c r="AG44" s="6" t="str">
        <f t="shared" si="21"/>
        <v/>
      </c>
      <c r="AH44" s="6" t="str">
        <f t="shared" si="13"/>
        <v/>
      </c>
      <c r="AI44" t="s">
        <v>141</v>
      </c>
      <c r="AJ44" t="s">
        <v>141</v>
      </c>
      <c r="AK44" s="6" t="str">
        <f t="shared" si="14"/>
        <v/>
      </c>
      <c r="AL44" t="s">
        <v>141</v>
      </c>
      <c r="AM44" t="s">
        <v>141</v>
      </c>
      <c r="AN44" s="6" t="str">
        <f t="shared" si="22"/>
        <v/>
      </c>
      <c r="AO44" t="s">
        <v>141</v>
      </c>
      <c r="AP44" t="s">
        <v>141</v>
      </c>
      <c r="AQ44" t="s">
        <v>141</v>
      </c>
      <c r="AR44" t="s">
        <v>141</v>
      </c>
      <c r="AS44" s="6" t="str">
        <f t="shared" si="17"/>
        <v/>
      </c>
      <c r="AT44" s="6" t="str">
        <f t="shared" si="18"/>
        <v/>
      </c>
      <c r="AU44" t="s">
        <v>141</v>
      </c>
    </row>
    <row r="45" spans="1:47">
      <c r="A45" s="7" t="str">
        <f>IF(fieldcreatorv2!B57="","",fieldcreatorv2!B57)</f>
        <v/>
      </c>
      <c r="B45" s="7" t="str">
        <f>IF(fieldcreatorv2!C57="","",fieldcreatorv2!C57)</f>
        <v/>
      </c>
      <c r="C45" s="7" t="str">
        <f>IF(fieldcreatorv2!G57="","",fieldcreatorv2!G57)</f>
        <v/>
      </c>
      <c r="D45" s="12"/>
      <c r="E45" s="12"/>
      <c r="F45" s="12"/>
      <c r="G45" s="12"/>
      <c r="H45" s="12"/>
      <c r="I45" s="12"/>
      <c r="J45" s="12"/>
      <c r="K45" s="12"/>
      <c r="L45" s="12"/>
      <c r="M45" s="7" t="str">
        <f t="shared" si="19"/>
        <v/>
      </c>
      <c r="N45" s="6" t="str">
        <f t="shared" si="20"/>
        <v/>
      </c>
      <c r="O45" s="12"/>
      <c r="P45" s="12"/>
      <c r="Q45" s="12"/>
      <c r="R45" s="12"/>
      <c r="S45" s="12"/>
      <c r="V45" s="1">
        <f t="shared" si="11"/>
        <v>0</v>
      </c>
      <c r="W45" t="s">
        <v>141</v>
      </c>
      <c r="X45" s="6" t="str">
        <f t="shared" si="15"/>
        <v/>
      </c>
      <c r="Y45" t="s">
        <v>141</v>
      </c>
      <c r="Z45" t="s">
        <v>141</v>
      </c>
      <c r="AA45" s="6" t="str">
        <f t="shared" si="12"/>
        <v/>
      </c>
      <c r="AB45" t="s">
        <v>141</v>
      </c>
      <c r="AC45" s="6" t="str">
        <f t="shared" si="16"/>
        <v/>
      </c>
      <c r="AD45" t="s">
        <v>141</v>
      </c>
      <c r="AE45" t="s">
        <v>141</v>
      </c>
      <c r="AF45" t="s">
        <v>141</v>
      </c>
      <c r="AG45" s="6" t="str">
        <f t="shared" si="21"/>
        <v/>
      </c>
      <c r="AH45" s="6" t="str">
        <f t="shared" si="13"/>
        <v/>
      </c>
      <c r="AI45" t="s">
        <v>141</v>
      </c>
      <c r="AJ45" t="s">
        <v>141</v>
      </c>
      <c r="AK45" s="6" t="str">
        <f t="shared" si="14"/>
        <v/>
      </c>
      <c r="AL45" t="s">
        <v>141</v>
      </c>
      <c r="AM45" t="s">
        <v>141</v>
      </c>
      <c r="AN45" s="6" t="str">
        <f t="shared" si="22"/>
        <v/>
      </c>
      <c r="AO45" t="s">
        <v>141</v>
      </c>
      <c r="AP45" t="s">
        <v>141</v>
      </c>
      <c r="AQ45" t="s">
        <v>141</v>
      </c>
      <c r="AR45" t="s">
        <v>141</v>
      </c>
      <c r="AS45" s="6" t="str">
        <f t="shared" si="17"/>
        <v/>
      </c>
      <c r="AT45" s="6" t="str">
        <f t="shared" si="18"/>
        <v/>
      </c>
      <c r="AU45" t="s">
        <v>141</v>
      </c>
    </row>
    <row r="46" spans="1:47">
      <c r="A46" s="7" t="str">
        <f>IF(fieldcreatorv2!B58="","",fieldcreatorv2!B58)</f>
        <v/>
      </c>
      <c r="B46" s="7" t="str">
        <f>IF(fieldcreatorv2!C58="","",fieldcreatorv2!C58)</f>
        <v/>
      </c>
      <c r="C46" s="7" t="str">
        <f>IF(fieldcreatorv2!G58="","",fieldcreatorv2!G58)</f>
        <v/>
      </c>
      <c r="D46" s="12"/>
      <c r="E46" s="12"/>
      <c r="F46" s="12"/>
      <c r="G46" s="12"/>
      <c r="H46" s="12"/>
      <c r="I46" s="12"/>
      <c r="J46" s="12"/>
      <c r="K46" s="12"/>
      <c r="L46" s="12"/>
      <c r="M46" s="7" t="str">
        <f t="shared" si="19"/>
        <v/>
      </c>
      <c r="N46" s="6" t="str">
        <f t="shared" si="20"/>
        <v/>
      </c>
      <c r="O46" s="12"/>
      <c r="P46" s="12"/>
      <c r="Q46" s="12"/>
      <c r="R46" s="12"/>
      <c r="S46" s="12"/>
      <c r="V46" s="1">
        <f t="shared" si="11"/>
        <v>0</v>
      </c>
      <c r="W46" t="s">
        <v>141</v>
      </c>
      <c r="X46" s="6" t="str">
        <f t="shared" si="15"/>
        <v/>
      </c>
      <c r="Y46" t="s">
        <v>141</v>
      </c>
      <c r="Z46" t="s">
        <v>141</v>
      </c>
      <c r="AA46" s="6" t="str">
        <f t="shared" si="12"/>
        <v/>
      </c>
      <c r="AB46" t="s">
        <v>141</v>
      </c>
      <c r="AC46" s="6" t="str">
        <f t="shared" si="16"/>
        <v/>
      </c>
      <c r="AD46" t="s">
        <v>141</v>
      </c>
      <c r="AE46" t="s">
        <v>141</v>
      </c>
      <c r="AF46" t="s">
        <v>141</v>
      </c>
      <c r="AG46" s="6" t="str">
        <f t="shared" si="21"/>
        <v/>
      </c>
      <c r="AH46" s="6" t="str">
        <f t="shared" si="13"/>
        <v/>
      </c>
      <c r="AI46" t="s">
        <v>141</v>
      </c>
      <c r="AJ46" t="s">
        <v>141</v>
      </c>
      <c r="AK46" s="6" t="str">
        <f t="shared" si="14"/>
        <v/>
      </c>
      <c r="AL46" t="s">
        <v>141</v>
      </c>
      <c r="AM46" t="s">
        <v>141</v>
      </c>
      <c r="AN46" s="6" t="str">
        <f t="shared" si="22"/>
        <v/>
      </c>
      <c r="AO46" t="s">
        <v>141</v>
      </c>
      <c r="AP46" t="s">
        <v>141</v>
      </c>
      <c r="AQ46" t="s">
        <v>141</v>
      </c>
      <c r="AR46" t="s">
        <v>141</v>
      </c>
      <c r="AS46" s="6" t="str">
        <f t="shared" si="17"/>
        <v/>
      </c>
      <c r="AT46" s="6" t="str">
        <f t="shared" si="18"/>
        <v/>
      </c>
      <c r="AU46" t="s">
        <v>141</v>
      </c>
    </row>
    <row r="47" spans="1:47">
      <c r="A47" s="7" t="str">
        <f>IF(fieldcreatorv2!B59="","",fieldcreatorv2!B59)</f>
        <v/>
      </c>
      <c r="B47" s="7" t="str">
        <f>IF(fieldcreatorv2!C59="","",fieldcreatorv2!C59)</f>
        <v/>
      </c>
      <c r="C47" s="7" t="str">
        <f>IF(fieldcreatorv2!G59="","",fieldcreatorv2!G59)</f>
        <v/>
      </c>
      <c r="D47" s="12"/>
      <c r="E47" s="12"/>
      <c r="F47" s="12"/>
      <c r="G47" s="12"/>
      <c r="H47" s="12"/>
      <c r="I47" s="12"/>
      <c r="J47" s="12"/>
      <c r="K47" s="12"/>
      <c r="L47" s="12"/>
      <c r="M47" s="7" t="str">
        <f t="shared" si="19"/>
        <v/>
      </c>
      <c r="N47" s="6" t="str">
        <f t="shared" si="20"/>
        <v/>
      </c>
      <c r="O47" s="12"/>
      <c r="P47" s="12"/>
      <c r="Q47" s="12"/>
      <c r="R47" s="12"/>
      <c r="S47" s="12"/>
      <c r="V47" s="1">
        <f t="shared" si="11"/>
        <v>0</v>
      </c>
      <c r="W47" t="s">
        <v>141</v>
      </c>
      <c r="X47" s="6" t="str">
        <f t="shared" si="15"/>
        <v/>
      </c>
      <c r="Y47" t="s">
        <v>141</v>
      </c>
      <c r="Z47" t="s">
        <v>141</v>
      </c>
      <c r="AA47" s="6" t="str">
        <f t="shared" si="12"/>
        <v/>
      </c>
      <c r="AB47" t="s">
        <v>141</v>
      </c>
      <c r="AC47" s="6" t="str">
        <f t="shared" si="16"/>
        <v/>
      </c>
      <c r="AD47" t="s">
        <v>141</v>
      </c>
      <c r="AE47" t="s">
        <v>141</v>
      </c>
      <c r="AF47" t="s">
        <v>141</v>
      </c>
      <c r="AG47" s="6" t="str">
        <f t="shared" si="21"/>
        <v/>
      </c>
      <c r="AH47" s="6" t="str">
        <f t="shared" si="13"/>
        <v/>
      </c>
      <c r="AI47" t="s">
        <v>141</v>
      </c>
      <c r="AJ47" t="s">
        <v>141</v>
      </c>
      <c r="AK47" s="6" t="str">
        <f t="shared" si="14"/>
        <v/>
      </c>
      <c r="AL47" t="s">
        <v>141</v>
      </c>
      <c r="AM47" t="s">
        <v>141</v>
      </c>
      <c r="AN47" s="6" t="str">
        <f t="shared" si="22"/>
        <v/>
      </c>
      <c r="AO47" t="s">
        <v>141</v>
      </c>
      <c r="AP47" t="s">
        <v>141</v>
      </c>
      <c r="AQ47" t="s">
        <v>141</v>
      </c>
      <c r="AR47" t="s">
        <v>141</v>
      </c>
      <c r="AS47" s="6" t="str">
        <f t="shared" si="17"/>
        <v/>
      </c>
      <c r="AT47" s="6" t="str">
        <f t="shared" si="18"/>
        <v/>
      </c>
      <c r="AU47" t="s">
        <v>141</v>
      </c>
    </row>
    <row r="48" spans="1:47">
      <c r="A48" s="7" t="str">
        <f>IF(fieldcreatorv2!B60="","",fieldcreatorv2!B60)</f>
        <v/>
      </c>
      <c r="B48" s="7" t="str">
        <f>IF(fieldcreatorv2!C60="","",fieldcreatorv2!C60)</f>
        <v/>
      </c>
      <c r="C48" s="7" t="str">
        <f>IF(fieldcreatorv2!G60="","",fieldcreatorv2!G60)</f>
        <v/>
      </c>
      <c r="D48" s="12"/>
      <c r="E48" s="12"/>
      <c r="F48" s="12"/>
      <c r="G48" s="12"/>
      <c r="H48" s="12"/>
      <c r="I48" s="12"/>
      <c r="J48" s="12"/>
      <c r="K48" s="12"/>
      <c r="L48" s="12"/>
      <c r="M48" s="7" t="str">
        <f t="shared" si="19"/>
        <v/>
      </c>
      <c r="N48" s="6" t="str">
        <f t="shared" si="20"/>
        <v/>
      </c>
      <c r="O48" s="12"/>
      <c r="P48" s="12"/>
      <c r="Q48" s="12"/>
      <c r="R48" s="12"/>
      <c r="S48" s="12"/>
      <c r="V48" s="1">
        <f t="shared" si="11"/>
        <v>0</v>
      </c>
      <c r="W48" t="s">
        <v>141</v>
      </c>
      <c r="X48" s="6" t="str">
        <f t="shared" si="15"/>
        <v/>
      </c>
      <c r="Y48" t="s">
        <v>141</v>
      </c>
      <c r="Z48" t="s">
        <v>141</v>
      </c>
      <c r="AA48" s="6" t="str">
        <f t="shared" si="12"/>
        <v/>
      </c>
      <c r="AB48" t="s">
        <v>141</v>
      </c>
      <c r="AC48" s="6" t="str">
        <f t="shared" si="16"/>
        <v/>
      </c>
      <c r="AD48" t="s">
        <v>141</v>
      </c>
      <c r="AE48" t="s">
        <v>141</v>
      </c>
      <c r="AF48" t="s">
        <v>141</v>
      </c>
      <c r="AG48" s="6" t="str">
        <f t="shared" si="21"/>
        <v/>
      </c>
      <c r="AH48" s="6" t="str">
        <f t="shared" si="13"/>
        <v/>
      </c>
      <c r="AI48" t="s">
        <v>141</v>
      </c>
      <c r="AJ48" t="s">
        <v>141</v>
      </c>
      <c r="AK48" s="6" t="str">
        <f t="shared" si="14"/>
        <v/>
      </c>
      <c r="AL48" t="s">
        <v>141</v>
      </c>
      <c r="AM48" t="s">
        <v>141</v>
      </c>
      <c r="AN48" s="6" t="str">
        <f t="shared" si="22"/>
        <v/>
      </c>
      <c r="AO48" t="s">
        <v>141</v>
      </c>
      <c r="AP48" t="s">
        <v>141</v>
      </c>
      <c r="AQ48" t="s">
        <v>141</v>
      </c>
      <c r="AR48" t="s">
        <v>141</v>
      </c>
      <c r="AS48" s="6" t="str">
        <f t="shared" si="17"/>
        <v/>
      </c>
      <c r="AT48" s="6" t="str">
        <f t="shared" si="18"/>
        <v/>
      </c>
      <c r="AU48" t="s">
        <v>141</v>
      </c>
    </row>
    <row r="49" spans="1:47">
      <c r="A49" s="7" t="str">
        <f>IF(fieldcreatorv2!B61="","",fieldcreatorv2!B61)</f>
        <v/>
      </c>
      <c r="B49" s="7" t="str">
        <f>IF(fieldcreatorv2!C61="","",fieldcreatorv2!C61)</f>
        <v/>
      </c>
      <c r="C49" s="7" t="str">
        <f>IF(fieldcreatorv2!G61="","",fieldcreatorv2!G61)</f>
        <v/>
      </c>
      <c r="D49" s="12"/>
      <c r="E49" s="12"/>
      <c r="F49" s="12"/>
      <c r="G49" s="12"/>
      <c r="H49" s="12"/>
      <c r="I49" s="12"/>
      <c r="J49" s="12"/>
      <c r="K49" s="12"/>
      <c r="L49" s="12"/>
      <c r="M49" s="7" t="str">
        <f t="shared" si="19"/>
        <v/>
      </c>
      <c r="N49" s="6" t="str">
        <f t="shared" si="20"/>
        <v/>
      </c>
      <c r="O49" s="12"/>
      <c r="P49" s="12"/>
      <c r="Q49" s="12"/>
      <c r="R49" s="12"/>
      <c r="S49" s="12"/>
      <c r="V49" s="1">
        <f t="shared" si="11"/>
        <v>0</v>
      </c>
      <c r="W49" t="s">
        <v>141</v>
      </c>
      <c r="X49" s="6" t="str">
        <f t="shared" si="15"/>
        <v/>
      </c>
      <c r="Y49" t="s">
        <v>141</v>
      </c>
      <c r="Z49" t="s">
        <v>141</v>
      </c>
      <c r="AA49" s="6" t="str">
        <f t="shared" si="12"/>
        <v/>
      </c>
      <c r="AB49" t="s">
        <v>141</v>
      </c>
      <c r="AC49" s="6" t="str">
        <f t="shared" si="16"/>
        <v/>
      </c>
      <c r="AD49" t="s">
        <v>141</v>
      </c>
      <c r="AE49" t="s">
        <v>141</v>
      </c>
      <c r="AF49" t="s">
        <v>141</v>
      </c>
      <c r="AG49" s="6" t="str">
        <f t="shared" si="21"/>
        <v/>
      </c>
      <c r="AH49" s="6" t="str">
        <f t="shared" si="13"/>
        <v/>
      </c>
      <c r="AI49" t="s">
        <v>141</v>
      </c>
      <c r="AJ49" t="s">
        <v>141</v>
      </c>
      <c r="AK49" s="6" t="str">
        <f t="shared" si="14"/>
        <v/>
      </c>
      <c r="AL49" t="s">
        <v>141</v>
      </c>
      <c r="AM49" t="s">
        <v>141</v>
      </c>
      <c r="AN49" s="6" t="str">
        <f t="shared" si="22"/>
        <v/>
      </c>
      <c r="AO49" t="s">
        <v>141</v>
      </c>
      <c r="AP49" t="s">
        <v>141</v>
      </c>
      <c r="AQ49" t="s">
        <v>141</v>
      </c>
      <c r="AR49" t="s">
        <v>141</v>
      </c>
      <c r="AS49" s="6" t="str">
        <f t="shared" si="17"/>
        <v/>
      </c>
      <c r="AT49" s="6" t="str">
        <f t="shared" si="18"/>
        <v/>
      </c>
      <c r="AU49" t="s">
        <v>141</v>
      </c>
    </row>
    <row r="50" spans="1:47">
      <c r="A50" s="7" t="str">
        <f>IF(fieldcreatorv2!B62="","",fieldcreatorv2!B62)</f>
        <v/>
      </c>
      <c r="B50" s="7" t="str">
        <f>IF(fieldcreatorv2!C62="","",fieldcreatorv2!C62)</f>
        <v/>
      </c>
      <c r="C50" s="7" t="str">
        <f>IF(fieldcreatorv2!G62="","",fieldcreatorv2!G62)</f>
        <v/>
      </c>
      <c r="D50" s="12"/>
      <c r="E50" s="12"/>
      <c r="F50" s="12"/>
      <c r="G50" s="12"/>
      <c r="H50" s="12"/>
      <c r="I50" s="12"/>
      <c r="J50" s="12"/>
      <c r="K50" s="12"/>
      <c r="L50" s="12"/>
      <c r="M50" s="7" t="str">
        <f t="shared" si="19"/>
        <v/>
      </c>
      <c r="N50" s="6" t="str">
        <f t="shared" si="20"/>
        <v/>
      </c>
      <c r="O50" s="12"/>
      <c r="P50" s="12"/>
      <c r="Q50" s="12"/>
      <c r="R50" s="12"/>
      <c r="S50" s="12"/>
      <c r="V50" s="1">
        <f t="shared" si="11"/>
        <v>0</v>
      </c>
      <c r="W50" t="s">
        <v>141</v>
      </c>
      <c r="X50" s="6" t="str">
        <f t="shared" si="15"/>
        <v/>
      </c>
      <c r="Y50" t="s">
        <v>141</v>
      </c>
      <c r="Z50" t="s">
        <v>141</v>
      </c>
      <c r="AA50" s="6" t="str">
        <f t="shared" si="12"/>
        <v/>
      </c>
      <c r="AB50" t="s">
        <v>141</v>
      </c>
      <c r="AC50" s="6" t="str">
        <f t="shared" si="16"/>
        <v/>
      </c>
      <c r="AD50" t="s">
        <v>141</v>
      </c>
      <c r="AE50" t="s">
        <v>141</v>
      </c>
      <c r="AF50" t="s">
        <v>141</v>
      </c>
      <c r="AG50" s="6" t="str">
        <f t="shared" si="21"/>
        <v/>
      </c>
      <c r="AH50" s="6" t="str">
        <f t="shared" si="13"/>
        <v/>
      </c>
      <c r="AI50" t="s">
        <v>141</v>
      </c>
      <c r="AJ50" t="s">
        <v>141</v>
      </c>
      <c r="AK50" s="6" t="str">
        <f t="shared" si="14"/>
        <v/>
      </c>
      <c r="AL50" t="s">
        <v>141</v>
      </c>
      <c r="AM50" t="s">
        <v>141</v>
      </c>
      <c r="AN50" s="6" t="str">
        <f t="shared" si="22"/>
        <v/>
      </c>
      <c r="AO50" t="s">
        <v>141</v>
      </c>
      <c r="AP50" t="s">
        <v>141</v>
      </c>
      <c r="AQ50" t="s">
        <v>141</v>
      </c>
      <c r="AR50" t="s">
        <v>141</v>
      </c>
      <c r="AS50" s="6" t="str">
        <f t="shared" si="17"/>
        <v/>
      </c>
      <c r="AT50" s="6" t="str">
        <f t="shared" si="18"/>
        <v/>
      </c>
      <c r="AU50" t="s">
        <v>141</v>
      </c>
    </row>
    <row r="51" spans="1:47">
      <c r="A51" s="7" t="str">
        <f>IF(fieldcreatorv2!B63="","",fieldcreatorv2!B63)</f>
        <v/>
      </c>
      <c r="B51" s="7" t="str">
        <f>IF(fieldcreatorv2!C63="","",fieldcreatorv2!C63)</f>
        <v/>
      </c>
      <c r="C51" s="7" t="str">
        <f>IF(fieldcreatorv2!G63="","",fieldcreatorv2!G63)</f>
        <v/>
      </c>
      <c r="D51" s="12"/>
      <c r="E51" s="12"/>
      <c r="F51" s="12"/>
      <c r="G51" s="12"/>
      <c r="H51" s="12"/>
      <c r="I51" s="12"/>
      <c r="J51" s="12"/>
      <c r="K51" s="12"/>
      <c r="L51" s="12"/>
      <c r="M51" s="7" t="str">
        <f t="shared" si="19"/>
        <v/>
      </c>
      <c r="N51" s="6" t="str">
        <f t="shared" si="20"/>
        <v/>
      </c>
      <c r="O51" s="12"/>
      <c r="P51" s="12"/>
      <c r="Q51" s="12"/>
      <c r="R51" s="12"/>
      <c r="S51" s="12"/>
      <c r="V51" s="1">
        <f t="shared" si="11"/>
        <v>0</v>
      </c>
      <c r="W51" t="s">
        <v>141</v>
      </c>
      <c r="X51" s="6" t="str">
        <f t="shared" si="15"/>
        <v/>
      </c>
      <c r="Y51" t="s">
        <v>141</v>
      </c>
      <c r="Z51" t="s">
        <v>141</v>
      </c>
      <c r="AA51" s="6" t="str">
        <f t="shared" si="12"/>
        <v/>
      </c>
      <c r="AB51" t="s">
        <v>141</v>
      </c>
      <c r="AC51" s="6" t="str">
        <f t="shared" si="16"/>
        <v/>
      </c>
      <c r="AD51" t="s">
        <v>141</v>
      </c>
      <c r="AE51" t="s">
        <v>141</v>
      </c>
      <c r="AF51" t="s">
        <v>141</v>
      </c>
      <c r="AG51" s="6" t="str">
        <f t="shared" si="21"/>
        <v/>
      </c>
      <c r="AH51" s="6" t="str">
        <f t="shared" si="13"/>
        <v/>
      </c>
      <c r="AI51" t="s">
        <v>141</v>
      </c>
      <c r="AJ51" t="s">
        <v>141</v>
      </c>
      <c r="AK51" s="6" t="str">
        <f t="shared" si="14"/>
        <v/>
      </c>
      <c r="AL51" t="s">
        <v>141</v>
      </c>
      <c r="AM51" t="s">
        <v>141</v>
      </c>
      <c r="AN51" s="6" t="str">
        <f t="shared" si="22"/>
        <v/>
      </c>
      <c r="AO51" t="s">
        <v>141</v>
      </c>
      <c r="AP51" t="s">
        <v>141</v>
      </c>
      <c r="AQ51" t="s">
        <v>141</v>
      </c>
      <c r="AR51" t="s">
        <v>141</v>
      </c>
      <c r="AS51" s="6" t="str">
        <f t="shared" si="17"/>
        <v/>
      </c>
      <c r="AT51" s="6" t="str">
        <f t="shared" si="18"/>
        <v/>
      </c>
      <c r="AU51" t="s">
        <v>141</v>
      </c>
    </row>
    <row r="52" spans="1:47">
      <c r="A52" s="7" t="str">
        <f>IF(fieldcreatorv2!B64="","",fieldcreatorv2!B64)</f>
        <v/>
      </c>
      <c r="B52" s="7" t="str">
        <f>IF(fieldcreatorv2!C64="","",fieldcreatorv2!C64)</f>
        <v/>
      </c>
      <c r="C52" s="7" t="str">
        <f>IF(fieldcreatorv2!G64="","",fieldcreatorv2!G64)</f>
        <v/>
      </c>
      <c r="D52" s="12"/>
      <c r="E52" s="12"/>
      <c r="F52" s="12"/>
      <c r="G52" s="12"/>
      <c r="H52" s="12"/>
      <c r="I52" s="12"/>
      <c r="J52" s="12"/>
      <c r="K52" s="12"/>
      <c r="L52" s="12"/>
      <c r="M52" s="7" t="str">
        <f t="shared" si="19"/>
        <v/>
      </c>
      <c r="N52" s="6" t="str">
        <f t="shared" si="20"/>
        <v/>
      </c>
      <c r="O52" s="12"/>
      <c r="P52" s="12"/>
      <c r="Q52" s="12"/>
      <c r="R52" s="12"/>
      <c r="S52" s="12"/>
      <c r="V52" s="1">
        <f t="shared" si="11"/>
        <v>0</v>
      </c>
      <c r="W52" t="s">
        <v>141</v>
      </c>
      <c r="X52" s="6" t="str">
        <f t="shared" si="15"/>
        <v/>
      </c>
      <c r="Y52" t="s">
        <v>141</v>
      </c>
      <c r="Z52" t="s">
        <v>141</v>
      </c>
      <c r="AA52" s="6" t="str">
        <f t="shared" si="12"/>
        <v/>
      </c>
      <c r="AB52" t="s">
        <v>141</v>
      </c>
      <c r="AC52" s="6" t="str">
        <f t="shared" si="16"/>
        <v/>
      </c>
      <c r="AD52" t="s">
        <v>141</v>
      </c>
      <c r="AE52" t="s">
        <v>141</v>
      </c>
      <c r="AF52" t="s">
        <v>141</v>
      </c>
      <c r="AG52" s="6" t="str">
        <f t="shared" si="21"/>
        <v/>
      </c>
      <c r="AH52" s="6" t="str">
        <f t="shared" si="13"/>
        <v/>
      </c>
      <c r="AI52" t="s">
        <v>141</v>
      </c>
      <c r="AJ52" t="s">
        <v>141</v>
      </c>
      <c r="AK52" s="6" t="str">
        <f t="shared" si="14"/>
        <v/>
      </c>
      <c r="AL52" t="s">
        <v>141</v>
      </c>
      <c r="AM52" t="s">
        <v>141</v>
      </c>
      <c r="AN52" s="6" t="str">
        <f t="shared" si="22"/>
        <v/>
      </c>
      <c r="AO52" t="s">
        <v>141</v>
      </c>
      <c r="AP52" t="s">
        <v>141</v>
      </c>
      <c r="AQ52" t="s">
        <v>141</v>
      </c>
      <c r="AR52" t="s">
        <v>141</v>
      </c>
      <c r="AS52" s="6" t="str">
        <f t="shared" si="17"/>
        <v/>
      </c>
      <c r="AT52" s="6" t="str">
        <f t="shared" si="18"/>
        <v/>
      </c>
      <c r="AU52" t="s">
        <v>141</v>
      </c>
    </row>
    <row r="53" spans="1:47">
      <c r="A53" s="7" t="str">
        <f>IF(fieldcreatorv2!B65="","",fieldcreatorv2!B65)</f>
        <v/>
      </c>
      <c r="B53" s="7" t="str">
        <f>IF(fieldcreatorv2!C65="","",fieldcreatorv2!C65)</f>
        <v/>
      </c>
      <c r="C53" s="7" t="str">
        <f>IF(fieldcreatorv2!G65="","",fieldcreatorv2!G65)</f>
        <v/>
      </c>
      <c r="D53" s="12"/>
      <c r="E53" s="12"/>
      <c r="F53" s="12"/>
      <c r="G53" s="12"/>
      <c r="H53" s="12"/>
      <c r="I53" s="12"/>
      <c r="J53" s="12"/>
      <c r="K53" s="12"/>
      <c r="L53" s="12"/>
      <c r="M53" s="7" t="str">
        <f t="shared" si="19"/>
        <v/>
      </c>
      <c r="N53" s="6" t="str">
        <f t="shared" si="20"/>
        <v/>
      </c>
      <c r="O53" s="12"/>
      <c r="P53" s="12"/>
      <c r="Q53" s="12"/>
      <c r="R53" s="12"/>
      <c r="S53" s="12"/>
      <c r="V53" s="1">
        <f t="shared" si="11"/>
        <v>0</v>
      </c>
      <c r="W53" t="s">
        <v>141</v>
      </c>
      <c r="X53" s="6" t="str">
        <f t="shared" si="15"/>
        <v/>
      </c>
      <c r="Y53" t="s">
        <v>141</v>
      </c>
      <c r="Z53" t="s">
        <v>141</v>
      </c>
      <c r="AA53" s="6" t="str">
        <f t="shared" si="12"/>
        <v/>
      </c>
      <c r="AB53" t="s">
        <v>141</v>
      </c>
      <c r="AC53" s="6" t="str">
        <f t="shared" si="16"/>
        <v/>
      </c>
      <c r="AD53" t="s">
        <v>141</v>
      </c>
      <c r="AE53" t="s">
        <v>141</v>
      </c>
      <c r="AF53" t="s">
        <v>141</v>
      </c>
      <c r="AG53" s="6" t="str">
        <f t="shared" si="21"/>
        <v/>
      </c>
      <c r="AH53" s="6" t="str">
        <f t="shared" si="13"/>
        <v/>
      </c>
      <c r="AI53" t="s">
        <v>141</v>
      </c>
      <c r="AJ53" t="s">
        <v>141</v>
      </c>
      <c r="AK53" s="6" t="str">
        <f t="shared" si="14"/>
        <v/>
      </c>
      <c r="AL53" t="s">
        <v>141</v>
      </c>
      <c r="AM53" t="s">
        <v>141</v>
      </c>
      <c r="AN53" s="6" t="str">
        <f t="shared" si="22"/>
        <v/>
      </c>
      <c r="AO53" t="s">
        <v>141</v>
      </c>
      <c r="AP53" t="s">
        <v>141</v>
      </c>
      <c r="AQ53" t="s">
        <v>141</v>
      </c>
      <c r="AR53" t="s">
        <v>141</v>
      </c>
      <c r="AS53" s="6" t="str">
        <f t="shared" si="17"/>
        <v/>
      </c>
      <c r="AT53" s="6" t="str">
        <f t="shared" si="18"/>
        <v/>
      </c>
      <c r="AU53" t="s">
        <v>141</v>
      </c>
    </row>
    <row r="54" spans="1:47">
      <c r="A54" s="7" t="str">
        <f>IF(fieldcreatorv2!B66="","",fieldcreatorv2!B66)</f>
        <v/>
      </c>
      <c r="B54" s="7" t="str">
        <f>IF(fieldcreatorv2!C66="","",fieldcreatorv2!C66)</f>
        <v/>
      </c>
      <c r="C54" s="7" t="str">
        <f>IF(fieldcreatorv2!G66="","",fieldcreatorv2!G66)</f>
        <v/>
      </c>
      <c r="D54" s="12"/>
      <c r="E54" s="12"/>
      <c r="F54" s="12"/>
      <c r="G54" s="12"/>
      <c r="H54" s="12"/>
      <c r="I54" s="12"/>
      <c r="J54" s="12"/>
      <c r="K54" s="12"/>
      <c r="L54" s="12"/>
      <c r="M54" s="7" t="str">
        <f t="shared" si="19"/>
        <v/>
      </c>
      <c r="N54" s="6" t="str">
        <f t="shared" si="20"/>
        <v/>
      </c>
      <c r="O54" s="12"/>
      <c r="P54" s="12"/>
      <c r="Q54" s="12"/>
      <c r="R54" s="12"/>
      <c r="S54" s="12"/>
      <c r="V54" s="1">
        <f t="shared" si="11"/>
        <v>0</v>
      </c>
      <c r="W54" t="s">
        <v>141</v>
      </c>
      <c r="X54" s="6" t="str">
        <f t="shared" si="15"/>
        <v/>
      </c>
      <c r="Y54" t="s">
        <v>141</v>
      </c>
      <c r="Z54" t="s">
        <v>141</v>
      </c>
      <c r="AA54" s="6" t="str">
        <f t="shared" si="12"/>
        <v/>
      </c>
      <c r="AB54" t="s">
        <v>141</v>
      </c>
      <c r="AC54" s="6" t="str">
        <f t="shared" si="16"/>
        <v/>
      </c>
      <c r="AD54" t="s">
        <v>141</v>
      </c>
      <c r="AE54" t="s">
        <v>141</v>
      </c>
      <c r="AF54" t="s">
        <v>141</v>
      </c>
      <c r="AG54" s="6" t="str">
        <f t="shared" si="21"/>
        <v/>
      </c>
      <c r="AH54" s="6" t="str">
        <f t="shared" si="13"/>
        <v/>
      </c>
      <c r="AI54" t="s">
        <v>141</v>
      </c>
      <c r="AJ54" t="s">
        <v>141</v>
      </c>
      <c r="AK54" s="6" t="str">
        <f t="shared" si="14"/>
        <v/>
      </c>
      <c r="AL54" t="s">
        <v>141</v>
      </c>
      <c r="AM54" t="s">
        <v>141</v>
      </c>
      <c r="AN54" s="6" t="str">
        <f t="shared" si="22"/>
        <v/>
      </c>
      <c r="AO54" t="s">
        <v>141</v>
      </c>
      <c r="AP54" t="s">
        <v>141</v>
      </c>
      <c r="AQ54" t="s">
        <v>141</v>
      </c>
      <c r="AR54" t="s">
        <v>141</v>
      </c>
      <c r="AS54" s="6" t="str">
        <f t="shared" si="17"/>
        <v/>
      </c>
      <c r="AT54" s="6" t="str">
        <f t="shared" si="18"/>
        <v/>
      </c>
      <c r="AU54" t="s">
        <v>141</v>
      </c>
    </row>
    <row r="55" spans="1:47">
      <c r="A55" s="7" t="str">
        <f>IF(fieldcreatorv2!B67="","",fieldcreatorv2!B67)</f>
        <v/>
      </c>
      <c r="B55" s="7" t="str">
        <f>IF(fieldcreatorv2!C67="","",fieldcreatorv2!C67)</f>
        <v/>
      </c>
      <c r="C55" s="7" t="str">
        <f>IF(fieldcreatorv2!G67="","",fieldcreatorv2!G67)</f>
        <v/>
      </c>
      <c r="D55" s="12"/>
      <c r="E55" s="12"/>
      <c r="F55" s="12"/>
      <c r="G55" s="12"/>
      <c r="H55" s="12"/>
      <c r="I55" s="12"/>
      <c r="J55" s="12"/>
      <c r="K55" s="12"/>
      <c r="L55" s="12"/>
      <c r="M55" s="7" t="str">
        <f t="shared" ref="M55:M102" si="23">IF(B55="","",B55)</f>
        <v/>
      </c>
      <c r="N55" s="6" t="str">
        <f t="shared" si="20"/>
        <v/>
      </c>
      <c r="O55" s="12"/>
      <c r="P55" s="12"/>
      <c r="Q55" s="12"/>
      <c r="R55" s="12"/>
      <c r="S55" s="12"/>
      <c r="V55" s="1">
        <f t="shared" si="11"/>
        <v>0</v>
      </c>
      <c r="W55" t="s">
        <v>141</v>
      </c>
      <c r="X55" s="6" t="str">
        <f t="shared" si="15"/>
        <v/>
      </c>
      <c r="Y55" t="s">
        <v>141</v>
      </c>
      <c r="Z55" t="s">
        <v>141</v>
      </c>
      <c r="AA55" s="6" t="str">
        <f t="shared" si="12"/>
        <v/>
      </c>
      <c r="AB55" t="s">
        <v>141</v>
      </c>
      <c r="AC55" s="6" t="str">
        <f t="shared" si="16"/>
        <v/>
      </c>
      <c r="AD55" t="s">
        <v>141</v>
      </c>
      <c r="AE55" t="s">
        <v>141</v>
      </c>
      <c r="AF55" t="s">
        <v>141</v>
      </c>
      <c r="AG55" s="6" t="str">
        <f t="shared" si="21"/>
        <v/>
      </c>
      <c r="AH55" s="6" t="str">
        <f t="shared" si="13"/>
        <v/>
      </c>
      <c r="AI55" t="s">
        <v>141</v>
      </c>
      <c r="AJ55" t="s">
        <v>141</v>
      </c>
      <c r="AK55" s="6" t="str">
        <f t="shared" si="14"/>
        <v/>
      </c>
      <c r="AL55" t="s">
        <v>141</v>
      </c>
      <c r="AM55" t="s">
        <v>141</v>
      </c>
      <c r="AN55" s="6" t="str">
        <f t="shared" si="22"/>
        <v/>
      </c>
      <c r="AO55" t="s">
        <v>141</v>
      </c>
      <c r="AP55" t="s">
        <v>141</v>
      </c>
      <c r="AQ55" t="s">
        <v>141</v>
      </c>
      <c r="AR55" t="s">
        <v>141</v>
      </c>
      <c r="AS55" s="6" t="str">
        <f t="shared" si="17"/>
        <v/>
      </c>
      <c r="AT55" s="6" t="str">
        <f t="shared" si="18"/>
        <v/>
      </c>
      <c r="AU55" t="s">
        <v>141</v>
      </c>
    </row>
    <row r="56" spans="1:47">
      <c r="A56" s="7" t="str">
        <f>IF(fieldcreatorv2!B68="","",fieldcreatorv2!B68)</f>
        <v/>
      </c>
      <c r="B56" s="7" t="str">
        <f>IF(fieldcreatorv2!C68="","",fieldcreatorv2!C68)</f>
        <v/>
      </c>
      <c r="C56" s="7" t="str">
        <f>IF(fieldcreatorv2!G68="","",fieldcreatorv2!G68)</f>
        <v/>
      </c>
      <c r="D56" s="12"/>
      <c r="E56" s="12"/>
      <c r="F56" s="12"/>
      <c r="G56" s="12"/>
      <c r="H56" s="12"/>
      <c r="I56" s="12"/>
      <c r="J56" s="12"/>
      <c r="K56" s="12"/>
      <c r="L56" s="12"/>
      <c r="M56" s="7" t="str">
        <f t="shared" si="23"/>
        <v/>
      </c>
      <c r="N56" s="6" t="str">
        <f t="shared" si="20"/>
        <v/>
      </c>
      <c r="O56" s="12"/>
      <c r="P56" s="12"/>
      <c r="Q56" s="12"/>
      <c r="R56" s="12"/>
      <c r="S56" s="12"/>
      <c r="V56" s="1">
        <f t="shared" si="11"/>
        <v>0</v>
      </c>
      <c r="W56" t="s">
        <v>141</v>
      </c>
      <c r="X56" s="6" t="str">
        <f t="shared" si="15"/>
        <v/>
      </c>
      <c r="Y56" t="s">
        <v>141</v>
      </c>
      <c r="Z56" t="s">
        <v>141</v>
      </c>
      <c r="AA56" s="6" t="str">
        <f t="shared" si="12"/>
        <v/>
      </c>
      <c r="AB56" t="s">
        <v>141</v>
      </c>
      <c r="AC56" s="6" t="str">
        <f t="shared" si="16"/>
        <v/>
      </c>
      <c r="AD56" t="s">
        <v>141</v>
      </c>
      <c r="AE56" t="s">
        <v>141</v>
      </c>
      <c r="AF56" t="s">
        <v>141</v>
      </c>
      <c r="AG56" s="6" t="str">
        <f t="shared" si="21"/>
        <v/>
      </c>
      <c r="AH56" s="6" t="str">
        <f t="shared" si="13"/>
        <v/>
      </c>
      <c r="AI56" t="s">
        <v>141</v>
      </c>
      <c r="AJ56" t="s">
        <v>141</v>
      </c>
      <c r="AK56" s="6" t="str">
        <f t="shared" si="14"/>
        <v/>
      </c>
      <c r="AL56" t="s">
        <v>141</v>
      </c>
      <c r="AM56" t="s">
        <v>141</v>
      </c>
      <c r="AN56" s="6" t="str">
        <f t="shared" si="22"/>
        <v/>
      </c>
      <c r="AO56" t="s">
        <v>141</v>
      </c>
      <c r="AP56" t="s">
        <v>141</v>
      </c>
      <c r="AQ56" t="s">
        <v>141</v>
      </c>
      <c r="AR56" t="s">
        <v>141</v>
      </c>
      <c r="AS56" s="6" t="str">
        <f t="shared" si="17"/>
        <v/>
      </c>
      <c r="AT56" s="6" t="str">
        <f t="shared" si="18"/>
        <v/>
      </c>
      <c r="AU56" t="s">
        <v>141</v>
      </c>
    </row>
    <row r="57" spans="1:47">
      <c r="A57" s="7" t="str">
        <f>IF(fieldcreatorv2!B69="","",fieldcreatorv2!B69)</f>
        <v/>
      </c>
      <c r="B57" s="7" t="str">
        <f>IF(fieldcreatorv2!C69="","",fieldcreatorv2!C69)</f>
        <v/>
      </c>
      <c r="C57" s="7" t="str">
        <f>IF(fieldcreatorv2!G69="","",fieldcreatorv2!G69)</f>
        <v/>
      </c>
      <c r="D57" s="12"/>
      <c r="E57" s="12"/>
      <c r="F57" s="12"/>
      <c r="G57" s="12"/>
      <c r="H57" s="12"/>
      <c r="I57" s="12"/>
      <c r="J57" s="12"/>
      <c r="K57" s="12"/>
      <c r="L57" s="12"/>
      <c r="M57" s="7" t="str">
        <f t="shared" si="23"/>
        <v/>
      </c>
      <c r="N57" s="6" t="str">
        <f t="shared" si="20"/>
        <v/>
      </c>
      <c r="O57" s="12"/>
      <c r="P57" s="12"/>
      <c r="Q57" s="12"/>
      <c r="R57" s="12"/>
      <c r="S57" s="12"/>
      <c r="V57" s="1">
        <f t="shared" si="11"/>
        <v>0</v>
      </c>
      <c r="W57" t="s">
        <v>141</v>
      </c>
      <c r="X57" s="6" t="str">
        <f t="shared" si="15"/>
        <v/>
      </c>
      <c r="Y57" t="s">
        <v>141</v>
      </c>
      <c r="Z57" t="s">
        <v>141</v>
      </c>
      <c r="AA57" s="6" t="str">
        <f t="shared" si="12"/>
        <v/>
      </c>
      <c r="AB57" t="s">
        <v>141</v>
      </c>
      <c r="AC57" s="6" t="str">
        <f t="shared" si="16"/>
        <v/>
      </c>
      <c r="AD57" t="s">
        <v>141</v>
      </c>
      <c r="AE57" t="s">
        <v>141</v>
      </c>
      <c r="AF57" t="s">
        <v>141</v>
      </c>
      <c r="AG57" s="6" t="str">
        <f t="shared" si="21"/>
        <v/>
      </c>
      <c r="AH57" s="6" t="str">
        <f t="shared" si="13"/>
        <v/>
      </c>
      <c r="AI57" t="s">
        <v>141</v>
      </c>
      <c r="AJ57" t="s">
        <v>141</v>
      </c>
      <c r="AK57" s="6" t="str">
        <f t="shared" si="14"/>
        <v/>
      </c>
      <c r="AL57" t="s">
        <v>141</v>
      </c>
      <c r="AM57" t="s">
        <v>141</v>
      </c>
      <c r="AN57" s="6" t="str">
        <f t="shared" si="22"/>
        <v/>
      </c>
      <c r="AO57" t="s">
        <v>141</v>
      </c>
      <c r="AP57" t="s">
        <v>141</v>
      </c>
      <c r="AQ57" t="s">
        <v>141</v>
      </c>
      <c r="AR57" t="s">
        <v>141</v>
      </c>
      <c r="AS57" s="6" t="str">
        <f t="shared" si="17"/>
        <v/>
      </c>
      <c r="AT57" s="6" t="str">
        <f t="shared" si="18"/>
        <v/>
      </c>
      <c r="AU57" t="s">
        <v>141</v>
      </c>
    </row>
    <row r="58" spans="1:47">
      <c r="A58" s="7" t="str">
        <f>IF(fieldcreatorv2!B70="","",fieldcreatorv2!B70)</f>
        <v/>
      </c>
      <c r="B58" s="7" t="str">
        <f>IF(fieldcreatorv2!C70="","",fieldcreatorv2!C70)</f>
        <v/>
      </c>
      <c r="C58" s="7" t="str">
        <f>IF(fieldcreatorv2!G70="","",fieldcreatorv2!G70)</f>
        <v/>
      </c>
      <c r="D58" s="12"/>
      <c r="E58" s="12"/>
      <c r="F58" s="12"/>
      <c r="G58" s="12"/>
      <c r="H58" s="12"/>
      <c r="I58" s="12"/>
      <c r="J58" s="12"/>
      <c r="K58" s="12"/>
      <c r="L58" s="12"/>
      <c r="M58" s="7" t="str">
        <f t="shared" si="23"/>
        <v/>
      </c>
      <c r="N58" s="6" t="str">
        <f t="shared" si="20"/>
        <v/>
      </c>
      <c r="O58" s="12"/>
      <c r="P58" s="12"/>
      <c r="Q58" s="12"/>
      <c r="R58" s="12"/>
      <c r="S58" s="12"/>
      <c r="V58" s="1">
        <f t="shared" si="11"/>
        <v>0</v>
      </c>
      <c r="W58" t="s">
        <v>141</v>
      </c>
      <c r="X58" s="6" t="str">
        <f t="shared" si="15"/>
        <v/>
      </c>
      <c r="Y58" t="s">
        <v>141</v>
      </c>
      <c r="Z58" t="s">
        <v>141</v>
      </c>
      <c r="AA58" s="6" t="str">
        <f t="shared" si="12"/>
        <v/>
      </c>
      <c r="AB58" t="s">
        <v>141</v>
      </c>
      <c r="AC58" s="6" t="str">
        <f t="shared" si="16"/>
        <v/>
      </c>
      <c r="AD58" t="s">
        <v>141</v>
      </c>
      <c r="AE58" t="s">
        <v>141</v>
      </c>
      <c r="AF58" t="s">
        <v>141</v>
      </c>
      <c r="AG58" s="6" t="str">
        <f t="shared" si="21"/>
        <v/>
      </c>
      <c r="AH58" s="6" t="str">
        <f t="shared" si="13"/>
        <v/>
      </c>
      <c r="AI58" t="s">
        <v>141</v>
      </c>
      <c r="AJ58" t="s">
        <v>141</v>
      </c>
      <c r="AK58" s="6" t="str">
        <f t="shared" si="14"/>
        <v/>
      </c>
      <c r="AL58" t="s">
        <v>141</v>
      </c>
      <c r="AM58" t="s">
        <v>141</v>
      </c>
      <c r="AN58" s="6" t="str">
        <f t="shared" si="22"/>
        <v/>
      </c>
      <c r="AO58" t="s">
        <v>141</v>
      </c>
      <c r="AP58" t="s">
        <v>141</v>
      </c>
      <c r="AQ58" t="s">
        <v>141</v>
      </c>
      <c r="AR58" t="s">
        <v>141</v>
      </c>
      <c r="AS58" s="6" t="str">
        <f t="shared" si="17"/>
        <v/>
      </c>
      <c r="AT58" s="6" t="str">
        <f t="shared" si="18"/>
        <v/>
      </c>
      <c r="AU58" t="s">
        <v>141</v>
      </c>
    </row>
    <row r="59" spans="1:47">
      <c r="A59" s="7" t="str">
        <f>IF(fieldcreatorv2!B71="","",fieldcreatorv2!B71)</f>
        <v/>
      </c>
      <c r="B59" s="7" t="str">
        <f>IF(fieldcreatorv2!C71="","",fieldcreatorv2!C71)</f>
        <v/>
      </c>
      <c r="C59" s="7" t="str">
        <f>IF(fieldcreatorv2!G71="","",fieldcreatorv2!G71)</f>
        <v/>
      </c>
      <c r="D59" s="12"/>
      <c r="E59" s="12"/>
      <c r="F59" s="12"/>
      <c r="G59" s="12"/>
      <c r="H59" s="12"/>
      <c r="I59" s="12"/>
      <c r="J59" s="12"/>
      <c r="K59" s="12"/>
      <c r="L59" s="12"/>
      <c r="M59" s="7" t="str">
        <f t="shared" si="23"/>
        <v/>
      </c>
      <c r="N59" s="6" t="str">
        <f t="shared" si="20"/>
        <v/>
      </c>
      <c r="O59" s="12"/>
      <c r="P59" s="12"/>
      <c r="Q59" s="12"/>
      <c r="R59" s="12"/>
      <c r="S59" s="12"/>
      <c r="V59" s="1">
        <f t="shared" si="11"/>
        <v>0</v>
      </c>
      <c r="W59" t="s">
        <v>141</v>
      </c>
      <c r="X59" s="6" t="str">
        <f t="shared" si="15"/>
        <v/>
      </c>
      <c r="Y59" t="s">
        <v>141</v>
      </c>
      <c r="Z59" t="s">
        <v>141</v>
      </c>
      <c r="AA59" s="6" t="str">
        <f t="shared" si="12"/>
        <v/>
      </c>
      <c r="AB59" t="s">
        <v>141</v>
      </c>
      <c r="AC59" s="6" t="str">
        <f t="shared" si="16"/>
        <v/>
      </c>
      <c r="AD59" t="s">
        <v>141</v>
      </c>
      <c r="AE59" t="s">
        <v>141</v>
      </c>
      <c r="AF59" t="s">
        <v>141</v>
      </c>
      <c r="AG59" s="6" t="str">
        <f t="shared" si="21"/>
        <v/>
      </c>
      <c r="AH59" s="6" t="str">
        <f t="shared" si="13"/>
        <v/>
      </c>
      <c r="AI59" t="s">
        <v>141</v>
      </c>
      <c r="AJ59" t="s">
        <v>141</v>
      </c>
      <c r="AK59" s="6" t="str">
        <f t="shared" si="14"/>
        <v/>
      </c>
      <c r="AL59" t="s">
        <v>141</v>
      </c>
      <c r="AM59" t="s">
        <v>141</v>
      </c>
      <c r="AN59" s="6" t="str">
        <f t="shared" si="22"/>
        <v/>
      </c>
      <c r="AO59" t="s">
        <v>141</v>
      </c>
      <c r="AP59" t="s">
        <v>141</v>
      </c>
      <c r="AQ59" t="s">
        <v>141</v>
      </c>
      <c r="AR59" t="s">
        <v>141</v>
      </c>
      <c r="AS59" s="6" t="str">
        <f t="shared" si="17"/>
        <v/>
      </c>
      <c r="AT59" s="6" t="str">
        <f t="shared" si="18"/>
        <v/>
      </c>
      <c r="AU59" t="s">
        <v>141</v>
      </c>
    </row>
    <row r="60" spans="1:47">
      <c r="A60" s="7" t="str">
        <f>IF(fieldcreatorv2!B72="","",fieldcreatorv2!B72)</f>
        <v/>
      </c>
      <c r="B60" s="7" t="str">
        <f>IF(fieldcreatorv2!C72="","",fieldcreatorv2!C72)</f>
        <v/>
      </c>
      <c r="C60" s="7" t="str">
        <f>IF(fieldcreatorv2!G72="","",fieldcreatorv2!G72)</f>
        <v/>
      </c>
      <c r="D60" s="12"/>
      <c r="E60" s="12"/>
      <c r="F60" s="12"/>
      <c r="G60" s="12"/>
      <c r="H60" s="12"/>
      <c r="I60" s="12"/>
      <c r="J60" s="12"/>
      <c r="K60" s="12"/>
      <c r="L60" s="12"/>
      <c r="M60" s="7" t="str">
        <f t="shared" si="23"/>
        <v/>
      </c>
      <c r="N60" s="6" t="str">
        <f t="shared" si="20"/>
        <v/>
      </c>
      <c r="O60" s="12"/>
      <c r="P60" s="12"/>
      <c r="Q60" s="12"/>
      <c r="R60" s="12"/>
      <c r="S60" s="12"/>
      <c r="V60" s="1">
        <f t="shared" si="11"/>
        <v>0</v>
      </c>
      <c r="W60" t="s">
        <v>141</v>
      </c>
      <c r="X60" s="6" t="str">
        <f t="shared" si="15"/>
        <v/>
      </c>
      <c r="Y60" t="s">
        <v>141</v>
      </c>
      <c r="Z60" t="s">
        <v>141</v>
      </c>
      <c r="AA60" s="6" t="str">
        <f t="shared" si="12"/>
        <v/>
      </c>
      <c r="AB60" t="s">
        <v>141</v>
      </c>
      <c r="AC60" s="6" t="str">
        <f t="shared" si="16"/>
        <v/>
      </c>
      <c r="AD60" t="s">
        <v>141</v>
      </c>
      <c r="AE60" t="s">
        <v>141</v>
      </c>
      <c r="AF60" t="s">
        <v>141</v>
      </c>
      <c r="AG60" s="6" t="str">
        <f t="shared" si="21"/>
        <v/>
      </c>
      <c r="AH60" s="6" t="str">
        <f t="shared" si="13"/>
        <v/>
      </c>
      <c r="AI60" t="s">
        <v>141</v>
      </c>
      <c r="AJ60" t="s">
        <v>141</v>
      </c>
      <c r="AK60" s="6" t="str">
        <f t="shared" si="14"/>
        <v/>
      </c>
      <c r="AL60" t="s">
        <v>141</v>
      </c>
      <c r="AM60" t="s">
        <v>141</v>
      </c>
      <c r="AN60" s="6" t="str">
        <f t="shared" si="22"/>
        <v/>
      </c>
      <c r="AO60" t="s">
        <v>141</v>
      </c>
      <c r="AP60" t="s">
        <v>141</v>
      </c>
      <c r="AQ60" t="s">
        <v>141</v>
      </c>
      <c r="AR60" t="s">
        <v>141</v>
      </c>
      <c r="AS60" s="6" t="str">
        <f t="shared" si="17"/>
        <v/>
      </c>
      <c r="AT60" s="6" t="str">
        <f t="shared" si="18"/>
        <v/>
      </c>
      <c r="AU60" t="s">
        <v>141</v>
      </c>
    </row>
    <row r="61" spans="1:47">
      <c r="A61" s="7" t="str">
        <f>IF(fieldcreatorv2!B73="","",fieldcreatorv2!B73)</f>
        <v/>
      </c>
      <c r="B61" s="7" t="str">
        <f>IF(fieldcreatorv2!C73="","",fieldcreatorv2!C73)</f>
        <v/>
      </c>
      <c r="C61" s="7" t="str">
        <f>IF(fieldcreatorv2!G73="","",fieldcreatorv2!G73)</f>
        <v/>
      </c>
      <c r="D61" s="12"/>
      <c r="E61" s="12"/>
      <c r="F61" s="12"/>
      <c r="G61" s="12"/>
      <c r="H61" s="12"/>
      <c r="I61" s="12"/>
      <c r="J61" s="12"/>
      <c r="K61" s="12"/>
      <c r="L61" s="12"/>
      <c r="M61" s="7" t="str">
        <f t="shared" si="23"/>
        <v/>
      </c>
      <c r="N61" s="6" t="str">
        <f t="shared" si="20"/>
        <v/>
      </c>
      <c r="O61" s="12"/>
      <c r="P61" s="12"/>
      <c r="Q61" s="12"/>
      <c r="R61" s="12"/>
      <c r="S61" s="12"/>
      <c r="V61" s="1">
        <f t="shared" si="11"/>
        <v>0</v>
      </c>
      <c r="W61" t="s">
        <v>141</v>
      </c>
      <c r="X61" s="6" t="str">
        <f t="shared" si="15"/>
        <v/>
      </c>
      <c r="Y61" t="s">
        <v>141</v>
      </c>
      <c r="Z61" t="s">
        <v>141</v>
      </c>
      <c r="AA61" s="6" t="str">
        <f t="shared" si="12"/>
        <v/>
      </c>
      <c r="AB61" t="s">
        <v>141</v>
      </c>
      <c r="AC61" s="6" t="str">
        <f t="shared" si="16"/>
        <v/>
      </c>
      <c r="AD61" t="s">
        <v>141</v>
      </c>
      <c r="AE61" t="s">
        <v>141</v>
      </c>
      <c r="AF61" t="s">
        <v>141</v>
      </c>
      <c r="AG61" s="6" t="str">
        <f t="shared" si="21"/>
        <v/>
      </c>
      <c r="AH61" s="6" t="str">
        <f t="shared" si="13"/>
        <v/>
      </c>
      <c r="AI61" t="s">
        <v>141</v>
      </c>
      <c r="AJ61" t="s">
        <v>141</v>
      </c>
      <c r="AK61" s="6" t="str">
        <f t="shared" si="14"/>
        <v/>
      </c>
      <c r="AL61" t="s">
        <v>141</v>
      </c>
      <c r="AM61" t="s">
        <v>141</v>
      </c>
      <c r="AN61" s="6" t="str">
        <f t="shared" si="22"/>
        <v/>
      </c>
      <c r="AO61" t="s">
        <v>141</v>
      </c>
      <c r="AP61" t="s">
        <v>141</v>
      </c>
      <c r="AQ61" t="s">
        <v>141</v>
      </c>
      <c r="AR61" t="s">
        <v>141</v>
      </c>
      <c r="AS61" s="6" t="str">
        <f t="shared" si="17"/>
        <v/>
      </c>
      <c r="AT61" s="6" t="str">
        <f t="shared" si="18"/>
        <v/>
      </c>
      <c r="AU61" t="s">
        <v>141</v>
      </c>
    </row>
    <row r="62" spans="1:47">
      <c r="A62" s="7" t="str">
        <f>IF(fieldcreatorv2!B74="","",fieldcreatorv2!B74)</f>
        <v/>
      </c>
      <c r="B62" s="7" t="str">
        <f>IF(fieldcreatorv2!C74="","",fieldcreatorv2!C74)</f>
        <v/>
      </c>
      <c r="C62" s="7" t="str">
        <f>IF(fieldcreatorv2!G74="","",fieldcreatorv2!G74)</f>
        <v/>
      </c>
      <c r="D62" s="12"/>
      <c r="E62" s="12"/>
      <c r="F62" s="12"/>
      <c r="G62" s="12"/>
      <c r="H62" s="12"/>
      <c r="I62" s="12"/>
      <c r="J62" s="12"/>
      <c r="K62" s="12"/>
      <c r="L62" s="12"/>
      <c r="M62" s="7" t="str">
        <f t="shared" si="23"/>
        <v/>
      </c>
      <c r="N62" s="6" t="str">
        <f t="shared" si="20"/>
        <v/>
      </c>
      <c r="O62" s="12"/>
      <c r="P62" s="12"/>
      <c r="Q62" s="12"/>
      <c r="R62" s="12"/>
      <c r="S62" s="12"/>
      <c r="V62" s="1">
        <f t="shared" si="11"/>
        <v>0</v>
      </c>
      <c r="W62" t="s">
        <v>141</v>
      </c>
      <c r="X62" s="6" t="str">
        <f t="shared" si="15"/>
        <v/>
      </c>
      <c r="Y62" t="s">
        <v>141</v>
      </c>
      <c r="Z62" t="s">
        <v>141</v>
      </c>
      <c r="AA62" s="6" t="str">
        <f t="shared" si="12"/>
        <v/>
      </c>
      <c r="AB62" t="s">
        <v>141</v>
      </c>
      <c r="AC62" s="6" t="str">
        <f t="shared" si="16"/>
        <v/>
      </c>
      <c r="AD62" t="s">
        <v>141</v>
      </c>
      <c r="AE62" t="s">
        <v>141</v>
      </c>
      <c r="AF62" t="s">
        <v>141</v>
      </c>
      <c r="AG62" s="6" t="str">
        <f t="shared" si="21"/>
        <v/>
      </c>
      <c r="AH62" s="6" t="str">
        <f t="shared" si="13"/>
        <v/>
      </c>
      <c r="AI62" t="s">
        <v>141</v>
      </c>
      <c r="AJ62" t="s">
        <v>141</v>
      </c>
      <c r="AK62" s="6" t="str">
        <f t="shared" si="14"/>
        <v/>
      </c>
      <c r="AL62" t="s">
        <v>141</v>
      </c>
      <c r="AM62" t="s">
        <v>141</v>
      </c>
      <c r="AN62" s="6" t="str">
        <f t="shared" si="22"/>
        <v/>
      </c>
      <c r="AO62" t="s">
        <v>141</v>
      </c>
      <c r="AP62" t="s">
        <v>141</v>
      </c>
      <c r="AQ62" t="s">
        <v>141</v>
      </c>
      <c r="AR62" t="s">
        <v>141</v>
      </c>
      <c r="AS62" s="6" t="str">
        <f t="shared" si="17"/>
        <v/>
      </c>
      <c r="AT62" s="6" t="str">
        <f t="shared" si="18"/>
        <v/>
      </c>
      <c r="AU62" t="s">
        <v>141</v>
      </c>
    </row>
    <row r="63" spans="1:47">
      <c r="A63" s="7" t="str">
        <f>IF(fieldcreatorv2!B75="","",fieldcreatorv2!B75)</f>
        <v/>
      </c>
      <c r="B63" s="7" t="str">
        <f>IF(fieldcreatorv2!C75="","",fieldcreatorv2!C75)</f>
        <v/>
      </c>
      <c r="C63" s="7" t="str">
        <f>IF(fieldcreatorv2!G75="","",fieldcreatorv2!G75)</f>
        <v/>
      </c>
      <c r="D63" s="12"/>
      <c r="E63" s="12"/>
      <c r="F63" s="12"/>
      <c r="G63" s="12"/>
      <c r="H63" s="12"/>
      <c r="I63" s="12"/>
      <c r="J63" s="12"/>
      <c r="K63" s="12"/>
      <c r="L63" s="12"/>
      <c r="M63" s="7" t="str">
        <f t="shared" si="23"/>
        <v/>
      </c>
      <c r="N63" s="6" t="str">
        <f t="shared" si="20"/>
        <v/>
      </c>
      <c r="O63" s="12"/>
      <c r="P63" s="12"/>
      <c r="Q63" s="12"/>
      <c r="R63" s="12"/>
      <c r="S63" s="12"/>
      <c r="V63" s="1">
        <f t="shared" si="11"/>
        <v>0</v>
      </c>
      <c r="W63" t="s">
        <v>141</v>
      </c>
      <c r="X63" s="6" t="str">
        <f t="shared" si="15"/>
        <v/>
      </c>
      <c r="Y63" t="s">
        <v>141</v>
      </c>
      <c r="Z63" t="s">
        <v>141</v>
      </c>
      <c r="AA63" s="6" t="str">
        <f t="shared" si="12"/>
        <v/>
      </c>
      <c r="AB63" t="s">
        <v>141</v>
      </c>
      <c r="AC63" s="6" t="str">
        <f t="shared" si="16"/>
        <v/>
      </c>
      <c r="AD63" t="s">
        <v>141</v>
      </c>
      <c r="AE63" t="s">
        <v>141</v>
      </c>
      <c r="AF63" t="s">
        <v>141</v>
      </c>
      <c r="AG63" s="6" t="str">
        <f t="shared" si="21"/>
        <v/>
      </c>
      <c r="AH63" s="6" t="str">
        <f t="shared" si="13"/>
        <v/>
      </c>
      <c r="AI63" t="s">
        <v>141</v>
      </c>
      <c r="AJ63" t="s">
        <v>141</v>
      </c>
      <c r="AK63" s="6" t="str">
        <f t="shared" si="14"/>
        <v/>
      </c>
      <c r="AL63" t="s">
        <v>141</v>
      </c>
      <c r="AM63" t="s">
        <v>141</v>
      </c>
      <c r="AN63" s="6" t="str">
        <f t="shared" si="22"/>
        <v/>
      </c>
      <c r="AO63" t="s">
        <v>141</v>
      </c>
      <c r="AP63" t="s">
        <v>141</v>
      </c>
      <c r="AQ63" t="s">
        <v>141</v>
      </c>
      <c r="AR63" t="s">
        <v>141</v>
      </c>
      <c r="AS63" s="6" t="str">
        <f t="shared" si="17"/>
        <v/>
      </c>
      <c r="AT63" s="6" t="str">
        <f t="shared" si="18"/>
        <v/>
      </c>
      <c r="AU63" t="s">
        <v>141</v>
      </c>
    </row>
    <row r="64" spans="1:47">
      <c r="A64" s="7" t="str">
        <f>IF(fieldcreatorv2!B76="","",fieldcreatorv2!B76)</f>
        <v/>
      </c>
      <c r="B64" s="7" t="str">
        <f>IF(fieldcreatorv2!C76="","",fieldcreatorv2!C76)</f>
        <v/>
      </c>
      <c r="C64" s="7" t="str">
        <f>IF(fieldcreatorv2!G76="","",fieldcreatorv2!G76)</f>
        <v/>
      </c>
      <c r="D64" s="12"/>
      <c r="E64" s="12"/>
      <c r="F64" s="12"/>
      <c r="G64" s="12"/>
      <c r="H64" s="12"/>
      <c r="I64" s="12"/>
      <c r="J64" s="12"/>
      <c r="K64" s="12"/>
      <c r="L64" s="12"/>
      <c r="M64" s="7" t="str">
        <f t="shared" si="23"/>
        <v/>
      </c>
      <c r="N64" s="6" t="str">
        <f t="shared" si="20"/>
        <v/>
      </c>
      <c r="O64" s="12"/>
      <c r="P64" s="12"/>
      <c r="Q64" s="12"/>
      <c r="R64" s="12"/>
      <c r="S64" s="12"/>
      <c r="V64" s="1">
        <f t="shared" si="11"/>
        <v>0</v>
      </c>
      <c r="W64" t="s">
        <v>141</v>
      </c>
      <c r="X64" s="6" t="str">
        <f t="shared" si="15"/>
        <v/>
      </c>
      <c r="Y64" t="s">
        <v>141</v>
      </c>
      <c r="Z64" t="s">
        <v>141</v>
      </c>
      <c r="AA64" s="6" t="str">
        <f t="shared" si="12"/>
        <v/>
      </c>
      <c r="AB64" t="s">
        <v>141</v>
      </c>
      <c r="AC64" s="6" t="str">
        <f t="shared" si="16"/>
        <v/>
      </c>
      <c r="AD64" t="s">
        <v>141</v>
      </c>
      <c r="AE64" t="s">
        <v>141</v>
      </c>
      <c r="AF64" t="s">
        <v>141</v>
      </c>
      <c r="AG64" s="6" t="str">
        <f t="shared" si="21"/>
        <v/>
      </c>
      <c r="AH64" s="6" t="str">
        <f t="shared" si="13"/>
        <v/>
      </c>
      <c r="AI64" t="s">
        <v>141</v>
      </c>
      <c r="AJ64" t="s">
        <v>141</v>
      </c>
      <c r="AK64" s="6" t="str">
        <f t="shared" si="14"/>
        <v/>
      </c>
      <c r="AL64" t="s">
        <v>141</v>
      </c>
      <c r="AM64" t="s">
        <v>141</v>
      </c>
      <c r="AN64" s="6" t="str">
        <f t="shared" si="22"/>
        <v/>
      </c>
      <c r="AO64" t="s">
        <v>141</v>
      </c>
      <c r="AP64" t="s">
        <v>141</v>
      </c>
      <c r="AQ64" t="s">
        <v>141</v>
      </c>
      <c r="AR64" t="s">
        <v>141</v>
      </c>
      <c r="AS64" s="6" t="str">
        <f t="shared" si="17"/>
        <v/>
      </c>
      <c r="AT64" s="6" t="str">
        <f t="shared" si="18"/>
        <v/>
      </c>
      <c r="AU64" t="s">
        <v>141</v>
      </c>
    </row>
    <row r="65" spans="1:47">
      <c r="A65" s="7" t="str">
        <f>IF(fieldcreatorv2!B77="","",fieldcreatorv2!B77)</f>
        <v/>
      </c>
      <c r="B65" s="7" t="str">
        <f>IF(fieldcreatorv2!C77="","",fieldcreatorv2!C77)</f>
        <v/>
      </c>
      <c r="C65" s="7" t="str">
        <f>IF(fieldcreatorv2!G77="","",fieldcreatorv2!G77)</f>
        <v/>
      </c>
      <c r="D65" s="12"/>
      <c r="E65" s="12"/>
      <c r="F65" s="12"/>
      <c r="G65" s="12"/>
      <c r="H65" s="12"/>
      <c r="I65" s="12"/>
      <c r="J65" s="12"/>
      <c r="K65" s="12"/>
      <c r="L65" s="12"/>
      <c r="M65" s="7" t="str">
        <f t="shared" si="23"/>
        <v/>
      </c>
      <c r="N65" s="6" t="str">
        <f t="shared" si="20"/>
        <v/>
      </c>
      <c r="O65" s="12"/>
      <c r="P65" s="12"/>
      <c r="Q65" s="12"/>
      <c r="R65" s="12"/>
      <c r="S65" s="12"/>
      <c r="V65" s="1">
        <f t="shared" si="11"/>
        <v>0</v>
      </c>
      <c r="W65" t="s">
        <v>141</v>
      </c>
      <c r="X65" s="6" t="str">
        <f t="shared" si="15"/>
        <v/>
      </c>
      <c r="Y65" t="s">
        <v>141</v>
      </c>
      <c r="Z65" t="s">
        <v>141</v>
      </c>
      <c r="AA65" s="6" t="str">
        <f t="shared" si="12"/>
        <v/>
      </c>
      <c r="AB65" t="s">
        <v>141</v>
      </c>
      <c r="AC65" s="6" t="str">
        <f t="shared" si="16"/>
        <v/>
      </c>
      <c r="AD65" t="s">
        <v>141</v>
      </c>
      <c r="AE65" t="s">
        <v>141</v>
      </c>
      <c r="AF65" t="s">
        <v>141</v>
      </c>
      <c r="AG65" s="6" t="str">
        <f t="shared" si="21"/>
        <v/>
      </c>
      <c r="AH65" s="6" t="str">
        <f t="shared" si="13"/>
        <v/>
      </c>
      <c r="AI65" t="s">
        <v>141</v>
      </c>
      <c r="AJ65" t="s">
        <v>141</v>
      </c>
      <c r="AK65" s="6" t="str">
        <f t="shared" si="14"/>
        <v/>
      </c>
      <c r="AL65" t="s">
        <v>141</v>
      </c>
      <c r="AM65" t="s">
        <v>141</v>
      </c>
      <c r="AN65" s="6" t="str">
        <f t="shared" si="22"/>
        <v/>
      </c>
      <c r="AO65" t="s">
        <v>141</v>
      </c>
      <c r="AP65" t="s">
        <v>141</v>
      </c>
      <c r="AQ65" t="s">
        <v>141</v>
      </c>
      <c r="AR65" t="s">
        <v>141</v>
      </c>
      <c r="AS65" s="6" t="str">
        <f t="shared" si="17"/>
        <v/>
      </c>
      <c r="AT65" s="6" t="str">
        <f t="shared" si="18"/>
        <v/>
      </c>
      <c r="AU65" t="s">
        <v>141</v>
      </c>
    </row>
    <row r="66" spans="1:47">
      <c r="A66" s="7" t="str">
        <f>IF(fieldcreatorv2!B78="","",fieldcreatorv2!B78)</f>
        <v/>
      </c>
      <c r="B66" s="7" t="str">
        <f>IF(fieldcreatorv2!C78="","",fieldcreatorv2!C78)</f>
        <v/>
      </c>
      <c r="C66" s="7" t="str">
        <f>IF(fieldcreatorv2!G78="","",fieldcreatorv2!G78)</f>
        <v/>
      </c>
      <c r="D66" s="12"/>
      <c r="E66" s="12"/>
      <c r="F66" s="12"/>
      <c r="G66" s="12"/>
      <c r="H66" s="12"/>
      <c r="I66" s="12"/>
      <c r="J66" s="12"/>
      <c r="K66" s="12"/>
      <c r="L66" s="12"/>
      <c r="M66" s="7" t="str">
        <f t="shared" si="23"/>
        <v/>
      </c>
      <c r="N66" s="6" t="str">
        <f t="shared" si="20"/>
        <v/>
      </c>
      <c r="O66" s="12"/>
      <c r="P66" s="12"/>
      <c r="Q66" s="12"/>
      <c r="R66" s="12"/>
      <c r="S66" s="12"/>
      <c r="V66" s="1">
        <f t="shared" si="11"/>
        <v>0</v>
      </c>
      <c r="W66" t="s">
        <v>141</v>
      </c>
      <c r="X66" s="6" t="str">
        <f t="shared" si="15"/>
        <v/>
      </c>
      <c r="Y66" t="s">
        <v>141</v>
      </c>
      <c r="Z66" t="s">
        <v>141</v>
      </c>
      <c r="AA66" s="6" t="str">
        <f t="shared" si="12"/>
        <v/>
      </c>
      <c r="AB66" t="s">
        <v>141</v>
      </c>
      <c r="AC66" s="6" t="str">
        <f t="shared" si="16"/>
        <v/>
      </c>
      <c r="AD66" t="s">
        <v>141</v>
      </c>
      <c r="AE66" t="s">
        <v>141</v>
      </c>
      <c r="AF66" t="s">
        <v>141</v>
      </c>
      <c r="AG66" s="6" t="str">
        <f t="shared" si="21"/>
        <v/>
      </c>
      <c r="AH66" s="6" t="str">
        <f t="shared" si="13"/>
        <v/>
      </c>
      <c r="AI66" t="s">
        <v>141</v>
      </c>
      <c r="AJ66" t="s">
        <v>141</v>
      </c>
      <c r="AK66" s="6" t="str">
        <f t="shared" si="14"/>
        <v/>
      </c>
      <c r="AL66" t="s">
        <v>141</v>
      </c>
      <c r="AM66" t="s">
        <v>141</v>
      </c>
      <c r="AN66" s="6" t="str">
        <f t="shared" si="22"/>
        <v/>
      </c>
      <c r="AO66" t="s">
        <v>141</v>
      </c>
      <c r="AP66" t="s">
        <v>141</v>
      </c>
      <c r="AQ66" t="s">
        <v>141</v>
      </c>
      <c r="AR66" t="s">
        <v>141</v>
      </c>
      <c r="AS66" s="6" t="str">
        <f t="shared" si="17"/>
        <v/>
      </c>
      <c r="AT66" s="6" t="str">
        <f t="shared" si="18"/>
        <v/>
      </c>
      <c r="AU66" t="s">
        <v>141</v>
      </c>
    </row>
    <row r="67" spans="1:47">
      <c r="A67" s="7" t="str">
        <f>IF(fieldcreatorv2!B79="","",fieldcreatorv2!B79)</f>
        <v/>
      </c>
      <c r="B67" s="7" t="str">
        <f>IF(fieldcreatorv2!C79="","",fieldcreatorv2!C79)</f>
        <v/>
      </c>
      <c r="C67" s="7" t="str">
        <f>IF(fieldcreatorv2!G79="","",fieldcreatorv2!G79)</f>
        <v/>
      </c>
      <c r="D67" s="12"/>
      <c r="E67" s="12"/>
      <c r="F67" s="12"/>
      <c r="G67" s="12"/>
      <c r="H67" s="12"/>
      <c r="I67" s="12"/>
      <c r="J67" s="12"/>
      <c r="K67" s="12"/>
      <c r="L67" s="12"/>
      <c r="M67" s="7" t="str">
        <f t="shared" si="23"/>
        <v/>
      </c>
      <c r="N67" s="6" t="str">
        <f t="shared" si="20"/>
        <v/>
      </c>
      <c r="O67" s="12"/>
      <c r="P67" s="12"/>
      <c r="Q67" s="12"/>
      <c r="R67" s="12"/>
      <c r="S67" s="12"/>
      <c r="V67" s="1">
        <f t="shared" si="11"/>
        <v>0</v>
      </c>
      <c r="W67" t="s">
        <v>141</v>
      </c>
      <c r="X67" s="6" t="str">
        <f t="shared" si="15"/>
        <v/>
      </c>
      <c r="Y67" t="s">
        <v>141</v>
      </c>
      <c r="Z67" t="s">
        <v>141</v>
      </c>
      <c r="AA67" s="6" t="str">
        <f t="shared" si="12"/>
        <v/>
      </c>
      <c r="AB67" t="s">
        <v>141</v>
      </c>
      <c r="AC67" s="6" t="str">
        <f t="shared" si="16"/>
        <v/>
      </c>
      <c r="AD67" t="s">
        <v>141</v>
      </c>
      <c r="AE67" t="s">
        <v>141</v>
      </c>
      <c r="AF67" t="s">
        <v>141</v>
      </c>
      <c r="AG67" s="6" t="str">
        <f t="shared" si="21"/>
        <v/>
      </c>
      <c r="AH67" s="6" t="str">
        <f t="shared" si="13"/>
        <v/>
      </c>
      <c r="AI67" t="s">
        <v>141</v>
      </c>
      <c r="AJ67" t="s">
        <v>141</v>
      </c>
      <c r="AK67" s="6" t="str">
        <f t="shared" si="14"/>
        <v/>
      </c>
      <c r="AL67" t="s">
        <v>141</v>
      </c>
      <c r="AM67" t="s">
        <v>141</v>
      </c>
      <c r="AN67" s="6" t="str">
        <f t="shared" si="22"/>
        <v/>
      </c>
      <c r="AO67" t="s">
        <v>141</v>
      </c>
      <c r="AP67" t="s">
        <v>141</v>
      </c>
      <c r="AQ67" t="s">
        <v>141</v>
      </c>
      <c r="AR67" t="s">
        <v>141</v>
      </c>
      <c r="AS67" s="6" t="str">
        <f t="shared" si="17"/>
        <v/>
      </c>
      <c r="AT67" s="6" t="str">
        <f t="shared" si="18"/>
        <v/>
      </c>
      <c r="AU67" t="s">
        <v>141</v>
      </c>
    </row>
    <row r="68" spans="1:47">
      <c r="A68" s="7" t="str">
        <f>IF(fieldcreatorv2!B80="","",fieldcreatorv2!B80)</f>
        <v/>
      </c>
      <c r="B68" s="7" t="str">
        <f>IF(fieldcreatorv2!C80="","",fieldcreatorv2!C80)</f>
        <v/>
      </c>
      <c r="C68" s="7" t="str">
        <f>IF(fieldcreatorv2!G80="","",fieldcreatorv2!G80)</f>
        <v/>
      </c>
      <c r="D68" s="12"/>
      <c r="E68" s="12"/>
      <c r="F68" s="12"/>
      <c r="G68" s="12"/>
      <c r="H68" s="12"/>
      <c r="I68" s="12"/>
      <c r="J68" s="12"/>
      <c r="K68" s="12"/>
      <c r="L68" s="12"/>
      <c r="M68" s="7" t="str">
        <f t="shared" si="23"/>
        <v/>
      </c>
      <c r="N68" s="6" t="str">
        <f t="shared" si="20"/>
        <v/>
      </c>
      <c r="O68" s="12"/>
      <c r="P68" s="12"/>
      <c r="Q68" s="12"/>
      <c r="R68" s="12"/>
      <c r="S68" s="12"/>
      <c r="V68" s="1">
        <f t="shared" ref="V68:V102" si="24">+IF(AND(C68="si",AA68&lt;&gt;""),1,0)</f>
        <v>0</v>
      </c>
      <c r="W68" t="s">
        <v>141</v>
      </c>
      <c r="X68" s="6" t="str">
        <f t="shared" si="15"/>
        <v/>
      </c>
      <c r="Y68" t="s">
        <v>141</v>
      </c>
      <c r="Z68" t="s">
        <v>141</v>
      </c>
      <c r="AA68" s="6" t="str">
        <f t="shared" ref="AA68:AA102" si="25">+IF(OR(B68="",A68="session"),"",B68)</f>
        <v/>
      </c>
      <c r="AB68" t="s">
        <v>141</v>
      </c>
      <c r="AC68" s="6" t="str">
        <f t="shared" si="16"/>
        <v/>
      </c>
      <c r="AD68" t="s">
        <v>141</v>
      </c>
      <c r="AE68" t="s">
        <v>141</v>
      </c>
      <c r="AF68" t="s">
        <v>141</v>
      </c>
      <c r="AG68" s="6" t="str">
        <f t="shared" si="21"/>
        <v/>
      </c>
      <c r="AH68" s="6" t="str">
        <f t="shared" si="13"/>
        <v/>
      </c>
      <c r="AI68" t="s">
        <v>141</v>
      </c>
      <c r="AJ68" t="s">
        <v>141</v>
      </c>
      <c r="AK68" s="6" t="str">
        <f t="shared" si="14"/>
        <v/>
      </c>
      <c r="AL68" t="s">
        <v>141</v>
      </c>
      <c r="AM68" t="s">
        <v>141</v>
      </c>
      <c r="AN68" s="6" t="str">
        <f t="shared" si="22"/>
        <v/>
      </c>
      <c r="AO68" t="s">
        <v>141</v>
      </c>
      <c r="AP68" t="s">
        <v>141</v>
      </c>
      <c r="AQ68" t="s">
        <v>141</v>
      </c>
      <c r="AR68" t="s">
        <v>141</v>
      </c>
      <c r="AS68" s="6" t="str">
        <f t="shared" si="17"/>
        <v/>
      </c>
      <c r="AT68" s="6" t="str">
        <f t="shared" si="18"/>
        <v/>
      </c>
      <c r="AU68" t="s">
        <v>141</v>
      </c>
    </row>
    <row r="69" spans="1:47">
      <c r="A69" s="7" t="str">
        <f>IF(fieldcreatorv2!B81="","",fieldcreatorv2!B81)</f>
        <v/>
      </c>
      <c r="B69" s="7" t="str">
        <f>IF(fieldcreatorv2!C81="","",fieldcreatorv2!C81)</f>
        <v/>
      </c>
      <c r="C69" s="7" t="str">
        <f>IF(fieldcreatorv2!G81="","",fieldcreatorv2!G81)</f>
        <v/>
      </c>
      <c r="D69" s="12"/>
      <c r="E69" s="12"/>
      <c r="F69" s="12"/>
      <c r="G69" s="12"/>
      <c r="H69" s="12"/>
      <c r="I69" s="12"/>
      <c r="J69" s="12"/>
      <c r="K69" s="12"/>
      <c r="L69" s="12"/>
      <c r="M69" s="7" t="str">
        <f t="shared" si="23"/>
        <v/>
      </c>
      <c r="N69" s="6" t="str">
        <f t="shared" si="20"/>
        <v/>
      </c>
      <c r="O69" s="12"/>
      <c r="P69" s="12"/>
      <c r="Q69" s="12"/>
      <c r="R69" s="12"/>
      <c r="S69" s="12"/>
      <c r="V69" s="1">
        <f t="shared" si="24"/>
        <v>0</v>
      </c>
      <c r="W69" t="s">
        <v>141</v>
      </c>
      <c r="X69" s="6" t="str">
        <f t="shared" si="15"/>
        <v/>
      </c>
      <c r="Y69" t="s">
        <v>141</v>
      </c>
      <c r="Z69" t="s">
        <v>141</v>
      </c>
      <c r="AA69" s="6" t="str">
        <f t="shared" si="25"/>
        <v/>
      </c>
      <c r="AB69" t="s">
        <v>141</v>
      </c>
      <c r="AC69" s="6" t="str">
        <f t="shared" si="16"/>
        <v/>
      </c>
      <c r="AD69" t="s">
        <v>141</v>
      </c>
      <c r="AE69" t="s">
        <v>141</v>
      </c>
      <c r="AF69" t="s">
        <v>141</v>
      </c>
      <c r="AG69" s="6" t="str">
        <f t="shared" si="21"/>
        <v/>
      </c>
      <c r="AH69" s="6" t="str">
        <f t="shared" ref="AH69:AH102" si="26">+IF(AA69="","",IF(AH68="","",$AF$4&amp;$AF$6&amp;$AF$7)&amp;AA69&amp;$AF$5&amp;AA69)</f>
        <v/>
      </c>
      <c r="AI69" t="s">
        <v>141</v>
      </c>
      <c r="AJ69" t="s">
        <v>141</v>
      </c>
      <c r="AK69" s="6" t="str">
        <f t="shared" ref="AK69:AK102" si="27">+IF(AA69="","",IF(AK68="","",",")&amp;$AJ$3&amp;B69&amp;$AJ$7)</f>
        <v/>
      </c>
      <c r="AL69" t="s">
        <v>141</v>
      </c>
      <c r="AM69" t="s">
        <v>141</v>
      </c>
      <c r="AN69" s="6" t="str">
        <f t="shared" si="22"/>
        <v/>
      </c>
      <c r="AO69" t="s">
        <v>141</v>
      </c>
      <c r="AP69" t="s">
        <v>141</v>
      </c>
      <c r="AQ69" t="s">
        <v>141</v>
      </c>
      <c r="AR69" t="s">
        <v>141</v>
      </c>
      <c r="AS69" s="6" t="str">
        <f t="shared" si="17"/>
        <v/>
      </c>
      <c r="AT69" s="6" t="str">
        <f t="shared" si="18"/>
        <v/>
      </c>
      <c r="AU69" t="s">
        <v>141</v>
      </c>
    </row>
    <row r="70" spans="1:47">
      <c r="A70" s="7" t="str">
        <f>IF(fieldcreatorv2!B82="","",fieldcreatorv2!B82)</f>
        <v/>
      </c>
      <c r="B70" s="7" t="str">
        <f>IF(fieldcreatorv2!C82="","",fieldcreatorv2!C82)</f>
        <v/>
      </c>
      <c r="C70" s="7" t="str">
        <f>IF(fieldcreatorv2!G82="","",fieldcreatorv2!G82)</f>
        <v/>
      </c>
      <c r="D70" s="12"/>
      <c r="E70" s="12"/>
      <c r="F70" s="12"/>
      <c r="G70" s="12"/>
      <c r="H70" s="12"/>
      <c r="I70" s="12"/>
      <c r="J70" s="12"/>
      <c r="K70" s="12"/>
      <c r="L70" s="12"/>
      <c r="M70" s="7" t="str">
        <f t="shared" si="23"/>
        <v/>
      </c>
      <c r="N70" s="6" t="str">
        <f t="shared" si="20"/>
        <v/>
      </c>
      <c r="O70" s="12"/>
      <c r="P70" s="12"/>
      <c r="Q70" s="12"/>
      <c r="R70" s="12"/>
      <c r="S70" s="12"/>
      <c r="V70" s="1">
        <f t="shared" si="24"/>
        <v>0</v>
      </c>
      <c r="W70" t="s">
        <v>141</v>
      </c>
      <c r="X70" s="6" t="str">
        <f t="shared" ref="X70:X102" si="28">IF(OR(B70="",A70="session"),"",IF(X69="","",",")&amp;B70)</f>
        <v/>
      </c>
      <c r="Y70" t="s">
        <v>141</v>
      </c>
      <c r="Z70" t="s">
        <v>141</v>
      </c>
      <c r="AA70" s="6" t="str">
        <f t="shared" si="25"/>
        <v/>
      </c>
      <c r="AB70" t="s">
        <v>141</v>
      </c>
      <c r="AC70" s="6" t="str">
        <f t="shared" ref="AC70:AC102" si="29">+IF(V70=1,IF(AC69="","",$T$6)&amp;AA70&amp;$T$5&amp;$T$7,"")</f>
        <v/>
      </c>
      <c r="AD70" t="s">
        <v>141</v>
      </c>
      <c r="AE70" t="s">
        <v>141</v>
      </c>
      <c r="AF70" t="s">
        <v>141</v>
      </c>
      <c r="AG70" s="6" t="str">
        <f t="shared" si="21"/>
        <v/>
      </c>
      <c r="AH70" s="6" t="str">
        <f t="shared" si="26"/>
        <v/>
      </c>
      <c r="AI70" t="s">
        <v>141</v>
      </c>
      <c r="AJ70" t="s">
        <v>141</v>
      </c>
      <c r="AK70" s="6" t="str">
        <f t="shared" si="27"/>
        <v/>
      </c>
      <c r="AL70" t="s">
        <v>141</v>
      </c>
      <c r="AM70" t="s">
        <v>141</v>
      </c>
      <c r="AN70" s="6" t="str">
        <f t="shared" si="22"/>
        <v/>
      </c>
      <c r="AO70" t="s">
        <v>141</v>
      </c>
      <c r="AP70" t="s">
        <v>141</v>
      </c>
      <c r="AQ70" t="s">
        <v>141</v>
      </c>
      <c r="AR70" t="s">
        <v>141</v>
      </c>
      <c r="AS70" s="6" t="str">
        <f t="shared" ref="AS70:AS102" si="30">+IF(AA70="","",IF(AS69="","",",")&amp;"'$"&amp;AA70&amp;"'")</f>
        <v/>
      </c>
      <c r="AT70" s="6" t="str">
        <f t="shared" ref="AT70:AT102" si="31">+IF(B70="","",",'$"&amp;B70&amp;"'")</f>
        <v/>
      </c>
      <c r="AU70" t="s">
        <v>141</v>
      </c>
    </row>
    <row r="71" spans="1:47">
      <c r="A71" s="7" t="str">
        <f>IF(fieldcreatorv2!B83="","",fieldcreatorv2!B83)</f>
        <v/>
      </c>
      <c r="B71" s="7" t="str">
        <f>IF(fieldcreatorv2!C83="","",fieldcreatorv2!C83)</f>
        <v/>
      </c>
      <c r="C71" s="7" t="str">
        <f>IF(fieldcreatorv2!G83="","",fieldcreatorv2!G83)</f>
        <v/>
      </c>
      <c r="D71" s="12"/>
      <c r="E71" s="12"/>
      <c r="F71" s="12"/>
      <c r="G71" s="12"/>
      <c r="H71" s="12"/>
      <c r="I71" s="12"/>
      <c r="J71" s="12"/>
      <c r="K71" s="12"/>
      <c r="L71" s="12"/>
      <c r="M71" s="7" t="str">
        <f t="shared" si="23"/>
        <v/>
      </c>
      <c r="N71" s="6" t="str">
        <f t="shared" si="20"/>
        <v/>
      </c>
      <c r="O71" s="12"/>
      <c r="P71" s="12"/>
      <c r="Q71" s="12"/>
      <c r="R71" s="12"/>
      <c r="S71" s="12"/>
      <c r="V71" s="1">
        <f t="shared" si="24"/>
        <v>0</v>
      </c>
      <c r="W71" t="s">
        <v>141</v>
      </c>
      <c r="X71" s="6" t="str">
        <f t="shared" si="28"/>
        <v/>
      </c>
      <c r="Y71" t="s">
        <v>141</v>
      </c>
      <c r="Z71" t="s">
        <v>141</v>
      </c>
      <c r="AA71" s="6" t="str">
        <f t="shared" si="25"/>
        <v/>
      </c>
      <c r="AB71" t="s">
        <v>141</v>
      </c>
      <c r="AC71" s="6" t="str">
        <f t="shared" si="29"/>
        <v/>
      </c>
      <c r="AD71" t="s">
        <v>141</v>
      </c>
      <c r="AE71" t="s">
        <v>141</v>
      </c>
      <c r="AF71" t="s">
        <v>141</v>
      </c>
      <c r="AG71" s="6" t="str">
        <f t="shared" si="21"/>
        <v/>
      </c>
      <c r="AH71" s="6" t="str">
        <f t="shared" si="26"/>
        <v/>
      </c>
      <c r="AI71" t="s">
        <v>141</v>
      </c>
      <c r="AJ71" t="s">
        <v>141</v>
      </c>
      <c r="AK71" s="6" t="str">
        <f t="shared" si="27"/>
        <v/>
      </c>
      <c r="AL71" t="s">
        <v>141</v>
      </c>
      <c r="AM71" t="s">
        <v>141</v>
      </c>
      <c r="AN71" s="6" t="str">
        <f t="shared" si="22"/>
        <v/>
      </c>
      <c r="AO71" t="s">
        <v>141</v>
      </c>
      <c r="AP71" t="s">
        <v>141</v>
      </c>
      <c r="AQ71" t="s">
        <v>141</v>
      </c>
      <c r="AR71" t="s">
        <v>141</v>
      </c>
      <c r="AS71" s="6" t="str">
        <f t="shared" si="30"/>
        <v/>
      </c>
      <c r="AT71" s="6" t="str">
        <f t="shared" si="31"/>
        <v/>
      </c>
      <c r="AU71" t="s">
        <v>141</v>
      </c>
    </row>
    <row r="72" spans="1:47">
      <c r="A72" s="7" t="str">
        <f>IF(fieldcreatorv2!B84="","",fieldcreatorv2!B84)</f>
        <v/>
      </c>
      <c r="B72" s="7" t="str">
        <f>IF(fieldcreatorv2!C84="","",fieldcreatorv2!C84)</f>
        <v/>
      </c>
      <c r="C72" s="7" t="str">
        <f>IF(fieldcreatorv2!G84="","",fieldcreatorv2!G84)</f>
        <v/>
      </c>
      <c r="D72" s="12"/>
      <c r="E72" s="12"/>
      <c r="F72" s="12"/>
      <c r="G72" s="12"/>
      <c r="H72" s="12"/>
      <c r="I72" s="12"/>
      <c r="J72" s="12"/>
      <c r="K72" s="12"/>
      <c r="L72" s="12"/>
      <c r="M72" s="7" t="str">
        <f t="shared" si="23"/>
        <v/>
      </c>
      <c r="N72" s="6" t="str">
        <f t="shared" si="20"/>
        <v/>
      </c>
      <c r="O72" s="12"/>
      <c r="P72" s="12"/>
      <c r="Q72" s="12"/>
      <c r="R72" s="12"/>
      <c r="S72" s="12"/>
      <c r="V72" s="1">
        <f t="shared" si="24"/>
        <v>0</v>
      </c>
      <c r="W72" t="s">
        <v>141</v>
      </c>
      <c r="X72" s="6" t="str">
        <f t="shared" si="28"/>
        <v/>
      </c>
      <c r="Y72" t="s">
        <v>141</v>
      </c>
      <c r="Z72" t="s">
        <v>141</v>
      </c>
      <c r="AA72" s="6" t="str">
        <f t="shared" si="25"/>
        <v/>
      </c>
      <c r="AB72" t="s">
        <v>141</v>
      </c>
      <c r="AC72" s="6" t="str">
        <f t="shared" si="29"/>
        <v/>
      </c>
      <c r="AD72" t="s">
        <v>141</v>
      </c>
      <c r="AE72" t="s">
        <v>141</v>
      </c>
      <c r="AF72" t="s">
        <v>141</v>
      </c>
      <c r="AG72" s="6" t="str">
        <f t="shared" si="21"/>
        <v/>
      </c>
      <c r="AH72" s="6" t="str">
        <f t="shared" si="26"/>
        <v/>
      </c>
      <c r="AI72" t="s">
        <v>141</v>
      </c>
      <c r="AJ72" t="s">
        <v>141</v>
      </c>
      <c r="AK72" s="6" t="str">
        <f t="shared" si="27"/>
        <v/>
      </c>
      <c r="AL72" t="s">
        <v>141</v>
      </c>
      <c r="AM72" t="s">
        <v>141</v>
      </c>
      <c r="AN72" s="6" t="str">
        <f t="shared" si="22"/>
        <v/>
      </c>
      <c r="AO72" t="s">
        <v>141</v>
      </c>
      <c r="AP72" t="s">
        <v>141</v>
      </c>
      <c r="AQ72" t="s">
        <v>141</v>
      </c>
      <c r="AR72" t="s">
        <v>141</v>
      </c>
      <c r="AS72" s="6" t="str">
        <f t="shared" si="30"/>
        <v/>
      </c>
      <c r="AT72" s="6" t="str">
        <f t="shared" si="31"/>
        <v/>
      </c>
      <c r="AU72" t="s">
        <v>141</v>
      </c>
    </row>
    <row r="73" spans="1:47">
      <c r="A73" s="7" t="str">
        <f>IF(fieldcreatorv2!B85="","",fieldcreatorv2!B85)</f>
        <v/>
      </c>
      <c r="B73" s="7" t="str">
        <f>IF(fieldcreatorv2!C85="","",fieldcreatorv2!C85)</f>
        <v/>
      </c>
      <c r="C73" s="7" t="str">
        <f>IF(fieldcreatorv2!G85="","",fieldcreatorv2!G85)</f>
        <v/>
      </c>
      <c r="D73" s="12"/>
      <c r="E73" s="12"/>
      <c r="F73" s="12"/>
      <c r="G73" s="12"/>
      <c r="H73" s="12"/>
      <c r="I73" s="12"/>
      <c r="J73" s="12"/>
      <c r="K73" s="12"/>
      <c r="L73" s="12"/>
      <c r="M73" s="7" t="str">
        <f t="shared" si="23"/>
        <v/>
      </c>
      <c r="N73" s="6" t="str">
        <f t="shared" ref="N73:N102" si="32">+IF(M73="","",",")</f>
        <v/>
      </c>
      <c r="O73" s="12"/>
      <c r="P73" s="12"/>
      <c r="Q73" s="12"/>
      <c r="R73" s="12"/>
      <c r="S73" s="12"/>
      <c r="V73" s="1">
        <f t="shared" si="24"/>
        <v>0</v>
      </c>
      <c r="W73" t="s">
        <v>141</v>
      </c>
      <c r="X73" s="6" t="str">
        <f t="shared" si="28"/>
        <v/>
      </c>
      <c r="Y73" t="s">
        <v>141</v>
      </c>
      <c r="Z73" t="s">
        <v>141</v>
      </c>
      <c r="AA73" s="6" t="str">
        <f t="shared" si="25"/>
        <v/>
      </c>
      <c r="AB73" t="s">
        <v>141</v>
      </c>
      <c r="AC73" s="6" t="str">
        <f t="shared" si="29"/>
        <v/>
      </c>
      <c r="AD73" t="s">
        <v>141</v>
      </c>
      <c r="AE73" t="s">
        <v>141</v>
      </c>
      <c r="AF73" t="s">
        <v>141</v>
      </c>
      <c r="AG73" s="6" t="str">
        <f t="shared" si="21"/>
        <v/>
      </c>
      <c r="AH73" s="6" t="str">
        <f t="shared" si="26"/>
        <v/>
      </c>
      <c r="AI73" t="s">
        <v>141</v>
      </c>
      <c r="AJ73" t="s">
        <v>141</v>
      </c>
      <c r="AK73" s="6" t="str">
        <f t="shared" si="27"/>
        <v/>
      </c>
      <c r="AL73" t="s">
        <v>141</v>
      </c>
      <c r="AM73" t="s">
        <v>141</v>
      </c>
      <c r="AN73" s="6" t="str">
        <f t="shared" si="22"/>
        <v/>
      </c>
      <c r="AO73" t="s">
        <v>141</v>
      </c>
      <c r="AP73" t="s">
        <v>141</v>
      </c>
      <c r="AQ73" t="s">
        <v>141</v>
      </c>
      <c r="AR73" t="s">
        <v>141</v>
      </c>
      <c r="AS73" s="6" t="str">
        <f t="shared" si="30"/>
        <v/>
      </c>
      <c r="AT73" s="6" t="str">
        <f t="shared" si="31"/>
        <v/>
      </c>
      <c r="AU73" t="s">
        <v>141</v>
      </c>
    </row>
    <row r="74" spans="1:47">
      <c r="A74" s="7" t="str">
        <f>IF(fieldcreatorv2!B86="","",fieldcreatorv2!B86)</f>
        <v/>
      </c>
      <c r="B74" s="7" t="str">
        <f>IF(fieldcreatorv2!C86="","",fieldcreatorv2!C86)</f>
        <v/>
      </c>
      <c r="C74" s="7" t="str">
        <f>IF(fieldcreatorv2!G86="","",fieldcreatorv2!G86)</f>
        <v/>
      </c>
      <c r="D74" s="12"/>
      <c r="E74" s="12"/>
      <c r="F74" s="12"/>
      <c r="G74" s="12"/>
      <c r="H74" s="12"/>
      <c r="I74" s="12"/>
      <c r="J74" s="12"/>
      <c r="K74" s="12"/>
      <c r="L74" s="12"/>
      <c r="M74" s="7" t="str">
        <f t="shared" si="23"/>
        <v/>
      </c>
      <c r="N74" s="6" t="str">
        <f t="shared" si="32"/>
        <v/>
      </c>
      <c r="O74" s="12"/>
      <c r="P74" s="12"/>
      <c r="Q74" s="12"/>
      <c r="R74" s="12"/>
      <c r="S74" s="12"/>
      <c r="V74" s="1">
        <f t="shared" si="24"/>
        <v>0</v>
      </c>
      <c r="W74" t="s">
        <v>141</v>
      </c>
      <c r="X74" s="6" t="str">
        <f t="shared" si="28"/>
        <v/>
      </c>
      <c r="Y74" t="s">
        <v>141</v>
      </c>
      <c r="Z74" t="s">
        <v>141</v>
      </c>
      <c r="AA74" s="6" t="str">
        <f t="shared" si="25"/>
        <v/>
      </c>
      <c r="AB74" t="s">
        <v>141</v>
      </c>
      <c r="AC74" s="6" t="str">
        <f t="shared" si="29"/>
        <v/>
      </c>
      <c r="AD74" t="s">
        <v>141</v>
      </c>
      <c r="AE74" t="s">
        <v>141</v>
      </c>
      <c r="AF74" t="s">
        <v>141</v>
      </c>
      <c r="AG74" s="6" t="str">
        <f t="shared" ref="AG74:AG102" si="33">+IF(AA74="","",$AF$6)</f>
        <v/>
      </c>
      <c r="AH74" s="6" t="str">
        <f t="shared" si="26"/>
        <v/>
      </c>
      <c r="AI74" t="s">
        <v>141</v>
      </c>
      <c r="AJ74" t="s">
        <v>141</v>
      </c>
      <c r="AK74" s="6" t="str">
        <f t="shared" si="27"/>
        <v/>
      </c>
      <c r="AL74" t="s">
        <v>141</v>
      </c>
      <c r="AM74" t="s">
        <v>141</v>
      </c>
      <c r="AN74" s="6" t="str">
        <f t="shared" ref="AN74:AN102" si="34">+IF(AA74="","",$AM$2&amp;AA74&amp;$AM$3&amp;AA74&amp;$AM$4&amp;AA74&amp;$AM$5&amp;AA74&amp;$AM$6)</f>
        <v/>
      </c>
      <c r="AO74" t="s">
        <v>141</v>
      </c>
      <c r="AP74" t="s">
        <v>141</v>
      </c>
      <c r="AQ74" t="s">
        <v>141</v>
      </c>
      <c r="AR74" t="s">
        <v>141</v>
      </c>
      <c r="AS74" s="6" t="str">
        <f t="shared" si="30"/>
        <v/>
      </c>
      <c r="AT74" s="6" t="str">
        <f t="shared" si="31"/>
        <v/>
      </c>
      <c r="AU74" t="s">
        <v>141</v>
      </c>
    </row>
    <row r="75" spans="1:47">
      <c r="A75" s="7" t="str">
        <f>IF(fieldcreatorv2!B87="","",fieldcreatorv2!B87)</f>
        <v/>
      </c>
      <c r="B75" s="7" t="str">
        <f>IF(fieldcreatorv2!C87="","",fieldcreatorv2!C87)</f>
        <v/>
      </c>
      <c r="C75" s="7" t="str">
        <f>IF(fieldcreatorv2!G87="","",fieldcreatorv2!G87)</f>
        <v/>
      </c>
      <c r="D75" s="12"/>
      <c r="E75" s="12"/>
      <c r="F75" s="12"/>
      <c r="G75" s="12"/>
      <c r="H75" s="12"/>
      <c r="I75" s="12"/>
      <c r="J75" s="12"/>
      <c r="K75" s="12"/>
      <c r="L75" s="12"/>
      <c r="M75" s="7" t="str">
        <f t="shared" si="23"/>
        <v/>
      </c>
      <c r="N75" s="6" t="str">
        <f t="shared" si="32"/>
        <v/>
      </c>
      <c r="O75" s="12"/>
      <c r="P75" s="12"/>
      <c r="Q75" s="12"/>
      <c r="R75" s="12"/>
      <c r="S75" s="12"/>
      <c r="V75" s="1">
        <f t="shared" si="24"/>
        <v>0</v>
      </c>
      <c r="W75" t="s">
        <v>141</v>
      </c>
      <c r="X75" s="6" t="str">
        <f t="shared" si="28"/>
        <v/>
      </c>
      <c r="Y75" t="s">
        <v>141</v>
      </c>
      <c r="Z75" t="s">
        <v>141</v>
      </c>
      <c r="AA75" s="6" t="str">
        <f t="shared" si="25"/>
        <v/>
      </c>
      <c r="AB75" t="s">
        <v>141</v>
      </c>
      <c r="AC75" s="6" t="str">
        <f t="shared" si="29"/>
        <v/>
      </c>
      <c r="AD75" t="s">
        <v>141</v>
      </c>
      <c r="AE75" t="s">
        <v>141</v>
      </c>
      <c r="AF75" t="s">
        <v>141</v>
      </c>
      <c r="AG75" s="6" t="str">
        <f t="shared" si="33"/>
        <v/>
      </c>
      <c r="AH75" s="6" t="str">
        <f t="shared" si="26"/>
        <v/>
      </c>
      <c r="AI75" t="s">
        <v>141</v>
      </c>
      <c r="AJ75" t="s">
        <v>141</v>
      </c>
      <c r="AK75" s="6" t="str">
        <f t="shared" si="27"/>
        <v/>
      </c>
      <c r="AL75" t="s">
        <v>141</v>
      </c>
      <c r="AM75" t="s">
        <v>141</v>
      </c>
      <c r="AN75" s="6" t="str">
        <f t="shared" si="34"/>
        <v/>
      </c>
      <c r="AO75" t="s">
        <v>141</v>
      </c>
      <c r="AP75" t="s">
        <v>141</v>
      </c>
      <c r="AQ75" t="s">
        <v>141</v>
      </c>
      <c r="AR75" t="s">
        <v>141</v>
      </c>
      <c r="AS75" s="6" t="str">
        <f t="shared" si="30"/>
        <v/>
      </c>
      <c r="AT75" s="6" t="str">
        <f t="shared" si="31"/>
        <v/>
      </c>
      <c r="AU75" t="s">
        <v>141</v>
      </c>
    </row>
    <row r="76" spans="1:47">
      <c r="A76" s="7" t="str">
        <f>IF(fieldcreatorv2!B88="","",fieldcreatorv2!B88)</f>
        <v/>
      </c>
      <c r="B76" s="7" t="str">
        <f>IF(fieldcreatorv2!C88="","",fieldcreatorv2!C88)</f>
        <v/>
      </c>
      <c r="C76" s="7" t="str">
        <f>IF(fieldcreatorv2!G88="","",fieldcreatorv2!G88)</f>
        <v/>
      </c>
      <c r="D76" s="12"/>
      <c r="E76" s="12"/>
      <c r="F76" s="12"/>
      <c r="G76" s="12"/>
      <c r="H76" s="12"/>
      <c r="I76" s="12"/>
      <c r="J76" s="12"/>
      <c r="K76" s="12"/>
      <c r="L76" s="12"/>
      <c r="M76" s="7" t="str">
        <f t="shared" si="23"/>
        <v/>
      </c>
      <c r="N76" s="6" t="str">
        <f t="shared" si="32"/>
        <v/>
      </c>
      <c r="O76" s="12"/>
      <c r="P76" s="12"/>
      <c r="Q76" s="12"/>
      <c r="R76" s="12"/>
      <c r="S76" s="12"/>
      <c r="V76" s="1">
        <f t="shared" si="24"/>
        <v>0</v>
      </c>
      <c r="W76" t="s">
        <v>141</v>
      </c>
      <c r="X76" s="6" t="str">
        <f t="shared" si="28"/>
        <v/>
      </c>
      <c r="Y76" t="s">
        <v>141</v>
      </c>
      <c r="Z76" t="s">
        <v>141</v>
      </c>
      <c r="AA76" s="6" t="str">
        <f t="shared" si="25"/>
        <v/>
      </c>
      <c r="AB76" t="s">
        <v>141</v>
      </c>
      <c r="AC76" s="6" t="str">
        <f t="shared" si="29"/>
        <v/>
      </c>
      <c r="AD76" t="s">
        <v>141</v>
      </c>
      <c r="AE76" t="s">
        <v>141</v>
      </c>
      <c r="AF76" t="s">
        <v>141</v>
      </c>
      <c r="AG76" s="6" t="str">
        <f t="shared" si="33"/>
        <v/>
      </c>
      <c r="AH76" s="6" t="str">
        <f t="shared" si="26"/>
        <v/>
      </c>
      <c r="AI76" t="s">
        <v>141</v>
      </c>
      <c r="AJ76" t="s">
        <v>141</v>
      </c>
      <c r="AK76" s="6" t="str">
        <f t="shared" si="27"/>
        <v/>
      </c>
      <c r="AL76" t="s">
        <v>141</v>
      </c>
      <c r="AM76" t="s">
        <v>141</v>
      </c>
      <c r="AN76" s="6" t="str">
        <f t="shared" si="34"/>
        <v/>
      </c>
      <c r="AO76" t="s">
        <v>141</v>
      </c>
      <c r="AP76" t="s">
        <v>141</v>
      </c>
      <c r="AQ76" t="s">
        <v>141</v>
      </c>
      <c r="AR76" t="s">
        <v>141</v>
      </c>
      <c r="AS76" s="6" t="str">
        <f t="shared" si="30"/>
        <v/>
      </c>
      <c r="AT76" s="6" t="str">
        <f t="shared" si="31"/>
        <v/>
      </c>
      <c r="AU76" t="s">
        <v>141</v>
      </c>
    </row>
    <row r="77" spans="1:47">
      <c r="A77" s="7" t="str">
        <f>IF(fieldcreatorv2!B89="","",fieldcreatorv2!B89)</f>
        <v/>
      </c>
      <c r="B77" s="7" t="str">
        <f>IF(fieldcreatorv2!C89="","",fieldcreatorv2!C89)</f>
        <v/>
      </c>
      <c r="C77" s="7" t="str">
        <f>IF(fieldcreatorv2!G89="","",fieldcreatorv2!G89)</f>
        <v/>
      </c>
      <c r="D77" s="12"/>
      <c r="E77" s="12"/>
      <c r="F77" s="12"/>
      <c r="G77" s="12"/>
      <c r="H77" s="12"/>
      <c r="I77" s="12"/>
      <c r="J77" s="12"/>
      <c r="K77" s="12"/>
      <c r="L77" s="12"/>
      <c r="M77" s="7" t="str">
        <f t="shared" si="23"/>
        <v/>
      </c>
      <c r="N77" s="6" t="str">
        <f t="shared" si="32"/>
        <v/>
      </c>
      <c r="O77" s="12"/>
      <c r="P77" s="12"/>
      <c r="Q77" s="12"/>
      <c r="R77" s="12"/>
      <c r="S77" s="12"/>
      <c r="V77" s="1">
        <f t="shared" si="24"/>
        <v>0</v>
      </c>
      <c r="W77" t="s">
        <v>141</v>
      </c>
      <c r="X77" s="6" t="str">
        <f t="shared" si="28"/>
        <v/>
      </c>
      <c r="Y77" t="s">
        <v>141</v>
      </c>
      <c r="Z77" t="s">
        <v>141</v>
      </c>
      <c r="AA77" s="6" t="str">
        <f t="shared" si="25"/>
        <v/>
      </c>
      <c r="AB77" t="s">
        <v>141</v>
      </c>
      <c r="AC77" s="6" t="str">
        <f t="shared" si="29"/>
        <v/>
      </c>
      <c r="AD77" t="s">
        <v>141</v>
      </c>
      <c r="AE77" t="s">
        <v>141</v>
      </c>
      <c r="AF77" t="s">
        <v>141</v>
      </c>
      <c r="AG77" s="6" t="str">
        <f t="shared" si="33"/>
        <v/>
      </c>
      <c r="AH77" s="6" t="str">
        <f t="shared" si="26"/>
        <v/>
      </c>
      <c r="AI77" t="s">
        <v>141</v>
      </c>
      <c r="AJ77" t="s">
        <v>141</v>
      </c>
      <c r="AK77" s="6" t="str">
        <f t="shared" si="27"/>
        <v/>
      </c>
      <c r="AL77" t="s">
        <v>141</v>
      </c>
      <c r="AM77" t="s">
        <v>141</v>
      </c>
      <c r="AN77" s="6" t="str">
        <f t="shared" si="34"/>
        <v/>
      </c>
      <c r="AO77" t="s">
        <v>141</v>
      </c>
      <c r="AP77" t="s">
        <v>141</v>
      </c>
      <c r="AQ77" t="s">
        <v>141</v>
      </c>
      <c r="AR77" t="s">
        <v>141</v>
      </c>
      <c r="AS77" s="6" t="str">
        <f t="shared" si="30"/>
        <v/>
      </c>
      <c r="AT77" s="6" t="str">
        <f t="shared" si="31"/>
        <v/>
      </c>
      <c r="AU77" t="s">
        <v>141</v>
      </c>
    </row>
    <row r="78" spans="1:47">
      <c r="A78" s="7" t="str">
        <f>IF(fieldcreatorv2!B90="","",fieldcreatorv2!B90)</f>
        <v/>
      </c>
      <c r="B78" s="7" t="str">
        <f>IF(fieldcreatorv2!C90="","",fieldcreatorv2!C90)</f>
        <v/>
      </c>
      <c r="C78" s="7" t="str">
        <f>IF(fieldcreatorv2!G90="","",fieldcreatorv2!G90)</f>
        <v/>
      </c>
      <c r="D78" s="12"/>
      <c r="E78" s="12"/>
      <c r="F78" s="12"/>
      <c r="G78" s="12"/>
      <c r="H78" s="12"/>
      <c r="I78" s="12"/>
      <c r="J78" s="12"/>
      <c r="K78" s="12"/>
      <c r="L78" s="12"/>
      <c r="M78" s="7" t="str">
        <f t="shared" si="23"/>
        <v/>
      </c>
      <c r="N78" s="6" t="str">
        <f t="shared" si="32"/>
        <v/>
      </c>
      <c r="O78" s="12"/>
      <c r="P78" s="12"/>
      <c r="Q78" s="12"/>
      <c r="R78" s="12"/>
      <c r="S78" s="12"/>
      <c r="V78" s="1">
        <f t="shared" si="24"/>
        <v>0</v>
      </c>
      <c r="W78" t="s">
        <v>141</v>
      </c>
      <c r="X78" s="6" t="str">
        <f t="shared" si="28"/>
        <v/>
      </c>
      <c r="Y78" t="s">
        <v>141</v>
      </c>
      <c r="Z78" t="s">
        <v>141</v>
      </c>
      <c r="AA78" s="6" t="str">
        <f t="shared" si="25"/>
        <v/>
      </c>
      <c r="AB78" t="s">
        <v>141</v>
      </c>
      <c r="AC78" s="6" t="str">
        <f t="shared" si="29"/>
        <v/>
      </c>
      <c r="AD78" t="s">
        <v>141</v>
      </c>
      <c r="AE78" t="s">
        <v>141</v>
      </c>
      <c r="AF78" t="s">
        <v>141</v>
      </c>
      <c r="AG78" s="6" t="str">
        <f t="shared" si="33"/>
        <v/>
      </c>
      <c r="AH78" s="6" t="str">
        <f t="shared" si="26"/>
        <v/>
      </c>
      <c r="AI78" t="s">
        <v>141</v>
      </c>
      <c r="AJ78" t="s">
        <v>141</v>
      </c>
      <c r="AK78" s="6" t="str">
        <f t="shared" si="27"/>
        <v/>
      </c>
      <c r="AL78" t="s">
        <v>141</v>
      </c>
      <c r="AM78" t="s">
        <v>141</v>
      </c>
      <c r="AN78" s="6" t="str">
        <f t="shared" si="34"/>
        <v/>
      </c>
      <c r="AO78" t="s">
        <v>141</v>
      </c>
      <c r="AP78" t="s">
        <v>141</v>
      </c>
      <c r="AQ78" t="s">
        <v>141</v>
      </c>
      <c r="AR78" t="s">
        <v>141</v>
      </c>
      <c r="AS78" s="6" t="str">
        <f t="shared" si="30"/>
        <v/>
      </c>
      <c r="AT78" s="6" t="str">
        <f t="shared" si="31"/>
        <v/>
      </c>
      <c r="AU78" t="s">
        <v>141</v>
      </c>
    </row>
    <row r="79" spans="1:47">
      <c r="A79" s="7" t="str">
        <f>IF(fieldcreatorv2!B91="","",fieldcreatorv2!B91)</f>
        <v/>
      </c>
      <c r="B79" s="7" t="str">
        <f>IF(fieldcreatorv2!C91="","",fieldcreatorv2!C91)</f>
        <v/>
      </c>
      <c r="C79" s="7" t="str">
        <f>IF(fieldcreatorv2!G91="","",fieldcreatorv2!G91)</f>
        <v/>
      </c>
      <c r="D79" s="12"/>
      <c r="E79" s="12"/>
      <c r="F79" s="12"/>
      <c r="G79" s="12"/>
      <c r="H79" s="12"/>
      <c r="I79" s="12"/>
      <c r="J79" s="12"/>
      <c r="K79" s="12"/>
      <c r="L79" s="12"/>
      <c r="M79" s="7" t="str">
        <f t="shared" si="23"/>
        <v/>
      </c>
      <c r="N79" s="6" t="str">
        <f t="shared" si="32"/>
        <v/>
      </c>
      <c r="O79" s="12"/>
      <c r="P79" s="12"/>
      <c r="Q79" s="12"/>
      <c r="R79" s="12"/>
      <c r="S79" s="12"/>
      <c r="V79" s="1">
        <f t="shared" si="24"/>
        <v>0</v>
      </c>
      <c r="W79" t="s">
        <v>141</v>
      </c>
      <c r="X79" s="6" t="str">
        <f t="shared" si="28"/>
        <v/>
      </c>
      <c r="Y79" t="s">
        <v>141</v>
      </c>
      <c r="Z79" t="s">
        <v>141</v>
      </c>
      <c r="AA79" s="6" t="str">
        <f t="shared" si="25"/>
        <v/>
      </c>
      <c r="AB79" t="s">
        <v>141</v>
      </c>
      <c r="AC79" s="6" t="str">
        <f t="shared" si="29"/>
        <v/>
      </c>
      <c r="AD79" t="s">
        <v>141</v>
      </c>
      <c r="AE79" t="s">
        <v>141</v>
      </c>
      <c r="AF79" t="s">
        <v>141</v>
      </c>
      <c r="AG79" s="6" t="str">
        <f t="shared" si="33"/>
        <v/>
      </c>
      <c r="AH79" s="6" t="str">
        <f t="shared" si="26"/>
        <v/>
      </c>
      <c r="AI79" t="s">
        <v>141</v>
      </c>
      <c r="AJ79" t="s">
        <v>141</v>
      </c>
      <c r="AK79" s="6" t="str">
        <f t="shared" si="27"/>
        <v/>
      </c>
      <c r="AL79" t="s">
        <v>141</v>
      </c>
      <c r="AM79" t="s">
        <v>141</v>
      </c>
      <c r="AN79" s="6" t="str">
        <f t="shared" si="34"/>
        <v/>
      </c>
      <c r="AO79" t="s">
        <v>141</v>
      </c>
      <c r="AP79" t="s">
        <v>141</v>
      </c>
      <c r="AQ79" t="s">
        <v>141</v>
      </c>
      <c r="AR79" t="s">
        <v>141</v>
      </c>
      <c r="AS79" s="6" t="str">
        <f t="shared" si="30"/>
        <v/>
      </c>
      <c r="AT79" s="6" t="str">
        <f t="shared" si="31"/>
        <v/>
      </c>
      <c r="AU79" t="s">
        <v>141</v>
      </c>
    </row>
    <row r="80" spans="1:47">
      <c r="A80" s="7" t="str">
        <f>IF(fieldcreatorv2!B92="","",fieldcreatorv2!B92)</f>
        <v/>
      </c>
      <c r="B80" s="7" t="str">
        <f>IF(fieldcreatorv2!C92="","",fieldcreatorv2!C92)</f>
        <v/>
      </c>
      <c r="C80" s="7" t="str">
        <f>IF(fieldcreatorv2!G92="","",fieldcreatorv2!G92)</f>
        <v/>
      </c>
      <c r="D80" s="12"/>
      <c r="E80" s="12"/>
      <c r="F80" s="12"/>
      <c r="G80" s="12"/>
      <c r="H80" s="12"/>
      <c r="I80" s="12"/>
      <c r="J80" s="12"/>
      <c r="K80" s="12"/>
      <c r="L80" s="12"/>
      <c r="M80" s="7" t="str">
        <f t="shared" si="23"/>
        <v/>
      </c>
      <c r="N80" s="6" t="str">
        <f t="shared" si="32"/>
        <v/>
      </c>
      <c r="O80" s="12"/>
      <c r="P80" s="12"/>
      <c r="Q80" s="12"/>
      <c r="R80" s="12"/>
      <c r="S80" s="12"/>
      <c r="V80" s="1">
        <f t="shared" si="24"/>
        <v>0</v>
      </c>
      <c r="W80" t="s">
        <v>141</v>
      </c>
      <c r="X80" s="6" t="str">
        <f t="shared" si="28"/>
        <v/>
      </c>
      <c r="Y80" t="s">
        <v>141</v>
      </c>
      <c r="Z80" t="s">
        <v>141</v>
      </c>
      <c r="AA80" s="6" t="str">
        <f t="shared" si="25"/>
        <v/>
      </c>
      <c r="AB80" t="s">
        <v>141</v>
      </c>
      <c r="AC80" s="6" t="str">
        <f t="shared" si="29"/>
        <v/>
      </c>
      <c r="AD80" t="s">
        <v>141</v>
      </c>
      <c r="AE80" t="s">
        <v>141</v>
      </c>
      <c r="AF80" t="s">
        <v>141</v>
      </c>
      <c r="AG80" s="6" t="str">
        <f t="shared" si="33"/>
        <v/>
      </c>
      <c r="AH80" s="6" t="str">
        <f t="shared" si="26"/>
        <v/>
      </c>
      <c r="AI80" t="s">
        <v>141</v>
      </c>
      <c r="AJ80" t="s">
        <v>141</v>
      </c>
      <c r="AK80" s="6" t="str">
        <f t="shared" si="27"/>
        <v/>
      </c>
      <c r="AL80" t="s">
        <v>141</v>
      </c>
      <c r="AM80" t="s">
        <v>141</v>
      </c>
      <c r="AN80" s="6" t="str">
        <f t="shared" si="34"/>
        <v/>
      </c>
      <c r="AO80" t="s">
        <v>141</v>
      </c>
      <c r="AP80" t="s">
        <v>141</v>
      </c>
      <c r="AQ80" t="s">
        <v>141</v>
      </c>
      <c r="AR80" t="s">
        <v>141</v>
      </c>
      <c r="AS80" s="6" t="str">
        <f t="shared" si="30"/>
        <v/>
      </c>
      <c r="AT80" s="6" t="str">
        <f t="shared" si="31"/>
        <v/>
      </c>
      <c r="AU80" t="s">
        <v>141</v>
      </c>
    </row>
    <row r="81" spans="1:47">
      <c r="A81" s="7" t="str">
        <f>IF(fieldcreatorv2!B93="","",fieldcreatorv2!B93)</f>
        <v/>
      </c>
      <c r="B81" s="7" t="str">
        <f>IF(fieldcreatorv2!C93="","",fieldcreatorv2!C93)</f>
        <v/>
      </c>
      <c r="C81" s="7" t="str">
        <f>IF(fieldcreatorv2!G93="","",fieldcreatorv2!G93)</f>
        <v/>
      </c>
      <c r="D81" s="12"/>
      <c r="E81" s="12"/>
      <c r="F81" s="12"/>
      <c r="G81" s="12"/>
      <c r="H81" s="12"/>
      <c r="I81" s="12"/>
      <c r="J81" s="12"/>
      <c r="K81" s="12"/>
      <c r="L81" s="12"/>
      <c r="M81" s="7" t="str">
        <f t="shared" si="23"/>
        <v/>
      </c>
      <c r="N81" s="6" t="str">
        <f t="shared" si="32"/>
        <v/>
      </c>
      <c r="O81" s="12"/>
      <c r="P81" s="12"/>
      <c r="Q81" s="12"/>
      <c r="R81" s="12"/>
      <c r="S81" s="12"/>
      <c r="V81" s="1">
        <f t="shared" si="24"/>
        <v>0</v>
      </c>
      <c r="W81" t="s">
        <v>141</v>
      </c>
      <c r="X81" s="6" t="str">
        <f t="shared" si="28"/>
        <v/>
      </c>
      <c r="Y81" t="s">
        <v>141</v>
      </c>
      <c r="Z81" t="s">
        <v>141</v>
      </c>
      <c r="AA81" s="6" t="str">
        <f t="shared" si="25"/>
        <v/>
      </c>
      <c r="AB81" t="s">
        <v>141</v>
      </c>
      <c r="AC81" s="6" t="str">
        <f t="shared" si="29"/>
        <v/>
      </c>
      <c r="AD81" t="s">
        <v>141</v>
      </c>
      <c r="AE81" t="s">
        <v>141</v>
      </c>
      <c r="AF81" t="s">
        <v>141</v>
      </c>
      <c r="AG81" s="6" t="str">
        <f t="shared" si="33"/>
        <v/>
      </c>
      <c r="AH81" s="6" t="str">
        <f t="shared" si="26"/>
        <v/>
      </c>
      <c r="AI81" t="s">
        <v>141</v>
      </c>
      <c r="AJ81" t="s">
        <v>141</v>
      </c>
      <c r="AK81" s="6" t="str">
        <f t="shared" si="27"/>
        <v/>
      </c>
      <c r="AL81" t="s">
        <v>141</v>
      </c>
      <c r="AM81" t="s">
        <v>141</v>
      </c>
      <c r="AN81" s="6" t="str">
        <f t="shared" si="34"/>
        <v/>
      </c>
      <c r="AO81" t="s">
        <v>141</v>
      </c>
      <c r="AP81" t="s">
        <v>141</v>
      </c>
      <c r="AQ81" t="s">
        <v>141</v>
      </c>
      <c r="AR81" t="s">
        <v>141</v>
      </c>
      <c r="AS81" s="6" t="str">
        <f t="shared" si="30"/>
        <v/>
      </c>
      <c r="AT81" s="6" t="str">
        <f t="shared" si="31"/>
        <v/>
      </c>
      <c r="AU81" t="s">
        <v>141</v>
      </c>
    </row>
    <row r="82" spans="1:47">
      <c r="A82" s="7" t="str">
        <f>IF(fieldcreatorv2!B94="","",fieldcreatorv2!B94)</f>
        <v/>
      </c>
      <c r="B82" s="7" t="str">
        <f>IF(fieldcreatorv2!C94="","",fieldcreatorv2!C94)</f>
        <v/>
      </c>
      <c r="C82" s="7" t="str">
        <f>IF(fieldcreatorv2!G94="","",fieldcreatorv2!G94)</f>
        <v/>
      </c>
      <c r="D82" s="12"/>
      <c r="E82" s="12"/>
      <c r="F82" s="12"/>
      <c r="G82" s="12"/>
      <c r="H82" s="12"/>
      <c r="I82" s="12"/>
      <c r="J82" s="12"/>
      <c r="K82" s="12"/>
      <c r="L82" s="12"/>
      <c r="M82" s="7" t="str">
        <f t="shared" si="23"/>
        <v/>
      </c>
      <c r="N82" s="6" t="str">
        <f t="shared" si="32"/>
        <v/>
      </c>
      <c r="O82" s="12"/>
      <c r="P82" s="12"/>
      <c r="Q82" s="12"/>
      <c r="R82" s="12"/>
      <c r="S82" s="12"/>
      <c r="V82" s="1">
        <f t="shared" si="24"/>
        <v>0</v>
      </c>
      <c r="W82" t="s">
        <v>141</v>
      </c>
      <c r="X82" s="6" t="str">
        <f t="shared" si="28"/>
        <v/>
      </c>
      <c r="Y82" t="s">
        <v>141</v>
      </c>
      <c r="Z82" t="s">
        <v>141</v>
      </c>
      <c r="AA82" s="6" t="str">
        <f t="shared" si="25"/>
        <v/>
      </c>
      <c r="AB82" t="s">
        <v>141</v>
      </c>
      <c r="AC82" s="6" t="str">
        <f t="shared" si="29"/>
        <v/>
      </c>
      <c r="AD82" t="s">
        <v>141</v>
      </c>
      <c r="AE82" t="s">
        <v>141</v>
      </c>
      <c r="AF82" t="s">
        <v>141</v>
      </c>
      <c r="AG82" s="6" t="str">
        <f t="shared" si="33"/>
        <v/>
      </c>
      <c r="AH82" s="6" t="str">
        <f t="shared" si="26"/>
        <v/>
      </c>
      <c r="AI82" t="s">
        <v>141</v>
      </c>
      <c r="AJ82" t="s">
        <v>141</v>
      </c>
      <c r="AK82" s="6" t="str">
        <f t="shared" si="27"/>
        <v/>
      </c>
      <c r="AL82" t="s">
        <v>141</v>
      </c>
      <c r="AM82" t="s">
        <v>141</v>
      </c>
      <c r="AN82" s="6" t="str">
        <f t="shared" si="34"/>
        <v/>
      </c>
      <c r="AO82" t="s">
        <v>141</v>
      </c>
      <c r="AP82" t="s">
        <v>141</v>
      </c>
      <c r="AQ82" t="s">
        <v>141</v>
      </c>
      <c r="AR82" t="s">
        <v>141</v>
      </c>
      <c r="AS82" s="6" t="str">
        <f t="shared" si="30"/>
        <v/>
      </c>
      <c r="AT82" s="6" t="str">
        <f t="shared" si="31"/>
        <v/>
      </c>
      <c r="AU82" t="s">
        <v>141</v>
      </c>
    </row>
    <row r="83" spans="1:47">
      <c r="A83" s="7" t="str">
        <f>IF(fieldcreatorv2!B95="","",fieldcreatorv2!B95)</f>
        <v/>
      </c>
      <c r="B83" s="7" t="str">
        <f>IF(fieldcreatorv2!C95="","",fieldcreatorv2!C95)</f>
        <v/>
      </c>
      <c r="C83" s="7" t="str">
        <f>IF(fieldcreatorv2!G95="","",fieldcreatorv2!G95)</f>
        <v/>
      </c>
      <c r="D83" s="12"/>
      <c r="E83" s="12"/>
      <c r="F83" s="12"/>
      <c r="G83" s="12"/>
      <c r="H83" s="12"/>
      <c r="I83" s="12"/>
      <c r="J83" s="12"/>
      <c r="K83" s="12"/>
      <c r="L83" s="12"/>
      <c r="M83" s="7" t="str">
        <f t="shared" si="23"/>
        <v/>
      </c>
      <c r="N83" s="6" t="str">
        <f t="shared" si="32"/>
        <v/>
      </c>
      <c r="O83" s="12"/>
      <c r="P83" s="12"/>
      <c r="Q83" s="12"/>
      <c r="R83" s="12"/>
      <c r="S83" s="12"/>
      <c r="V83" s="1">
        <f t="shared" si="24"/>
        <v>0</v>
      </c>
      <c r="W83" t="s">
        <v>141</v>
      </c>
      <c r="X83" s="6" t="str">
        <f t="shared" si="28"/>
        <v/>
      </c>
      <c r="Y83" t="s">
        <v>141</v>
      </c>
      <c r="Z83" t="s">
        <v>141</v>
      </c>
      <c r="AA83" s="6" t="str">
        <f t="shared" si="25"/>
        <v/>
      </c>
      <c r="AB83" t="s">
        <v>141</v>
      </c>
      <c r="AC83" s="6" t="str">
        <f t="shared" si="29"/>
        <v/>
      </c>
      <c r="AD83" t="s">
        <v>141</v>
      </c>
      <c r="AE83" t="s">
        <v>141</v>
      </c>
      <c r="AF83" t="s">
        <v>141</v>
      </c>
      <c r="AG83" s="6" t="str">
        <f t="shared" si="33"/>
        <v/>
      </c>
      <c r="AH83" s="6" t="str">
        <f t="shared" si="26"/>
        <v/>
      </c>
      <c r="AI83" t="s">
        <v>141</v>
      </c>
      <c r="AJ83" t="s">
        <v>141</v>
      </c>
      <c r="AK83" s="6" t="str">
        <f t="shared" si="27"/>
        <v/>
      </c>
      <c r="AL83" t="s">
        <v>141</v>
      </c>
      <c r="AM83" t="s">
        <v>141</v>
      </c>
      <c r="AN83" s="6" t="str">
        <f t="shared" si="34"/>
        <v/>
      </c>
      <c r="AO83" t="s">
        <v>141</v>
      </c>
      <c r="AP83" t="s">
        <v>141</v>
      </c>
      <c r="AQ83" t="s">
        <v>141</v>
      </c>
      <c r="AR83" t="s">
        <v>141</v>
      </c>
      <c r="AS83" s="6" t="str">
        <f t="shared" si="30"/>
        <v/>
      </c>
      <c r="AT83" s="6" t="str">
        <f t="shared" si="31"/>
        <v/>
      </c>
      <c r="AU83" t="s">
        <v>141</v>
      </c>
    </row>
    <row r="84" spans="1:47">
      <c r="A84" s="7" t="str">
        <f>IF(fieldcreatorv2!B96="","",fieldcreatorv2!B96)</f>
        <v/>
      </c>
      <c r="B84" s="7" t="str">
        <f>IF(fieldcreatorv2!C96="","",fieldcreatorv2!C96)</f>
        <v/>
      </c>
      <c r="C84" s="7" t="str">
        <f>IF(fieldcreatorv2!G96="","",fieldcreatorv2!G96)</f>
        <v/>
      </c>
      <c r="D84" s="12"/>
      <c r="E84" s="12"/>
      <c r="F84" s="12"/>
      <c r="G84" s="12"/>
      <c r="H84" s="12"/>
      <c r="I84" s="12"/>
      <c r="J84" s="12"/>
      <c r="K84" s="12"/>
      <c r="L84" s="12"/>
      <c r="M84" s="7" t="str">
        <f t="shared" si="23"/>
        <v/>
      </c>
      <c r="N84" s="6" t="str">
        <f t="shared" si="32"/>
        <v/>
      </c>
      <c r="O84" s="12"/>
      <c r="P84" s="12"/>
      <c r="Q84" s="12"/>
      <c r="R84" s="12"/>
      <c r="S84" s="12"/>
      <c r="V84" s="1">
        <f t="shared" si="24"/>
        <v>0</v>
      </c>
      <c r="W84" t="s">
        <v>141</v>
      </c>
      <c r="X84" s="6" t="str">
        <f t="shared" si="28"/>
        <v/>
      </c>
      <c r="Y84" t="s">
        <v>141</v>
      </c>
      <c r="Z84" t="s">
        <v>141</v>
      </c>
      <c r="AA84" s="6" t="str">
        <f t="shared" si="25"/>
        <v/>
      </c>
      <c r="AB84" t="s">
        <v>141</v>
      </c>
      <c r="AC84" s="6" t="str">
        <f t="shared" si="29"/>
        <v/>
      </c>
      <c r="AD84" t="s">
        <v>141</v>
      </c>
      <c r="AE84" t="s">
        <v>141</v>
      </c>
      <c r="AF84" t="s">
        <v>141</v>
      </c>
      <c r="AG84" s="6" t="str">
        <f t="shared" si="33"/>
        <v/>
      </c>
      <c r="AH84" s="6" t="str">
        <f t="shared" si="26"/>
        <v/>
      </c>
      <c r="AI84" t="s">
        <v>141</v>
      </c>
      <c r="AJ84" t="s">
        <v>141</v>
      </c>
      <c r="AK84" s="6" t="str">
        <f t="shared" si="27"/>
        <v/>
      </c>
      <c r="AL84" t="s">
        <v>141</v>
      </c>
      <c r="AM84" t="s">
        <v>141</v>
      </c>
      <c r="AN84" s="6" t="str">
        <f t="shared" si="34"/>
        <v/>
      </c>
      <c r="AO84" t="s">
        <v>141</v>
      </c>
      <c r="AP84" t="s">
        <v>141</v>
      </c>
      <c r="AQ84" t="s">
        <v>141</v>
      </c>
      <c r="AR84" t="s">
        <v>141</v>
      </c>
      <c r="AS84" s="6" t="str">
        <f t="shared" si="30"/>
        <v/>
      </c>
      <c r="AT84" s="6" t="str">
        <f t="shared" si="31"/>
        <v/>
      </c>
      <c r="AU84" t="s">
        <v>141</v>
      </c>
    </row>
    <row r="85" spans="1:47">
      <c r="A85" s="7" t="str">
        <f>IF(fieldcreatorv2!B97="","",fieldcreatorv2!B97)</f>
        <v/>
      </c>
      <c r="B85" s="7" t="str">
        <f>IF(fieldcreatorv2!C97="","",fieldcreatorv2!C97)</f>
        <v/>
      </c>
      <c r="C85" s="7" t="str">
        <f>IF(fieldcreatorv2!G97="","",fieldcreatorv2!G97)</f>
        <v/>
      </c>
      <c r="D85" s="12"/>
      <c r="E85" s="12"/>
      <c r="F85" s="12"/>
      <c r="G85" s="12"/>
      <c r="H85" s="12"/>
      <c r="I85" s="12"/>
      <c r="J85" s="12"/>
      <c r="K85" s="12"/>
      <c r="L85" s="12"/>
      <c r="M85" s="7" t="str">
        <f t="shared" si="23"/>
        <v/>
      </c>
      <c r="N85" s="6" t="str">
        <f t="shared" si="32"/>
        <v/>
      </c>
      <c r="O85" s="12"/>
      <c r="P85" s="12"/>
      <c r="Q85" s="12"/>
      <c r="R85" s="12"/>
      <c r="S85" s="12"/>
      <c r="V85" s="1">
        <f t="shared" si="24"/>
        <v>0</v>
      </c>
      <c r="W85" t="s">
        <v>141</v>
      </c>
      <c r="X85" s="6" t="str">
        <f t="shared" si="28"/>
        <v/>
      </c>
      <c r="Y85" t="s">
        <v>141</v>
      </c>
      <c r="Z85" t="s">
        <v>141</v>
      </c>
      <c r="AA85" s="6" t="str">
        <f t="shared" si="25"/>
        <v/>
      </c>
      <c r="AB85" t="s">
        <v>141</v>
      </c>
      <c r="AC85" s="6" t="str">
        <f t="shared" si="29"/>
        <v/>
      </c>
      <c r="AD85" t="s">
        <v>141</v>
      </c>
      <c r="AE85" t="s">
        <v>141</v>
      </c>
      <c r="AF85" t="s">
        <v>141</v>
      </c>
      <c r="AG85" s="6" t="str">
        <f t="shared" si="33"/>
        <v/>
      </c>
      <c r="AH85" s="6" t="str">
        <f t="shared" si="26"/>
        <v/>
      </c>
      <c r="AI85" t="s">
        <v>141</v>
      </c>
      <c r="AJ85" t="s">
        <v>141</v>
      </c>
      <c r="AK85" s="6" t="str">
        <f t="shared" si="27"/>
        <v/>
      </c>
      <c r="AL85" t="s">
        <v>141</v>
      </c>
      <c r="AM85" t="s">
        <v>141</v>
      </c>
      <c r="AN85" s="6" t="str">
        <f t="shared" si="34"/>
        <v/>
      </c>
      <c r="AO85" t="s">
        <v>141</v>
      </c>
      <c r="AP85" t="s">
        <v>141</v>
      </c>
      <c r="AQ85" t="s">
        <v>141</v>
      </c>
      <c r="AR85" t="s">
        <v>141</v>
      </c>
      <c r="AS85" s="6" t="str">
        <f t="shared" si="30"/>
        <v/>
      </c>
      <c r="AT85" s="6" t="str">
        <f t="shared" si="31"/>
        <v/>
      </c>
      <c r="AU85" t="s">
        <v>141</v>
      </c>
    </row>
    <row r="86" spans="1:47">
      <c r="A86" s="7" t="str">
        <f>IF(fieldcreatorv2!B98="","",fieldcreatorv2!B98)</f>
        <v/>
      </c>
      <c r="B86" s="7" t="str">
        <f>IF(fieldcreatorv2!C98="","",fieldcreatorv2!C98)</f>
        <v/>
      </c>
      <c r="C86" s="7" t="str">
        <f>IF(fieldcreatorv2!G98="","",fieldcreatorv2!G98)</f>
        <v/>
      </c>
      <c r="D86" s="12"/>
      <c r="E86" s="12"/>
      <c r="F86" s="12"/>
      <c r="G86" s="12"/>
      <c r="H86" s="12"/>
      <c r="I86" s="12"/>
      <c r="J86" s="12"/>
      <c r="K86" s="12"/>
      <c r="L86" s="12"/>
      <c r="M86" s="7" t="str">
        <f t="shared" si="23"/>
        <v/>
      </c>
      <c r="N86" s="6" t="str">
        <f t="shared" si="32"/>
        <v/>
      </c>
      <c r="O86" s="12"/>
      <c r="P86" s="12"/>
      <c r="Q86" s="12"/>
      <c r="R86" s="12"/>
      <c r="S86" s="12"/>
      <c r="V86" s="1">
        <f t="shared" si="24"/>
        <v>0</v>
      </c>
      <c r="W86" t="s">
        <v>141</v>
      </c>
      <c r="X86" s="6" t="str">
        <f t="shared" si="28"/>
        <v/>
      </c>
      <c r="Y86" t="s">
        <v>141</v>
      </c>
      <c r="Z86" t="s">
        <v>141</v>
      </c>
      <c r="AA86" s="6" t="str">
        <f t="shared" si="25"/>
        <v/>
      </c>
      <c r="AB86" t="s">
        <v>141</v>
      </c>
      <c r="AC86" s="6" t="str">
        <f t="shared" si="29"/>
        <v/>
      </c>
      <c r="AD86" t="s">
        <v>141</v>
      </c>
      <c r="AE86" t="s">
        <v>141</v>
      </c>
      <c r="AF86" t="s">
        <v>141</v>
      </c>
      <c r="AG86" s="6" t="str">
        <f t="shared" si="33"/>
        <v/>
      </c>
      <c r="AH86" s="6" t="str">
        <f t="shared" si="26"/>
        <v/>
      </c>
      <c r="AI86" t="s">
        <v>141</v>
      </c>
      <c r="AJ86" t="s">
        <v>141</v>
      </c>
      <c r="AK86" s="6" t="str">
        <f t="shared" si="27"/>
        <v/>
      </c>
      <c r="AL86" t="s">
        <v>141</v>
      </c>
      <c r="AM86" t="s">
        <v>141</v>
      </c>
      <c r="AN86" s="6" t="str">
        <f t="shared" si="34"/>
        <v/>
      </c>
      <c r="AO86" t="s">
        <v>141</v>
      </c>
      <c r="AP86" t="s">
        <v>141</v>
      </c>
      <c r="AQ86" t="s">
        <v>141</v>
      </c>
      <c r="AR86" t="s">
        <v>141</v>
      </c>
      <c r="AS86" s="6" t="str">
        <f t="shared" si="30"/>
        <v/>
      </c>
      <c r="AT86" s="6" t="str">
        <f t="shared" si="31"/>
        <v/>
      </c>
      <c r="AU86" t="s">
        <v>141</v>
      </c>
    </row>
    <row r="87" spans="1:47">
      <c r="A87" s="7" t="str">
        <f>IF(fieldcreatorv2!B99="","",fieldcreatorv2!B99)</f>
        <v/>
      </c>
      <c r="B87" s="7" t="str">
        <f>IF(fieldcreatorv2!C99="","",fieldcreatorv2!C99)</f>
        <v/>
      </c>
      <c r="C87" s="7" t="str">
        <f>IF(fieldcreatorv2!G99="","",fieldcreatorv2!G99)</f>
        <v/>
      </c>
      <c r="D87" s="12"/>
      <c r="E87" s="12"/>
      <c r="F87" s="12"/>
      <c r="G87" s="12"/>
      <c r="H87" s="12"/>
      <c r="I87" s="12"/>
      <c r="J87" s="12"/>
      <c r="K87" s="12"/>
      <c r="L87" s="12"/>
      <c r="M87" s="7" t="str">
        <f t="shared" si="23"/>
        <v/>
      </c>
      <c r="N87" s="6" t="str">
        <f t="shared" si="32"/>
        <v/>
      </c>
      <c r="O87" s="12"/>
      <c r="P87" s="12"/>
      <c r="Q87" s="12"/>
      <c r="R87" s="12"/>
      <c r="S87" s="12"/>
      <c r="V87" s="1">
        <f t="shared" si="24"/>
        <v>0</v>
      </c>
      <c r="W87" t="s">
        <v>141</v>
      </c>
      <c r="X87" s="6" t="str">
        <f t="shared" si="28"/>
        <v/>
      </c>
      <c r="Y87" t="s">
        <v>141</v>
      </c>
      <c r="Z87" t="s">
        <v>141</v>
      </c>
      <c r="AA87" s="6" t="str">
        <f t="shared" si="25"/>
        <v/>
      </c>
      <c r="AB87" t="s">
        <v>141</v>
      </c>
      <c r="AC87" s="6" t="str">
        <f t="shared" si="29"/>
        <v/>
      </c>
      <c r="AD87" t="s">
        <v>141</v>
      </c>
      <c r="AE87" t="s">
        <v>141</v>
      </c>
      <c r="AF87" t="s">
        <v>141</v>
      </c>
      <c r="AG87" s="6" t="str">
        <f t="shared" si="33"/>
        <v/>
      </c>
      <c r="AH87" s="6" t="str">
        <f t="shared" si="26"/>
        <v/>
      </c>
      <c r="AI87" t="s">
        <v>141</v>
      </c>
      <c r="AJ87" t="s">
        <v>141</v>
      </c>
      <c r="AK87" s="6" t="str">
        <f t="shared" si="27"/>
        <v/>
      </c>
      <c r="AL87" t="s">
        <v>141</v>
      </c>
      <c r="AM87" t="s">
        <v>141</v>
      </c>
      <c r="AN87" s="6" t="str">
        <f t="shared" si="34"/>
        <v/>
      </c>
      <c r="AO87" t="s">
        <v>141</v>
      </c>
      <c r="AP87" t="s">
        <v>141</v>
      </c>
      <c r="AQ87" t="s">
        <v>141</v>
      </c>
      <c r="AR87" t="s">
        <v>141</v>
      </c>
      <c r="AS87" s="6" t="str">
        <f t="shared" si="30"/>
        <v/>
      </c>
      <c r="AT87" s="6" t="str">
        <f t="shared" si="31"/>
        <v/>
      </c>
      <c r="AU87" t="s">
        <v>141</v>
      </c>
    </row>
    <row r="88" spans="1:47">
      <c r="A88" s="7" t="str">
        <f>IF(fieldcreatorv2!B100="","",fieldcreatorv2!B100)</f>
        <v/>
      </c>
      <c r="B88" s="7" t="str">
        <f>IF(fieldcreatorv2!C100="","",fieldcreatorv2!C100)</f>
        <v/>
      </c>
      <c r="C88" s="7" t="str">
        <f>IF(fieldcreatorv2!G100="","",fieldcreatorv2!G100)</f>
        <v/>
      </c>
      <c r="D88" s="12"/>
      <c r="E88" s="12"/>
      <c r="F88" s="12"/>
      <c r="G88" s="12"/>
      <c r="H88" s="12"/>
      <c r="I88" s="12"/>
      <c r="J88" s="12"/>
      <c r="K88" s="12"/>
      <c r="L88" s="12"/>
      <c r="M88" s="7" t="str">
        <f t="shared" si="23"/>
        <v/>
      </c>
      <c r="N88" s="6" t="str">
        <f t="shared" si="32"/>
        <v/>
      </c>
      <c r="O88" s="12"/>
      <c r="P88" s="12"/>
      <c r="Q88" s="12"/>
      <c r="R88" s="12"/>
      <c r="S88" s="12"/>
      <c r="V88" s="1">
        <f t="shared" si="24"/>
        <v>0</v>
      </c>
      <c r="W88" t="s">
        <v>141</v>
      </c>
      <c r="X88" s="6" t="str">
        <f t="shared" si="28"/>
        <v/>
      </c>
      <c r="Y88" t="s">
        <v>141</v>
      </c>
      <c r="Z88" t="s">
        <v>141</v>
      </c>
      <c r="AA88" s="6" t="str">
        <f t="shared" si="25"/>
        <v/>
      </c>
      <c r="AB88" t="s">
        <v>141</v>
      </c>
      <c r="AC88" s="6" t="str">
        <f t="shared" si="29"/>
        <v/>
      </c>
      <c r="AD88" t="s">
        <v>141</v>
      </c>
      <c r="AE88" t="s">
        <v>141</v>
      </c>
      <c r="AF88" t="s">
        <v>141</v>
      </c>
      <c r="AG88" s="6" t="str">
        <f t="shared" si="33"/>
        <v/>
      </c>
      <c r="AH88" s="6" t="str">
        <f t="shared" si="26"/>
        <v/>
      </c>
      <c r="AI88" t="s">
        <v>141</v>
      </c>
      <c r="AJ88" t="s">
        <v>141</v>
      </c>
      <c r="AK88" s="6" t="str">
        <f t="shared" si="27"/>
        <v/>
      </c>
      <c r="AL88" t="s">
        <v>141</v>
      </c>
      <c r="AM88" t="s">
        <v>141</v>
      </c>
      <c r="AN88" s="6" t="str">
        <f t="shared" si="34"/>
        <v/>
      </c>
      <c r="AO88" t="s">
        <v>141</v>
      </c>
      <c r="AP88" t="s">
        <v>141</v>
      </c>
      <c r="AQ88" t="s">
        <v>141</v>
      </c>
      <c r="AR88" t="s">
        <v>141</v>
      </c>
      <c r="AS88" s="6" t="str">
        <f t="shared" si="30"/>
        <v/>
      </c>
      <c r="AT88" s="6" t="str">
        <f t="shared" si="31"/>
        <v/>
      </c>
      <c r="AU88" t="s">
        <v>141</v>
      </c>
    </row>
    <row r="89" spans="1:47">
      <c r="A89" s="7" t="str">
        <f>IF(fieldcreatorv2!B101="","",fieldcreatorv2!B101)</f>
        <v/>
      </c>
      <c r="B89" s="7" t="str">
        <f>IF(fieldcreatorv2!C101="","",fieldcreatorv2!C101)</f>
        <v/>
      </c>
      <c r="C89" s="7" t="str">
        <f>IF(fieldcreatorv2!G101="","",fieldcreatorv2!G101)</f>
        <v/>
      </c>
      <c r="D89" s="12"/>
      <c r="E89" s="12"/>
      <c r="F89" s="12"/>
      <c r="G89" s="12"/>
      <c r="H89" s="12"/>
      <c r="I89" s="12"/>
      <c r="J89" s="12"/>
      <c r="K89" s="12"/>
      <c r="L89" s="12"/>
      <c r="M89" s="7" t="str">
        <f t="shared" si="23"/>
        <v/>
      </c>
      <c r="N89" s="6" t="str">
        <f t="shared" si="32"/>
        <v/>
      </c>
      <c r="O89" s="12"/>
      <c r="P89" s="12"/>
      <c r="Q89" s="12"/>
      <c r="R89" s="12"/>
      <c r="S89" s="12"/>
      <c r="V89" s="1">
        <f t="shared" si="24"/>
        <v>0</v>
      </c>
      <c r="W89" t="s">
        <v>141</v>
      </c>
      <c r="X89" s="6" t="str">
        <f t="shared" si="28"/>
        <v/>
      </c>
      <c r="Y89" t="s">
        <v>141</v>
      </c>
      <c r="Z89" t="s">
        <v>141</v>
      </c>
      <c r="AA89" s="6" t="str">
        <f t="shared" si="25"/>
        <v/>
      </c>
      <c r="AB89" t="s">
        <v>141</v>
      </c>
      <c r="AC89" s="6" t="str">
        <f t="shared" si="29"/>
        <v/>
      </c>
      <c r="AD89" t="s">
        <v>141</v>
      </c>
      <c r="AE89" t="s">
        <v>141</v>
      </c>
      <c r="AF89" t="s">
        <v>141</v>
      </c>
      <c r="AG89" s="6" t="str">
        <f t="shared" si="33"/>
        <v/>
      </c>
      <c r="AH89" s="6" t="str">
        <f t="shared" si="26"/>
        <v/>
      </c>
      <c r="AI89" t="s">
        <v>141</v>
      </c>
      <c r="AJ89" t="s">
        <v>141</v>
      </c>
      <c r="AK89" s="6" t="str">
        <f t="shared" si="27"/>
        <v/>
      </c>
      <c r="AL89" t="s">
        <v>141</v>
      </c>
      <c r="AM89" t="s">
        <v>141</v>
      </c>
      <c r="AN89" s="6" t="str">
        <f t="shared" si="34"/>
        <v/>
      </c>
      <c r="AO89" t="s">
        <v>141</v>
      </c>
      <c r="AP89" t="s">
        <v>141</v>
      </c>
      <c r="AQ89" t="s">
        <v>141</v>
      </c>
      <c r="AR89" t="s">
        <v>141</v>
      </c>
      <c r="AS89" s="6" t="str">
        <f t="shared" si="30"/>
        <v/>
      </c>
      <c r="AT89" s="6" t="str">
        <f t="shared" si="31"/>
        <v/>
      </c>
      <c r="AU89" t="s">
        <v>141</v>
      </c>
    </row>
    <row r="90" spans="1:47">
      <c r="A90" s="7" t="str">
        <f>IF(fieldcreatorv2!B102="","",fieldcreatorv2!B102)</f>
        <v/>
      </c>
      <c r="B90" s="7" t="str">
        <f>IF(fieldcreatorv2!C102="","",fieldcreatorv2!C102)</f>
        <v/>
      </c>
      <c r="C90" s="7" t="str">
        <f>IF(fieldcreatorv2!G102="","",fieldcreatorv2!G102)</f>
        <v/>
      </c>
      <c r="D90" s="12"/>
      <c r="E90" s="12"/>
      <c r="F90" s="12"/>
      <c r="G90" s="12"/>
      <c r="H90" s="12"/>
      <c r="I90" s="12"/>
      <c r="J90" s="12"/>
      <c r="K90" s="12"/>
      <c r="L90" s="12"/>
      <c r="M90" s="7" t="str">
        <f t="shared" si="23"/>
        <v/>
      </c>
      <c r="N90" s="6" t="str">
        <f t="shared" si="32"/>
        <v/>
      </c>
      <c r="O90" s="12"/>
      <c r="P90" s="12"/>
      <c r="Q90" s="12"/>
      <c r="R90" s="12"/>
      <c r="S90" s="12"/>
      <c r="V90" s="1">
        <f t="shared" si="24"/>
        <v>0</v>
      </c>
      <c r="W90" t="s">
        <v>141</v>
      </c>
      <c r="X90" s="6" t="str">
        <f t="shared" si="28"/>
        <v/>
      </c>
      <c r="Y90" t="s">
        <v>141</v>
      </c>
      <c r="Z90" t="s">
        <v>141</v>
      </c>
      <c r="AA90" s="6" t="str">
        <f t="shared" si="25"/>
        <v/>
      </c>
      <c r="AB90" t="s">
        <v>141</v>
      </c>
      <c r="AC90" s="6" t="str">
        <f t="shared" si="29"/>
        <v/>
      </c>
      <c r="AD90" t="s">
        <v>141</v>
      </c>
      <c r="AE90" t="s">
        <v>141</v>
      </c>
      <c r="AF90" t="s">
        <v>141</v>
      </c>
      <c r="AG90" s="6" t="str">
        <f t="shared" si="33"/>
        <v/>
      </c>
      <c r="AH90" s="6" t="str">
        <f t="shared" si="26"/>
        <v/>
      </c>
      <c r="AI90" t="s">
        <v>141</v>
      </c>
      <c r="AJ90" t="s">
        <v>141</v>
      </c>
      <c r="AK90" s="6" t="str">
        <f t="shared" si="27"/>
        <v/>
      </c>
      <c r="AL90" t="s">
        <v>141</v>
      </c>
      <c r="AM90" t="s">
        <v>141</v>
      </c>
      <c r="AN90" s="6" t="str">
        <f t="shared" si="34"/>
        <v/>
      </c>
      <c r="AO90" t="s">
        <v>141</v>
      </c>
      <c r="AP90" t="s">
        <v>141</v>
      </c>
      <c r="AQ90" t="s">
        <v>141</v>
      </c>
      <c r="AR90" t="s">
        <v>141</v>
      </c>
      <c r="AS90" s="6" t="str">
        <f t="shared" si="30"/>
        <v/>
      </c>
      <c r="AT90" s="6" t="str">
        <f t="shared" si="31"/>
        <v/>
      </c>
      <c r="AU90" t="s">
        <v>141</v>
      </c>
    </row>
    <row r="91" spans="1:47">
      <c r="A91" s="7" t="str">
        <f>IF(fieldcreatorv2!B103="","",fieldcreatorv2!B103)</f>
        <v/>
      </c>
      <c r="B91" s="7" t="str">
        <f>IF(fieldcreatorv2!C103="","",fieldcreatorv2!C103)</f>
        <v/>
      </c>
      <c r="C91" s="7" t="str">
        <f>IF(fieldcreatorv2!G103="","",fieldcreatorv2!G103)</f>
        <v/>
      </c>
      <c r="D91" s="12"/>
      <c r="E91" s="12"/>
      <c r="F91" s="12"/>
      <c r="G91" s="12"/>
      <c r="H91" s="12"/>
      <c r="I91" s="12"/>
      <c r="J91" s="12"/>
      <c r="K91" s="12"/>
      <c r="L91" s="12"/>
      <c r="M91" s="7" t="str">
        <f t="shared" si="23"/>
        <v/>
      </c>
      <c r="N91" s="6" t="str">
        <f t="shared" si="32"/>
        <v/>
      </c>
      <c r="O91" s="12"/>
      <c r="P91" s="12"/>
      <c r="Q91" s="12"/>
      <c r="R91" s="12"/>
      <c r="S91" s="12"/>
      <c r="V91" s="1">
        <f t="shared" si="24"/>
        <v>0</v>
      </c>
      <c r="W91" t="s">
        <v>141</v>
      </c>
      <c r="X91" s="6" t="str">
        <f t="shared" si="28"/>
        <v/>
      </c>
      <c r="Y91" t="s">
        <v>141</v>
      </c>
      <c r="Z91" t="s">
        <v>141</v>
      </c>
      <c r="AA91" s="6" t="str">
        <f t="shared" si="25"/>
        <v/>
      </c>
      <c r="AB91" t="s">
        <v>141</v>
      </c>
      <c r="AC91" s="6" t="str">
        <f t="shared" si="29"/>
        <v/>
      </c>
      <c r="AD91" t="s">
        <v>141</v>
      </c>
      <c r="AE91" t="s">
        <v>141</v>
      </c>
      <c r="AF91" t="s">
        <v>141</v>
      </c>
      <c r="AG91" s="6" t="str">
        <f t="shared" si="33"/>
        <v/>
      </c>
      <c r="AH91" s="6" t="str">
        <f t="shared" si="26"/>
        <v/>
      </c>
      <c r="AI91" t="s">
        <v>141</v>
      </c>
      <c r="AJ91" t="s">
        <v>141</v>
      </c>
      <c r="AK91" s="6" t="str">
        <f t="shared" si="27"/>
        <v/>
      </c>
      <c r="AL91" t="s">
        <v>141</v>
      </c>
      <c r="AM91" t="s">
        <v>141</v>
      </c>
      <c r="AN91" s="6" t="str">
        <f t="shared" si="34"/>
        <v/>
      </c>
      <c r="AO91" t="s">
        <v>141</v>
      </c>
      <c r="AP91" t="s">
        <v>141</v>
      </c>
      <c r="AQ91" t="s">
        <v>141</v>
      </c>
      <c r="AR91" t="s">
        <v>141</v>
      </c>
      <c r="AS91" s="6" t="str">
        <f t="shared" si="30"/>
        <v/>
      </c>
      <c r="AT91" s="6" t="str">
        <f t="shared" si="31"/>
        <v/>
      </c>
      <c r="AU91" t="s">
        <v>141</v>
      </c>
    </row>
    <row r="92" spans="1:47">
      <c r="A92" s="7" t="str">
        <f>IF(fieldcreatorv2!B104="","",fieldcreatorv2!B104)</f>
        <v/>
      </c>
      <c r="B92" s="7" t="str">
        <f>IF(fieldcreatorv2!C104="","",fieldcreatorv2!C104)</f>
        <v/>
      </c>
      <c r="C92" s="7" t="str">
        <f>IF(fieldcreatorv2!G104="","",fieldcreatorv2!G104)</f>
        <v/>
      </c>
      <c r="D92" s="12"/>
      <c r="E92" s="12"/>
      <c r="F92" s="12"/>
      <c r="G92" s="12"/>
      <c r="H92" s="12"/>
      <c r="I92" s="12"/>
      <c r="J92" s="12"/>
      <c r="K92" s="12"/>
      <c r="L92" s="12"/>
      <c r="M92" s="7" t="str">
        <f t="shared" si="23"/>
        <v/>
      </c>
      <c r="N92" s="6" t="str">
        <f t="shared" si="32"/>
        <v/>
      </c>
      <c r="O92" s="12"/>
      <c r="P92" s="12"/>
      <c r="Q92" s="12"/>
      <c r="R92" s="12"/>
      <c r="S92" s="12"/>
      <c r="V92" s="1">
        <f t="shared" si="24"/>
        <v>0</v>
      </c>
      <c r="W92" t="s">
        <v>141</v>
      </c>
      <c r="X92" s="6" t="str">
        <f t="shared" si="28"/>
        <v/>
      </c>
      <c r="Y92" t="s">
        <v>141</v>
      </c>
      <c r="Z92" t="s">
        <v>141</v>
      </c>
      <c r="AA92" s="6" t="str">
        <f t="shared" si="25"/>
        <v/>
      </c>
      <c r="AB92" t="s">
        <v>141</v>
      </c>
      <c r="AC92" s="6" t="str">
        <f t="shared" si="29"/>
        <v/>
      </c>
      <c r="AD92" t="s">
        <v>141</v>
      </c>
      <c r="AE92" t="s">
        <v>141</v>
      </c>
      <c r="AF92" t="s">
        <v>141</v>
      </c>
      <c r="AG92" s="6" t="str">
        <f t="shared" si="33"/>
        <v/>
      </c>
      <c r="AH92" s="6" t="str">
        <f t="shared" si="26"/>
        <v/>
      </c>
      <c r="AI92" t="s">
        <v>141</v>
      </c>
      <c r="AJ92" t="s">
        <v>141</v>
      </c>
      <c r="AK92" s="6" t="str">
        <f t="shared" si="27"/>
        <v/>
      </c>
      <c r="AL92" t="s">
        <v>141</v>
      </c>
      <c r="AM92" t="s">
        <v>141</v>
      </c>
      <c r="AN92" s="6" t="str">
        <f t="shared" si="34"/>
        <v/>
      </c>
      <c r="AO92" t="s">
        <v>141</v>
      </c>
      <c r="AP92" t="s">
        <v>141</v>
      </c>
      <c r="AQ92" t="s">
        <v>141</v>
      </c>
      <c r="AR92" t="s">
        <v>141</v>
      </c>
      <c r="AS92" s="6" t="str">
        <f t="shared" si="30"/>
        <v/>
      </c>
      <c r="AT92" s="6" t="str">
        <f t="shared" si="31"/>
        <v/>
      </c>
      <c r="AU92" t="s">
        <v>141</v>
      </c>
    </row>
    <row r="93" spans="1:47">
      <c r="A93" s="7" t="str">
        <f>IF(fieldcreatorv2!B105="","",fieldcreatorv2!B105)</f>
        <v/>
      </c>
      <c r="B93" s="7" t="str">
        <f>IF(fieldcreatorv2!C105="","",fieldcreatorv2!C105)</f>
        <v/>
      </c>
      <c r="C93" s="7" t="str">
        <f>IF(fieldcreatorv2!G105="","",fieldcreatorv2!G105)</f>
        <v/>
      </c>
      <c r="D93" s="12"/>
      <c r="E93" s="12"/>
      <c r="F93" s="12"/>
      <c r="G93" s="12"/>
      <c r="H93" s="12"/>
      <c r="I93" s="12"/>
      <c r="J93" s="12"/>
      <c r="K93" s="12"/>
      <c r="L93" s="12"/>
      <c r="M93" s="7" t="str">
        <f t="shared" si="23"/>
        <v/>
      </c>
      <c r="N93" s="6" t="str">
        <f t="shared" si="32"/>
        <v/>
      </c>
      <c r="O93" s="12"/>
      <c r="P93" s="12"/>
      <c r="Q93" s="12"/>
      <c r="R93" s="12"/>
      <c r="S93" s="12"/>
      <c r="V93" s="1">
        <f t="shared" si="24"/>
        <v>0</v>
      </c>
      <c r="W93" t="s">
        <v>141</v>
      </c>
      <c r="X93" s="6" t="str">
        <f t="shared" si="28"/>
        <v/>
      </c>
      <c r="Y93" t="s">
        <v>141</v>
      </c>
      <c r="Z93" t="s">
        <v>141</v>
      </c>
      <c r="AA93" s="6" t="str">
        <f t="shared" si="25"/>
        <v/>
      </c>
      <c r="AB93" t="s">
        <v>141</v>
      </c>
      <c r="AC93" s="6" t="str">
        <f t="shared" si="29"/>
        <v/>
      </c>
      <c r="AD93" t="s">
        <v>141</v>
      </c>
      <c r="AE93" t="s">
        <v>141</v>
      </c>
      <c r="AF93" t="s">
        <v>141</v>
      </c>
      <c r="AG93" s="6" t="str">
        <f t="shared" si="33"/>
        <v/>
      </c>
      <c r="AH93" s="6" t="str">
        <f t="shared" si="26"/>
        <v/>
      </c>
      <c r="AI93" t="s">
        <v>141</v>
      </c>
      <c r="AJ93" t="s">
        <v>141</v>
      </c>
      <c r="AK93" s="6" t="str">
        <f t="shared" si="27"/>
        <v/>
      </c>
      <c r="AL93" t="s">
        <v>141</v>
      </c>
      <c r="AM93" t="s">
        <v>141</v>
      </c>
      <c r="AN93" s="6" t="str">
        <f t="shared" si="34"/>
        <v/>
      </c>
      <c r="AO93" t="s">
        <v>141</v>
      </c>
      <c r="AP93" t="s">
        <v>141</v>
      </c>
      <c r="AQ93" t="s">
        <v>141</v>
      </c>
      <c r="AR93" t="s">
        <v>141</v>
      </c>
      <c r="AS93" s="6" t="str">
        <f t="shared" si="30"/>
        <v/>
      </c>
      <c r="AT93" s="6" t="str">
        <f t="shared" si="31"/>
        <v/>
      </c>
      <c r="AU93" t="s">
        <v>141</v>
      </c>
    </row>
    <row r="94" spans="1:47">
      <c r="A94" s="7" t="str">
        <f>IF(fieldcreatorv2!B106="","",fieldcreatorv2!B106)</f>
        <v/>
      </c>
      <c r="B94" s="7" t="str">
        <f>IF(fieldcreatorv2!C106="","",fieldcreatorv2!C106)</f>
        <v/>
      </c>
      <c r="C94" s="7" t="str">
        <f>IF(fieldcreatorv2!G106="","",fieldcreatorv2!G106)</f>
        <v/>
      </c>
      <c r="D94" s="12"/>
      <c r="E94" s="12"/>
      <c r="F94" s="12"/>
      <c r="G94" s="12"/>
      <c r="H94" s="12"/>
      <c r="I94" s="12"/>
      <c r="J94" s="12"/>
      <c r="K94" s="12"/>
      <c r="L94" s="12"/>
      <c r="M94" s="7" t="str">
        <f t="shared" si="23"/>
        <v/>
      </c>
      <c r="N94" s="6" t="str">
        <f t="shared" si="32"/>
        <v/>
      </c>
      <c r="O94" s="12"/>
      <c r="P94" s="12"/>
      <c r="Q94" s="12"/>
      <c r="R94" s="12"/>
      <c r="S94" s="12"/>
      <c r="V94" s="1">
        <f t="shared" si="24"/>
        <v>0</v>
      </c>
      <c r="W94" t="s">
        <v>141</v>
      </c>
      <c r="X94" s="6" t="str">
        <f t="shared" si="28"/>
        <v/>
      </c>
      <c r="Y94" t="s">
        <v>141</v>
      </c>
      <c r="Z94" t="s">
        <v>141</v>
      </c>
      <c r="AA94" s="6" t="str">
        <f t="shared" si="25"/>
        <v/>
      </c>
      <c r="AB94" t="s">
        <v>141</v>
      </c>
      <c r="AC94" s="6" t="str">
        <f t="shared" si="29"/>
        <v/>
      </c>
      <c r="AD94" t="s">
        <v>141</v>
      </c>
      <c r="AE94" t="s">
        <v>141</v>
      </c>
      <c r="AF94" t="s">
        <v>141</v>
      </c>
      <c r="AG94" s="6" t="str">
        <f t="shared" si="33"/>
        <v/>
      </c>
      <c r="AH94" s="6" t="str">
        <f t="shared" si="26"/>
        <v/>
      </c>
      <c r="AI94" t="s">
        <v>141</v>
      </c>
      <c r="AJ94" t="s">
        <v>141</v>
      </c>
      <c r="AK94" s="6" t="str">
        <f t="shared" si="27"/>
        <v/>
      </c>
      <c r="AL94" t="s">
        <v>141</v>
      </c>
      <c r="AM94" t="s">
        <v>141</v>
      </c>
      <c r="AN94" s="6" t="str">
        <f t="shared" si="34"/>
        <v/>
      </c>
      <c r="AO94" t="s">
        <v>141</v>
      </c>
      <c r="AP94" t="s">
        <v>141</v>
      </c>
      <c r="AQ94" t="s">
        <v>141</v>
      </c>
      <c r="AR94" t="s">
        <v>141</v>
      </c>
      <c r="AS94" s="6" t="str">
        <f t="shared" si="30"/>
        <v/>
      </c>
      <c r="AT94" s="6" t="str">
        <f t="shared" si="31"/>
        <v/>
      </c>
      <c r="AU94" t="s">
        <v>141</v>
      </c>
    </row>
    <row r="95" spans="1:47">
      <c r="A95" s="7" t="str">
        <f>IF(fieldcreatorv2!B107="","",fieldcreatorv2!B107)</f>
        <v/>
      </c>
      <c r="B95" s="7" t="str">
        <f>IF(fieldcreatorv2!C107="","",fieldcreatorv2!C107)</f>
        <v/>
      </c>
      <c r="C95" s="7" t="str">
        <f>IF(fieldcreatorv2!G107="","",fieldcreatorv2!G107)</f>
        <v/>
      </c>
      <c r="D95" s="12"/>
      <c r="E95" s="12"/>
      <c r="F95" s="12"/>
      <c r="G95" s="12"/>
      <c r="H95" s="12"/>
      <c r="I95" s="12"/>
      <c r="J95" s="12"/>
      <c r="K95" s="12"/>
      <c r="L95" s="12"/>
      <c r="M95" s="7" t="str">
        <f t="shared" si="23"/>
        <v/>
      </c>
      <c r="N95" s="6" t="str">
        <f t="shared" si="32"/>
        <v/>
      </c>
      <c r="O95" s="12"/>
      <c r="P95" s="12"/>
      <c r="Q95" s="12"/>
      <c r="R95" s="12"/>
      <c r="S95" s="12"/>
      <c r="V95" s="1">
        <f t="shared" si="24"/>
        <v>0</v>
      </c>
      <c r="W95" t="s">
        <v>141</v>
      </c>
      <c r="X95" s="6" t="str">
        <f t="shared" si="28"/>
        <v/>
      </c>
      <c r="Y95" t="s">
        <v>141</v>
      </c>
      <c r="Z95" t="s">
        <v>141</v>
      </c>
      <c r="AA95" s="6" t="str">
        <f t="shared" si="25"/>
        <v/>
      </c>
      <c r="AB95" t="s">
        <v>141</v>
      </c>
      <c r="AC95" s="6" t="str">
        <f t="shared" si="29"/>
        <v/>
      </c>
      <c r="AD95" t="s">
        <v>141</v>
      </c>
      <c r="AE95" t="s">
        <v>141</v>
      </c>
      <c r="AF95" t="s">
        <v>141</v>
      </c>
      <c r="AG95" s="6" t="str">
        <f t="shared" si="33"/>
        <v/>
      </c>
      <c r="AH95" s="6" t="str">
        <f t="shared" si="26"/>
        <v/>
      </c>
      <c r="AI95" t="s">
        <v>141</v>
      </c>
      <c r="AJ95" t="s">
        <v>141</v>
      </c>
      <c r="AK95" s="6" t="str">
        <f t="shared" si="27"/>
        <v/>
      </c>
      <c r="AL95" t="s">
        <v>141</v>
      </c>
      <c r="AM95" t="s">
        <v>141</v>
      </c>
      <c r="AN95" s="6" t="str">
        <f t="shared" si="34"/>
        <v/>
      </c>
      <c r="AO95" t="s">
        <v>141</v>
      </c>
      <c r="AP95" t="s">
        <v>141</v>
      </c>
      <c r="AQ95" t="s">
        <v>141</v>
      </c>
      <c r="AR95" t="s">
        <v>141</v>
      </c>
      <c r="AS95" s="6" t="str">
        <f t="shared" si="30"/>
        <v/>
      </c>
      <c r="AT95" s="6" t="str">
        <f t="shared" si="31"/>
        <v/>
      </c>
      <c r="AU95" t="s">
        <v>141</v>
      </c>
    </row>
    <row r="96" spans="1:47">
      <c r="A96" s="7" t="str">
        <f>IF(fieldcreatorv2!B108="","",fieldcreatorv2!B108)</f>
        <v/>
      </c>
      <c r="B96" s="7" t="str">
        <f>IF(fieldcreatorv2!C108="","",fieldcreatorv2!C108)</f>
        <v/>
      </c>
      <c r="C96" s="7" t="str">
        <f>IF(fieldcreatorv2!G108="","",fieldcreatorv2!G108)</f>
        <v/>
      </c>
      <c r="D96" s="12"/>
      <c r="E96" s="12"/>
      <c r="F96" s="12"/>
      <c r="G96" s="12"/>
      <c r="H96" s="12"/>
      <c r="I96" s="12"/>
      <c r="J96" s="12"/>
      <c r="K96" s="12"/>
      <c r="L96" s="12"/>
      <c r="M96" s="7" t="str">
        <f t="shared" si="23"/>
        <v/>
      </c>
      <c r="N96" s="6" t="str">
        <f t="shared" si="32"/>
        <v/>
      </c>
      <c r="O96" s="12"/>
      <c r="P96" s="12"/>
      <c r="Q96" s="12"/>
      <c r="R96" s="12"/>
      <c r="S96" s="12"/>
      <c r="V96" s="1">
        <f t="shared" si="24"/>
        <v>0</v>
      </c>
      <c r="W96" t="s">
        <v>141</v>
      </c>
      <c r="X96" s="6" t="str">
        <f t="shared" si="28"/>
        <v/>
      </c>
      <c r="Y96" t="s">
        <v>141</v>
      </c>
      <c r="Z96" t="s">
        <v>141</v>
      </c>
      <c r="AA96" s="6" t="str">
        <f t="shared" si="25"/>
        <v/>
      </c>
      <c r="AB96" t="s">
        <v>141</v>
      </c>
      <c r="AC96" s="6" t="str">
        <f t="shared" si="29"/>
        <v/>
      </c>
      <c r="AD96" t="s">
        <v>141</v>
      </c>
      <c r="AE96" t="s">
        <v>141</v>
      </c>
      <c r="AF96" t="s">
        <v>141</v>
      </c>
      <c r="AG96" s="6" t="str">
        <f t="shared" si="33"/>
        <v/>
      </c>
      <c r="AH96" s="6" t="str">
        <f t="shared" si="26"/>
        <v/>
      </c>
      <c r="AI96" t="s">
        <v>141</v>
      </c>
      <c r="AJ96" t="s">
        <v>141</v>
      </c>
      <c r="AK96" s="6" t="str">
        <f t="shared" si="27"/>
        <v/>
      </c>
      <c r="AL96" t="s">
        <v>141</v>
      </c>
      <c r="AM96" t="s">
        <v>141</v>
      </c>
      <c r="AN96" s="6" t="str">
        <f t="shared" si="34"/>
        <v/>
      </c>
      <c r="AO96" t="s">
        <v>141</v>
      </c>
      <c r="AP96" t="s">
        <v>141</v>
      </c>
      <c r="AQ96" t="s">
        <v>141</v>
      </c>
      <c r="AR96" t="s">
        <v>141</v>
      </c>
      <c r="AS96" s="6" t="str">
        <f t="shared" si="30"/>
        <v/>
      </c>
      <c r="AT96" s="6" t="str">
        <f t="shared" si="31"/>
        <v/>
      </c>
      <c r="AU96" t="s">
        <v>141</v>
      </c>
    </row>
    <row r="97" spans="1:47">
      <c r="A97" s="7" t="str">
        <f>IF(fieldcreatorv2!B109="","",fieldcreatorv2!B109)</f>
        <v/>
      </c>
      <c r="B97" s="7" t="str">
        <f>IF(fieldcreatorv2!C109="","",fieldcreatorv2!C109)</f>
        <v/>
      </c>
      <c r="C97" s="7" t="str">
        <f>IF(fieldcreatorv2!G109="","",fieldcreatorv2!G109)</f>
        <v/>
      </c>
      <c r="D97" s="12"/>
      <c r="E97" s="12"/>
      <c r="F97" s="12"/>
      <c r="G97" s="12"/>
      <c r="H97" s="12"/>
      <c r="I97" s="12"/>
      <c r="J97" s="12"/>
      <c r="K97" s="12"/>
      <c r="L97" s="12"/>
      <c r="M97" s="7" t="str">
        <f t="shared" si="23"/>
        <v/>
      </c>
      <c r="N97" s="6" t="str">
        <f t="shared" si="32"/>
        <v/>
      </c>
      <c r="O97" s="12"/>
      <c r="P97" s="12"/>
      <c r="Q97" s="12"/>
      <c r="R97" s="12"/>
      <c r="S97" s="12"/>
      <c r="V97" s="1">
        <f t="shared" si="24"/>
        <v>0</v>
      </c>
      <c r="W97" t="s">
        <v>141</v>
      </c>
      <c r="X97" s="6" t="str">
        <f t="shared" si="28"/>
        <v/>
      </c>
      <c r="Y97" t="s">
        <v>141</v>
      </c>
      <c r="Z97" t="s">
        <v>141</v>
      </c>
      <c r="AA97" s="6" t="str">
        <f t="shared" si="25"/>
        <v/>
      </c>
      <c r="AB97" t="s">
        <v>141</v>
      </c>
      <c r="AC97" s="6" t="str">
        <f t="shared" si="29"/>
        <v/>
      </c>
      <c r="AD97" t="s">
        <v>141</v>
      </c>
      <c r="AE97" t="s">
        <v>141</v>
      </c>
      <c r="AF97" t="s">
        <v>141</v>
      </c>
      <c r="AG97" s="6" t="str">
        <f t="shared" si="33"/>
        <v/>
      </c>
      <c r="AH97" s="6" t="str">
        <f t="shared" si="26"/>
        <v/>
      </c>
      <c r="AI97" t="s">
        <v>141</v>
      </c>
      <c r="AJ97" t="s">
        <v>141</v>
      </c>
      <c r="AK97" s="6" t="str">
        <f t="shared" si="27"/>
        <v/>
      </c>
      <c r="AL97" t="s">
        <v>141</v>
      </c>
      <c r="AM97" t="s">
        <v>141</v>
      </c>
      <c r="AN97" s="6" t="str">
        <f t="shared" si="34"/>
        <v/>
      </c>
      <c r="AO97" t="s">
        <v>141</v>
      </c>
      <c r="AP97" t="s">
        <v>141</v>
      </c>
      <c r="AQ97" t="s">
        <v>141</v>
      </c>
      <c r="AR97" t="s">
        <v>141</v>
      </c>
      <c r="AS97" s="6" t="str">
        <f t="shared" si="30"/>
        <v/>
      </c>
      <c r="AT97" s="6" t="str">
        <f t="shared" si="31"/>
        <v/>
      </c>
      <c r="AU97" t="s">
        <v>141</v>
      </c>
    </row>
    <row r="98" spans="1:47">
      <c r="A98" s="7" t="str">
        <f>IF(fieldcreatorv2!B110="","",fieldcreatorv2!B110)</f>
        <v/>
      </c>
      <c r="B98" s="7" t="str">
        <f>IF(fieldcreatorv2!C110="","",fieldcreatorv2!C110)</f>
        <v/>
      </c>
      <c r="C98" s="7" t="str">
        <f>IF(fieldcreatorv2!G110="","",fieldcreatorv2!G110)</f>
        <v/>
      </c>
      <c r="D98" s="12"/>
      <c r="E98" s="12"/>
      <c r="F98" s="12"/>
      <c r="G98" s="12"/>
      <c r="H98" s="12"/>
      <c r="I98" s="12"/>
      <c r="J98" s="12"/>
      <c r="K98" s="12"/>
      <c r="L98" s="12"/>
      <c r="M98" s="7" t="str">
        <f t="shared" si="23"/>
        <v/>
      </c>
      <c r="N98" s="6" t="str">
        <f t="shared" si="32"/>
        <v/>
      </c>
      <c r="O98" s="12"/>
      <c r="P98" s="12"/>
      <c r="Q98" s="12"/>
      <c r="R98" s="12"/>
      <c r="S98" s="12"/>
      <c r="V98" s="1">
        <f t="shared" si="24"/>
        <v>0</v>
      </c>
      <c r="W98" t="s">
        <v>141</v>
      </c>
      <c r="X98" s="6" t="str">
        <f t="shared" si="28"/>
        <v/>
      </c>
      <c r="Y98" t="s">
        <v>141</v>
      </c>
      <c r="Z98" t="s">
        <v>141</v>
      </c>
      <c r="AA98" s="6" t="str">
        <f t="shared" si="25"/>
        <v/>
      </c>
      <c r="AB98" t="s">
        <v>141</v>
      </c>
      <c r="AC98" s="6" t="str">
        <f t="shared" si="29"/>
        <v/>
      </c>
      <c r="AD98" t="s">
        <v>141</v>
      </c>
      <c r="AE98" t="s">
        <v>141</v>
      </c>
      <c r="AF98" t="s">
        <v>141</v>
      </c>
      <c r="AG98" s="6" t="str">
        <f t="shared" si="33"/>
        <v/>
      </c>
      <c r="AH98" s="6" t="str">
        <f t="shared" si="26"/>
        <v/>
      </c>
      <c r="AI98" t="s">
        <v>141</v>
      </c>
      <c r="AJ98" t="s">
        <v>141</v>
      </c>
      <c r="AK98" s="6" t="str">
        <f t="shared" si="27"/>
        <v/>
      </c>
      <c r="AL98" t="s">
        <v>141</v>
      </c>
      <c r="AM98" t="s">
        <v>141</v>
      </c>
      <c r="AN98" s="6" t="str">
        <f t="shared" si="34"/>
        <v/>
      </c>
      <c r="AO98" t="s">
        <v>141</v>
      </c>
      <c r="AP98" t="s">
        <v>141</v>
      </c>
      <c r="AQ98" t="s">
        <v>141</v>
      </c>
      <c r="AR98" t="s">
        <v>141</v>
      </c>
      <c r="AS98" s="6" t="str">
        <f t="shared" si="30"/>
        <v/>
      </c>
      <c r="AT98" s="6" t="str">
        <f t="shared" si="31"/>
        <v/>
      </c>
      <c r="AU98" t="s">
        <v>141</v>
      </c>
    </row>
    <row r="99" spans="1:47">
      <c r="A99" s="7" t="str">
        <f>IF(fieldcreatorv2!B111="","",fieldcreatorv2!B111)</f>
        <v/>
      </c>
      <c r="B99" s="7" t="str">
        <f>IF(fieldcreatorv2!C111="","",fieldcreatorv2!C111)</f>
        <v/>
      </c>
      <c r="C99" s="7" t="str">
        <f>IF(fieldcreatorv2!G111="","",fieldcreatorv2!G111)</f>
        <v/>
      </c>
      <c r="D99" s="12"/>
      <c r="E99" s="12"/>
      <c r="F99" s="12"/>
      <c r="G99" s="12"/>
      <c r="H99" s="12"/>
      <c r="I99" s="12"/>
      <c r="J99" s="12"/>
      <c r="K99" s="12"/>
      <c r="L99" s="12"/>
      <c r="M99" s="7" t="str">
        <f t="shared" si="23"/>
        <v/>
      </c>
      <c r="N99" s="6" t="str">
        <f t="shared" si="32"/>
        <v/>
      </c>
      <c r="O99" s="12"/>
      <c r="P99" s="12"/>
      <c r="Q99" s="12"/>
      <c r="R99" s="12"/>
      <c r="S99" s="12"/>
      <c r="V99" s="1">
        <f t="shared" si="24"/>
        <v>0</v>
      </c>
      <c r="W99" t="s">
        <v>141</v>
      </c>
      <c r="X99" s="6" t="str">
        <f t="shared" si="28"/>
        <v/>
      </c>
      <c r="Y99" t="s">
        <v>141</v>
      </c>
      <c r="Z99" t="s">
        <v>141</v>
      </c>
      <c r="AA99" s="6" t="str">
        <f t="shared" si="25"/>
        <v/>
      </c>
      <c r="AB99" t="s">
        <v>141</v>
      </c>
      <c r="AC99" s="6" t="str">
        <f t="shared" si="29"/>
        <v/>
      </c>
      <c r="AD99" t="s">
        <v>141</v>
      </c>
      <c r="AE99" t="s">
        <v>141</v>
      </c>
      <c r="AF99" t="s">
        <v>141</v>
      </c>
      <c r="AG99" s="6" t="str">
        <f t="shared" si="33"/>
        <v/>
      </c>
      <c r="AH99" s="6" t="str">
        <f t="shared" si="26"/>
        <v/>
      </c>
      <c r="AI99" t="s">
        <v>141</v>
      </c>
      <c r="AJ99" t="s">
        <v>141</v>
      </c>
      <c r="AK99" s="6" t="str">
        <f t="shared" si="27"/>
        <v/>
      </c>
      <c r="AL99" t="s">
        <v>141</v>
      </c>
      <c r="AM99" t="s">
        <v>141</v>
      </c>
      <c r="AN99" s="6" t="str">
        <f t="shared" si="34"/>
        <v/>
      </c>
      <c r="AO99" t="s">
        <v>141</v>
      </c>
      <c r="AP99" t="s">
        <v>141</v>
      </c>
      <c r="AQ99" t="s">
        <v>141</v>
      </c>
      <c r="AR99" t="s">
        <v>141</v>
      </c>
      <c r="AS99" s="6" t="str">
        <f t="shared" si="30"/>
        <v/>
      </c>
      <c r="AT99" s="6" t="str">
        <f t="shared" si="31"/>
        <v/>
      </c>
      <c r="AU99" t="s">
        <v>141</v>
      </c>
    </row>
    <row r="100" spans="1:47">
      <c r="A100" s="7" t="str">
        <f>IF(fieldcreatorv2!B112="","",fieldcreatorv2!B112)</f>
        <v/>
      </c>
      <c r="B100" s="7" t="str">
        <f>IF(fieldcreatorv2!C112="","",fieldcreatorv2!C112)</f>
        <v/>
      </c>
      <c r="C100" s="7" t="str">
        <f>IF(fieldcreatorv2!G112="","",fieldcreatorv2!G112)</f>
        <v/>
      </c>
      <c r="D100" s="12"/>
      <c r="E100" s="12"/>
      <c r="F100" s="12"/>
      <c r="G100" s="12"/>
      <c r="H100" s="12"/>
      <c r="I100" s="12"/>
      <c r="J100" s="12"/>
      <c r="K100" s="12"/>
      <c r="L100" s="12"/>
      <c r="M100" s="7" t="str">
        <f t="shared" si="23"/>
        <v/>
      </c>
      <c r="N100" s="6" t="str">
        <f t="shared" si="32"/>
        <v/>
      </c>
      <c r="O100" s="12"/>
      <c r="P100" s="12"/>
      <c r="Q100" s="12"/>
      <c r="R100" s="12"/>
      <c r="S100" s="12"/>
      <c r="V100" s="1">
        <f t="shared" si="24"/>
        <v>0</v>
      </c>
      <c r="W100" t="s">
        <v>141</v>
      </c>
      <c r="X100" s="6" t="str">
        <f t="shared" si="28"/>
        <v/>
      </c>
      <c r="Y100" t="s">
        <v>141</v>
      </c>
      <c r="Z100" t="s">
        <v>141</v>
      </c>
      <c r="AA100" s="6" t="str">
        <f t="shared" si="25"/>
        <v/>
      </c>
      <c r="AB100" t="s">
        <v>141</v>
      </c>
      <c r="AC100" s="6" t="str">
        <f t="shared" si="29"/>
        <v/>
      </c>
      <c r="AD100" t="s">
        <v>141</v>
      </c>
      <c r="AE100" t="s">
        <v>141</v>
      </c>
      <c r="AF100" t="s">
        <v>141</v>
      </c>
      <c r="AG100" s="6" t="str">
        <f t="shared" si="33"/>
        <v/>
      </c>
      <c r="AH100" s="6" t="str">
        <f t="shared" si="26"/>
        <v/>
      </c>
      <c r="AI100" t="s">
        <v>141</v>
      </c>
      <c r="AJ100" t="s">
        <v>141</v>
      </c>
      <c r="AK100" s="6" t="str">
        <f t="shared" si="27"/>
        <v/>
      </c>
      <c r="AL100" t="s">
        <v>141</v>
      </c>
      <c r="AM100" t="s">
        <v>141</v>
      </c>
      <c r="AN100" s="6" t="str">
        <f t="shared" si="34"/>
        <v/>
      </c>
      <c r="AO100" t="s">
        <v>141</v>
      </c>
      <c r="AP100" t="s">
        <v>141</v>
      </c>
      <c r="AQ100" t="s">
        <v>141</v>
      </c>
      <c r="AR100" t="s">
        <v>141</v>
      </c>
      <c r="AS100" s="6" t="str">
        <f t="shared" si="30"/>
        <v/>
      </c>
      <c r="AT100" s="6" t="str">
        <f t="shared" si="31"/>
        <v/>
      </c>
      <c r="AU100" t="s">
        <v>141</v>
      </c>
    </row>
    <row r="101" spans="1:47">
      <c r="A101" s="7" t="str">
        <f>IF(fieldcreatorv2!B113="","",fieldcreatorv2!B113)</f>
        <v/>
      </c>
      <c r="B101" s="7" t="str">
        <f>IF(fieldcreatorv2!C113="","",fieldcreatorv2!C113)</f>
        <v/>
      </c>
      <c r="C101" s="7" t="str">
        <f>IF(fieldcreatorv2!G113="","",fieldcreatorv2!G113)</f>
        <v/>
      </c>
      <c r="D101" s="12"/>
      <c r="E101" s="12"/>
      <c r="F101" s="12"/>
      <c r="G101" s="12"/>
      <c r="H101" s="12"/>
      <c r="I101" s="12"/>
      <c r="J101" s="12"/>
      <c r="K101" s="12"/>
      <c r="L101" s="12"/>
      <c r="M101" s="7" t="str">
        <f t="shared" si="23"/>
        <v/>
      </c>
      <c r="N101" s="6" t="str">
        <f t="shared" si="32"/>
        <v/>
      </c>
      <c r="O101" s="12"/>
      <c r="P101" s="12"/>
      <c r="Q101" s="12"/>
      <c r="R101" s="12"/>
      <c r="S101" s="12"/>
      <c r="V101" s="1">
        <f t="shared" si="24"/>
        <v>0</v>
      </c>
      <c r="W101" t="s">
        <v>141</v>
      </c>
      <c r="X101" s="6" t="str">
        <f t="shared" si="28"/>
        <v/>
      </c>
      <c r="Y101" t="s">
        <v>141</v>
      </c>
      <c r="Z101" t="s">
        <v>141</v>
      </c>
      <c r="AA101" s="6" t="str">
        <f t="shared" si="25"/>
        <v/>
      </c>
      <c r="AB101" t="s">
        <v>141</v>
      </c>
      <c r="AC101" s="6" t="str">
        <f t="shared" si="29"/>
        <v/>
      </c>
      <c r="AD101" t="s">
        <v>141</v>
      </c>
      <c r="AE101" t="s">
        <v>141</v>
      </c>
      <c r="AF101" t="s">
        <v>141</v>
      </c>
      <c r="AG101" s="6" t="str">
        <f t="shared" si="33"/>
        <v/>
      </c>
      <c r="AH101" s="6" t="str">
        <f t="shared" si="26"/>
        <v/>
      </c>
      <c r="AI101" t="s">
        <v>141</v>
      </c>
      <c r="AJ101" t="s">
        <v>141</v>
      </c>
      <c r="AK101" s="6" t="str">
        <f t="shared" si="27"/>
        <v/>
      </c>
      <c r="AL101" t="s">
        <v>141</v>
      </c>
      <c r="AM101" t="s">
        <v>141</v>
      </c>
      <c r="AN101" s="6" t="str">
        <f t="shared" si="34"/>
        <v/>
      </c>
      <c r="AO101" t="s">
        <v>141</v>
      </c>
      <c r="AP101" t="s">
        <v>141</v>
      </c>
      <c r="AQ101" t="s">
        <v>141</v>
      </c>
      <c r="AR101" t="s">
        <v>141</v>
      </c>
      <c r="AS101" s="6" t="str">
        <f t="shared" si="30"/>
        <v/>
      </c>
      <c r="AT101" s="6" t="str">
        <f t="shared" si="31"/>
        <v/>
      </c>
      <c r="AU101" t="s">
        <v>141</v>
      </c>
    </row>
    <row r="102" spans="1:47">
      <c r="A102" s="7" t="str">
        <f>IF(fieldcreatorv2!B114="","",fieldcreatorv2!B114)</f>
        <v/>
      </c>
      <c r="B102" s="7" t="str">
        <f>IF(fieldcreatorv2!C114="","",fieldcreatorv2!C114)</f>
        <v/>
      </c>
      <c r="C102" s="7" t="str">
        <f>IF(fieldcreatorv2!G114="","",fieldcreatorv2!G114)</f>
        <v/>
      </c>
      <c r="D102" s="12"/>
      <c r="E102" s="12"/>
      <c r="F102" s="12"/>
      <c r="G102" s="12"/>
      <c r="H102" s="12"/>
      <c r="I102" s="12"/>
      <c r="J102" s="12"/>
      <c r="K102" s="12"/>
      <c r="L102" s="12"/>
      <c r="M102" s="7" t="str">
        <f t="shared" si="23"/>
        <v/>
      </c>
      <c r="N102" s="6" t="str">
        <f t="shared" si="32"/>
        <v/>
      </c>
      <c r="O102" s="12"/>
      <c r="P102" s="12"/>
      <c r="Q102" s="12"/>
      <c r="R102" s="12"/>
      <c r="S102" s="12"/>
      <c r="V102" s="1">
        <f t="shared" si="24"/>
        <v>0</v>
      </c>
      <c r="W102" t="s">
        <v>141</v>
      </c>
      <c r="X102" s="6" t="str">
        <f t="shared" si="28"/>
        <v/>
      </c>
      <c r="Y102" t="s">
        <v>141</v>
      </c>
      <c r="Z102" t="s">
        <v>141</v>
      </c>
      <c r="AA102" s="6" t="str">
        <f t="shared" si="25"/>
        <v/>
      </c>
      <c r="AB102" t="s">
        <v>141</v>
      </c>
      <c r="AC102" s="6" t="str">
        <f t="shared" si="29"/>
        <v/>
      </c>
      <c r="AD102" t="s">
        <v>141</v>
      </c>
      <c r="AE102" t="s">
        <v>141</v>
      </c>
      <c r="AF102" t="s">
        <v>141</v>
      </c>
      <c r="AG102" s="6" t="str">
        <f t="shared" si="33"/>
        <v/>
      </c>
      <c r="AH102" s="6" t="str">
        <f t="shared" si="26"/>
        <v/>
      </c>
      <c r="AI102" t="s">
        <v>141</v>
      </c>
      <c r="AJ102" t="s">
        <v>141</v>
      </c>
      <c r="AK102" s="6" t="str">
        <f t="shared" si="27"/>
        <v/>
      </c>
      <c r="AL102" t="s">
        <v>141</v>
      </c>
      <c r="AM102" t="s">
        <v>141</v>
      </c>
      <c r="AN102" s="6" t="str">
        <f t="shared" si="34"/>
        <v/>
      </c>
      <c r="AO102" t="s">
        <v>141</v>
      </c>
      <c r="AP102" t="s">
        <v>141</v>
      </c>
      <c r="AQ102" t="s">
        <v>141</v>
      </c>
      <c r="AR102" t="s">
        <v>141</v>
      </c>
      <c r="AS102" s="6" t="str">
        <f t="shared" si="30"/>
        <v/>
      </c>
      <c r="AT102" s="6" t="str">
        <f t="shared" si="31"/>
        <v/>
      </c>
      <c r="AU102" t="s">
        <v>141</v>
      </c>
    </row>
    <row r="103" spans="1:47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47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47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47">
      <c r="A106" s="13" t="s">
        <v>91</v>
      </c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</row>
    <row r="107" spans="1:47">
      <c r="A107" s="14" t="s">
        <v>92</v>
      </c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t="str">
        <f>+T4</f>
        <v>if ()</v>
      </c>
    </row>
    <row r="108" spans="1:47">
      <c r="A108" s="15" t="str">
        <f>+X2&amp;B1&amp;Z2&amp;X3&amp;X4&amp;X5&amp;X6&amp;X7&amp;X8</f>
        <v>function insert_Jesus(user,tipo_doc_id,numd,tms_1</v>
      </c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</row>
    <row r="109" spans="1:47">
      <c r="A109" s="15" t="str">
        <f>X9&amp;X10&amp;X11&amp;X12&amp;X13&amp;X14&amp;X15&amp;X16&amp;X17&amp;X18&amp;X19&amp;X20&amp;X21&amp;X22&amp;X23&amp;X24&amp;X25&amp;X26&amp;X27&amp;X28&amp;X29&amp;X30&amp;X31&amp;X32&amp;X33&amp;X34&amp;X35&amp;X36&amp;X37&amp;X38</f>
        <v/>
      </c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</row>
    <row r="110" spans="1:47">
      <c r="A110" s="15" t="str">
        <f>X39&amp;X40&amp;X41&amp;X42&amp;X43&amp;X44&amp;X45&amp;X46&amp;X47&amp;X48&amp;X49&amp;X50&amp;X51&amp;X52&amp;X53&amp;X54&amp;X55&amp;X56&amp;X57&amp;X58&amp;X59&amp;X60&amp;X61&amp;X62&amp;X63&amp;X64&amp;X65&amp;X66&amp;X67&amp;X68</f>
        <v/>
      </c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 t="s">
        <v>143</v>
      </c>
      <c r="N110" s="12" t="s">
        <v>131</v>
      </c>
      <c r="O110" s="12" t="s">
        <v>144</v>
      </c>
      <c r="P110" s="12"/>
      <c r="Q110" s="12"/>
      <c r="R110" s="12"/>
      <c r="S110" s="12"/>
    </row>
    <row r="111" spans="1:47">
      <c r="A111" s="15" t="str">
        <f>X69&amp;X70&amp;X71&amp;X72&amp;X73&amp;X74&amp;X75&amp;X76&amp;X77&amp;X78&amp;X79&amp;X80&amp;X81&amp;X82&amp;X83&amp;X84&amp;X85&amp;X86&amp;X87&amp;X88&amp;X89&amp;X90&amp;X91&amp;X92&amp;X93&amp;X94&amp;X95&amp;X96&amp;X97&amp;X98</f>
        <v/>
      </c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</row>
    <row r="112" spans="1:47">
      <c r="A112" s="15" t="str">
        <f>X99&amp;X100&amp;X101&amp;X102</f>
        <v/>
      </c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 t="s">
        <v>143</v>
      </c>
      <c r="N112" s="12"/>
      <c r="O112" s="12"/>
      <c r="P112" s="12"/>
      <c r="Q112" s="12"/>
      <c r="R112" s="12"/>
      <c r="S112" s="12"/>
    </row>
    <row r="113" spans="1:19">
      <c r="A113" s="15" t="str">
        <f>") {"&amp;IF(T2=1,T4,"")</f>
        <v>) {</v>
      </c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 t="s">
        <v>131</v>
      </c>
      <c r="N113" s="12"/>
      <c r="O113" s="12"/>
      <c r="P113" s="12"/>
      <c r="Q113" s="12"/>
      <c r="R113" s="12"/>
      <c r="S113" s="12"/>
    </row>
    <row r="114" spans="1:19">
      <c r="A114" s="15" t="str">
        <f>+IF(T2=1,AE5,"")</f>
        <v/>
      </c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 t="s">
        <v>144</v>
      </c>
      <c r="N114" s="12"/>
      <c r="O114" s="12"/>
      <c r="P114" s="12"/>
      <c r="Q114" s="12"/>
      <c r="R114" s="12"/>
      <c r="S114" s="12"/>
    </row>
    <row r="115" spans="1:19">
      <c r="A115" s="15" t="s">
        <v>93</v>
      </c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</row>
    <row r="116" spans="1:19">
      <c r="A116" s="15" t="s">
        <v>94</v>
      </c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</row>
    <row r="117" spans="1:19">
      <c r="A117" s="15" t="str">
        <f>AE2&amp;H2&amp;AE7</f>
        <v>{document.getElementById("check1").innerHTML=xmlhttp.responseText;</v>
      </c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</row>
    <row r="118" spans="1:19">
      <c r="A118" s="15" t="str">
        <f>+IF(J4="si",AV5,"")</f>
        <v>if (document.getElementById("close").innerHTML=="close") {document.getElementById("hiden1").style.display="none";}</v>
      </c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</row>
    <row r="119" spans="1:19">
      <c r="A119" s="15" t="str">
        <f>+IF(J4="si",AV6,"")</f>
        <v>//si hay multiples funciones cambiar hidden 2, hidden 3 etcetera, en script y e n body</v>
      </c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</row>
    <row r="120" spans="1:19">
      <c r="A120" s="15" t="str">
        <f>+IF(J4="si",AV7,"")</f>
        <v>//lo mismo con close</v>
      </c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</row>
    <row r="121" spans="1:19">
      <c r="A121" s="15" t="str">
        <f>"}}"</f>
        <v>}}</v>
      </c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</row>
    <row r="122" spans="1:19">
      <c r="A122" s="15" t="str">
        <f>+AF3&amp;H3&amp;AG2&amp;AH3&amp;AH4&amp;AH5&amp;AH6&amp;AH7&amp;AH8&amp;AH9&amp;AH10</f>
        <v>xmlhttp.open("GET","Jesus.php?user="+user+"&amp;tipo_doc_id="+tipo_doc_id+"&amp;numd="+numd+"&amp;tms_1="+tms_1</v>
      </c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</row>
    <row r="123" spans="1:19">
      <c r="A123" s="15" t="str">
        <f>AH11&amp;AH12&amp;AH13&amp;AH14&amp;AH15&amp;AH16&amp;AH17&amp;AH18&amp;AH19&amp;AH20</f>
        <v/>
      </c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</row>
    <row r="124" spans="1:19">
      <c r="A124" s="15" t="str">
        <f>AH21&amp;AH22&amp;AH23&amp;AH24&amp;AH25&amp;AH26&amp;AH27&amp;AH28&amp;AH29&amp;AH30</f>
        <v/>
      </c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</row>
    <row r="125" spans="1:19">
      <c r="A125" s="15" t="str">
        <f>AH31&amp;AH32&amp;AH33&amp;AH34&amp;AH35&amp;AH36&amp;AH37&amp;AH38&amp;AH39&amp;AH40</f>
        <v/>
      </c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</row>
    <row r="126" spans="1:19">
      <c r="A126" s="15" t="str">
        <f>AH41&amp;AH42&amp;AH43&amp;AH44&amp;AH45&amp;AH46&amp;AH47&amp;AH48&amp;AH49&amp;AH50</f>
        <v/>
      </c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</row>
    <row r="127" spans="1:19">
      <c r="A127" s="15" t="str">
        <f>AH51&amp;AH52&amp;AH53&amp;AH54&amp;AH55&amp;AH56&amp;AH57&amp;AH58&amp;AH59&amp;AH60</f>
        <v/>
      </c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</row>
    <row r="128" spans="1:19">
      <c r="A128" s="15" t="str">
        <f>AH61&amp;AH62&amp;AH63&amp;AH64&amp;AH65&amp;AH66&amp;AH67&amp;AH68&amp;AH69&amp;AH70</f>
        <v/>
      </c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</row>
    <row r="129" spans="1:42">
      <c r="A129" s="15" t="str">
        <f>AH71&amp;AH72&amp;AH73&amp;AH74&amp;AH75&amp;AH76&amp;AH77&amp;AH78&amp;AH79&amp;AH80</f>
        <v/>
      </c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</row>
    <row r="130" spans="1:42">
      <c r="A130" s="15" t="str">
        <f>AH81&amp;AH82&amp;AH83&amp;AH84&amp;AH85&amp;AH86&amp;AH87&amp;AH88&amp;AH89&amp;AH90</f>
        <v/>
      </c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</row>
    <row r="131" spans="1:42">
      <c r="A131" s="15" t="str">
        <f>AH91&amp;AH92&amp;AH93&amp;AH94&amp;AH95&amp;AH96&amp;AH97&amp;AH98&amp;AH99&amp;AH100</f>
        <v/>
      </c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</row>
    <row r="132" spans="1:42">
      <c r="A132" s="15" t="str">
        <f>AH101&amp;AH102&amp;AH103&amp;AH104</f>
        <v/>
      </c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</row>
    <row r="133" spans="1:42">
      <c r="A133" s="14" t="s">
        <v>95</v>
      </c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</row>
    <row r="134" spans="1:42">
      <c r="A134" s="15" t="s">
        <v>96</v>
      </c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</row>
    <row r="135" spans="1:42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</row>
    <row r="136" spans="1:42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</row>
    <row r="137" spans="1:42">
      <c r="A137" s="13" t="s">
        <v>97</v>
      </c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</row>
    <row r="138" spans="1:42">
      <c r="A138" s="16" t="str">
        <f>+IF(J4="si",AV8,"")</f>
        <v>&lt;div id="hiden1"&gt;</v>
      </c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</row>
    <row r="139" spans="1:42">
      <c r="A139" s="15" t="str">
        <f>+IF(AA3="","",A3&amp;$AJ$4&amp;B3&amp;$AJ$5&amp;B3&amp;$AJ$6)</f>
        <v>&lt;input type="text" id="user" name="user" size="15" /&gt;&lt;br/&gt;</v>
      </c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</row>
    <row r="140" spans="1:42">
      <c r="A140" s="15" t="str">
        <f t="shared" ref="A140:A203" si="35">+IF(AA4="","",A4&amp;$AJ$4&amp;B4&amp;$AJ$5&amp;B4&amp;$AJ$6)</f>
        <v>&lt;input type="text" id="tipo_doc_id" name="tipo_doc_id" size="15" /&gt;&lt;br/&gt;</v>
      </c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</row>
    <row r="141" spans="1:42">
      <c r="A141" s="15" t="str">
        <f t="shared" si="35"/>
        <v>&lt;input type="text" id="numd" name="numd" size="15" /&gt;&lt;br/&gt;</v>
      </c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</row>
    <row r="142" spans="1:42">
      <c r="A142" s="15" t="str">
        <f t="shared" si="35"/>
        <v>Timestamp (not shown)&lt;input type="text" id="tms_1" name="tms_1" size="15" /&gt;&lt;br/&gt;</v>
      </c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AP142" t="s">
        <v>98</v>
      </c>
    </row>
    <row r="143" spans="1:42">
      <c r="A143" s="15" t="str">
        <f t="shared" si="35"/>
        <v/>
      </c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</row>
    <row r="144" spans="1:42">
      <c r="A144" s="15" t="str">
        <f t="shared" si="35"/>
        <v/>
      </c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</row>
    <row r="145" spans="1:42">
      <c r="A145" s="15" t="str">
        <f t="shared" si="35"/>
        <v/>
      </c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AP145" t="s">
        <v>99</v>
      </c>
    </row>
    <row r="146" spans="1:42">
      <c r="A146" s="15" t="str">
        <f t="shared" si="35"/>
        <v/>
      </c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</row>
    <row r="147" spans="1:42">
      <c r="A147" s="15" t="str">
        <f t="shared" si="35"/>
        <v/>
      </c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</row>
    <row r="148" spans="1:42">
      <c r="A148" s="15" t="str">
        <f t="shared" si="35"/>
        <v/>
      </c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</row>
    <row r="149" spans="1:42">
      <c r="A149" s="15" t="str">
        <f t="shared" si="35"/>
        <v/>
      </c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</row>
    <row r="150" spans="1:42">
      <c r="A150" s="15" t="str">
        <f t="shared" si="35"/>
        <v/>
      </c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</row>
    <row r="151" spans="1:42">
      <c r="A151" s="15" t="str">
        <f t="shared" si="35"/>
        <v/>
      </c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</row>
    <row r="152" spans="1:42">
      <c r="A152" s="15" t="str">
        <f t="shared" si="35"/>
        <v/>
      </c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</row>
    <row r="153" spans="1:42">
      <c r="A153" s="15" t="str">
        <f t="shared" si="35"/>
        <v/>
      </c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</row>
    <row r="154" spans="1:42">
      <c r="A154" s="15" t="str">
        <f t="shared" si="35"/>
        <v/>
      </c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</row>
    <row r="155" spans="1:42">
      <c r="A155" s="15" t="str">
        <f t="shared" si="35"/>
        <v/>
      </c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</row>
    <row r="156" spans="1:42">
      <c r="A156" s="15" t="str">
        <f t="shared" si="35"/>
        <v/>
      </c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</row>
    <row r="157" spans="1:42">
      <c r="A157" s="15" t="str">
        <f t="shared" si="35"/>
        <v/>
      </c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</row>
    <row r="158" spans="1:42">
      <c r="A158" s="15" t="str">
        <f t="shared" si="35"/>
        <v/>
      </c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</row>
    <row r="159" spans="1:42">
      <c r="A159" s="15" t="str">
        <f t="shared" si="35"/>
        <v/>
      </c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</row>
    <row r="160" spans="1:42">
      <c r="A160" s="15" t="str">
        <f t="shared" si="35"/>
        <v/>
      </c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</row>
    <row r="161" spans="1:19">
      <c r="A161" s="15" t="str">
        <f t="shared" si="35"/>
        <v/>
      </c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</row>
    <row r="162" spans="1:19">
      <c r="A162" s="15" t="str">
        <f t="shared" si="35"/>
        <v/>
      </c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</row>
    <row r="163" spans="1:19">
      <c r="A163" s="15" t="str">
        <f t="shared" si="35"/>
        <v/>
      </c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</row>
    <row r="164" spans="1:19">
      <c r="A164" s="15" t="str">
        <f t="shared" si="35"/>
        <v/>
      </c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</row>
    <row r="165" spans="1:19">
      <c r="A165" s="15" t="str">
        <f t="shared" si="35"/>
        <v/>
      </c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</row>
    <row r="166" spans="1:19">
      <c r="A166" s="15" t="str">
        <f t="shared" si="35"/>
        <v/>
      </c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</row>
    <row r="167" spans="1:19">
      <c r="A167" s="15" t="str">
        <f t="shared" si="35"/>
        <v/>
      </c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</row>
    <row r="168" spans="1:19">
      <c r="A168" s="15" t="str">
        <f t="shared" si="35"/>
        <v/>
      </c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</row>
    <row r="169" spans="1:19">
      <c r="A169" s="15" t="str">
        <f t="shared" si="35"/>
        <v/>
      </c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</row>
    <row r="170" spans="1:19">
      <c r="A170" s="15" t="str">
        <f t="shared" si="35"/>
        <v/>
      </c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</row>
    <row r="171" spans="1:19">
      <c r="A171" s="15" t="str">
        <f t="shared" si="35"/>
        <v/>
      </c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</row>
    <row r="172" spans="1:19">
      <c r="A172" s="15" t="str">
        <f t="shared" si="35"/>
        <v/>
      </c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</row>
    <row r="173" spans="1:19">
      <c r="A173" s="15" t="str">
        <f t="shared" si="35"/>
        <v/>
      </c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</row>
    <row r="174" spans="1:19">
      <c r="A174" s="15" t="str">
        <f t="shared" si="35"/>
        <v/>
      </c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</row>
    <row r="175" spans="1:19">
      <c r="A175" s="15" t="str">
        <f t="shared" si="35"/>
        <v/>
      </c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</row>
    <row r="176" spans="1:19">
      <c r="A176" s="15" t="str">
        <f t="shared" si="35"/>
        <v/>
      </c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</row>
    <row r="177" spans="1:19">
      <c r="A177" s="15" t="str">
        <f t="shared" si="35"/>
        <v/>
      </c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</row>
    <row r="178" spans="1:19">
      <c r="A178" s="15" t="str">
        <f t="shared" si="35"/>
        <v/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</row>
    <row r="179" spans="1:19">
      <c r="A179" s="15" t="str">
        <f t="shared" si="35"/>
        <v/>
      </c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</row>
    <row r="180" spans="1:19">
      <c r="A180" s="15" t="str">
        <f t="shared" si="35"/>
        <v/>
      </c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</row>
    <row r="181" spans="1:19">
      <c r="A181" s="15" t="str">
        <f t="shared" si="35"/>
        <v/>
      </c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</row>
    <row r="182" spans="1:19">
      <c r="A182" s="15" t="str">
        <f t="shared" si="35"/>
        <v/>
      </c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</row>
    <row r="183" spans="1:19">
      <c r="A183" s="15" t="str">
        <f t="shared" si="35"/>
        <v/>
      </c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</row>
    <row r="184" spans="1:19">
      <c r="A184" s="15" t="str">
        <f t="shared" si="35"/>
        <v/>
      </c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</row>
    <row r="185" spans="1:19">
      <c r="A185" s="15" t="str">
        <f t="shared" si="35"/>
        <v/>
      </c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</row>
    <row r="186" spans="1:19">
      <c r="A186" s="15" t="str">
        <f t="shared" si="35"/>
        <v/>
      </c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</row>
    <row r="187" spans="1:19">
      <c r="A187" s="15" t="str">
        <f t="shared" si="35"/>
        <v/>
      </c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</row>
    <row r="188" spans="1:19">
      <c r="A188" s="15" t="str">
        <f t="shared" si="35"/>
        <v/>
      </c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</row>
    <row r="189" spans="1:19">
      <c r="A189" s="15" t="str">
        <f t="shared" si="35"/>
        <v/>
      </c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</row>
    <row r="190" spans="1:19">
      <c r="A190" s="15" t="str">
        <f t="shared" si="35"/>
        <v/>
      </c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</row>
    <row r="191" spans="1:19">
      <c r="A191" s="15" t="str">
        <f t="shared" si="35"/>
        <v/>
      </c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</row>
    <row r="192" spans="1:19">
      <c r="A192" s="15" t="str">
        <f t="shared" si="35"/>
        <v/>
      </c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</row>
    <row r="193" spans="1:19">
      <c r="A193" s="15" t="str">
        <f t="shared" si="35"/>
        <v/>
      </c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</row>
    <row r="194" spans="1:19">
      <c r="A194" s="15" t="str">
        <f t="shared" si="35"/>
        <v/>
      </c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</row>
    <row r="195" spans="1:19">
      <c r="A195" s="15" t="str">
        <f t="shared" si="35"/>
        <v/>
      </c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</row>
    <row r="196" spans="1:19">
      <c r="A196" s="15" t="str">
        <f t="shared" si="35"/>
        <v/>
      </c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</row>
    <row r="197" spans="1:19">
      <c r="A197" s="15" t="str">
        <f t="shared" si="35"/>
        <v/>
      </c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</row>
    <row r="198" spans="1:19">
      <c r="A198" s="15" t="str">
        <f t="shared" si="35"/>
        <v/>
      </c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</row>
    <row r="199" spans="1:19">
      <c r="A199" s="15" t="str">
        <f t="shared" si="35"/>
        <v/>
      </c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</row>
    <row r="200" spans="1:19">
      <c r="A200" s="15" t="str">
        <f t="shared" si="35"/>
        <v/>
      </c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</row>
    <row r="201" spans="1:19">
      <c r="A201" s="15" t="str">
        <f t="shared" si="35"/>
        <v/>
      </c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</row>
    <row r="202" spans="1:19">
      <c r="A202" s="15" t="str">
        <f t="shared" si="35"/>
        <v/>
      </c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</row>
    <row r="203" spans="1:19">
      <c r="A203" s="15" t="str">
        <f t="shared" si="35"/>
        <v/>
      </c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</row>
    <row r="204" spans="1:19">
      <c r="A204" s="15" t="str">
        <f t="shared" ref="A204:A238" si="36">+IF(AA68="","",A68&amp;$AJ$4&amp;B68&amp;$AJ$5&amp;B68&amp;$AJ$6)</f>
        <v/>
      </c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</row>
    <row r="205" spans="1:19">
      <c r="A205" s="15" t="str">
        <f t="shared" si="36"/>
        <v/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</row>
    <row r="206" spans="1:19">
      <c r="A206" s="15" t="str">
        <f t="shared" si="36"/>
        <v/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</row>
    <row r="207" spans="1:19">
      <c r="A207" s="15" t="str">
        <f t="shared" si="36"/>
        <v/>
      </c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</row>
    <row r="208" spans="1:19">
      <c r="A208" s="15" t="str">
        <f t="shared" si="36"/>
        <v/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</row>
    <row r="209" spans="1:19">
      <c r="A209" s="15" t="str">
        <f t="shared" si="36"/>
        <v/>
      </c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</row>
    <row r="210" spans="1:19">
      <c r="A210" s="15" t="str">
        <f t="shared" si="36"/>
        <v/>
      </c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</row>
    <row r="211" spans="1:19">
      <c r="A211" s="15" t="str">
        <f t="shared" si="36"/>
        <v/>
      </c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</row>
    <row r="212" spans="1:19">
      <c r="A212" s="15" t="str">
        <f t="shared" si="36"/>
        <v/>
      </c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</row>
    <row r="213" spans="1:19">
      <c r="A213" s="15" t="str">
        <f t="shared" si="36"/>
        <v/>
      </c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</row>
    <row r="214" spans="1:19">
      <c r="A214" s="15" t="str">
        <f t="shared" si="36"/>
        <v/>
      </c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</row>
    <row r="215" spans="1:19">
      <c r="A215" s="15" t="str">
        <f t="shared" si="36"/>
        <v/>
      </c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</row>
    <row r="216" spans="1:19">
      <c r="A216" s="15" t="str">
        <f t="shared" si="36"/>
        <v/>
      </c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</row>
    <row r="217" spans="1:19">
      <c r="A217" s="15" t="str">
        <f t="shared" si="36"/>
        <v/>
      </c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</row>
    <row r="218" spans="1:19">
      <c r="A218" s="15" t="str">
        <f t="shared" si="36"/>
        <v/>
      </c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</row>
    <row r="219" spans="1:19">
      <c r="A219" s="15" t="str">
        <f t="shared" si="36"/>
        <v/>
      </c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</row>
    <row r="220" spans="1:19">
      <c r="A220" s="15" t="str">
        <f t="shared" si="36"/>
        <v/>
      </c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</row>
    <row r="221" spans="1:19">
      <c r="A221" s="15" t="str">
        <f t="shared" si="36"/>
        <v/>
      </c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</row>
    <row r="222" spans="1:19">
      <c r="A222" s="15" t="str">
        <f t="shared" si="36"/>
        <v/>
      </c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</row>
    <row r="223" spans="1:19">
      <c r="A223" s="15" t="str">
        <f t="shared" si="36"/>
        <v/>
      </c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</row>
    <row r="224" spans="1:19">
      <c r="A224" s="15" t="str">
        <f t="shared" si="36"/>
        <v/>
      </c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</row>
    <row r="225" spans="1:37">
      <c r="A225" s="15" t="str">
        <f t="shared" si="36"/>
        <v/>
      </c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</row>
    <row r="226" spans="1:37">
      <c r="A226" s="15" t="str">
        <f t="shared" si="36"/>
        <v/>
      </c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</row>
    <row r="227" spans="1:37">
      <c r="A227" s="15" t="str">
        <f t="shared" si="36"/>
        <v/>
      </c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</row>
    <row r="228" spans="1:37">
      <c r="A228" s="15" t="str">
        <f t="shared" si="36"/>
        <v/>
      </c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</row>
    <row r="229" spans="1:37">
      <c r="A229" s="15" t="str">
        <f t="shared" si="36"/>
        <v/>
      </c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</row>
    <row r="230" spans="1:37">
      <c r="A230" s="15" t="str">
        <f t="shared" si="36"/>
        <v/>
      </c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</row>
    <row r="231" spans="1:37">
      <c r="A231" s="15" t="str">
        <f t="shared" si="36"/>
        <v/>
      </c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</row>
    <row r="232" spans="1:37">
      <c r="A232" s="15" t="str">
        <f t="shared" si="36"/>
        <v/>
      </c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</row>
    <row r="233" spans="1:37">
      <c r="A233" s="15" t="str">
        <f t="shared" si="36"/>
        <v/>
      </c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</row>
    <row r="234" spans="1:37">
      <c r="A234" s="15" t="str">
        <f t="shared" si="36"/>
        <v/>
      </c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</row>
    <row r="235" spans="1:37">
      <c r="A235" s="15" t="str">
        <f t="shared" si="36"/>
        <v/>
      </c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</row>
    <row r="236" spans="1:37">
      <c r="A236" s="15" t="str">
        <f t="shared" si="36"/>
        <v/>
      </c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AK236" t="str">
        <f>+AK4</f>
        <v>,document.getElementById('tipo_doc_id').value</v>
      </c>
    </row>
    <row r="237" spans="1:37">
      <c r="A237" s="15" t="str">
        <f t="shared" si="36"/>
        <v/>
      </c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</row>
    <row r="238" spans="1:37">
      <c r="A238" s="15" t="str">
        <f t="shared" si="36"/>
        <v/>
      </c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</row>
    <row r="239" spans="1:37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</row>
    <row r="240" spans="1:37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</row>
    <row r="241" spans="1:19">
      <c r="A241" s="15" t="str">
        <f>+AJ8&amp;B1&amp;Z2&amp;AK3&amp;AK4</f>
        <v>&lt;input type="button" value="actualizar nombres" onclick="insert_Jesus(document.getElementById('user').value,document.getElementById('tipo_doc_id').value</v>
      </c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</row>
    <row r="242" spans="1:19">
      <c r="A242" s="15" t="str">
        <f>+AK5&amp;AK6&amp;AK7&amp;AK8&amp;AK9</f>
        <v>,document.getElementById('numd').value,document.getElementById('tms_1').value</v>
      </c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</row>
    <row r="243" spans="1:19">
      <c r="A243" s="15" t="str">
        <f>+AK10&amp;AK11&amp;AK12&amp;AK13&amp;AK14</f>
        <v/>
      </c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</row>
    <row r="244" spans="1:19">
      <c r="A244" s="15" t="str">
        <f>+AK15&amp;AK16&amp;AK17&amp;AK18&amp;AK19</f>
        <v/>
      </c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</row>
    <row r="245" spans="1:19">
      <c r="A245" s="15" t="str">
        <f>+AK20&amp;AK21&amp;AK22&amp;AK23&amp;AK24</f>
        <v/>
      </c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</row>
    <row r="246" spans="1:19">
      <c r="A246" s="15" t="str">
        <f>+AK25&amp;AK26&amp;AK27&amp;AK28&amp;AK29</f>
        <v/>
      </c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</row>
    <row r="247" spans="1:19">
      <c r="A247" s="15" t="str">
        <f>+AK30&amp;AK31&amp;AK32&amp;AK33&amp;AK34</f>
        <v/>
      </c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</row>
    <row r="248" spans="1:19">
      <c r="A248" s="15" t="str">
        <f>+AK35&amp;AK36&amp;AK37&amp;AK38&amp;AK39</f>
        <v/>
      </c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</row>
    <row r="249" spans="1:19">
      <c r="A249" s="15" t="str">
        <f>+AK40&amp;AK41&amp;AK42&amp;AK43&amp;AK44</f>
        <v/>
      </c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</row>
    <row r="250" spans="1:19">
      <c r="A250" s="15" t="str">
        <f>+AK45&amp;AK46&amp;AK47&amp;AK48&amp;AK49</f>
        <v/>
      </c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</row>
    <row r="251" spans="1:19">
      <c r="A251" s="15" t="str">
        <f>+AK50&amp;AK51&amp;AK52&amp;AK53&amp;AK54</f>
        <v/>
      </c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</row>
    <row r="252" spans="1:19">
      <c r="A252" s="15" t="str">
        <f>+AK55&amp;AK56&amp;AK57&amp;AK58&amp;AK59</f>
        <v/>
      </c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</row>
    <row r="253" spans="1:19">
      <c r="A253" s="15" t="str">
        <f>+AK60&amp;AK61&amp;AK62&amp;AK63&amp;AK64</f>
        <v/>
      </c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</row>
    <row r="254" spans="1:19">
      <c r="A254" s="15" t="str">
        <f>+AK61&amp;AK62&amp;AK63&amp;AK64&amp;AK65</f>
        <v/>
      </c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</row>
    <row r="255" spans="1:19">
      <c r="A255" s="15" t="str">
        <f>+AK66&amp;AK67&amp;AK68&amp;AK69&amp;AK70</f>
        <v/>
      </c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</row>
    <row r="256" spans="1:19">
      <c r="A256" s="15" t="str">
        <f>+AK71&amp;AK72&amp;AK73&amp;AK74&amp;AK75</f>
        <v/>
      </c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</row>
    <row r="257" spans="1:19">
      <c r="A257" s="15" t="str">
        <f>+AK76&amp;AK77&amp;AK78&amp;AK79&amp;AK80</f>
        <v/>
      </c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</row>
    <row r="258" spans="1:19">
      <c r="A258" s="15" t="str">
        <f>+AK81&amp;AK82&amp;AK83&amp;AK84&amp;AK85</f>
        <v/>
      </c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</row>
    <row r="259" spans="1:19">
      <c r="A259" s="15" t="str">
        <f>+AK86&amp;AK87&amp;AK88&amp;AK89&amp;AK90</f>
        <v/>
      </c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</row>
    <row r="260" spans="1:19">
      <c r="A260" s="15" t="str">
        <f>+AK91&amp;AK92&amp;AK93&amp;AK94&amp;AK95</f>
        <v/>
      </c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</row>
    <row r="261" spans="1:19">
      <c r="A261" s="15" t="str">
        <f>+AK96&amp;AK97&amp;AK98&amp;AK99&amp;AK100</f>
        <v/>
      </c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</row>
    <row r="262" spans="1:19">
      <c r="A262" s="15" t="str">
        <f>+AK101&amp;AK102</f>
        <v/>
      </c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</row>
    <row r="263" spans="1:19">
      <c r="A263" s="15" t="s">
        <v>100</v>
      </c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</row>
    <row r="264" spans="1:19">
      <c r="A264" s="15" t="str">
        <f>+IF(J4="si",AV1,"")</f>
        <v>&lt;/div&gt;</v>
      </c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</row>
    <row r="265" spans="1:19">
      <c r="A265" s="15" t="str">
        <f>+AE8&amp;H2&amp;AF2</f>
        <v>&lt;div id="check1"&gt;&lt;/div&gt;</v>
      </c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</row>
    <row r="266" spans="1:19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</row>
    <row r="267" spans="1:19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</row>
    <row r="268" spans="1:19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</row>
    <row r="269" spans="1:19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</row>
    <row r="270" spans="1:19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</row>
    <row r="271" spans="1:19">
      <c r="A271" s="13" t="s">
        <v>25</v>
      </c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</row>
    <row r="272" spans="1:19">
      <c r="A272" s="15" t="str">
        <f>+AJ2&amp;H3</f>
        <v>&lt;?php //Jesus.php</v>
      </c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</row>
    <row r="273" spans="1:19">
      <c r="A273" s="15" t="s">
        <v>101</v>
      </c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</row>
    <row r="274" spans="1:19">
      <c r="A274" s="15" t="str">
        <f>+AN3&amp;AN4&amp;AN5</f>
        <v>if (isset($_GET['user'])) {$user=($_GET['user']);}else $user='';if (isset($_GET['tipo_doc_id'])) {$tipo_doc_id=($_GET['tipo_doc_id']);}else $tipo_doc_id='';if (isset($_GET['numd'])) {$numd=($_GET['numd']);}else $numd='';</v>
      </c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</row>
    <row r="275" spans="1:19">
      <c r="A275" s="15" t="str">
        <f>+AN6&amp;AN7&amp;AN8</f>
        <v>if (isset($_GET['tms_1'])) {$tms_1=($_GET['tms_1']);}else $tms_1='';</v>
      </c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</row>
    <row r="276" spans="1:19">
      <c r="A276" s="15" t="str">
        <f>+AN9&amp;AN10&amp;AN11</f>
        <v/>
      </c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</row>
    <row r="277" spans="1:19">
      <c r="A277" s="15" t="str">
        <f>+AN12&amp;AN13&amp;AN14</f>
        <v/>
      </c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</row>
    <row r="278" spans="1:19">
      <c r="A278" s="15" t="str">
        <f>+AN15&amp;AN16&amp;AN17</f>
        <v/>
      </c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</row>
    <row r="279" spans="1:19">
      <c r="A279" s="15" t="str">
        <f>+AN18&amp;AN19&amp;AN20</f>
        <v/>
      </c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</row>
    <row r="280" spans="1:19">
      <c r="A280" s="15" t="str">
        <f>+AN21&amp;AN22&amp;AN23</f>
        <v/>
      </c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</row>
    <row r="281" spans="1:19">
      <c r="A281" s="15" t="str">
        <f>+AN24&amp;AN25&amp;AN26</f>
        <v/>
      </c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</row>
    <row r="282" spans="1:19">
      <c r="A282" s="15" t="str">
        <f>+AN27&amp;AN28&amp;AN29</f>
        <v/>
      </c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</row>
    <row r="283" spans="1:19">
      <c r="A283" s="15" t="str">
        <f>+AN30&amp;AN31&amp;AN32</f>
        <v/>
      </c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</row>
    <row r="284" spans="1:19">
      <c r="A284" s="15" t="str">
        <f>+AN33&amp;AN34&amp;AN35</f>
        <v/>
      </c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</row>
    <row r="285" spans="1:19">
      <c r="A285" s="15" t="str">
        <f>+AN36&amp;AN37&amp;AN38</f>
        <v/>
      </c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</row>
    <row r="286" spans="1:19">
      <c r="A286" s="15" t="str">
        <f>+AN39&amp;AN40&amp;AN41</f>
        <v/>
      </c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</row>
    <row r="287" spans="1:19">
      <c r="A287" s="15" t="str">
        <f>+AN42&amp;AN43&amp;AN44</f>
        <v/>
      </c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</row>
    <row r="288" spans="1:19">
      <c r="A288" s="15" t="str">
        <f>+AN45&amp;AN46&amp;AN47</f>
        <v/>
      </c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</row>
    <row r="289" spans="1:19">
      <c r="A289" s="15" t="str">
        <f>+AN48&amp;AN49&amp;AN50</f>
        <v/>
      </c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</row>
    <row r="290" spans="1:19">
      <c r="A290" s="15" t="str">
        <f>+AN51&amp;AN52&amp;AN53</f>
        <v/>
      </c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</row>
    <row r="291" spans="1:19">
      <c r="A291" s="15" t="str">
        <f>+AN54&amp;AN55&amp;AN56</f>
        <v/>
      </c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</row>
    <row r="292" spans="1:19">
      <c r="A292" s="15" t="str">
        <f>+AN57&amp;AN58&amp;AN59</f>
        <v/>
      </c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</row>
    <row r="293" spans="1:19">
      <c r="A293" s="15" t="str">
        <f>+AN60&amp;AN61&amp;AN62</f>
        <v/>
      </c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</row>
    <row r="294" spans="1:19">
      <c r="A294" s="15" t="str">
        <f>+AN63&amp;AN64&amp;AN65</f>
        <v/>
      </c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</row>
    <row r="295" spans="1:19">
      <c r="A295" s="15" t="str">
        <f>+AN66&amp;AN67&amp;AN68</f>
        <v/>
      </c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</row>
    <row r="296" spans="1:19">
      <c r="A296" s="15" t="str">
        <f>+AN69&amp;AN70&amp;AN71</f>
        <v/>
      </c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</row>
    <row r="297" spans="1:19">
      <c r="A297" s="15" t="str">
        <f>+AN72&amp;AN73&amp;AN74</f>
        <v/>
      </c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</row>
    <row r="298" spans="1:19">
      <c r="A298" s="15" t="str">
        <f>+AN75&amp;AN76&amp;AN77</f>
        <v/>
      </c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</row>
    <row r="299" spans="1:19">
      <c r="A299" s="15" t="str">
        <f>+AN78&amp;AN79&amp;AN80</f>
        <v/>
      </c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</row>
    <row r="300" spans="1:19">
      <c r="A300" s="15" t="str">
        <f>+AN81&amp;AN82&amp;AN83</f>
        <v/>
      </c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</row>
    <row r="301" spans="1:19">
      <c r="A301" s="15" t="str">
        <f>+AN84&amp;AN85&amp;AN86</f>
        <v/>
      </c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</row>
    <row r="302" spans="1:19">
      <c r="A302" s="15" t="str">
        <f>+AN87&amp;AN88&amp;AN89</f>
        <v/>
      </c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</row>
    <row r="303" spans="1:19">
      <c r="A303" s="15" t="str">
        <f>+AN90&amp;AN91&amp;AN92</f>
        <v/>
      </c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</row>
    <row r="304" spans="1:19">
      <c r="A304" s="15" t="str">
        <f>+AN93&amp;AN94&amp;AN95</f>
        <v/>
      </c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</row>
    <row r="305" spans="1:19">
      <c r="A305" s="15" t="str">
        <f>+AN96&amp;AN97&amp;AN98</f>
        <v/>
      </c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</row>
    <row r="306" spans="1:19">
      <c r="A306" s="15" t="str">
        <f>+AN99&amp;AN100&amp;AN101</f>
        <v/>
      </c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</row>
    <row r="307" spans="1:19">
      <c r="A307" s="15" t="str">
        <f>+AN102</f>
        <v/>
      </c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</row>
    <row r="308" spans="1:19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</row>
    <row r="309" spans="1:19">
      <c r="A309" s="12" t="s">
        <v>149</v>
      </c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</row>
    <row r="310" spans="1:19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</row>
    <row r="311" spans="1:19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</row>
    <row r="312" spans="1:19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</row>
    <row r="313" spans="1:19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</row>
    <row r="314" spans="1:19">
      <c r="A314" s="15" t="s">
        <v>102</v>
      </c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</row>
    <row r="315" spans="1:19">
      <c r="A315" s="15" t="s">
        <v>103</v>
      </c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</row>
    <row r="316" spans="1:19">
      <c r="A316" s="15" t="str">
        <f>+AP2&amp;AP3&amp;AP4&amp;H5&amp;AP5</f>
        <v>$con=mysql_connect('localhost','root',''); if (!$con)  {die('Could not connect: ' . mysql_error());}  mysql_select_db('healmy5_pray', $con);</v>
      </c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</row>
    <row r="317" spans="1:19">
      <c r="A317" s="15" t="str">
        <f>+AP6&amp;H6&amp;AP7&amp;K7&amp;AP8&amp;K8&amp;AQ3</f>
        <v>$already_exist_result = mysql_query("SELECT * FROM Jesus WHERE user='$user' AND tipo_doc_id='$tipo_doc_id'"); $row_ae = mysql_fetch_array($already_exist_result);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</row>
    <row r="318" spans="1:19">
      <c r="A318" s="15" t="str">
        <f>+AQ5&amp;K7&amp;AQ6&amp;K8&amp;AQ7</f>
        <v>if (!empty($row_ae[0])) {echo "Ya existe un registro con los datos ".$user." ".$tipo_doc_id."&lt;br/&gt;";}</v>
      </c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</row>
    <row r="319" spans="1:19">
      <c r="A319" s="15" t="s">
        <v>104</v>
      </c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</row>
    <row r="320" spans="1:19">
      <c r="A320" s="15" t="str">
        <f>+AR7&amp;H6&amp;"("&amp;M3&amp;N4&amp;M4&amp;N5&amp;M5&amp;N6&amp;M6&amp;N7&amp;M7&amp;N8&amp;M8&amp;N9&amp;M9&amp;N10&amp;M10&amp;N11&amp;M11&amp;N12&amp;M12&amp;N13&amp;M13&amp;N14&amp;M14&amp;N15&amp;M15&amp;N16&amp;M16&amp;N17&amp;M17</f>
        <v>$sql="INSERT INTO Jesus(user,tipo_doc_id,numd,tms_1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</row>
    <row r="321" spans="1:19">
      <c r="A321" s="15" t="str">
        <f>N18&amp;M18&amp;N19&amp;M19&amp;N20&amp;M20&amp;N21&amp;M21&amp;N22&amp;M22&amp;N23&amp;M23&amp;N24&amp;M24&amp;N25&amp;M25&amp;N26&amp;M26&amp;N27&amp;M27&amp;N28&amp;M28&amp;N29&amp;M29&amp;N30&amp;M30&amp;N31&amp;M31</f>
        <v/>
      </c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</row>
    <row r="322" spans="1:19">
      <c r="A322" s="15" t="str">
        <f>N32&amp;M32&amp;N33&amp;M33&amp;N34&amp;M34&amp;N35&amp;M35&amp;N36&amp;M36&amp;N37&amp;M37&amp;N38&amp;M38&amp;N39&amp;M39&amp;N40&amp;M40&amp;N41&amp;M41&amp;N42&amp;M42&amp;N43&amp;M43&amp;N44&amp;M44&amp;N45&amp;M45</f>
        <v/>
      </c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</row>
    <row r="323" spans="1:19">
      <c r="A323" s="15" t="str">
        <f>N46&amp;M46&amp;N47&amp;M47&amp;N48&amp;M48&amp;N49&amp;M49&amp;N50&amp;M50&amp;N51&amp;M51&amp;N52&amp;M52&amp;N53&amp;M53&amp;N54&amp;M54&amp;N55&amp;M55&amp;N56&amp;M56&amp;N57&amp;M57&amp;N58&amp;M58&amp;N59&amp;M59</f>
        <v/>
      </c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</row>
    <row r="324" spans="1:19">
      <c r="A324" s="15" t="str">
        <f>N60&amp;M60&amp;N61&amp;M61&amp;N62&amp;M62&amp;N63&amp;M63&amp;N64&amp;M64&amp;N65&amp;M65&amp;N66&amp;M66&amp;N67&amp;M67&amp;N68&amp;M68&amp;N69&amp;M69&amp;N70&amp;M70&amp;N71&amp;M71&amp;N72&amp;M72&amp;N73&amp;M73</f>
        <v/>
      </c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</row>
    <row r="325" spans="1:19">
      <c r="A325" s="15" t="str">
        <f>N74&amp;M74&amp;N75&amp;M75&amp;N76&amp;M76&amp;N77&amp;M77&amp;N78&amp;M78&amp;N79&amp;M79&amp;N80&amp;M80&amp;N81&amp;M81&amp;N82&amp;M82&amp;N83&amp;M83&amp;N84&amp;M84&amp;N85&amp;M85&amp;N86&amp;M86&amp;N87&amp;M87</f>
        <v/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</row>
    <row r="326" spans="1:19">
      <c r="A326" s="15" t="str">
        <f>N88&amp;M88&amp;N89&amp;M89&amp;N90&amp;M90&amp;N91&amp;M91&amp;N92&amp;M92&amp;N93&amp;M93&amp;N94&amp;M94&amp;N95&amp;M95&amp;N96&amp;M96&amp;N97&amp;M97&amp;N98&amp;M98&amp;N99&amp;M99&amp;N100&amp;M100&amp;N101&amp;M101</f>
        <v/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</row>
    <row r="327" spans="1:19">
      <c r="A327" s="15" t="str">
        <f>N102&amp;M102</f>
        <v/>
      </c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</row>
    <row r="328" spans="1:19">
      <c r="A328" s="15" t="str">
        <f>") "&amp;AR8&amp;AT3&amp;AT4&amp;AT5&amp;AT6&amp;AT7&amp;AT8&amp;AT9&amp;AT10&amp;AT11&amp;AT12&amp;AT13&amp;AT14&amp;AT15</f>
        <v>) VALUES ('$user','$tipo_doc_id','$numd','$tms_1'</v>
      </c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</row>
    <row r="329" spans="1:19">
      <c r="A329" s="15" t="str">
        <f>AT16&amp;AT17&amp;AT18&amp;AT19&amp;AT20&amp;AT21&amp;AT22&amp;AT23&amp;AT24&amp;AT25&amp;AT26&amp;AT27&amp;AT28</f>
        <v/>
      </c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</row>
    <row r="330" spans="1:19">
      <c r="A330" s="15" t="str">
        <f>AT29&amp;AT30&amp;AT31&amp;AT32&amp;AT33&amp;AT34&amp;AT35&amp;AT36&amp;AT37&amp;AT38&amp;AT39&amp;AT40&amp;AT41</f>
        <v/>
      </c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</row>
    <row r="331" spans="1:19">
      <c r="A331" s="15" t="str">
        <f>AT42&amp;AT43&amp;AT44&amp;AT45&amp;AT46&amp;AT47&amp;AT48&amp;AT49&amp;AT50&amp;AT51&amp;AT52&amp;AT53&amp;AT54</f>
        <v/>
      </c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</row>
    <row r="332" spans="1:19">
      <c r="A332" s="15" t="str">
        <f>AT55&amp;AT56&amp;AT57&amp;AT58&amp;AT59&amp;AT60&amp;AT61&amp;AT62&amp;AT63&amp;AT64&amp;AT65&amp;AT66&amp;AT67</f>
        <v/>
      </c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</row>
    <row r="333" spans="1:19">
      <c r="A333" s="15" t="str">
        <f>AT68&amp;AT69&amp;AT70&amp;AT71&amp;AT72&amp;AT73&amp;AT74&amp;AT75&amp;AT76&amp;AT77&amp;AT78&amp;AT79&amp;AT80</f>
        <v/>
      </c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</row>
    <row r="334" spans="1:19">
      <c r="A334" s="15" t="str">
        <f>AT81&amp;AT82&amp;AT83&amp;AT84&amp;AT85&amp;AT86&amp;AT87&amp;AT88&amp;AT89&amp;AT90&amp;AT91&amp;AT92&amp;AT93</f>
        <v/>
      </c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</row>
    <row r="335" spans="1:19">
      <c r="A335" s="15" t="str">
        <f>AT94&amp;AT95&amp;AT96&amp;AT97&amp;AT98&amp;AT99&amp;AT100&amp;AT101&amp;AT102</f>
        <v/>
      </c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</row>
    <row r="336" spans="1:19">
      <c r="A336" s="15" t="str">
        <f>AV2</f>
        <v>)";</v>
      </c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</row>
    <row r="337" spans="1:19"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</row>
    <row r="338" spans="1:19">
      <c r="A338" s="15" t="s">
        <v>105</v>
      </c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</row>
    <row r="339" spans="1:19">
      <c r="A339" s="15" t="str">
        <f>+IF(J4="si",AW1,"")</f>
        <v>echo '&lt;div id="close" style="display:none"&gt;close&lt;/div&gt;';</v>
      </c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</row>
    <row r="340" spans="1:19">
      <c r="A340" s="15" t="str">
        <f t="shared" ref="A340:A345" si="37">IF(B3="","",$AW$2&amp;A3&amp;$AW$3&amp;AA3&amp;";")</f>
        <v>echo '    '.$user;</v>
      </c>
      <c r="B340" s="12"/>
      <c r="C340" s="12"/>
      <c r="D340" s="15" t="str">
        <f t="shared" ref="D340:D346" si="38">IF(E2="","",$AW$2&amp;B2&amp;$AW$3&amp;AB2&amp;";")</f>
        <v/>
      </c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</row>
    <row r="341" spans="1:19">
      <c r="A341" s="15" t="str">
        <f t="shared" si="37"/>
        <v>echo '    '.$tipo_doc_id;</v>
      </c>
      <c r="B341" s="12"/>
      <c r="C341" s="12"/>
      <c r="D341" s="15" t="str">
        <f t="shared" si="38"/>
        <v/>
      </c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</row>
    <row r="342" spans="1:19">
      <c r="A342" s="15" t="str">
        <f t="shared" si="37"/>
        <v>echo '    '.$numd;</v>
      </c>
      <c r="B342" s="12"/>
      <c r="C342" s="12"/>
      <c r="D342" s="15" t="str">
        <f t="shared" si="38"/>
        <v/>
      </c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</row>
    <row r="343" spans="1:19">
      <c r="A343" s="15" t="str">
        <f t="shared" si="37"/>
        <v>echo '  Timestamp (not shown)  '.$tms_1;</v>
      </c>
      <c r="B343" s="12"/>
      <c r="C343" s="12"/>
      <c r="D343" s="15" t="str">
        <f t="shared" si="38"/>
        <v/>
      </c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</row>
    <row r="344" spans="1:19">
      <c r="A344" s="15" t="str">
        <f t="shared" si="37"/>
        <v/>
      </c>
      <c r="B344" s="12"/>
      <c r="C344" s="12"/>
      <c r="D344" s="15" t="str">
        <f t="shared" si="38"/>
        <v/>
      </c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</row>
    <row r="345" spans="1:19">
      <c r="A345" s="15" t="str">
        <f t="shared" si="37"/>
        <v/>
      </c>
      <c r="B345" s="12"/>
      <c r="C345" s="12"/>
      <c r="D345" s="15" t="str">
        <f t="shared" si="38"/>
        <v/>
      </c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</row>
    <row r="346" spans="1:19">
      <c r="A346" s="12"/>
      <c r="B346" s="12"/>
      <c r="C346" s="12"/>
      <c r="D346" s="15" t="str">
        <f t="shared" si="38"/>
        <v/>
      </c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</row>
    <row r="347" spans="1:19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</row>
    <row r="348" spans="1:19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</row>
    <row r="349" spans="1:19">
      <c r="A349" s="15" t="s">
        <v>106</v>
      </c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</row>
    <row r="350" spans="1:19">
      <c r="A350" s="15" t="s">
        <v>107</v>
      </c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</row>
    <row r="351" spans="1:19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</row>
    <row r="352" spans="1:19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</row>
    <row r="353" spans="1:18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</row>
    <row r="354" spans="1:18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</row>
  </sheetData>
  <sheetProtection selectLockedCells="1" selectUnlockedCells="1"/>
  <dataValidations count="2">
    <dataValidation type="list" allowBlank="1" showInputMessage="1" showErrorMessage="1" sqref="J4">
      <formula1>$AV$3:$AV$4</formula1>
    </dataValidation>
    <dataValidation type="list" allowBlank="1" showInputMessage="1" showErrorMessage="1" sqref="H4">
      <formula1>$Z$6:$Z$7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Membership protocol</vt:lpstr>
      <vt:lpstr>validateTextNum</vt:lpstr>
      <vt:lpstr>PRP</vt:lpstr>
      <vt:lpstr>SummaryGenv1</vt:lpstr>
      <vt:lpstr>Edit table</vt:lpstr>
      <vt:lpstr>tableGenerator</vt:lpstr>
      <vt:lpstr>fieldcreatorv2</vt:lpstr>
      <vt:lpstr>sqlcreate</vt:lpstr>
      <vt:lpstr>unique_id</vt:lpstr>
      <vt:lpstr>sessioncreator</vt:lpstr>
      <vt:lpstr>fieldcreatorv1</vt:lpstr>
      <vt:lpstr>ajaxinsertandclose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adelaida Escobar Hurtado</dc:creator>
  <cp:lastModifiedBy>maria adelaida Escobar Hurtado</cp:lastModifiedBy>
  <dcterms:created xsi:type="dcterms:W3CDTF">2012-04-08T20:39:20Z</dcterms:created>
  <dcterms:modified xsi:type="dcterms:W3CDTF">2013-08-23T13:42:00Z</dcterms:modified>
</cp:coreProperties>
</file>